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490" windowHeight="10545" tabRatio="584" activeTab="1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L14" i="3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J17"/>
  <c r="I18"/>
  <c r="M18" s="1"/>
  <c r="K16"/>
  <c r="I16"/>
  <c r="G16"/>
  <c r="C16"/>
  <c r="K14"/>
  <c r="I14"/>
  <c r="G14"/>
  <c r="C14"/>
  <c r="L13" i="3"/>
  <c r="AE15" i="1"/>
  <c r="AI14"/>
  <c r="H19" i="76" l="1"/>
  <c r="B19"/>
  <c r="C18"/>
  <c r="F19"/>
  <c r="G18"/>
  <c r="J19"/>
  <c r="K18"/>
  <c r="N18" s="1"/>
  <c r="K17"/>
  <c r="N17" s="1"/>
  <c r="G17"/>
  <c r="C17"/>
  <c r="S12" i="3"/>
  <c r="H20" i="76" l="1"/>
  <c r="I19"/>
  <c r="M19" s="1"/>
  <c r="D17"/>
  <c r="E17" s="1"/>
  <c r="L17"/>
  <c r="K19"/>
  <c r="N19" s="1"/>
  <c r="J20"/>
  <c r="D18"/>
  <c r="E18" s="1"/>
  <c r="L18"/>
  <c r="C19"/>
  <c r="B20"/>
  <c r="G19"/>
  <c r="F20"/>
  <c r="AQ11" i="1"/>
  <c r="Y5" i="2"/>
  <c r="W5"/>
  <c r="H6" i="77"/>
  <c r="H21" i="76" l="1"/>
  <c r="I20"/>
  <c r="M20" s="1"/>
  <c r="G20"/>
  <c r="F21"/>
  <c r="D19"/>
  <c r="E19" s="1"/>
  <c r="L19"/>
  <c r="C20"/>
  <c r="B21"/>
  <c r="K20"/>
  <c r="N20" s="1"/>
  <c r="J2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I21" i="76" l="1"/>
  <c r="M21" s="1"/>
  <c r="H22"/>
  <c r="B22"/>
  <c r="C21"/>
  <c r="F22"/>
  <c r="G21"/>
  <c r="J22"/>
  <c r="K21"/>
  <c r="N21" s="1"/>
  <c r="D20"/>
  <c r="E20" s="1"/>
  <c r="L20"/>
  <c r="C19" i="77"/>
  <c r="C18"/>
  <c r="C17"/>
  <c r="C16"/>
  <c r="C15"/>
  <c r="C14"/>
  <c r="H23" i="76" l="1"/>
  <c r="I22"/>
  <c r="M22" s="1"/>
  <c r="D21"/>
  <c r="E21" s="1"/>
  <c r="L21"/>
  <c r="B23"/>
  <c r="C22"/>
  <c r="F23"/>
  <c r="G22"/>
  <c r="J23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H24"/>
  <c r="X39" i="74"/>
  <c r="X19"/>
  <c r="K23" i="76"/>
  <c r="N23" s="1"/>
  <c r="J24"/>
  <c r="G23"/>
  <c r="F24"/>
  <c r="L22"/>
  <c r="D22"/>
  <c r="E22" s="1"/>
  <c r="C23"/>
  <c r="B24"/>
  <c r="W10" i="74"/>
  <c r="X10" s="1"/>
  <c r="W39"/>
  <c r="W38"/>
  <c r="X38" s="1"/>
  <c r="W37"/>
  <c r="X37" s="1"/>
  <c r="W36"/>
  <c r="X36" s="1"/>
  <c r="W35"/>
  <c r="X35" s="1"/>
  <c r="W34"/>
  <c r="X34" s="1"/>
  <c r="W33"/>
  <c r="X33" s="1"/>
  <c r="W32"/>
  <c r="X32" s="1"/>
  <c r="W31"/>
  <c r="X31" s="1"/>
  <c r="W30"/>
  <c r="X30" s="1"/>
  <c r="W29"/>
  <c r="X29" s="1"/>
  <c r="W28"/>
  <c r="X28" s="1"/>
  <c r="W27"/>
  <c r="X27" s="1"/>
  <c r="W26"/>
  <c r="X26" s="1"/>
  <c r="W25"/>
  <c r="X25" s="1"/>
  <c r="W24"/>
  <c r="X24" s="1"/>
  <c r="W23"/>
  <c r="X23" s="1"/>
  <c r="W22"/>
  <c r="X22" s="1"/>
  <c r="W21"/>
  <c r="X21" s="1"/>
  <c r="W20"/>
  <c r="X20" s="1"/>
  <c r="W19"/>
  <c r="W18"/>
  <c r="X18" s="1"/>
  <c r="W17"/>
  <c r="X17" s="1"/>
  <c r="W16"/>
  <c r="X16" s="1"/>
  <c r="W15"/>
  <c r="X15" s="1"/>
  <c r="W14"/>
  <c r="X14" s="1"/>
  <c r="W13"/>
  <c r="X13" s="1"/>
  <c r="W12"/>
  <c r="X12" s="1"/>
  <c r="W11"/>
  <c r="X11" s="1"/>
  <c r="AK37" i="5"/>
  <c r="A32" i="76"/>
  <c r="H25" l="1"/>
  <c r="I24"/>
  <c r="M24" s="1"/>
  <c r="K24"/>
  <c r="N24" s="1"/>
  <c r="J25"/>
  <c r="D23"/>
  <c r="E23" s="1"/>
  <c r="L23"/>
  <c r="C24"/>
  <c r="B25"/>
  <c r="G24"/>
  <c r="F25"/>
  <c r="G30" i="73"/>
  <c r="D30"/>
  <c r="H26" i="76" l="1"/>
  <c r="I25"/>
  <c r="M25" s="1"/>
  <c r="F26"/>
  <c r="G25"/>
  <c r="B26"/>
  <c r="C25"/>
  <c r="D24"/>
  <c r="E24" s="1"/>
  <c r="L24"/>
  <c r="J26"/>
  <c r="K25"/>
  <c r="N25" s="1"/>
  <c r="F14"/>
  <c r="T16" i="3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10" s="1"/>
  <c r="G11" s="1"/>
  <c r="G12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11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12"/>
  <c r="AG20" s="1"/>
  <c r="AG21" s="1"/>
  <c r="AG22" s="1"/>
  <c r="AG23" s="1"/>
  <c r="AG24" s="1"/>
  <c r="AG25" s="1"/>
  <c r="AG26" s="1"/>
  <c r="AG27" s="1"/>
  <c r="AG28" s="1"/>
  <c r="AG29" s="1"/>
  <c r="AG30" s="1"/>
  <c r="AG31" s="1"/>
  <c r="AT6"/>
  <c r="AT11" s="1"/>
  <c r="AT12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20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20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17" i="2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17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17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17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17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17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17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7" s="1"/>
  <c r="AC10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17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2"/>
  <c r="C19" i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16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8" s="1"/>
  <c r="K11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5"/>
  <c r="M8" s="1"/>
  <c r="M11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6"/>
  <c r="P9" s="1"/>
  <c r="P10" s="1"/>
  <c r="P11" s="1"/>
  <c r="P12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17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9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9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R1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X4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H27" i="76" l="1"/>
  <c r="I26"/>
  <c r="M26" s="1"/>
  <c r="F27"/>
  <c r="G26"/>
  <c r="D25"/>
  <c r="E25" s="1"/>
  <c r="L25"/>
  <c r="J27"/>
  <c r="K26"/>
  <c r="N26" s="1"/>
  <c r="B27"/>
  <c r="C26"/>
  <c r="Z9" i="1"/>
  <c r="Z10" s="1"/>
  <c r="Z11" s="1"/>
  <c r="Z12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I27" i="76" l="1"/>
  <c r="M27" s="1"/>
  <c r="H28"/>
  <c r="K27"/>
  <c r="N27" s="1"/>
  <c r="J28"/>
  <c r="G27"/>
  <c r="F28"/>
  <c r="C27"/>
  <c r="B28"/>
  <c r="D26"/>
  <c r="E26" s="1"/>
  <c r="L26"/>
  <c r="U9" i="5"/>
  <c r="I28" i="76" l="1"/>
  <c r="M28" s="1"/>
  <c r="H29"/>
  <c r="C28"/>
  <c r="B29"/>
  <c r="F29"/>
  <c r="G28"/>
  <c r="K28"/>
  <c r="N28" s="1"/>
  <c r="J29"/>
  <c r="D27"/>
  <c r="E27" s="1"/>
  <c r="L27"/>
  <c r="T20" i="5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U10"/>
  <c r="H30" i="76" l="1"/>
  <c r="I29"/>
  <c r="M29" s="1"/>
  <c r="F30"/>
  <c r="G29"/>
  <c r="J30"/>
  <c r="K29"/>
  <c r="N29" s="1"/>
  <c r="D28"/>
  <c r="E28" s="1"/>
  <c r="L28"/>
  <c r="B30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7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7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I30" i="76" l="1"/>
  <c r="M30" s="1"/>
  <c r="H31"/>
  <c r="B31"/>
  <c r="C30"/>
  <c r="G30"/>
  <c r="F31"/>
  <c r="D29"/>
  <c r="E29" s="1"/>
  <c r="L29"/>
  <c r="J31"/>
  <c r="K30"/>
  <c r="N30" s="1"/>
  <c r="M6" i="79"/>
  <c r="I6" s="1"/>
  <c r="J4" i="3"/>
  <c r="H32" i="76" l="1"/>
  <c r="I31"/>
  <c r="M31" s="1"/>
  <c r="G31"/>
  <c r="F32"/>
  <c r="K31"/>
  <c r="N31" s="1"/>
  <c r="J32"/>
  <c r="C31"/>
  <c r="B32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AA14" s="1"/>
  <c r="N43"/>
  <c r="AA13" s="1"/>
  <c r="J43"/>
  <c r="F43"/>
  <c r="AA12" s="1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AB14" i="74"/>
  <c r="AB13"/>
  <c r="AB12"/>
  <c r="AB11"/>
  <c r="AB10"/>
  <c r="AA11"/>
  <c r="J19" i="3" l="1"/>
  <c r="M21" i="79"/>
  <c r="O20"/>
  <c r="K19" i="5"/>
  <c r="I19" i="79"/>
  <c r="W18" i="76"/>
  <c r="M22" i="79" l="1"/>
  <c r="O21"/>
  <c r="J20" i="3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AA10" s="1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C10" i="5" l="1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T19" s="1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T20" s="1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T21" s="1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T22" s="1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T23" s="1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T24" s="1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T25" s="1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T26" s="1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T27" s="1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T28" s="1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T29" s="1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T30" s="1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T31" s="1"/>
  <c r="I23" i="3"/>
  <c r="H24"/>
  <c r="I24" s="1"/>
  <c r="H32"/>
  <c r="I31"/>
  <c r="BC22" i="7"/>
  <c r="AS22"/>
  <c r="AX22" s="1"/>
  <c r="Q21" i="76" s="1"/>
  <c r="AN27" i="7"/>
  <c r="AR23"/>
  <c r="BC23" s="1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T32" s="1"/>
  <c r="AQ23" i="7"/>
  <c r="AS23"/>
  <c r="AX23" s="1"/>
  <c r="I32" i="3"/>
  <c r="X24" i="7"/>
  <c r="AR24"/>
  <c r="BC24" s="1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AN29" s="1"/>
  <c r="Y25"/>
  <c r="AR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O31" l="1"/>
  <c r="S33" i="76"/>
  <c r="T33" s="1"/>
  <c r="AY23" i="7"/>
  <c r="Q22" i="76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Q24"/>
  <c r="AS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AR26"/>
  <c r="BC26" s="1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S26" i="7"/>
  <c r="AQ26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Q27" i="76" s="1"/>
  <c r="U30" i="7"/>
  <c r="V30"/>
  <c r="W30" s="1"/>
  <c r="Y29"/>
  <c r="AR29" s="1"/>
  <c r="AQ27"/>
  <c r="BC28"/>
  <c r="AS27"/>
  <c r="AX27" s="1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S29"/>
  <c r="AX29" s="1"/>
  <c r="Q28" i="76" s="1"/>
  <c r="AQ29" i="7"/>
  <c r="BC29"/>
  <c r="V32"/>
  <c r="W32" s="1"/>
  <c r="U32"/>
  <c r="AS30" l="1"/>
  <c r="AX30" s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S39" i="7" l="1"/>
  <c r="AY35"/>
  <c r="AY36" l="1"/>
  <c r="AX36"/>
  <c r="Z42" i="76" s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O23"/>
  <c r="P23" s="1"/>
  <c r="R23" s="1"/>
  <c r="O27"/>
  <c r="P27" s="1"/>
  <c r="R27" s="1"/>
  <c r="O31"/>
  <c r="P31" s="1"/>
  <c r="R31" s="1"/>
  <c r="O21"/>
  <c r="P21" s="1"/>
  <c r="R21" s="1"/>
  <c r="O29"/>
  <c r="P29" s="1"/>
  <c r="R29" s="1"/>
  <c r="O30"/>
  <c r="P30" s="1"/>
  <c r="R30" s="1"/>
  <c r="O20"/>
  <c r="P20" s="1"/>
  <c r="R20" s="1"/>
  <c r="O24"/>
  <c r="P24" s="1"/>
  <c r="R24" s="1"/>
  <c r="O28"/>
  <c r="P28" s="1"/>
  <c r="R28" s="1"/>
  <c r="O32"/>
  <c r="P32" s="1"/>
  <c r="R32" s="1"/>
  <c r="O25"/>
  <c r="P25" s="1"/>
  <c r="R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R22" s="1"/>
  <c r="O26"/>
  <c r="P26" s="1"/>
  <c r="R26" s="1"/>
  <c r="O12"/>
  <c r="P12" s="1"/>
  <c r="R12" s="1"/>
  <c r="T12" s="1"/>
  <c r="F10" i="81" s="1"/>
  <c r="F26"/>
  <c r="O10" i="76"/>
  <c r="P10" s="1"/>
  <c r="R10" s="1"/>
  <c r="T10" s="1"/>
  <c r="F8" i="81" s="1"/>
  <c r="F16"/>
  <c r="F22"/>
  <c r="O14" i="76"/>
  <c r="AB36"/>
  <c r="AB37" s="1"/>
  <c r="O4"/>
  <c r="P4" s="1"/>
  <c r="R4" s="1"/>
  <c r="T4" s="1"/>
  <c r="F2" i="81" s="1"/>
  <c r="F19"/>
  <c r="F20"/>
  <c r="F29"/>
  <c r="O5" i="76"/>
  <c r="P5" s="1"/>
  <c r="R5" s="1"/>
  <c r="T5" s="1"/>
  <c r="F3" i="81" s="1"/>
  <c r="O11" i="76"/>
  <c r="P11" s="1"/>
  <c r="R11" s="1"/>
  <c r="T11" s="1"/>
  <c r="F9" i="81" s="1"/>
  <c r="F24"/>
  <c r="O16" i="76"/>
  <c r="P16" s="1"/>
  <c r="R16" s="1"/>
  <c r="T16" s="1"/>
  <c r="F13" i="81" s="1"/>
  <c r="O9" i="76"/>
  <c r="P9" s="1"/>
  <c r="R9" s="1"/>
  <c r="T9" s="1"/>
  <c r="F7" i="81" s="1"/>
  <c r="F31"/>
  <c r="F17"/>
  <c r="F25"/>
  <c r="O8" i="76"/>
  <c r="P8" s="1"/>
  <c r="R8" s="1"/>
  <c r="T8" s="1"/>
  <c r="F6" i="81" s="1"/>
  <c r="F23"/>
  <c r="O6" i="76"/>
  <c r="P6" s="1"/>
  <c r="R6" s="1"/>
  <c r="T6" s="1"/>
  <c r="F4" i="81" s="1"/>
  <c r="F27"/>
  <c r="F28"/>
  <c r="O13" i="76"/>
  <c r="P13" s="1"/>
  <c r="R13" s="1"/>
  <c r="T13" s="1"/>
  <c r="F11" i="81" s="1"/>
  <c r="F30"/>
  <c r="O7" i="76"/>
  <c r="P7" s="1"/>
  <c r="R7" s="1"/>
  <c r="T7" s="1"/>
  <c r="F5" i="81" s="1"/>
  <c r="F21"/>
  <c r="F18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Z43" s="1"/>
  <c r="Z45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<sst xmlns="http://schemas.openxmlformats.org/spreadsheetml/2006/main" count="673" uniqueCount="417">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</sst>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4378880"/>
        <c:axId val="142611200"/>
      </c:lineChart>
      <c:catAx>
        <c:axId val="1443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11200"/>
        <c:crosses val="autoZero"/>
        <c:auto val="1"/>
        <c:lblAlgn val="ctr"/>
        <c:lblOffset val="100"/>
      </c:catAx>
      <c:valAx>
        <c:axId val="142611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7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912"/>
          <c:w val="0.11899800868449698"/>
          <c:h val="4.498269896194337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2631680"/>
        <c:axId val="142633216"/>
      </c:lineChart>
      <c:catAx>
        <c:axId val="14263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33216"/>
        <c:crosses val="autoZero"/>
        <c:auto val="1"/>
        <c:lblAlgn val="ctr"/>
        <c:lblOffset val="100"/>
      </c:catAx>
      <c:valAx>
        <c:axId val="14263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3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87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649216"/>
        <c:axId val="142650752"/>
      </c:lineChart>
      <c:catAx>
        <c:axId val="14264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50752"/>
        <c:crosses val="autoZero"/>
        <c:auto val="1"/>
        <c:lblAlgn val="ctr"/>
        <c:lblOffset val="100"/>
      </c:catAx>
      <c:valAx>
        <c:axId val="1426507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4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15"/>
          <c:y val="0.62975887529633912"/>
          <c:w val="7.9124755870162669E-2"/>
          <c:h val="4.498269896194337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962368"/>
        <c:axId val="91980544"/>
      </c:lineChart>
      <c:catAx>
        <c:axId val="9196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80544"/>
        <c:crosses val="autoZero"/>
        <c:auto val="1"/>
        <c:lblAlgn val="ctr"/>
        <c:lblOffset val="100"/>
      </c:catAx>
      <c:valAx>
        <c:axId val="91980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6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878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012928"/>
        <c:axId val="92014464"/>
      </c:lineChart>
      <c:catAx>
        <c:axId val="9201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14464"/>
        <c:crosses val="autoZero"/>
        <c:auto val="1"/>
        <c:lblAlgn val="ctr"/>
        <c:lblOffset val="100"/>
      </c:catAx>
      <c:valAx>
        <c:axId val="92014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05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084096"/>
        <c:axId val="92085632"/>
      </c:lineChart>
      <c:catAx>
        <c:axId val="9208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5632"/>
        <c:crosses val="autoZero"/>
        <c:auto val="1"/>
        <c:lblAlgn val="ctr"/>
        <c:lblOffset val="100"/>
      </c:catAx>
      <c:valAx>
        <c:axId val="92085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118016"/>
        <c:axId val="92128000"/>
      </c:lineChart>
      <c:catAx>
        <c:axId val="9211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8000"/>
        <c:crosses val="autoZero"/>
        <c:auto val="1"/>
        <c:lblAlgn val="ctr"/>
        <c:lblOffset val="100"/>
      </c:catAx>
      <c:valAx>
        <c:axId val="9212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18048"/>
        <c:axId val="92419584"/>
      </c:lineChart>
      <c:catAx>
        <c:axId val="924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19584"/>
        <c:crosses val="autoZero"/>
        <c:auto val="1"/>
        <c:lblAlgn val="ctr"/>
        <c:lblOffset val="100"/>
      </c:catAx>
      <c:valAx>
        <c:axId val="9241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456064"/>
        <c:axId val="92457600"/>
      </c:lineChart>
      <c:catAx>
        <c:axId val="924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7600"/>
        <c:crosses val="autoZero"/>
        <c:auto val="1"/>
        <c:lblAlgn val="ctr"/>
        <c:lblOffset val="100"/>
      </c:catAx>
      <c:valAx>
        <c:axId val="92457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455"/>
          <c:w val="0.1272403315177168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358912"/>
        <c:axId val="92360704"/>
      </c:lineChart>
      <c:catAx>
        <c:axId val="9235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0704"/>
        <c:crosses val="autoZero"/>
        <c:auto val="1"/>
        <c:lblAlgn val="ctr"/>
        <c:lblOffset val="100"/>
      </c:catAx>
      <c:valAx>
        <c:axId val="9236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614016"/>
        <c:axId val="92628096"/>
      </c:lineChart>
      <c:catAx>
        <c:axId val="926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8096"/>
        <c:crosses val="autoZero"/>
        <c:auto val="1"/>
        <c:lblAlgn val="ctr"/>
        <c:lblOffset val="100"/>
      </c:catAx>
      <c:valAx>
        <c:axId val="9262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455"/>
          <c:w val="0.135416885389341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660480"/>
        <c:axId val="92662016"/>
      </c:lineChart>
      <c:catAx>
        <c:axId val="9266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2016"/>
        <c:crosses val="autoZero"/>
        <c:auto val="1"/>
        <c:lblAlgn val="ctr"/>
        <c:lblOffset val="100"/>
      </c:catAx>
      <c:valAx>
        <c:axId val="92662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45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694784"/>
        <c:axId val="92708864"/>
      </c:lineChart>
      <c:catAx>
        <c:axId val="9269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08864"/>
        <c:crosses val="autoZero"/>
        <c:auto val="1"/>
        <c:lblAlgn val="ctr"/>
        <c:lblOffset val="100"/>
      </c:catAx>
      <c:valAx>
        <c:axId val="92708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9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912"/>
          <c:w val="0.12291688538932598"/>
          <c:h val="4.49826989619433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2732800"/>
        <c:axId val="92738688"/>
      </c:lineChart>
      <c:catAx>
        <c:axId val="9273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8688"/>
        <c:crosses val="autoZero"/>
        <c:auto val="1"/>
        <c:lblAlgn val="ctr"/>
        <c:lblOffset val="100"/>
      </c:catAx>
      <c:valAx>
        <c:axId val="9273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455"/>
          <c:w val="0.135416885389341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775168"/>
        <c:axId val="92776704"/>
      </c:lineChart>
      <c:catAx>
        <c:axId val="9277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76704"/>
        <c:crosses val="autoZero"/>
        <c:auto val="1"/>
        <c:lblAlgn val="ctr"/>
        <c:lblOffset val="100"/>
      </c:catAx>
      <c:valAx>
        <c:axId val="92776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7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931"/>
          <c:y val="0.54325368498487869"/>
          <c:w val="0.11458355205599259"/>
          <c:h val="4.4982698961942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809088"/>
        <c:axId val="92810624"/>
      </c:lineChart>
      <c:catAx>
        <c:axId val="928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10624"/>
        <c:crosses val="autoZero"/>
        <c:auto val="1"/>
        <c:lblAlgn val="ctr"/>
        <c:lblOffset val="100"/>
      </c:catAx>
      <c:valAx>
        <c:axId val="9281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31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818816"/>
        <c:axId val="92849280"/>
      </c:lineChart>
      <c:catAx>
        <c:axId val="9281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49280"/>
        <c:crosses val="autoZero"/>
        <c:auto val="1"/>
        <c:lblAlgn val="ctr"/>
        <c:lblOffset val="100"/>
      </c:catAx>
      <c:valAx>
        <c:axId val="9284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1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947"/>
          <c:y val="0.62975887529633912"/>
          <c:w val="0.13541688538934224"/>
          <c:h val="4.49826989619433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865280"/>
        <c:axId val="92866816"/>
      </c:lineChart>
      <c:catAx>
        <c:axId val="9286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66816"/>
        <c:crosses val="autoZero"/>
        <c:auto val="1"/>
        <c:lblAlgn val="ctr"/>
        <c:lblOffset val="100"/>
      </c:catAx>
      <c:valAx>
        <c:axId val="928668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6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912"/>
          <c:w val="9.730870597697025E-2"/>
          <c:h val="4.49826989619433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65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919680"/>
        <c:axId val="92921216"/>
      </c:lineChart>
      <c:catAx>
        <c:axId val="9291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21216"/>
        <c:crosses val="autoZero"/>
        <c:auto val="1"/>
        <c:lblAlgn val="ctr"/>
        <c:lblOffset val="100"/>
      </c:catAx>
      <c:valAx>
        <c:axId val="92921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3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937216"/>
        <c:axId val="92947200"/>
      </c:lineChart>
      <c:catAx>
        <c:axId val="929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47200"/>
        <c:crosses val="autoZero"/>
        <c:auto val="1"/>
        <c:lblAlgn val="ctr"/>
        <c:lblOffset val="100"/>
      </c:catAx>
      <c:valAx>
        <c:axId val="9294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3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668"/>
          <c:y val="0.62975887529633912"/>
          <c:w val="0.13250539334757044"/>
          <c:h val="4.49826989619433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987776"/>
        <c:axId val="92989312"/>
      </c:lineChart>
      <c:catAx>
        <c:axId val="9298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9312"/>
        <c:crosses val="autoZero"/>
        <c:auto val="1"/>
        <c:lblAlgn val="ctr"/>
        <c:lblOffset val="100"/>
      </c:catAx>
      <c:valAx>
        <c:axId val="9298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45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087232"/>
        <c:axId val="93088768"/>
      </c:lineChart>
      <c:catAx>
        <c:axId val="9308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8768"/>
        <c:crosses val="autoZero"/>
        <c:auto val="1"/>
        <c:lblAlgn val="ctr"/>
        <c:lblOffset val="100"/>
      </c:catAx>
      <c:valAx>
        <c:axId val="93088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8782"/>
          <c:w val="0.1234311819809226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-311.10000000000008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65.800000000000011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93130112"/>
        <c:axId val="93140096"/>
      </c:lineChart>
      <c:catAx>
        <c:axId val="931301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0096"/>
        <c:crosses val="autoZero"/>
        <c:auto val="1"/>
        <c:lblAlgn val="ctr"/>
        <c:lblOffset val="100"/>
      </c:catAx>
      <c:valAx>
        <c:axId val="931400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755"/>
          <c:y val="0.45486256926220886"/>
          <c:w val="0.156903985328207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159808"/>
        <c:axId val="93161344"/>
      </c:lineChart>
      <c:catAx>
        <c:axId val="931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1344"/>
        <c:crosses val="autoZero"/>
        <c:auto val="1"/>
        <c:lblAlgn val="ctr"/>
        <c:lblOffset val="100"/>
      </c:catAx>
      <c:valAx>
        <c:axId val="93161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912"/>
          <c:w val="0.14853578449138877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235072"/>
        <c:axId val="93236608"/>
      </c:lineChart>
      <c:catAx>
        <c:axId val="9323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6608"/>
        <c:crosses val="autoZero"/>
        <c:auto val="1"/>
        <c:lblAlgn val="ctr"/>
        <c:lblOffset val="100"/>
      </c:catAx>
      <c:valAx>
        <c:axId val="9323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401"/>
          <c:y val="0.62975887529633912"/>
          <c:w val="0.12164948453608219"/>
          <c:h val="4.4982698961943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17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262976"/>
        <c:axId val="91264512"/>
      </c:lineChart>
      <c:catAx>
        <c:axId val="9126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64512"/>
        <c:crosses val="autoZero"/>
        <c:auto val="1"/>
        <c:lblAlgn val="ctr"/>
        <c:lblOffset val="100"/>
      </c:catAx>
      <c:valAx>
        <c:axId val="91264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6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3717632"/>
        <c:axId val="93719168"/>
      </c:lineChart>
      <c:catAx>
        <c:axId val="9371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19168"/>
        <c:crosses val="autoZero"/>
        <c:auto val="1"/>
        <c:lblAlgn val="ctr"/>
        <c:lblOffset val="100"/>
      </c:catAx>
      <c:valAx>
        <c:axId val="9371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1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7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-311.10000000000008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65.800000000000011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94186880"/>
        <c:axId val="94188672"/>
      </c:lineChart>
      <c:catAx>
        <c:axId val="941868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8672"/>
        <c:crosses val="autoZero"/>
        <c:auto val="1"/>
        <c:lblAlgn val="ctr"/>
        <c:lblOffset val="100"/>
      </c:catAx>
      <c:valAx>
        <c:axId val="941886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88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B12">
            <v>0</v>
          </cell>
        </row>
        <row r="13">
          <cell r="AB13">
            <v>33.199999999999989</v>
          </cell>
        </row>
        <row r="14">
          <cell r="AB14">
            <v>151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5.5380166654543025E-2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5.0725021993130212E-2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6.3200640781205616E-2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2.4326799012926049E-2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5.7625889642961795E-2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5.3331620182148494E-2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5.8093135409244975E-2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5.2591886904211495E-2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5.6820957658008903E-2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5.4342086127461976E-2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7.1362464358356609E-2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5.43833307671528E-2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4.9853726371690305E-2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6.7199355055005128E-2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0</v>
      </c>
      <c r="F16" s="340">
        <f>SUM('EDl log'!T19)</f>
        <v>0</v>
      </c>
      <c r="G16" s="207">
        <f>-tanks!AW20</f>
        <v>0</v>
      </c>
      <c r="H16" s="340">
        <f>SUM(tanks!AV20)</f>
        <v>0.34</v>
      </c>
      <c r="I16" s="10">
        <f>('B5'!AU19)*0.51</f>
        <v>0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0</v>
      </c>
      <c r="F17" s="340">
        <f>SUM('EDl log'!T20)</f>
        <v>0</v>
      </c>
      <c r="G17" s="207">
        <f>-tanks!AW21</f>
        <v>0</v>
      </c>
      <c r="H17" s="340">
        <f>SUM(tanks!AV21)</f>
        <v>0.34</v>
      </c>
      <c r="I17" s="10">
        <f>('B5'!AU20)*0.51</f>
        <v>0</v>
      </c>
      <c r="J17" s="319">
        <f>'B5'!AX20/0.51</f>
        <v>1.3725490196078429</v>
      </c>
      <c r="K17" s="207">
        <f>WATER!I21</f>
        <v>0</v>
      </c>
      <c r="L17" s="341">
        <f>SUM(WATER!J21)</f>
        <v>0</v>
      </c>
      <c r="M17" s="341">
        <f>WATER!Q21</f>
        <v>0</v>
      </c>
      <c r="N17" s="517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0</v>
      </c>
      <c r="F18" s="340">
        <f>SUM('EDl log'!T21)</f>
        <v>0</v>
      </c>
      <c r="G18" s="207">
        <f>-tanks!AW22</f>
        <v>0</v>
      </c>
      <c r="H18" s="340">
        <f>SUM(tanks!AV22)</f>
        <v>0.34</v>
      </c>
      <c r="I18" s="10">
        <f>('B5'!AU21)*0.51</f>
        <v>0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0</v>
      </c>
      <c r="F19" s="340">
        <f>SUM('EDl log'!T22)</f>
        <v>0</v>
      </c>
      <c r="G19" s="207">
        <f>-tanks!AW23</f>
        <v>0</v>
      </c>
      <c r="H19" s="340">
        <f>SUM(tanks!AV23)</f>
        <v>0.34</v>
      </c>
      <c r="I19" s="10">
        <f>('B5'!AU22)*0.51</f>
        <v>0</v>
      </c>
      <c r="J19" s="319">
        <f>'B5'!AX22/0.51</f>
        <v>1.3725490196078429</v>
      </c>
      <c r="K19" s="207">
        <f>WATER!I23</f>
        <v>0</v>
      </c>
      <c r="L19" s="341">
        <f>SUM(WATER!J23)</f>
        <v>0</v>
      </c>
      <c r="M19" s="341">
        <f>WATER!Q23</f>
        <v>0</v>
      </c>
      <c r="N19" s="517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0</v>
      </c>
      <c r="F20" s="340">
        <f>SUM('EDl log'!T23)</f>
        <v>0</v>
      </c>
      <c r="G20" s="207">
        <f>-tanks!AW24</f>
        <v>0</v>
      </c>
      <c r="H20" s="340">
        <f>SUM(tanks!AV24)</f>
        <v>0.34</v>
      </c>
      <c r="I20" s="10">
        <f>('B5'!AU23)*0.51</f>
        <v>0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0</v>
      </c>
      <c r="F21" s="340">
        <f>SUM('EDl log'!T24)</f>
        <v>0</v>
      </c>
      <c r="G21" s="207">
        <f>-tanks!AW25</f>
        <v>0</v>
      </c>
      <c r="H21" s="340">
        <f>SUM(tanks!AV25)</f>
        <v>0.34</v>
      </c>
      <c r="I21" s="10">
        <f>('B5'!AU24)*0.51</f>
        <v>0</v>
      </c>
      <c r="J21" s="319">
        <f>'B5'!AX24/0.51</f>
        <v>1.3725490196078429</v>
      </c>
      <c r="K21" s="207">
        <f>WATER!I25</f>
        <v>0</v>
      </c>
      <c r="L21" s="341">
        <f>SUM(WATER!J25)</f>
        <v>0</v>
      </c>
      <c r="M21" s="341">
        <f>WATER!Q25</f>
        <v>0</v>
      </c>
      <c r="N21" s="517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0</v>
      </c>
      <c r="F22" s="340">
        <f>SUM('EDl log'!T25)</f>
        <v>0</v>
      </c>
      <c r="G22" s="207">
        <f>-tanks!AW26</f>
        <v>0</v>
      </c>
      <c r="H22" s="340">
        <f>SUM(tanks!AV26)</f>
        <v>0.34</v>
      </c>
      <c r="I22" s="10">
        <f>('B5'!AU25)*0.51</f>
        <v>0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0</v>
      </c>
      <c r="F23" s="340">
        <f>SUM('EDl log'!T26)</f>
        <v>0</v>
      </c>
      <c r="G23" s="207">
        <f>-tanks!AW27</f>
        <v>0</v>
      </c>
      <c r="H23" s="340">
        <f>SUM(tanks!AV27)</f>
        <v>0.34</v>
      </c>
      <c r="I23" s="10">
        <f>('B5'!AU26)*0.51</f>
        <v>0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0</v>
      </c>
      <c r="F24" s="340">
        <f>SUM('EDl log'!T27)</f>
        <v>0</v>
      </c>
      <c r="G24" s="207">
        <f>-tanks!AW28</f>
        <v>0</v>
      </c>
      <c r="H24" s="340">
        <f>SUM(tanks!AV28)</f>
        <v>0.34</v>
      </c>
      <c r="I24" s="10">
        <f>('B5'!AU27)*0.51</f>
        <v>0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log'!T28)</f>
        <v>0</v>
      </c>
      <c r="G25" s="207">
        <f>-tanks!AW29</f>
        <v>0</v>
      </c>
      <c r="H25" s="340">
        <f>SUM(tanks!AV29)</f>
        <v>0.34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log'!T29)</f>
        <v>0</v>
      </c>
      <c r="G26" s="207">
        <f>-tanks!AW30</f>
        <v>0</v>
      </c>
      <c r="H26" s="340">
        <f>SUM(tanks!AV30)</f>
        <v>0.34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log'!T30)</f>
        <v>0</v>
      </c>
      <c r="G27" s="207">
        <f>-tanks!AW31</f>
        <v>0</v>
      </c>
      <c r="H27" s="340">
        <f>SUM(tanks!AV31)</f>
        <v>0.34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log'!T31)</f>
        <v>0</v>
      </c>
      <c r="G28" s="207">
        <f>-tanks!AW32</f>
        <v>0</v>
      </c>
      <c r="H28" s="340">
        <f>SUM(tanks!AV32)</f>
        <v>0.34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log'!T32)</f>
        <v>0</v>
      </c>
      <c r="G29" s="207">
        <f>-tanks!AW33</f>
        <v>0</v>
      </c>
      <c r="H29" s="340">
        <f>SUM(tanks!AV33)</f>
        <v>0.34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0.34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0.34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T11" sqref="T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J20" sqref="J20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6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6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6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6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6">
        <v>625865</v>
      </c>
      <c r="Z3" s="476">
        <f>Y3-Y2</f>
        <v>0</v>
      </c>
      <c r="AA3" s="461">
        <v>35119</v>
      </c>
      <c r="AB3" s="476">
        <f>AA3-AA2</f>
        <v>0</v>
      </c>
      <c r="AC3" s="586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6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6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6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6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6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6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6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6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6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0</v>
      </c>
      <c r="B17" s="467">
        <f t="shared" si="6"/>
        <v>0</v>
      </c>
      <c r="C17" s="474">
        <v>43997</v>
      </c>
      <c r="D17" s="461">
        <f t="shared" ref="D17:L32" si="24">D16</f>
        <v>31791758</v>
      </c>
      <c r="E17" s="321">
        <f t="shared" si="10"/>
        <v>0</v>
      </c>
      <c r="F17" s="461">
        <f t="shared" si="24"/>
        <v>3715135</v>
      </c>
      <c r="G17" s="322">
        <f t="shared" si="0"/>
        <v>0</v>
      </c>
      <c r="H17" s="461">
        <f t="shared" si="24"/>
        <v>17494450</v>
      </c>
      <c r="I17" s="322">
        <f t="shared" si="11"/>
        <v>0</v>
      </c>
      <c r="J17" s="461">
        <f t="shared" si="24"/>
        <v>28483540</v>
      </c>
      <c r="K17" s="322">
        <f t="shared" si="12"/>
        <v>0</v>
      </c>
      <c r="L17" s="461">
        <f t="shared" si="24"/>
        <v>23138886</v>
      </c>
      <c r="M17" s="322">
        <f t="shared" si="13"/>
        <v>0</v>
      </c>
      <c r="N17" s="320">
        <f t="shared" si="14"/>
        <v>0</v>
      </c>
      <c r="O17" s="483">
        <f t="shared" si="21"/>
        <v>0</v>
      </c>
      <c r="P17" s="461">
        <f t="shared" ref="P17:P32" si="25">P16</f>
        <v>15591</v>
      </c>
      <c r="Q17" s="465">
        <f t="shared" si="23"/>
        <v>0</v>
      </c>
      <c r="R17" s="465">
        <f t="shared" si="18"/>
        <v>0</v>
      </c>
      <c r="S17" s="461">
        <f t="shared" si="7"/>
        <v>8710</v>
      </c>
      <c r="T17" s="485">
        <f t="shared" si="3"/>
        <v>0</v>
      </c>
      <c r="U17" s="461">
        <f t="shared" si="7"/>
        <v>99409</v>
      </c>
      <c r="V17" s="465">
        <f t="shared" si="15"/>
        <v>0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f t="shared" si="7"/>
        <v>35155</v>
      </c>
      <c r="AB17" s="465">
        <f t="shared" si="16"/>
        <v>0</v>
      </c>
      <c r="AC17" s="461">
        <f t="shared" si="7"/>
        <v>798430</v>
      </c>
      <c r="AD17" s="465">
        <f t="shared" ref="AD17:AD32" si="26">AC17-AC16</f>
        <v>0</v>
      </c>
      <c r="AE17" s="488">
        <f t="shared" si="8"/>
        <v>0</v>
      </c>
      <c r="AF17" s="489">
        <f t="shared" si="9"/>
        <v>0</v>
      </c>
      <c r="AG17" s="481">
        <f t="shared" si="22"/>
        <v>0</v>
      </c>
      <c r="AI17" s="482">
        <f>R17-'EDl log'!B16</f>
        <v>-7734</v>
      </c>
    </row>
    <row r="18" spans="1:35">
      <c r="A18" s="473">
        <f>'General information '!F21</f>
        <v>0</v>
      </c>
      <c r="B18" s="467">
        <f t="shared" si="6"/>
        <v>0</v>
      </c>
      <c r="C18" s="474">
        <v>43998</v>
      </c>
      <c r="D18" s="461">
        <f t="shared" si="24"/>
        <v>31791758</v>
      </c>
      <c r="E18" s="321">
        <f t="shared" si="10"/>
        <v>0</v>
      </c>
      <c r="F18" s="461">
        <f t="shared" si="24"/>
        <v>3715135</v>
      </c>
      <c r="G18" s="322">
        <f t="shared" si="0"/>
        <v>0</v>
      </c>
      <c r="H18" s="461">
        <f t="shared" si="24"/>
        <v>17494450</v>
      </c>
      <c r="I18" s="322">
        <f t="shared" si="11"/>
        <v>0</v>
      </c>
      <c r="J18" s="461">
        <f t="shared" si="24"/>
        <v>28483540</v>
      </c>
      <c r="K18" s="322">
        <f t="shared" si="12"/>
        <v>0</v>
      </c>
      <c r="L18" s="461">
        <f t="shared" si="24"/>
        <v>23138886</v>
      </c>
      <c r="M18" s="322">
        <f t="shared" si="13"/>
        <v>0</v>
      </c>
      <c r="N18" s="320">
        <f t="shared" si="14"/>
        <v>0</v>
      </c>
      <c r="O18" s="483">
        <f t="shared" si="21"/>
        <v>0</v>
      </c>
      <c r="P18" s="461">
        <f t="shared" si="25"/>
        <v>15591</v>
      </c>
      <c r="Q18" s="465">
        <f t="shared" si="23"/>
        <v>0</v>
      </c>
      <c r="R18" s="465">
        <f t="shared" si="18"/>
        <v>0</v>
      </c>
      <c r="S18" s="461">
        <f t="shared" si="7"/>
        <v>8710</v>
      </c>
      <c r="T18" s="485">
        <f t="shared" si="3"/>
        <v>0</v>
      </c>
      <c r="U18" s="461">
        <f t="shared" si="7"/>
        <v>99409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35155</v>
      </c>
      <c r="AB18" s="465">
        <f t="shared" si="16"/>
        <v>0</v>
      </c>
      <c r="AC18" s="461">
        <f t="shared" si="7"/>
        <v>798430</v>
      </c>
      <c r="AD18" s="465">
        <f t="shared" si="26"/>
        <v>0</v>
      </c>
      <c r="AE18" s="488">
        <f t="shared" si="8"/>
        <v>0</v>
      </c>
      <c r="AF18" s="489">
        <f t="shared" si="9"/>
        <v>0</v>
      </c>
      <c r="AG18" s="481">
        <f t="shared" si="22"/>
        <v>0</v>
      </c>
      <c r="AI18" s="482">
        <f>R18-'EDl log'!B17</f>
        <v>-12114</v>
      </c>
    </row>
    <row r="19" spans="1:35">
      <c r="A19" s="473">
        <f>'General information '!F22</f>
        <v>0</v>
      </c>
      <c r="B19" s="467">
        <f t="shared" si="6"/>
        <v>0</v>
      </c>
      <c r="C19" s="474">
        <v>43999</v>
      </c>
      <c r="D19" s="461">
        <f t="shared" si="24"/>
        <v>31791758</v>
      </c>
      <c r="E19" s="321">
        <f t="shared" si="10"/>
        <v>0</v>
      </c>
      <c r="F19" s="461">
        <f t="shared" si="24"/>
        <v>3715135</v>
      </c>
      <c r="G19" s="322">
        <f t="shared" si="0"/>
        <v>0</v>
      </c>
      <c r="H19" s="461">
        <f t="shared" si="24"/>
        <v>17494450</v>
      </c>
      <c r="I19" s="322">
        <f t="shared" si="11"/>
        <v>0</v>
      </c>
      <c r="J19" s="461">
        <f t="shared" si="24"/>
        <v>28483540</v>
      </c>
      <c r="K19" s="322">
        <f t="shared" si="12"/>
        <v>0</v>
      </c>
      <c r="L19" s="461">
        <f t="shared" si="24"/>
        <v>23138886</v>
      </c>
      <c r="M19" s="322">
        <f t="shared" si="13"/>
        <v>0</v>
      </c>
      <c r="N19" s="320">
        <f t="shared" si="14"/>
        <v>0</v>
      </c>
      <c r="O19" s="483">
        <f t="shared" si="21"/>
        <v>0</v>
      </c>
      <c r="P19" s="461">
        <f t="shared" si="25"/>
        <v>15591</v>
      </c>
      <c r="Q19" s="465">
        <f>(P19-P18)*1000</f>
        <v>0</v>
      </c>
      <c r="R19" s="465">
        <f t="shared" si="18"/>
        <v>0</v>
      </c>
      <c r="S19" s="461">
        <f t="shared" si="7"/>
        <v>8710</v>
      </c>
      <c r="T19" s="485">
        <f t="shared" si="3"/>
        <v>0</v>
      </c>
      <c r="U19" s="461">
        <f t="shared" si="7"/>
        <v>99409</v>
      </c>
      <c r="V19" s="465">
        <f t="shared" si="15"/>
        <v>0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f t="shared" si="7"/>
        <v>35155</v>
      </c>
      <c r="AB19" s="465">
        <f t="shared" si="16"/>
        <v>0</v>
      </c>
      <c r="AC19" s="461">
        <f t="shared" si="7"/>
        <v>798430</v>
      </c>
      <c r="AD19" s="465">
        <f t="shared" si="26"/>
        <v>0</v>
      </c>
      <c r="AE19" s="488">
        <f t="shared" si="8"/>
        <v>0</v>
      </c>
      <c r="AF19" s="489">
        <f t="shared" si="9"/>
        <v>0</v>
      </c>
      <c r="AG19" s="481">
        <f t="shared" si="22"/>
        <v>0</v>
      </c>
      <c r="AI19" s="482">
        <f>R19-'EDl log'!B18</f>
        <v>-18112</v>
      </c>
    </row>
    <row r="20" spans="1:35">
      <c r="A20" s="473">
        <f>'General information '!F23</f>
        <v>0</v>
      </c>
      <c r="B20" s="467">
        <f t="shared" si="6"/>
        <v>0</v>
      </c>
      <c r="C20" s="474">
        <v>44000</v>
      </c>
      <c r="D20" s="461">
        <f t="shared" si="24"/>
        <v>31791758</v>
      </c>
      <c r="E20" s="321">
        <f t="shared" si="10"/>
        <v>0</v>
      </c>
      <c r="F20" s="461">
        <f t="shared" si="24"/>
        <v>3715135</v>
      </c>
      <c r="G20" s="322">
        <f t="shared" si="0"/>
        <v>0</v>
      </c>
      <c r="H20" s="461">
        <f t="shared" si="24"/>
        <v>17494450</v>
      </c>
      <c r="I20" s="322">
        <f t="shared" si="11"/>
        <v>0</v>
      </c>
      <c r="J20" s="461">
        <f t="shared" si="24"/>
        <v>28483540</v>
      </c>
      <c r="K20" s="322">
        <f t="shared" si="12"/>
        <v>0</v>
      </c>
      <c r="L20" s="461">
        <f t="shared" si="24"/>
        <v>23138886</v>
      </c>
      <c r="M20" s="322">
        <f t="shared" si="13"/>
        <v>0</v>
      </c>
      <c r="N20" s="320">
        <f t="shared" si="14"/>
        <v>0</v>
      </c>
      <c r="O20" s="483">
        <f t="shared" si="21"/>
        <v>0</v>
      </c>
      <c r="P20" s="461">
        <f t="shared" si="25"/>
        <v>15591</v>
      </c>
      <c r="Q20" s="465">
        <f t="shared" si="23"/>
        <v>0</v>
      </c>
      <c r="R20" s="465">
        <f t="shared" si="18"/>
        <v>0</v>
      </c>
      <c r="S20" s="461">
        <f t="shared" si="7"/>
        <v>8710</v>
      </c>
      <c r="T20" s="485">
        <f t="shared" si="3"/>
        <v>0</v>
      </c>
      <c r="U20" s="461">
        <f t="shared" si="7"/>
        <v>99409</v>
      </c>
      <c r="V20" s="465">
        <f t="shared" si="15"/>
        <v>0</v>
      </c>
      <c r="W20" s="461">
        <f t="shared" si="7"/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f t="shared" si="7"/>
        <v>35155</v>
      </c>
      <c r="AB20" s="465">
        <f t="shared" si="16"/>
        <v>0</v>
      </c>
      <c r="AC20" s="461">
        <f t="shared" si="7"/>
        <v>798430</v>
      </c>
      <c r="AD20" s="465">
        <f t="shared" si="26"/>
        <v>0</v>
      </c>
      <c r="AE20" s="488">
        <f t="shared" si="8"/>
        <v>0</v>
      </c>
      <c r="AF20" s="489">
        <f t="shared" si="9"/>
        <v>0</v>
      </c>
      <c r="AG20" s="481">
        <f t="shared" si="22"/>
        <v>0</v>
      </c>
      <c r="AI20" s="482">
        <f>R20-'EDl log'!B19</f>
        <v>-18112</v>
      </c>
    </row>
    <row r="21" spans="1:35">
      <c r="A21" s="473">
        <f>'General information '!F24</f>
        <v>0</v>
      </c>
      <c r="B21" s="467">
        <f t="shared" si="6"/>
        <v>0</v>
      </c>
      <c r="C21" s="474">
        <v>44001</v>
      </c>
      <c r="D21" s="461">
        <f t="shared" si="24"/>
        <v>31791758</v>
      </c>
      <c r="E21" s="321">
        <f t="shared" si="10"/>
        <v>0</v>
      </c>
      <c r="F21" s="461">
        <f t="shared" si="24"/>
        <v>3715135</v>
      </c>
      <c r="G21" s="322">
        <f t="shared" si="0"/>
        <v>0</v>
      </c>
      <c r="H21" s="461">
        <f t="shared" si="24"/>
        <v>17494450</v>
      </c>
      <c r="I21" s="322">
        <f t="shared" si="11"/>
        <v>0</v>
      </c>
      <c r="J21" s="461">
        <f t="shared" si="24"/>
        <v>28483540</v>
      </c>
      <c r="K21" s="322">
        <f t="shared" si="12"/>
        <v>0</v>
      </c>
      <c r="L21" s="461">
        <f t="shared" si="24"/>
        <v>23138886</v>
      </c>
      <c r="M21" s="322">
        <f t="shared" si="13"/>
        <v>0</v>
      </c>
      <c r="N21" s="320">
        <f t="shared" si="14"/>
        <v>0</v>
      </c>
      <c r="O21" s="483">
        <f t="shared" si="21"/>
        <v>0</v>
      </c>
      <c r="P21" s="461">
        <f t="shared" si="25"/>
        <v>15591</v>
      </c>
      <c r="Q21" s="465">
        <f>(P21-P20)*1000</f>
        <v>0</v>
      </c>
      <c r="R21" s="465">
        <f t="shared" si="18"/>
        <v>0</v>
      </c>
      <c r="S21" s="461">
        <f t="shared" si="7"/>
        <v>8710</v>
      </c>
      <c r="T21" s="485">
        <f t="shared" si="3"/>
        <v>0</v>
      </c>
      <c r="U21" s="461">
        <f t="shared" si="7"/>
        <v>99409</v>
      </c>
      <c r="V21" s="465">
        <f t="shared" si="15"/>
        <v>0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35155</v>
      </c>
      <c r="AB21" s="465">
        <f t="shared" si="16"/>
        <v>0</v>
      </c>
      <c r="AC21" s="461">
        <f t="shared" si="7"/>
        <v>798430</v>
      </c>
      <c r="AD21" s="465">
        <f t="shared" si="26"/>
        <v>0</v>
      </c>
      <c r="AE21" s="488">
        <f t="shared" si="8"/>
        <v>0</v>
      </c>
      <c r="AF21" s="489">
        <f t="shared" si="9"/>
        <v>0</v>
      </c>
      <c r="AG21" s="481">
        <f t="shared" si="22"/>
        <v>0</v>
      </c>
      <c r="AI21" s="482">
        <f>R21-'EDl log'!B20</f>
        <v>-18112</v>
      </c>
    </row>
    <row r="22" spans="1:35">
      <c r="A22" s="473">
        <f>'General information '!F25</f>
        <v>0</v>
      </c>
      <c r="B22" s="467">
        <f t="shared" si="6"/>
        <v>0</v>
      </c>
      <c r="C22" s="474">
        <v>44002</v>
      </c>
      <c r="D22" s="461">
        <f t="shared" si="24"/>
        <v>31791758</v>
      </c>
      <c r="E22" s="321">
        <f t="shared" si="10"/>
        <v>0</v>
      </c>
      <c r="F22" s="461">
        <f t="shared" si="24"/>
        <v>3715135</v>
      </c>
      <c r="G22" s="322">
        <f t="shared" si="0"/>
        <v>0</v>
      </c>
      <c r="H22" s="461">
        <f t="shared" si="24"/>
        <v>17494450</v>
      </c>
      <c r="I22" s="322">
        <f t="shared" si="11"/>
        <v>0</v>
      </c>
      <c r="J22" s="461">
        <f t="shared" si="24"/>
        <v>28483540</v>
      </c>
      <c r="K22" s="322">
        <f t="shared" si="12"/>
        <v>0</v>
      </c>
      <c r="L22" s="461">
        <f t="shared" si="24"/>
        <v>23138886</v>
      </c>
      <c r="M22" s="322">
        <f t="shared" si="13"/>
        <v>0</v>
      </c>
      <c r="N22" s="320">
        <f t="shared" si="14"/>
        <v>0</v>
      </c>
      <c r="O22" s="483">
        <f t="shared" si="21"/>
        <v>0</v>
      </c>
      <c r="P22" s="461">
        <f t="shared" si="25"/>
        <v>15591</v>
      </c>
      <c r="Q22" s="465">
        <f t="shared" si="23"/>
        <v>0</v>
      </c>
      <c r="R22" s="465">
        <f t="shared" si="18"/>
        <v>0</v>
      </c>
      <c r="S22" s="461">
        <f t="shared" si="7"/>
        <v>8710</v>
      </c>
      <c r="T22" s="485">
        <f t="shared" si="3"/>
        <v>0</v>
      </c>
      <c r="U22" s="461">
        <f t="shared" si="7"/>
        <v>99409</v>
      </c>
      <c r="V22" s="465">
        <f t="shared" si="15"/>
        <v>0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f t="shared" si="7"/>
        <v>35155</v>
      </c>
      <c r="AB22" s="465">
        <f t="shared" si="16"/>
        <v>0</v>
      </c>
      <c r="AC22" s="461">
        <f t="shared" si="7"/>
        <v>798430</v>
      </c>
      <c r="AD22" s="465">
        <f t="shared" si="26"/>
        <v>0</v>
      </c>
      <c r="AE22" s="488">
        <f t="shared" si="8"/>
        <v>0</v>
      </c>
      <c r="AF22" s="489">
        <f t="shared" si="9"/>
        <v>0</v>
      </c>
      <c r="AG22" s="481">
        <f t="shared" si="22"/>
        <v>0</v>
      </c>
      <c r="AI22" s="482">
        <f>R22-'EDl log'!B21</f>
        <v>-18112</v>
      </c>
    </row>
    <row r="23" spans="1:35">
      <c r="A23" s="473">
        <f>'General information '!F26</f>
        <v>0</v>
      </c>
      <c r="B23" s="467">
        <f t="shared" si="6"/>
        <v>0</v>
      </c>
      <c r="C23" s="474">
        <v>44003</v>
      </c>
      <c r="D23" s="461">
        <f t="shared" si="24"/>
        <v>31791758</v>
      </c>
      <c r="E23" s="321">
        <f t="shared" si="10"/>
        <v>0</v>
      </c>
      <c r="F23" s="461">
        <f t="shared" si="24"/>
        <v>3715135</v>
      </c>
      <c r="G23" s="322">
        <f t="shared" si="0"/>
        <v>0</v>
      </c>
      <c r="H23" s="461">
        <f t="shared" si="24"/>
        <v>17494450</v>
      </c>
      <c r="I23" s="454">
        <f t="shared" si="11"/>
        <v>0</v>
      </c>
      <c r="J23" s="461">
        <f t="shared" si="24"/>
        <v>28483540</v>
      </c>
      <c r="K23" s="322">
        <f t="shared" si="12"/>
        <v>0</v>
      </c>
      <c r="L23" s="461">
        <f t="shared" si="24"/>
        <v>23138886</v>
      </c>
      <c r="M23" s="322">
        <f t="shared" si="13"/>
        <v>0</v>
      </c>
      <c r="N23" s="320">
        <f t="shared" si="14"/>
        <v>0</v>
      </c>
      <c r="O23" s="483">
        <f t="shared" si="21"/>
        <v>0</v>
      </c>
      <c r="P23" s="461">
        <f t="shared" si="25"/>
        <v>15591</v>
      </c>
      <c r="Q23" s="465">
        <f t="shared" si="23"/>
        <v>0</v>
      </c>
      <c r="R23" s="465">
        <f t="shared" si="18"/>
        <v>0</v>
      </c>
      <c r="S23" s="461">
        <f t="shared" si="7"/>
        <v>8710</v>
      </c>
      <c r="T23" s="485">
        <f t="shared" si="3"/>
        <v>0</v>
      </c>
      <c r="U23" s="461">
        <f t="shared" si="7"/>
        <v>99409</v>
      </c>
      <c r="V23" s="465">
        <f t="shared" si="15"/>
        <v>0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f t="shared" si="7"/>
        <v>35155</v>
      </c>
      <c r="AB23" s="465">
        <f t="shared" si="16"/>
        <v>0</v>
      </c>
      <c r="AC23" s="461">
        <f t="shared" si="7"/>
        <v>798430</v>
      </c>
      <c r="AD23" s="465">
        <f t="shared" si="26"/>
        <v>0</v>
      </c>
      <c r="AE23" s="488">
        <f t="shared" si="8"/>
        <v>0</v>
      </c>
      <c r="AF23" s="489">
        <f t="shared" si="9"/>
        <v>0</v>
      </c>
      <c r="AG23" s="481">
        <f t="shared" si="22"/>
        <v>0</v>
      </c>
      <c r="AI23" s="482">
        <f>R23-'EDl log'!B22</f>
        <v>-18112</v>
      </c>
    </row>
    <row r="24" spans="1:35">
      <c r="A24" s="473">
        <f>'General information '!F27</f>
        <v>0</v>
      </c>
      <c r="B24" s="467">
        <f t="shared" si="6"/>
        <v>0</v>
      </c>
      <c r="C24" s="474">
        <v>44004</v>
      </c>
      <c r="D24" s="461">
        <f t="shared" si="24"/>
        <v>31791758</v>
      </c>
      <c r="E24" s="321">
        <f t="shared" si="10"/>
        <v>0</v>
      </c>
      <c r="F24" s="461">
        <f t="shared" si="24"/>
        <v>3715135</v>
      </c>
      <c r="G24" s="322">
        <f t="shared" si="0"/>
        <v>0</v>
      </c>
      <c r="H24" s="461">
        <f t="shared" si="24"/>
        <v>17494450</v>
      </c>
      <c r="I24" s="322">
        <f t="shared" si="11"/>
        <v>0</v>
      </c>
      <c r="J24" s="461">
        <f t="shared" si="24"/>
        <v>28483540</v>
      </c>
      <c r="K24" s="322">
        <f t="shared" si="12"/>
        <v>0</v>
      </c>
      <c r="L24" s="461">
        <f t="shared" si="24"/>
        <v>23138886</v>
      </c>
      <c r="M24" s="322">
        <f t="shared" si="13"/>
        <v>0</v>
      </c>
      <c r="N24" s="320">
        <f t="shared" si="14"/>
        <v>0</v>
      </c>
      <c r="O24" s="483">
        <f t="shared" si="21"/>
        <v>0</v>
      </c>
      <c r="P24" s="461">
        <f t="shared" si="25"/>
        <v>15591</v>
      </c>
      <c r="Q24" s="465">
        <f t="shared" si="23"/>
        <v>0</v>
      </c>
      <c r="R24" s="465">
        <f t="shared" si="18"/>
        <v>0</v>
      </c>
      <c r="S24" s="461">
        <f t="shared" si="7"/>
        <v>8710</v>
      </c>
      <c r="T24" s="485">
        <f t="shared" si="3"/>
        <v>0</v>
      </c>
      <c r="U24" s="461">
        <f t="shared" si="7"/>
        <v>99409</v>
      </c>
      <c r="V24" s="465">
        <f t="shared" si="15"/>
        <v>0</v>
      </c>
      <c r="W24" s="461">
        <f t="shared" si="7"/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f t="shared" si="7"/>
        <v>35155</v>
      </c>
      <c r="AB24" s="465">
        <f t="shared" si="16"/>
        <v>0</v>
      </c>
      <c r="AC24" s="461">
        <f t="shared" si="7"/>
        <v>798430</v>
      </c>
      <c r="AD24" s="465">
        <f t="shared" si="26"/>
        <v>0</v>
      </c>
      <c r="AE24" s="488">
        <f t="shared" si="8"/>
        <v>0</v>
      </c>
      <c r="AF24" s="489">
        <f t="shared" si="9"/>
        <v>0</v>
      </c>
      <c r="AG24" s="481">
        <f t="shared" si="22"/>
        <v>0</v>
      </c>
      <c r="AI24" s="482">
        <f>R24-'EDl log'!B23</f>
        <v>-18112</v>
      </c>
    </row>
    <row r="25" spans="1:35">
      <c r="A25" s="473">
        <f>'General information '!F28</f>
        <v>0</v>
      </c>
      <c r="B25" s="467">
        <f t="shared" si="6"/>
        <v>0</v>
      </c>
      <c r="C25" s="474">
        <v>44005</v>
      </c>
      <c r="D25" s="461">
        <f t="shared" si="24"/>
        <v>31791758</v>
      </c>
      <c r="E25" s="321">
        <f t="shared" si="10"/>
        <v>0</v>
      </c>
      <c r="F25" s="461">
        <f t="shared" si="24"/>
        <v>3715135</v>
      </c>
      <c r="G25" s="322">
        <f t="shared" si="0"/>
        <v>0</v>
      </c>
      <c r="H25" s="461">
        <f t="shared" si="24"/>
        <v>17494450</v>
      </c>
      <c r="I25" s="322">
        <f t="shared" si="11"/>
        <v>0</v>
      </c>
      <c r="J25" s="461">
        <f t="shared" si="24"/>
        <v>28483540</v>
      </c>
      <c r="K25" s="322">
        <f t="shared" si="12"/>
        <v>0</v>
      </c>
      <c r="L25" s="461">
        <f t="shared" si="24"/>
        <v>23138886</v>
      </c>
      <c r="M25" s="322">
        <f t="shared" si="13"/>
        <v>0</v>
      </c>
      <c r="N25" s="320">
        <f t="shared" si="14"/>
        <v>0</v>
      </c>
      <c r="O25" s="483">
        <f t="shared" si="21"/>
        <v>0</v>
      </c>
      <c r="P25" s="461">
        <f t="shared" si="25"/>
        <v>15591</v>
      </c>
      <c r="Q25" s="465">
        <f t="shared" si="23"/>
        <v>0</v>
      </c>
      <c r="R25" s="465">
        <f t="shared" si="18"/>
        <v>0</v>
      </c>
      <c r="S25" s="461">
        <f t="shared" si="7"/>
        <v>8710</v>
      </c>
      <c r="T25" s="485">
        <f t="shared" si="3"/>
        <v>0</v>
      </c>
      <c r="U25" s="461">
        <f t="shared" si="7"/>
        <v>99409</v>
      </c>
      <c r="V25" s="465">
        <f t="shared" si="15"/>
        <v>0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f t="shared" si="7"/>
        <v>35155</v>
      </c>
      <c r="AB25" s="465">
        <f t="shared" si="16"/>
        <v>0</v>
      </c>
      <c r="AC25" s="461">
        <f t="shared" si="7"/>
        <v>798430</v>
      </c>
      <c r="AD25" s="465">
        <f t="shared" si="26"/>
        <v>0</v>
      </c>
      <c r="AE25" s="488">
        <f t="shared" si="8"/>
        <v>0</v>
      </c>
      <c r="AF25" s="489">
        <f t="shared" si="9"/>
        <v>0</v>
      </c>
      <c r="AG25" s="481">
        <f t="shared" si="22"/>
        <v>0</v>
      </c>
      <c r="AI25" s="482">
        <f>R25-'EDl log'!B24</f>
        <v>-18112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si="24"/>
        <v>31791758</v>
      </c>
      <c r="E26" s="321">
        <f t="shared" si="10"/>
        <v>0</v>
      </c>
      <c r="F26" s="461">
        <f t="shared" si="24"/>
        <v>3715135</v>
      </c>
      <c r="G26" s="322">
        <f t="shared" si="0"/>
        <v>0</v>
      </c>
      <c r="H26" s="461">
        <f t="shared" si="24"/>
        <v>17494450</v>
      </c>
      <c r="I26" s="322">
        <f t="shared" si="11"/>
        <v>0</v>
      </c>
      <c r="J26" s="461">
        <f t="shared" si="24"/>
        <v>28483540</v>
      </c>
      <c r="K26" s="322">
        <f t="shared" si="12"/>
        <v>0</v>
      </c>
      <c r="L26" s="461">
        <f t="shared" si="24"/>
        <v>23138886</v>
      </c>
      <c r="M26" s="322">
        <f t="shared" si="13"/>
        <v>0</v>
      </c>
      <c r="N26" s="320">
        <f t="shared" si="14"/>
        <v>0</v>
      </c>
      <c r="O26" s="483">
        <f t="shared" si="21"/>
        <v>0</v>
      </c>
      <c r="P26" s="461">
        <f t="shared" si="25"/>
        <v>15591</v>
      </c>
      <c r="Q26" s="465">
        <f t="shared" si="23"/>
        <v>0</v>
      </c>
      <c r="R26" s="490">
        <f>N26-Q26</f>
        <v>0</v>
      </c>
      <c r="S26" s="461">
        <f t="shared" si="7"/>
        <v>8710</v>
      </c>
      <c r="T26" s="485">
        <f t="shared" si="3"/>
        <v>0</v>
      </c>
      <c r="U26" s="461">
        <f t="shared" si="7"/>
        <v>99409</v>
      </c>
      <c r="V26" s="465">
        <f t="shared" si="15"/>
        <v>0</v>
      </c>
      <c r="W26" s="461">
        <f t="shared" si="7"/>
        <v>31853</v>
      </c>
      <c r="X26" s="465">
        <f t="shared" si="20"/>
        <v>0</v>
      </c>
      <c r="Y26" s="461">
        <f t="shared" si="7"/>
        <v>625865</v>
      </c>
      <c r="Z26" s="465">
        <f t="shared" si="19"/>
        <v>0</v>
      </c>
      <c r="AA26" s="461">
        <f t="shared" si="7"/>
        <v>35155</v>
      </c>
      <c r="AB26" s="465">
        <f t="shared" si="16"/>
        <v>0</v>
      </c>
      <c r="AC26" s="461">
        <f t="shared" si="7"/>
        <v>798430</v>
      </c>
      <c r="AD26" s="465">
        <f t="shared" si="26"/>
        <v>0</v>
      </c>
      <c r="AE26" s="488">
        <f t="shared" si="8"/>
        <v>0</v>
      </c>
      <c r="AF26" s="489">
        <f t="shared" si="9"/>
        <v>0</v>
      </c>
      <c r="AG26" s="481">
        <f t="shared" si="22"/>
        <v>0</v>
      </c>
      <c r="AI26" s="482">
        <f>R26-'EDl log'!B25</f>
        <v>-18112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24"/>
        <v>31791758</v>
      </c>
      <c r="E27" s="321">
        <f t="shared" si="10"/>
        <v>0</v>
      </c>
      <c r="F27" s="461">
        <f t="shared" si="24"/>
        <v>3715135</v>
      </c>
      <c r="G27" s="322">
        <f>F27-F26</f>
        <v>0</v>
      </c>
      <c r="H27" s="461">
        <f t="shared" si="24"/>
        <v>17494450</v>
      </c>
      <c r="I27" s="322">
        <f t="shared" si="11"/>
        <v>0</v>
      </c>
      <c r="J27" s="461">
        <f t="shared" si="24"/>
        <v>28483540</v>
      </c>
      <c r="K27" s="322">
        <f t="shared" si="12"/>
        <v>0</v>
      </c>
      <c r="L27" s="461">
        <f t="shared" si="24"/>
        <v>23138886</v>
      </c>
      <c r="M27" s="322">
        <f t="shared" si="13"/>
        <v>0</v>
      </c>
      <c r="N27" s="320">
        <f t="shared" si="14"/>
        <v>0</v>
      </c>
      <c r="O27" s="483">
        <f t="shared" si="21"/>
        <v>0</v>
      </c>
      <c r="P27" s="461">
        <f t="shared" si="25"/>
        <v>15591</v>
      </c>
      <c r="Q27" s="465">
        <f t="shared" si="23"/>
        <v>0</v>
      </c>
      <c r="R27" s="465">
        <f t="shared" si="18"/>
        <v>0</v>
      </c>
      <c r="S27" s="461">
        <f t="shared" si="7"/>
        <v>8710</v>
      </c>
      <c r="T27" s="485">
        <f t="shared" si="3"/>
        <v>0</v>
      </c>
      <c r="U27" s="461">
        <f t="shared" si="7"/>
        <v>99409</v>
      </c>
      <c r="V27" s="465">
        <f t="shared" si="15"/>
        <v>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35155</v>
      </c>
      <c r="AB27" s="465">
        <f t="shared" si="16"/>
        <v>0</v>
      </c>
      <c r="AC27" s="461">
        <f t="shared" si="7"/>
        <v>798430</v>
      </c>
      <c r="AD27" s="465">
        <f t="shared" si="26"/>
        <v>0</v>
      </c>
      <c r="AE27" s="488">
        <f t="shared" si="8"/>
        <v>0</v>
      </c>
      <c r="AF27" s="489">
        <f t="shared" si="9"/>
        <v>0</v>
      </c>
      <c r="AG27" s="481">
        <f t="shared" si="22"/>
        <v>0</v>
      </c>
      <c r="AI27" s="482">
        <f>R27-'EDl log'!B26</f>
        <v>-18112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24"/>
        <v>31791758</v>
      </c>
      <c r="E28" s="321">
        <f t="shared" si="10"/>
        <v>0</v>
      </c>
      <c r="F28" s="461">
        <f t="shared" si="24"/>
        <v>3715135</v>
      </c>
      <c r="G28" s="322">
        <f t="shared" si="0"/>
        <v>0</v>
      </c>
      <c r="H28" s="461">
        <f t="shared" si="24"/>
        <v>17494450</v>
      </c>
      <c r="I28" s="322">
        <f t="shared" si="11"/>
        <v>0</v>
      </c>
      <c r="J28" s="461">
        <f t="shared" si="24"/>
        <v>28483540</v>
      </c>
      <c r="K28" s="322">
        <f t="shared" si="12"/>
        <v>0</v>
      </c>
      <c r="L28" s="461">
        <f t="shared" si="24"/>
        <v>23138886</v>
      </c>
      <c r="M28" s="322">
        <f t="shared" si="13"/>
        <v>0</v>
      </c>
      <c r="N28" s="320">
        <f t="shared" si="14"/>
        <v>0</v>
      </c>
      <c r="O28" s="483">
        <f t="shared" si="21"/>
        <v>0</v>
      </c>
      <c r="P28" s="461">
        <f t="shared" si="25"/>
        <v>15591</v>
      </c>
      <c r="Q28" s="465">
        <f t="shared" si="23"/>
        <v>0</v>
      </c>
      <c r="R28" s="465">
        <f>N28-Q28</f>
        <v>0</v>
      </c>
      <c r="S28" s="461">
        <f t="shared" si="7"/>
        <v>8710</v>
      </c>
      <c r="T28" s="485">
        <f t="shared" si="3"/>
        <v>0</v>
      </c>
      <c r="U28" s="461">
        <f t="shared" si="7"/>
        <v>99409</v>
      </c>
      <c r="V28" s="465">
        <f t="shared" si="15"/>
        <v>0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f t="shared" si="7"/>
        <v>35155</v>
      </c>
      <c r="AB28" s="465">
        <f t="shared" si="16"/>
        <v>0</v>
      </c>
      <c r="AC28" s="461">
        <f t="shared" si="7"/>
        <v>798430</v>
      </c>
      <c r="AD28" s="465">
        <f t="shared" si="26"/>
        <v>0</v>
      </c>
      <c r="AE28" s="488">
        <f t="shared" si="8"/>
        <v>0</v>
      </c>
      <c r="AF28" s="489">
        <f t="shared" si="9"/>
        <v>0</v>
      </c>
      <c r="AG28" s="481">
        <f t="shared" si="22"/>
        <v>0</v>
      </c>
      <c r="AI28" s="482">
        <f>R28-'EDl log'!B27</f>
        <v>-18112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24"/>
        <v>31791758</v>
      </c>
      <c r="E29" s="321">
        <f t="shared" si="10"/>
        <v>0</v>
      </c>
      <c r="F29" s="461">
        <f t="shared" si="24"/>
        <v>3715135</v>
      </c>
      <c r="G29" s="322">
        <f t="shared" si="0"/>
        <v>0</v>
      </c>
      <c r="H29" s="461">
        <f t="shared" si="24"/>
        <v>17494450</v>
      </c>
      <c r="I29" s="322">
        <f t="shared" si="11"/>
        <v>0</v>
      </c>
      <c r="J29" s="461">
        <f t="shared" si="24"/>
        <v>28483540</v>
      </c>
      <c r="K29" s="322">
        <f t="shared" si="12"/>
        <v>0</v>
      </c>
      <c r="L29" s="461">
        <f t="shared" si="24"/>
        <v>23138886</v>
      </c>
      <c r="M29" s="322">
        <f t="shared" si="13"/>
        <v>0</v>
      </c>
      <c r="N29" s="320">
        <f t="shared" si="14"/>
        <v>0</v>
      </c>
      <c r="O29" s="483">
        <f t="shared" si="21"/>
        <v>0</v>
      </c>
      <c r="P29" s="461">
        <f t="shared" si="25"/>
        <v>15591</v>
      </c>
      <c r="Q29" s="465">
        <f t="shared" si="23"/>
        <v>0</v>
      </c>
      <c r="R29" s="465">
        <f t="shared" si="18"/>
        <v>0</v>
      </c>
      <c r="S29" s="461">
        <f t="shared" si="7"/>
        <v>8710</v>
      </c>
      <c r="T29" s="485">
        <f t="shared" si="3"/>
        <v>0</v>
      </c>
      <c r="U29" s="461">
        <f t="shared" si="7"/>
        <v>99409</v>
      </c>
      <c r="V29" s="465">
        <f t="shared" si="15"/>
        <v>0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f t="shared" si="7"/>
        <v>35155</v>
      </c>
      <c r="AB29" s="465">
        <f t="shared" si="16"/>
        <v>0</v>
      </c>
      <c r="AC29" s="461">
        <f t="shared" si="7"/>
        <v>798430</v>
      </c>
      <c r="AD29" s="465">
        <f t="shared" si="26"/>
        <v>0</v>
      </c>
      <c r="AE29" s="488">
        <f t="shared" si="8"/>
        <v>0</v>
      </c>
      <c r="AF29" s="489">
        <f t="shared" si="9"/>
        <v>0</v>
      </c>
      <c r="AG29" s="481">
        <f t="shared" si="22"/>
        <v>0</v>
      </c>
      <c r="AI29" s="482">
        <f>R29-'EDl log'!B28</f>
        <v>-18112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24"/>
        <v>31791758</v>
      </c>
      <c r="E30" s="321">
        <f t="shared" si="10"/>
        <v>0</v>
      </c>
      <c r="F30" s="461">
        <f t="shared" si="24"/>
        <v>3715135</v>
      </c>
      <c r="G30" s="322">
        <f t="shared" si="0"/>
        <v>0</v>
      </c>
      <c r="H30" s="461">
        <f t="shared" si="24"/>
        <v>17494450</v>
      </c>
      <c r="I30" s="322">
        <f t="shared" si="11"/>
        <v>0</v>
      </c>
      <c r="J30" s="461">
        <f t="shared" si="24"/>
        <v>28483540</v>
      </c>
      <c r="K30" s="322">
        <f t="shared" si="12"/>
        <v>0</v>
      </c>
      <c r="L30" s="461">
        <f t="shared" si="24"/>
        <v>23138886</v>
      </c>
      <c r="M30" s="322">
        <f t="shared" si="13"/>
        <v>0</v>
      </c>
      <c r="N30" s="320">
        <f t="shared" si="14"/>
        <v>0</v>
      </c>
      <c r="O30" s="483">
        <f t="shared" si="21"/>
        <v>0</v>
      </c>
      <c r="P30" s="461">
        <f t="shared" si="25"/>
        <v>15591</v>
      </c>
      <c r="Q30" s="465">
        <f t="shared" si="23"/>
        <v>0</v>
      </c>
      <c r="R30" s="465">
        <f t="shared" si="18"/>
        <v>0</v>
      </c>
      <c r="S30" s="461">
        <f t="shared" si="7"/>
        <v>8710</v>
      </c>
      <c r="T30" s="485">
        <f t="shared" si="3"/>
        <v>0</v>
      </c>
      <c r="U30" s="461">
        <f t="shared" si="7"/>
        <v>99409</v>
      </c>
      <c r="V30" s="465">
        <f t="shared" si="15"/>
        <v>0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f t="shared" si="7"/>
        <v>35155</v>
      </c>
      <c r="AB30" s="465">
        <f t="shared" si="16"/>
        <v>0</v>
      </c>
      <c r="AC30" s="461">
        <f t="shared" si="7"/>
        <v>798430</v>
      </c>
      <c r="AD30" s="465">
        <f t="shared" si="26"/>
        <v>0</v>
      </c>
      <c r="AE30" s="488">
        <f t="shared" si="8"/>
        <v>0</v>
      </c>
      <c r="AF30" s="489">
        <f t="shared" si="9"/>
        <v>0</v>
      </c>
      <c r="AG30" s="481">
        <f t="shared" si="22"/>
        <v>0</v>
      </c>
      <c r="AI30" s="482">
        <f>R30-'EDl log'!B29</f>
        <v>-18112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24"/>
        <v>31791758</v>
      </c>
      <c r="E31" s="321">
        <f t="shared" si="10"/>
        <v>0</v>
      </c>
      <c r="F31" s="461">
        <f t="shared" si="24"/>
        <v>3715135</v>
      </c>
      <c r="G31" s="322">
        <f t="shared" si="0"/>
        <v>0</v>
      </c>
      <c r="H31" s="461">
        <f t="shared" si="24"/>
        <v>17494450</v>
      </c>
      <c r="I31" s="322">
        <f t="shared" si="11"/>
        <v>0</v>
      </c>
      <c r="J31" s="461">
        <f t="shared" si="24"/>
        <v>28483540</v>
      </c>
      <c r="K31" s="322">
        <f t="shared" si="12"/>
        <v>0</v>
      </c>
      <c r="L31" s="461">
        <f t="shared" si="24"/>
        <v>23138886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si="25"/>
        <v>15591</v>
      </c>
      <c r="Q31" s="465">
        <f t="shared" si="23"/>
        <v>0</v>
      </c>
      <c r="R31" s="465">
        <f t="shared" si="18"/>
        <v>0</v>
      </c>
      <c r="S31" s="461">
        <f t="shared" si="7"/>
        <v>8710</v>
      </c>
      <c r="T31" s="485">
        <f t="shared" si="3"/>
        <v>0</v>
      </c>
      <c r="U31" s="461">
        <f t="shared" si="7"/>
        <v>99409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35155</v>
      </c>
      <c r="AB31" s="465">
        <f t="shared" si="16"/>
        <v>0</v>
      </c>
      <c r="AC31" s="461">
        <f t="shared" si="7"/>
        <v>798430</v>
      </c>
      <c r="AD31" s="465">
        <f t="shared" si="26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-18112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4"/>
        <v>31791758</v>
      </c>
      <c r="E32" s="321">
        <f t="shared" si="10"/>
        <v>0</v>
      </c>
      <c r="F32" s="461">
        <f t="shared" si="24"/>
        <v>3715135</v>
      </c>
      <c r="G32" s="322">
        <f>F32-F31</f>
        <v>0</v>
      </c>
      <c r="H32" s="461">
        <f t="shared" si="24"/>
        <v>17494450</v>
      </c>
      <c r="I32" s="322">
        <f>H32-H31</f>
        <v>0</v>
      </c>
      <c r="J32" s="461">
        <f t="shared" si="24"/>
        <v>28483540</v>
      </c>
      <c r="K32" s="322">
        <f>J32-J31</f>
        <v>0</v>
      </c>
      <c r="L32" s="461">
        <f t="shared" si="24"/>
        <v>23138886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5"/>
        <v>15591</v>
      </c>
      <c r="Q32" s="465">
        <f>(P32-P31)*1000</f>
        <v>0</v>
      </c>
      <c r="R32" s="465">
        <f>N32-Q32</f>
        <v>0</v>
      </c>
      <c r="S32" s="461">
        <f t="shared" si="7"/>
        <v>8710</v>
      </c>
      <c r="T32" s="485">
        <f t="shared" si="3"/>
        <v>0</v>
      </c>
      <c r="U32" s="461">
        <f t="shared" si="7"/>
        <v>99409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35155</v>
      </c>
      <c r="AB32" s="465">
        <f t="shared" si="16"/>
        <v>0</v>
      </c>
      <c r="AC32" s="461">
        <f t="shared" si="7"/>
        <v>798430</v>
      </c>
      <c r="AD32" s="465">
        <f t="shared" si="26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-18112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zoomScale="90" zoomScaleNormal="90" workbookViewId="0">
      <pane ySplit="1" topLeftCell="A2" activePane="bottomLeft" state="frozen"/>
      <selection activeCell="K1" sqref="K1"/>
      <selection pane="bottomLeft" activeCell="AR18" sqref="AR18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06" t="s">
        <v>2</v>
      </c>
      <c r="G1" s="607"/>
      <c r="H1" s="607"/>
      <c r="I1" s="608"/>
      <c r="J1" s="292">
        <f>J35</f>
        <v>70.44047619047619</v>
      </c>
      <c r="K1" s="609" t="s">
        <v>4</v>
      </c>
      <c r="L1" s="610"/>
      <c r="M1" s="610"/>
      <c r="N1" s="610"/>
      <c r="O1" s="611"/>
      <c r="P1" s="600" t="s">
        <v>6</v>
      </c>
      <c r="Q1" s="601"/>
      <c r="R1" s="601"/>
      <c r="S1" s="601"/>
      <c r="T1" s="602"/>
      <c r="U1" s="410"/>
      <c r="V1" s="27" t="s">
        <v>104</v>
      </c>
      <c r="W1" s="411"/>
      <c r="X1" s="600" t="s">
        <v>8</v>
      </c>
      <c r="Y1" s="601"/>
      <c r="Z1" s="601"/>
      <c r="AA1" s="601"/>
      <c r="AB1" s="601"/>
      <c r="AC1" s="603" t="s">
        <v>10</v>
      </c>
      <c r="AD1" s="604"/>
      <c r="AE1" s="604"/>
      <c r="AF1" s="605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98"/>
      <c r="R2" s="599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352.20238095238096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281.76190476190476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281.76190476190476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f t="shared" ref="B19:C34" si="45">B18</f>
        <v>150</v>
      </c>
      <c r="C19" s="64">
        <f t="shared" si="45"/>
        <v>156</v>
      </c>
      <c r="D19" s="45">
        <f t="shared" si="0"/>
        <v>0</v>
      </c>
      <c r="E19" s="45">
        <f t="shared" si="16"/>
        <v>0</v>
      </c>
      <c r="F19" s="64">
        <f t="shared" si="42"/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f t="shared" si="37"/>
        <v>2000</v>
      </c>
      <c r="L19" s="52">
        <f t="shared" si="3"/>
        <v>0</v>
      </c>
      <c r="M19" s="64">
        <f t="shared" si="4"/>
        <v>146680</v>
      </c>
      <c r="N19" s="409">
        <f t="shared" si="5"/>
        <v>0</v>
      </c>
      <c r="O19" s="67">
        <f t="shared" si="6"/>
        <v>0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0</v>
      </c>
      <c r="V19" s="62">
        <f t="shared" si="20"/>
        <v>0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0</v>
      </c>
      <c r="AJ19" s="328">
        <f>-tanks!AW20</f>
        <v>0</v>
      </c>
      <c r="AK19" s="328">
        <f t="shared" si="25"/>
        <v>0</v>
      </c>
      <c r="AL19" s="328">
        <f>S19+L20+G19</f>
        <v>0</v>
      </c>
      <c r="AM19" s="328">
        <f t="shared" si="26"/>
        <v>0</v>
      </c>
      <c r="AN19" s="64">
        <f t="shared" si="38"/>
        <v>68</v>
      </c>
      <c r="AO19" s="330">
        <f t="shared" si="27"/>
        <v>2040.0000000000002</v>
      </c>
      <c r="AP19" s="64">
        <f t="shared" si="39"/>
        <v>68</v>
      </c>
      <c r="AQ19" s="330">
        <f t="shared" si="28"/>
        <v>2040.0000000000002</v>
      </c>
      <c r="AR19" s="64">
        <f t="shared" si="41"/>
        <v>60</v>
      </c>
      <c r="AS19" s="330">
        <f t="shared" si="34"/>
        <v>1800</v>
      </c>
      <c r="AT19" s="330">
        <f t="shared" si="35"/>
        <v>5880</v>
      </c>
      <c r="AU19" s="330">
        <f t="shared" si="36"/>
        <v>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f t="shared" si="45"/>
        <v>150</v>
      </c>
      <c r="C20" s="64">
        <f t="shared" si="45"/>
        <v>156</v>
      </c>
      <c r="D20" s="45">
        <f>C19-C20</f>
        <v>0</v>
      </c>
      <c r="E20" s="45">
        <f t="shared" si="16"/>
        <v>0</v>
      </c>
      <c r="F20" s="64">
        <f t="shared" si="42"/>
        <v>1596</v>
      </c>
      <c r="G20" s="52">
        <f t="shared" si="1"/>
        <v>0</v>
      </c>
      <c r="H20" s="64">
        <f t="shared" si="42"/>
        <v>353837</v>
      </c>
      <c r="I20" s="409">
        <f t="shared" si="2"/>
        <v>0</v>
      </c>
      <c r="J20" s="66">
        <f t="shared" si="17"/>
        <v>0</v>
      </c>
      <c r="K20" s="64">
        <f t="shared" si="37"/>
        <v>2000</v>
      </c>
      <c r="L20" s="52">
        <f t="shared" si="3"/>
        <v>0</v>
      </c>
      <c r="M20" s="64">
        <f t="shared" si="4"/>
        <v>146680</v>
      </c>
      <c r="N20" s="409">
        <f t="shared" si="5"/>
        <v>0</v>
      </c>
      <c r="O20" s="67">
        <f t="shared" si="6"/>
        <v>0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0</v>
      </c>
      <c r="V20" s="62">
        <f t="shared" si="20"/>
        <v>0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0</v>
      </c>
      <c r="AJ20" s="328">
        <f>-tanks!AW21</f>
        <v>0</v>
      </c>
      <c r="AK20" s="328">
        <f t="shared" si="25"/>
        <v>0</v>
      </c>
      <c r="AL20" s="328">
        <f>S20+L21+G20</f>
        <v>0</v>
      </c>
      <c r="AM20" s="328">
        <f t="shared" si="26"/>
        <v>0</v>
      </c>
      <c r="AN20" s="64">
        <f t="shared" si="38"/>
        <v>68</v>
      </c>
      <c r="AO20" s="330">
        <f t="shared" si="27"/>
        <v>2040.0000000000002</v>
      </c>
      <c r="AP20" s="64">
        <f t="shared" si="39"/>
        <v>68</v>
      </c>
      <c r="AQ20" s="330">
        <f t="shared" si="28"/>
        <v>2040.0000000000002</v>
      </c>
      <c r="AR20" s="64">
        <f t="shared" si="41"/>
        <v>60</v>
      </c>
      <c r="AS20" s="330">
        <f t="shared" si="34"/>
        <v>1800</v>
      </c>
      <c r="AT20" s="330">
        <f t="shared" si="35"/>
        <v>5880</v>
      </c>
      <c r="AU20" s="330">
        <f t="shared" si="36"/>
        <v>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f t="shared" si="45"/>
        <v>150</v>
      </c>
      <c r="C21" s="64">
        <f t="shared" si="45"/>
        <v>156</v>
      </c>
      <c r="D21" s="45">
        <f t="shared" ref="D21:D31" si="46">C20-C21</f>
        <v>0</v>
      </c>
      <c r="E21" s="45">
        <f t="shared" si="16"/>
        <v>0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f t="shared" si="37"/>
        <v>2000</v>
      </c>
      <c r="L21" s="52">
        <f t="shared" si="3"/>
        <v>0</v>
      </c>
      <c r="M21" s="64">
        <f t="shared" si="4"/>
        <v>146680</v>
      </c>
      <c r="N21" s="409">
        <f t="shared" si="5"/>
        <v>0</v>
      </c>
      <c r="O21" s="67">
        <f t="shared" si="6"/>
        <v>0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0</v>
      </c>
      <c r="V21" s="62">
        <f t="shared" si="20"/>
        <v>0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0</v>
      </c>
      <c r="AJ21" s="328">
        <f>-tanks!AW22</f>
        <v>0</v>
      </c>
      <c r="AK21" s="328">
        <f t="shared" si="25"/>
        <v>0</v>
      </c>
      <c r="AL21" s="328">
        <f t="shared" ref="AL21:AL34" si="47">S21+L21+G21</f>
        <v>0</v>
      </c>
      <c r="AM21" s="328">
        <f t="shared" si="26"/>
        <v>0</v>
      </c>
      <c r="AN21" s="64">
        <f t="shared" si="38"/>
        <v>68</v>
      </c>
      <c r="AO21" s="330">
        <f t="shared" si="27"/>
        <v>2040.0000000000002</v>
      </c>
      <c r="AP21" s="64">
        <f t="shared" si="39"/>
        <v>68</v>
      </c>
      <c r="AQ21" s="330">
        <f t="shared" si="28"/>
        <v>2040.0000000000002</v>
      </c>
      <c r="AR21" s="64">
        <f t="shared" si="41"/>
        <v>60</v>
      </c>
      <c r="AS21" s="330">
        <f t="shared" si="34"/>
        <v>1800</v>
      </c>
      <c r="AT21" s="330">
        <f t="shared" si="35"/>
        <v>5880</v>
      </c>
      <c r="AU21" s="330">
        <f t="shared" si="36"/>
        <v>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f t="shared" si="45"/>
        <v>150</v>
      </c>
      <c r="C22" s="64">
        <f t="shared" si="45"/>
        <v>156</v>
      </c>
      <c r="D22" s="45">
        <f t="shared" si="46"/>
        <v>0</v>
      </c>
      <c r="E22" s="45">
        <f t="shared" si="16"/>
        <v>0</v>
      </c>
      <c r="F22" s="64">
        <f t="shared" si="42"/>
        <v>1596</v>
      </c>
      <c r="G22" s="52">
        <f t="shared" si="1"/>
        <v>0</v>
      </c>
      <c r="H22" s="64">
        <f t="shared" si="42"/>
        <v>353837</v>
      </c>
      <c r="I22" s="409">
        <f t="shared" si="2"/>
        <v>0</v>
      </c>
      <c r="J22" s="66">
        <f t="shared" si="17"/>
        <v>0</v>
      </c>
      <c r="K22" s="64">
        <f t="shared" si="37"/>
        <v>2000</v>
      </c>
      <c r="L22" s="52">
        <f t="shared" si="3"/>
        <v>0</v>
      </c>
      <c r="M22" s="64">
        <f t="shared" si="4"/>
        <v>146680</v>
      </c>
      <c r="N22" s="409">
        <f t="shared" si="5"/>
        <v>0</v>
      </c>
      <c r="O22" s="67">
        <f t="shared" si="6"/>
        <v>0</v>
      </c>
      <c r="P22" s="64">
        <f t="shared" si="18"/>
        <v>1803</v>
      </c>
      <c r="Q22" s="64">
        <f t="shared" si="43"/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0</v>
      </c>
      <c r="V22" s="62">
        <f t="shared" si="20"/>
        <v>0</v>
      </c>
      <c r="W22" s="413"/>
      <c r="X22" s="64">
        <f t="shared" si="9"/>
        <v>2418</v>
      </c>
      <c r="Y22" s="52">
        <f t="shared" si="22"/>
        <v>0</v>
      </c>
      <c r="Z22" s="64">
        <f t="shared" si="10"/>
        <v>135964.1</v>
      </c>
      <c r="AA22" s="65">
        <f t="shared" si="11"/>
        <v>0</v>
      </c>
      <c r="AB22" s="294">
        <f t="shared" si="44"/>
        <v>0</v>
      </c>
      <c r="AC22" s="64">
        <f t="shared" si="12"/>
        <v>1848</v>
      </c>
      <c r="AD22" s="45">
        <f t="shared" si="13"/>
        <v>0</v>
      </c>
      <c r="AE22" s="64">
        <f t="shared" si="14"/>
        <v>360299.4</v>
      </c>
      <c r="AF22" s="316">
        <f t="shared" si="23"/>
        <v>0</v>
      </c>
      <c r="AG22" s="213">
        <f t="shared" si="32"/>
        <v>0</v>
      </c>
      <c r="AH22" s="62">
        <f t="shared" si="33"/>
        <v>0</v>
      </c>
      <c r="AI22" s="328">
        <f t="shared" si="24"/>
        <v>0</v>
      </c>
      <c r="AJ22" s="328">
        <f>-tanks!AW23</f>
        <v>0</v>
      </c>
      <c r="AK22" s="328">
        <f t="shared" si="25"/>
        <v>0</v>
      </c>
      <c r="AL22" s="328">
        <f t="shared" si="47"/>
        <v>0</v>
      </c>
      <c r="AM22" s="328">
        <f t="shared" si="26"/>
        <v>0</v>
      </c>
      <c r="AN22" s="64">
        <f t="shared" si="38"/>
        <v>68</v>
      </c>
      <c r="AO22" s="330">
        <f t="shared" si="27"/>
        <v>2040.0000000000002</v>
      </c>
      <c r="AP22" s="64">
        <f t="shared" si="39"/>
        <v>68</v>
      </c>
      <c r="AQ22" s="330">
        <f t="shared" si="28"/>
        <v>2040.0000000000002</v>
      </c>
      <c r="AR22" s="64">
        <f t="shared" si="41"/>
        <v>60</v>
      </c>
      <c r="AS22" s="330">
        <f t="shared" si="34"/>
        <v>1800</v>
      </c>
      <c r="AT22" s="330">
        <f t="shared" si="35"/>
        <v>5880</v>
      </c>
      <c r="AU22" s="330">
        <f t="shared" si="36"/>
        <v>0</v>
      </c>
      <c r="AV22" s="276"/>
      <c r="AW22" s="276"/>
      <c r="AX22" s="323">
        <f t="shared" si="29"/>
        <v>0.7</v>
      </c>
    </row>
    <row r="23" spans="1:50">
      <c r="A23" s="63">
        <f>ELEC!C21</f>
        <v>44001</v>
      </c>
      <c r="B23" s="64">
        <f t="shared" si="45"/>
        <v>150</v>
      </c>
      <c r="C23" s="64">
        <f t="shared" si="45"/>
        <v>156</v>
      </c>
      <c r="D23" s="45">
        <f t="shared" si="46"/>
        <v>0</v>
      </c>
      <c r="E23" s="45">
        <f t="shared" si="16"/>
        <v>0</v>
      </c>
      <c r="F23" s="64">
        <f t="shared" si="42"/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f t="shared" si="37"/>
        <v>2000</v>
      </c>
      <c r="L23" s="52">
        <f t="shared" si="3"/>
        <v>0</v>
      </c>
      <c r="M23" s="64">
        <f t="shared" si="4"/>
        <v>146680</v>
      </c>
      <c r="N23" s="409">
        <f t="shared" si="5"/>
        <v>0</v>
      </c>
      <c r="O23" s="67">
        <f t="shared" si="6"/>
        <v>0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0</v>
      </c>
      <c r="V23" s="62">
        <f t="shared" si="20"/>
        <v>0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1848</v>
      </c>
      <c r="AD23" s="45">
        <f t="shared" si="13"/>
        <v>0</v>
      </c>
      <c r="AE23" s="64">
        <f t="shared" si="14"/>
        <v>360299.4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0</v>
      </c>
      <c r="AJ23" s="328">
        <f>-tanks!AW24</f>
        <v>0</v>
      </c>
      <c r="AK23" s="328">
        <f t="shared" si="25"/>
        <v>0</v>
      </c>
      <c r="AL23" s="328">
        <f t="shared" si="47"/>
        <v>0</v>
      </c>
      <c r="AM23" s="328">
        <f t="shared" si="26"/>
        <v>0</v>
      </c>
      <c r="AN23" s="64">
        <f t="shared" si="38"/>
        <v>68</v>
      </c>
      <c r="AO23" s="330">
        <f t="shared" si="27"/>
        <v>2040.0000000000002</v>
      </c>
      <c r="AP23" s="64">
        <f t="shared" si="39"/>
        <v>68</v>
      </c>
      <c r="AQ23" s="330">
        <f t="shared" si="28"/>
        <v>2040.0000000000002</v>
      </c>
      <c r="AR23" s="64">
        <f t="shared" si="41"/>
        <v>60</v>
      </c>
      <c r="AS23" s="330">
        <f t="shared" si="34"/>
        <v>1800</v>
      </c>
      <c r="AT23" s="330">
        <f t="shared" si="35"/>
        <v>5880</v>
      </c>
      <c r="AU23" s="330">
        <f t="shared" si="36"/>
        <v>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f t="shared" si="45"/>
        <v>150</v>
      </c>
      <c r="C24" s="64">
        <f t="shared" si="45"/>
        <v>156</v>
      </c>
      <c r="D24" s="45">
        <f t="shared" si="46"/>
        <v>0</v>
      </c>
      <c r="E24" s="45">
        <f t="shared" si="16"/>
        <v>0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f t="shared" si="37"/>
        <v>2000</v>
      </c>
      <c r="L24" s="52">
        <f t="shared" si="3"/>
        <v>0</v>
      </c>
      <c r="M24" s="64">
        <f t="shared" si="4"/>
        <v>146680</v>
      </c>
      <c r="N24" s="409">
        <f t="shared" si="5"/>
        <v>0</v>
      </c>
      <c r="O24" s="67">
        <f t="shared" si="6"/>
        <v>0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0</v>
      </c>
      <c r="V24" s="62">
        <f t="shared" si="20"/>
        <v>0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8">SUM(Y24*$AB$2)</f>
        <v>0</v>
      </c>
      <c r="AC24" s="64">
        <f t="shared" si="12"/>
        <v>1848</v>
      </c>
      <c r="AD24" s="45">
        <f t="shared" si="13"/>
        <v>0</v>
      </c>
      <c r="AE24" s="64">
        <f t="shared" si="14"/>
        <v>360299.4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0</v>
      </c>
      <c r="AJ24" s="328">
        <f>-tanks!AW25</f>
        <v>0</v>
      </c>
      <c r="AK24" s="328">
        <f t="shared" si="25"/>
        <v>0</v>
      </c>
      <c r="AL24" s="328">
        <f t="shared" si="47"/>
        <v>0</v>
      </c>
      <c r="AM24" s="328">
        <f t="shared" si="26"/>
        <v>0</v>
      </c>
      <c r="AN24" s="64">
        <f t="shared" si="38"/>
        <v>68</v>
      </c>
      <c r="AO24" s="330">
        <f t="shared" si="27"/>
        <v>2040.0000000000002</v>
      </c>
      <c r="AP24" s="64">
        <f t="shared" si="39"/>
        <v>68</v>
      </c>
      <c r="AQ24" s="330">
        <f t="shared" si="28"/>
        <v>2040.0000000000002</v>
      </c>
      <c r="AR24" s="64">
        <f t="shared" si="41"/>
        <v>60</v>
      </c>
      <c r="AS24" s="330">
        <f t="shared" si="34"/>
        <v>1800</v>
      </c>
      <c r="AT24" s="330">
        <f t="shared" ref="AT24:AT34" si="49">SUM(AO24+AQ24+AS24)</f>
        <v>5880</v>
      </c>
      <c r="AU24" s="330">
        <f t="shared" si="36"/>
        <v>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f t="shared" si="45"/>
        <v>150</v>
      </c>
      <c r="C25" s="64">
        <f t="shared" si="45"/>
        <v>156</v>
      </c>
      <c r="D25" s="45">
        <f t="shared" si="46"/>
        <v>0</v>
      </c>
      <c r="E25" s="45">
        <f t="shared" si="16"/>
        <v>0</v>
      </c>
      <c r="F25" s="64">
        <f t="shared" si="42"/>
        <v>1596</v>
      </c>
      <c r="G25" s="52">
        <f t="shared" si="1"/>
        <v>0</v>
      </c>
      <c r="H25" s="64">
        <f t="shared" si="42"/>
        <v>353837</v>
      </c>
      <c r="I25" s="409">
        <f t="shared" si="2"/>
        <v>0</v>
      </c>
      <c r="J25" s="66">
        <f t="shared" si="17"/>
        <v>0</v>
      </c>
      <c r="K25" s="64">
        <f t="shared" si="37"/>
        <v>2000</v>
      </c>
      <c r="L25" s="52">
        <f t="shared" si="3"/>
        <v>0</v>
      </c>
      <c r="M25" s="64">
        <f t="shared" si="4"/>
        <v>146680</v>
      </c>
      <c r="N25" s="409">
        <f t="shared" si="5"/>
        <v>0</v>
      </c>
      <c r="O25" s="67">
        <f t="shared" si="6"/>
        <v>0</v>
      </c>
      <c r="P25" s="64">
        <f t="shared" si="18"/>
        <v>1803</v>
      </c>
      <c r="Q25" s="64">
        <f t="shared" si="43"/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0</v>
      </c>
      <c r="V25" s="62">
        <f t="shared" si="20"/>
        <v>0</v>
      </c>
      <c r="W25" s="413"/>
      <c r="X25" s="64">
        <f t="shared" si="9"/>
        <v>2418</v>
      </c>
      <c r="Y25" s="52">
        <f t="shared" si="22"/>
        <v>0</v>
      </c>
      <c r="Z25" s="64">
        <f t="shared" si="10"/>
        <v>135964.1</v>
      </c>
      <c r="AA25" s="65">
        <f t="shared" si="11"/>
        <v>0</v>
      </c>
      <c r="AB25" s="294">
        <f t="shared" si="48"/>
        <v>0</v>
      </c>
      <c r="AC25" s="64">
        <f t="shared" si="12"/>
        <v>1848</v>
      </c>
      <c r="AD25" s="45">
        <f t="shared" si="13"/>
        <v>0</v>
      </c>
      <c r="AE25" s="64">
        <f t="shared" si="14"/>
        <v>360299.4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0</v>
      </c>
      <c r="AJ25" s="328">
        <f>-tanks!AW26</f>
        <v>0</v>
      </c>
      <c r="AK25" s="328">
        <f t="shared" si="25"/>
        <v>0</v>
      </c>
      <c r="AL25" s="328">
        <f t="shared" si="47"/>
        <v>0</v>
      </c>
      <c r="AM25" s="328">
        <f t="shared" si="26"/>
        <v>0</v>
      </c>
      <c r="AN25" s="64">
        <f t="shared" si="38"/>
        <v>68</v>
      </c>
      <c r="AO25" s="330">
        <f t="shared" si="27"/>
        <v>2040.0000000000002</v>
      </c>
      <c r="AP25" s="64">
        <f t="shared" si="39"/>
        <v>68</v>
      </c>
      <c r="AQ25" s="330">
        <f t="shared" ref="AQ25:AQ34" si="50">(AP25/100)*3000</f>
        <v>2040.0000000000002</v>
      </c>
      <c r="AR25" s="64">
        <f t="shared" si="41"/>
        <v>60</v>
      </c>
      <c r="AS25" s="330">
        <f t="shared" si="34"/>
        <v>1800</v>
      </c>
      <c r="AT25" s="330">
        <f t="shared" si="49"/>
        <v>5880</v>
      </c>
      <c r="AU25" s="330">
        <f t="shared" si="36"/>
        <v>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f t="shared" si="45"/>
        <v>150</v>
      </c>
      <c r="C26" s="64">
        <f t="shared" si="45"/>
        <v>156</v>
      </c>
      <c r="D26" s="45">
        <f t="shared" si="46"/>
        <v>0</v>
      </c>
      <c r="E26" s="45">
        <f t="shared" si="16"/>
        <v>0</v>
      </c>
      <c r="F26" s="64">
        <f t="shared" si="42"/>
        <v>1596</v>
      </c>
      <c r="G26" s="52">
        <f t="shared" si="1"/>
        <v>0</v>
      </c>
      <c r="H26" s="64">
        <f t="shared" si="42"/>
        <v>353837</v>
      </c>
      <c r="I26" s="409">
        <f t="shared" si="2"/>
        <v>0</v>
      </c>
      <c r="J26" s="66">
        <f t="shared" si="17"/>
        <v>0</v>
      </c>
      <c r="K26" s="64">
        <f t="shared" si="37"/>
        <v>2000</v>
      </c>
      <c r="L26" s="52">
        <f t="shared" si="3"/>
        <v>0</v>
      </c>
      <c r="M26" s="64">
        <f t="shared" si="4"/>
        <v>146680</v>
      </c>
      <c r="N26" s="409">
        <f t="shared" si="5"/>
        <v>0</v>
      </c>
      <c r="O26" s="67">
        <f t="shared" si="6"/>
        <v>0</v>
      </c>
      <c r="P26" s="64">
        <f t="shared" si="18"/>
        <v>1803</v>
      </c>
      <c r="Q26" s="64">
        <f t="shared" si="43"/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0</v>
      </c>
      <c r="V26" s="62">
        <f t="shared" si="20"/>
        <v>0</v>
      </c>
      <c r="W26" s="413"/>
      <c r="X26" s="64">
        <f t="shared" si="9"/>
        <v>2418</v>
      </c>
      <c r="Y26" s="52">
        <f t="shared" si="22"/>
        <v>0</v>
      </c>
      <c r="Z26" s="64">
        <f t="shared" si="10"/>
        <v>135964.1</v>
      </c>
      <c r="AA26" s="65">
        <f t="shared" si="11"/>
        <v>0</v>
      </c>
      <c r="AB26" s="294">
        <f t="shared" si="48"/>
        <v>0</v>
      </c>
      <c r="AC26" s="64">
        <f t="shared" si="12"/>
        <v>1848</v>
      </c>
      <c r="AD26" s="45">
        <f t="shared" si="13"/>
        <v>0</v>
      </c>
      <c r="AE26" s="64">
        <f t="shared" si="14"/>
        <v>360299.4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0</v>
      </c>
      <c r="AJ26" s="328">
        <f>-tanks!AW27</f>
        <v>0</v>
      </c>
      <c r="AK26" s="328">
        <f t="shared" si="25"/>
        <v>0</v>
      </c>
      <c r="AL26" s="328">
        <f t="shared" si="47"/>
        <v>0</v>
      </c>
      <c r="AM26" s="328">
        <f t="shared" si="26"/>
        <v>0</v>
      </c>
      <c r="AN26" s="64">
        <f t="shared" si="38"/>
        <v>68</v>
      </c>
      <c r="AO26" s="330">
        <f t="shared" si="27"/>
        <v>2040.0000000000002</v>
      </c>
      <c r="AP26" s="64">
        <f t="shared" si="39"/>
        <v>68</v>
      </c>
      <c r="AQ26" s="330">
        <f t="shared" si="50"/>
        <v>2040.0000000000002</v>
      </c>
      <c r="AR26" s="64">
        <f t="shared" si="41"/>
        <v>60</v>
      </c>
      <c r="AS26" s="330">
        <f t="shared" si="34"/>
        <v>1800</v>
      </c>
      <c r="AT26" s="330">
        <f t="shared" si="49"/>
        <v>5880</v>
      </c>
      <c r="AU26" s="330">
        <f t="shared" si="36"/>
        <v>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f t="shared" si="45"/>
        <v>150</v>
      </c>
      <c r="C27" s="64">
        <f t="shared" si="45"/>
        <v>156</v>
      </c>
      <c r="D27" s="45">
        <f t="shared" si="46"/>
        <v>0</v>
      </c>
      <c r="E27" s="45">
        <f t="shared" si="16"/>
        <v>0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64">
        <f t="shared" si="37"/>
        <v>2000</v>
      </c>
      <c r="L27" s="52">
        <f t="shared" si="3"/>
        <v>0</v>
      </c>
      <c r="M27" s="64">
        <f t="shared" si="4"/>
        <v>146680</v>
      </c>
      <c r="N27" s="409">
        <f t="shared" si="5"/>
        <v>0</v>
      </c>
      <c r="O27" s="67">
        <f t="shared" si="6"/>
        <v>0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0</v>
      </c>
      <c r="V27" s="62">
        <f t="shared" si="20"/>
        <v>0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8"/>
        <v>0</v>
      </c>
      <c r="AC27" s="64">
        <f t="shared" si="12"/>
        <v>1848</v>
      </c>
      <c r="AD27" s="45">
        <f t="shared" si="13"/>
        <v>0</v>
      </c>
      <c r="AE27" s="64">
        <f t="shared" si="14"/>
        <v>360299.4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0</v>
      </c>
      <c r="AJ27" s="328">
        <f>-tanks!AW28</f>
        <v>0</v>
      </c>
      <c r="AK27" s="328">
        <f t="shared" si="25"/>
        <v>0</v>
      </c>
      <c r="AL27" s="328">
        <f t="shared" si="47"/>
        <v>0</v>
      </c>
      <c r="AM27" s="328">
        <f t="shared" si="26"/>
        <v>0</v>
      </c>
      <c r="AN27" s="64">
        <f t="shared" si="38"/>
        <v>68</v>
      </c>
      <c r="AO27" s="330">
        <f>(AN27/100)*3000</f>
        <v>2040.0000000000002</v>
      </c>
      <c r="AP27" s="64">
        <f t="shared" si="39"/>
        <v>68</v>
      </c>
      <c r="AQ27" s="330">
        <f t="shared" si="50"/>
        <v>2040.0000000000002</v>
      </c>
      <c r="AR27" s="64">
        <f t="shared" si="41"/>
        <v>60</v>
      </c>
      <c r="AS27" s="330">
        <f t="shared" si="34"/>
        <v>1800</v>
      </c>
      <c r="AT27" s="330">
        <f t="shared" si="49"/>
        <v>5880</v>
      </c>
      <c r="AU27" s="330">
        <f t="shared" si="36"/>
        <v>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f t="shared" si="45"/>
        <v>150</v>
      </c>
      <c r="C28" s="64">
        <f t="shared" si="45"/>
        <v>156</v>
      </c>
      <c r="D28" s="45">
        <f t="shared" si="46"/>
        <v>0</v>
      </c>
      <c r="E28" s="45">
        <f t="shared" si="16"/>
        <v>0</v>
      </c>
      <c r="F28" s="64">
        <f t="shared" si="42"/>
        <v>1596</v>
      </c>
      <c r="G28" s="52">
        <f t="shared" si="1"/>
        <v>0</v>
      </c>
      <c r="H28" s="64">
        <f t="shared" si="42"/>
        <v>353837</v>
      </c>
      <c r="I28" s="409">
        <f t="shared" si="2"/>
        <v>0</v>
      </c>
      <c r="J28" s="66">
        <f t="shared" si="17"/>
        <v>0</v>
      </c>
      <c r="K28" s="64">
        <f t="shared" si="37"/>
        <v>2000</v>
      </c>
      <c r="L28" s="52">
        <f t="shared" si="3"/>
        <v>0</v>
      </c>
      <c r="M28" s="64">
        <f t="shared" si="4"/>
        <v>146680</v>
      </c>
      <c r="N28" s="409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3"/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0</v>
      </c>
      <c r="V28" s="62">
        <f t="shared" si="20"/>
        <v>0</v>
      </c>
      <c r="W28" s="413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4">
        <f t="shared" si="48"/>
        <v>0</v>
      </c>
      <c r="AC28" s="64">
        <f t="shared" si="12"/>
        <v>1848</v>
      </c>
      <c r="AD28" s="45">
        <f t="shared" si="13"/>
        <v>0</v>
      </c>
      <c r="AE28" s="64">
        <f t="shared" si="14"/>
        <v>360299.4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0</v>
      </c>
      <c r="AJ28" s="328">
        <f>-tanks!AW29</f>
        <v>0</v>
      </c>
      <c r="AK28" s="328">
        <f t="shared" si="25"/>
        <v>0</v>
      </c>
      <c r="AL28" s="328">
        <f t="shared" si="47"/>
        <v>0</v>
      </c>
      <c r="AM28" s="328">
        <f t="shared" si="26"/>
        <v>0</v>
      </c>
      <c r="AN28" s="64">
        <f t="shared" si="38"/>
        <v>68</v>
      </c>
      <c r="AO28" s="330">
        <f t="shared" ref="AO28:AO34" si="51">(AN28/100)*3000</f>
        <v>2040.0000000000002</v>
      </c>
      <c r="AP28" s="64">
        <f t="shared" si="39"/>
        <v>68</v>
      </c>
      <c r="AQ28" s="330">
        <f t="shared" si="50"/>
        <v>2040.0000000000002</v>
      </c>
      <c r="AR28" s="64">
        <f t="shared" si="41"/>
        <v>60</v>
      </c>
      <c r="AS28" s="330">
        <f t="shared" si="34"/>
        <v>1800</v>
      </c>
      <c r="AT28" s="330">
        <f t="shared" si="49"/>
        <v>5880</v>
      </c>
      <c r="AU28" s="330">
        <f t="shared" si="36"/>
        <v>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f t="shared" si="45"/>
        <v>150</v>
      </c>
      <c r="C29" s="64">
        <f t="shared" si="45"/>
        <v>156</v>
      </c>
      <c r="D29" s="45">
        <f t="shared" si="46"/>
        <v>0</v>
      </c>
      <c r="E29" s="45">
        <f t="shared" si="16"/>
        <v>0</v>
      </c>
      <c r="F29" s="64">
        <f t="shared" si="42"/>
        <v>1596</v>
      </c>
      <c r="G29" s="52">
        <f t="shared" si="1"/>
        <v>0</v>
      </c>
      <c r="H29" s="64">
        <f t="shared" si="42"/>
        <v>353837</v>
      </c>
      <c r="I29" s="409">
        <f t="shared" si="2"/>
        <v>0</v>
      </c>
      <c r="J29" s="66">
        <f t="shared" si="17"/>
        <v>0</v>
      </c>
      <c r="K29" s="64">
        <f t="shared" si="37"/>
        <v>2000</v>
      </c>
      <c r="L29" s="52">
        <f t="shared" si="3"/>
        <v>0</v>
      </c>
      <c r="M29" s="64">
        <f t="shared" si="4"/>
        <v>146680</v>
      </c>
      <c r="N29" s="409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0</v>
      </c>
      <c r="V29" s="62">
        <f t="shared" si="20"/>
        <v>0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8"/>
        <v>0</v>
      </c>
      <c r="AC29" s="64">
        <f t="shared" si="12"/>
        <v>1848</v>
      </c>
      <c r="AD29" s="45">
        <f t="shared" si="13"/>
        <v>0</v>
      </c>
      <c r="AE29" s="64">
        <f t="shared" si="14"/>
        <v>360299.4</v>
      </c>
      <c r="AF29" s="316">
        <f t="shared" si="23"/>
        <v>0</v>
      </c>
      <c r="AG29" s="213">
        <f t="shared" si="32"/>
        <v>0</v>
      </c>
      <c r="AH29" s="62">
        <f t="shared" si="33"/>
        <v>0</v>
      </c>
      <c r="AI29" s="328">
        <f t="shared" si="24"/>
        <v>0</v>
      </c>
      <c r="AJ29" s="328">
        <f>-tanks!AW30</f>
        <v>0</v>
      </c>
      <c r="AK29" s="328">
        <f t="shared" si="25"/>
        <v>0</v>
      </c>
      <c r="AL29" s="328">
        <f t="shared" si="47"/>
        <v>0</v>
      </c>
      <c r="AM29" s="328">
        <f t="shared" si="26"/>
        <v>0</v>
      </c>
      <c r="AN29" s="64">
        <f t="shared" si="38"/>
        <v>68</v>
      </c>
      <c r="AO29" s="330">
        <f t="shared" si="51"/>
        <v>2040.0000000000002</v>
      </c>
      <c r="AP29" s="64">
        <f t="shared" si="39"/>
        <v>68</v>
      </c>
      <c r="AQ29" s="330">
        <f t="shared" si="50"/>
        <v>2040.0000000000002</v>
      </c>
      <c r="AR29" s="64">
        <f t="shared" si="41"/>
        <v>60</v>
      </c>
      <c r="AS29" s="330">
        <f t="shared" si="34"/>
        <v>1800</v>
      </c>
      <c r="AT29" s="330">
        <f>SUM(AO29+AQ29+AS29)</f>
        <v>5880</v>
      </c>
      <c r="AU29" s="330">
        <f>AT28-AT29+AV29</f>
        <v>0</v>
      </c>
      <c r="AV29" s="276"/>
      <c r="AW29" s="276"/>
      <c r="AX29" s="323">
        <f t="shared" si="29"/>
        <v>0.7</v>
      </c>
    </row>
    <row r="30" spans="1:50">
      <c r="A30" s="63">
        <f>ELEC!C28</f>
        <v>44008</v>
      </c>
      <c r="B30" s="64">
        <f t="shared" si="45"/>
        <v>150</v>
      </c>
      <c r="C30" s="64">
        <f t="shared" si="45"/>
        <v>156</v>
      </c>
      <c r="D30" s="45">
        <f t="shared" si="46"/>
        <v>0</v>
      </c>
      <c r="E30" s="45">
        <f t="shared" si="16"/>
        <v>0</v>
      </c>
      <c r="F30" s="64">
        <f t="shared" si="42"/>
        <v>1596</v>
      </c>
      <c r="G30" s="52">
        <f t="shared" si="1"/>
        <v>0</v>
      </c>
      <c r="H30" s="64">
        <f t="shared" si="42"/>
        <v>353837</v>
      </c>
      <c r="I30" s="409">
        <f t="shared" si="2"/>
        <v>0</v>
      </c>
      <c r="J30" s="66">
        <f t="shared" si="17"/>
        <v>0</v>
      </c>
      <c r="K30" s="64">
        <f t="shared" si="37"/>
        <v>2000</v>
      </c>
      <c r="L30" s="52">
        <f t="shared" si="3"/>
        <v>0</v>
      </c>
      <c r="M30" s="64">
        <f t="shared" si="4"/>
        <v>146680</v>
      </c>
      <c r="N30" s="409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3"/>
        <v>152974</v>
      </c>
      <c r="R30" s="408">
        <f t="shared" si="40"/>
        <v>0</v>
      </c>
      <c r="S30" s="52">
        <f t="shared" si="8"/>
        <v>0</v>
      </c>
      <c r="T30" s="68">
        <f t="shared" si="30"/>
        <v>0</v>
      </c>
      <c r="U30" s="415">
        <f t="shared" si="19"/>
        <v>0</v>
      </c>
      <c r="V30" s="62">
        <f t="shared" si="20"/>
        <v>0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8"/>
        <v>0</v>
      </c>
      <c r="AC30" s="64">
        <f t="shared" si="12"/>
        <v>1848</v>
      </c>
      <c r="AD30" s="45">
        <f t="shared" si="13"/>
        <v>0</v>
      </c>
      <c r="AE30" s="64">
        <f t="shared" si="14"/>
        <v>360299.4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0</v>
      </c>
      <c r="AJ30" s="328">
        <f>-tanks!AW31</f>
        <v>0</v>
      </c>
      <c r="AK30" s="328">
        <f t="shared" si="25"/>
        <v>0</v>
      </c>
      <c r="AL30" s="328">
        <f t="shared" si="47"/>
        <v>0</v>
      </c>
      <c r="AM30" s="328">
        <f t="shared" si="26"/>
        <v>0</v>
      </c>
      <c r="AN30" s="64">
        <f t="shared" si="38"/>
        <v>68</v>
      </c>
      <c r="AO30" s="330">
        <f t="shared" si="51"/>
        <v>2040.0000000000002</v>
      </c>
      <c r="AP30" s="64">
        <f t="shared" si="39"/>
        <v>68</v>
      </c>
      <c r="AQ30" s="330">
        <f t="shared" si="50"/>
        <v>2040.0000000000002</v>
      </c>
      <c r="AR30" s="64">
        <f t="shared" si="41"/>
        <v>60</v>
      </c>
      <c r="AS30" s="330">
        <f t="shared" si="34"/>
        <v>1800</v>
      </c>
      <c r="AT30" s="330">
        <f t="shared" si="49"/>
        <v>5880</v>
      </c>
      <c r="AU30" s="330">
        <f t="shared" si="36"/>
        <v>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f t="shared" si="45"/>
        <v>150</v>
      </c>
      <c r="C31" s="64">
        <f t="shared" si="45"/>
        <v>156</v>
      </c>
      <c r="D31" s="45">
        <f t="shared" si="46"/>
        <v>0</v>
      </c>
      <c r="E31" s="45">
        <f t="shared" si="16"/>
        <v>0</v>
      </c>
      <c r="F31" s="64">
        <f t="shared" si="42"/>
        <v>1596</v>
      </c>
      <c r="G31" s="52">
        <f t="shared" si="1"/>
        <v>0</v>
      </c>
      <c r="H31" s="64">
        <f t="shared" si="42"/>
        <v>353837</v>
      </c>
      <c r="I31" s="409">
        <f t="shared" si="2"/>
        <v>0</v>
      </c>
      <c r="J31" s="66">
        <f t="shared" si="17"/>
        <v>0</v>
      </c>
      <c r="K31" s="64">
        <f t="shared" si="37"/>
        <v>2000</v>
      </c>
      <c r="L31" s="52">
        <f t="shared" si="3"/>
        <v>0</v>
      </c>
      <c r="M31" s="64">
        <f t="shared" si="4"/>
        <v>146680</v>
      </c>
      <c r="N31" s="409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3"/>
        <v>152974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0</v>
      </c>
      <c r="V31" s="62">
        <f t="shared" si="20"/>
        <v>0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8"/>
        <v>0</v>
      </c>
      <c r="AC31" s="64">
        <f t="shared" si="12"/>
        <v>1848</v>
      </c>
      <c r="AD31" s="276">
        <f t="shared" si="13"/>
        <v>0</v>
      </c>
      <c r="AE31" s="64">
        <f t="shared" si="14"/>
        <v>360299.4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0</v>
      </c>
      <c r="AJ31" s="328">
        <f>-tanks!AW32</f>
        <v>0</v>
      </c>
      <c r="AK31" s="328">
        <f t="shared" si="25"/>
        <v>0</v>
      </c>
      <c r="AL31" s="328">
        <f t="shared" si="47"/>
        <v>0</v>
      </c>
      <c r="AM31" s="328">
        <f t="shared" si="26"/>
        <v>0</v>
      </c>
      <c r="AN31" s="64">
        <f t="shared" si="38"/>
        <v>68</v>
      </c>
      <c r="AO31" s="330">
        <f t="shared" si="51"/>
        <v>2040.0000000000002</v>
      </c>
      <c r="AP31" s="64">
        <f t="shared" si="39"/>
        <v>68</v>
      </c>
      <c r="AQ31" s="330">
        <f t="shared" si="50"/>
        <v>2040.0000000000002</v>
      </c>
      <c r="AR31" s="64">
        <f t="shared" si="41"/>
        <v>60</v>
      </c>
      <c r="AS31" s="330">
        <f t="shared" si="34"/>
        <v>1800</v>
      </c>
      <c r="AT31" s="330">
        <f t="shared" si="49"/>
        <v>5880</v>
      </c>
      <c r="AU31" s="330">
        <f t="shared" si="36"/>
        <v>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f t="shared" si="45"/>
        <v>150</v>
      </c>
      <c r="C32" s="64">
        <f t="shared" si="45"/>
        <v>156</v>
      </c>
      <c r="D32" s="45">
        <f t="shared" si="0"/>
        <v>0</v>
      </c>
      <c r="E32" s="45">
        <f t="shared" ref="E32:E34" si="52">D32*8.38</f>
        <v>0</v>
      </c>
      <c r="F32" s="64">
        <f t="shared" si="42"/>
        <v>1596</v>
      </c>
      <c r="G32" s="52">
        <f t="shared" si="1"/>
        <v>0</v>
      </c>
      <c r="H32" s="64">
        <f t="shared" si="42"/>
        <v>353837</v>
      </c>
      <c r="I32" s="409">
        <f t="shared" si="2"/>
        <v>0</v>
      </c>
      <c r="J32" s="66">
        <f t="shared" si="17"/>
        <v>0</v>
      </c>
      <c r="K32" s="64">
        <f t="shared" si="37"/>
        <v>2000</v>
      </c>
      <c r="L32" s="52">
        <f t="shared" si="3"/>
        <v>0</v>
      </c>
      <c r="M32" s="64">
        <f t="shared" si="4"/>
        <v>146680</v>
      </c>
      <c r="N32" s="409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3"/>
        <v>152974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0</v>
      </c>
      <c r="V32" s="62">
        <f t="shared" si="20"/>
        <v>0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8"/>
        <v>0</v>
      </c>
      <c r="AC32" s="64">
        <f t="shared" si="12"/>
        <v>1848</v>
      </c>
      <c r="AD32" s="276">
        <f t="shared" si="13"/>
        <v>0</v>
      </c>
      <c r="AE32" s="64">
        <f t="shared" si="14"/>
        <v>360299.4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0</v>
      </c>
      <c r="AJ32" s="328">
        <f>-tanks!AW33</f>
        <v>0</v>
      </c>
      <c r="AK32" s="328">
        <f t="shared" si="25"/>
        <v>0</v>
      </c>
      <c r="AL32" s="328">
        <f t="shared" si="47"/>
        <v>0</v>
      </c>
      <c r="AM32" s="328">
        <f t="shared" si="26"/>
        <v>0</v>
      </c>
      <c r="AN32" s="64">
        <f t="shared" si="38"/>
        <v>68</v>
      </c>
      <c r="AO32" s="330">
        <f t="shared" si="51"/>
        <v>2040.0000000000002</v>
      </c>
      <c r="AP32" s="64">
        <f t="shared" si="39"/>
        <v>68</v>
      </c>
      <c r="AQ32" s="330">
        <f t="shared" si="50"/>
        <v>2040.0000000000002</v>
      </c>
      <c r="AR32" s="64">
        <f t="shared" si="41"/>
        <v>60</v>
      </c>
      <c r="AS32" s="330">
        <f t="shared" si="34"/>
        <v>1800</v>
      </c>
      <c r="AT32" s="330">
        <f t="shared" si="49"/>
        <v>5880</v>
      </c>
      <c r="AU32" s="330">
        <f t="shared" si="36"/>
        <v>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si="45"/>
        <v>150</v>
      </c>
      <c r="C33" s="64">
        <f t="shared" si="45"/>
        <v>156</v>
      </c>
      <c r="D33" s="45">
        <f t="shared" si="0"/>
        <v>0</v>
      </c>
      <c r="E33" s="45">
        <f t="shared" si="52"/>
        <v>0</v>
      </c>
      <c r="F33" s="64">
        <f t="shared" si="42"/>
        <v>1596</v>
      </c>
      <c r="G33" s="52">
        <f t="shared" si="1"/>
        <v>0</v>
      </c>
      <c r="H33" s="64">
        <f t="shared" si="42"/>
        <v>353837</v>
      </c>
      <c r="I33" s="409">
        <f t="shared" si="2"/>
        <v>0</v>
      </c>
      <c r="J33" s="66">
        <f t="shared" si="17"/>
        <v>0</v>
      </c>
      <c r="K33" s="64">
        <f t="shared" si="37"/>
        <v>2000</v>
      </c>
      <c r="L33" s="52">
        <f t="shared" si="3"/>
        <v>0</v>
      </c>
      <c r="M33" s="64">
        <f t="shared" si="4"/>
        <v>146680</v>
      </c>
      <c r="N33" s="409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3"/>
        <v>152974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8"/>
        <v>0</v>
      </c>
      <c r="AC33" s="64">
        <f t="shared" si="12"/>
        <v>1848</v>
      </c>
      <c r="AD33" s="45">
        <f t="shared" si="13"/>
        <v>0</v>
      </c>
      <c r="AE33" s="64">
        <f t="shared" si="14"/>
        <v>360299.4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7"/>
        <v>0</v>
      </c>
      <c r="AM33" s="328">
        <f t="shared" si="26"/>
        <v>0</v>
      </c>
      <c r="AN33" s="64">
        <f t="shared" si="38"/>
        <v>68</v>
      </c>
      <c r="AO33" s="330">
        <f t="shared" si="51"/>
        <v>2040.0000000000002</v>
      </c>
      <c r="AP33" s="64">
        <f t="shared" si="39"/>
        <v>68</v>
      </c>
      <c r="AQ33" s="330">
        <f t="shared" si="50"/>
        <v>2040.0000000000002</v>
      </c>
      <c r="AR33" s="64">
        <f t="shared" si="41"/>
        <v>60</v>
      </c>
      <c r="AS33" s="330">
        <f t="shared" si="34"/>
        <v>1800</v>
      </c>
      <c r="AT33" s="330">
        <f t="shared" si="49"/>
        <v>5880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45"/>
        <v>150</v>
      </c>
      <c r="C34" s="64">
        <f t="shared" si="45"/>
        <v>156</v>
      </c>
      <c r="D34" s="45">
        <f t="shared" si="0"/>
        <v>0</v>
      </c>
      <c r="E34" s="45">
        <f t="shared" si="52"/>
        <v>0</v>
      </c>
      <c r="F34" s="64">
        <f t="shared" si="42"/>
        <v>1596</v>
      </c>
      <c r="G34" s="52">
        <f t="shared" si="1"/>
        <v>0</v>
      </c>
      <c r="H34" s="64">
        <f t="shared" si="42"/>
        <v>353837</v>
      </c>
      <c r="I34" s="409">
        <f t="shared" si="2"/>
        <v>0</v>
      </c>
      <c r="J34" s="66">
        <f t="shared" si="17"/>
        <v>0</v>
      </c>
      <c r="K34" s="64">
        <f t="shared" si="37"/>
        <v>2000</v>
      </c>
      <c r="L34" s="52">
        <f t="shared" si="3"/>
        <v>0</v>
      </c>
      <c r="M34" s="64">
        <f t="shared" si="4"/>
        <v>146680</v>
      </c>
      <c r="N34" s="409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3"/>
        <v>152974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8"/>
        <v>0</v>
      </c>
      <c r="AC34" s="64">
        <f t="shared" si="12"/>
        <v>1848</v>
      </c>
      <c r="AD34" s="45">
        <f t="shared" si="13"/>
        <v>0</v>
      </c>
      <c r="AE34" s="64">
        <f t="shared" si="14"/>
        <v>360299.4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7"/>
        <v>0</v>
      </c>
      <c r="AM34" s="328">
        <f>Y34+AD34</f>
        <v>0</v>
      </c>
      <c r="AN34" s="64">
        <f t="shared" si="38"/>
        <v>68</v>
      </c>
      <c r="AO34" s="330">
        <f t="shared" si="51"/>
        <v>2040.0000000000002</v>
      </c>
      <c r="AP34" s="64">
        <f t="shared" si="39"/>
        <v>68</v>
      </c>
      <c r="AQ34" s="330">
        <f t="shared" si="50"/>
        <v>2040.0000000000002</v>
      </c>
      <c r="AR34" s="64">
        <f t="shared" si="41"/>
        <v>60</v>
      </c>
      <c r="AS34" s="330">
        <f t="shared" si="34"/>
        <v>1800</v>
      </c>
      <c r="AT34" s="330">
        <f t="shared" si="49"/>
        <v>5880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70.44047619047619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1</v>
      </c>
      <c r="AT35" s="323"/>
      <c r="AU35" s="323">
        <f>SUM(AU5:AU34)</f>
        <v>1820</v>
      </c>
      <c r="AV35" s="72">
        <f>SUM(AV5:AV34)</f>
        <v>1100</v>
      </c>
      <c r="AW35" s="323">
        <f>SUM(AW5:AW34)/AS35</f>
        <v>0.7</v>
      </c>
    </row>
    <row r="36" spans="1:50">
      <c r="AH36" s="62">
        <f>AF36+AA36</f>
        <v>0</v>
      </c>
      <c r="AI36" s="331">
        <f>SUM(AI5:AI34)</f>
        <v>5432.1000000000058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928.2</v>
      </c>
      <c r="AV37" s="323">
        <f>AV35/0.51</f>
        <v>2156.8627450980393</v>
      </c>
      <c r="AW37" s="323">
        <f>SUM(AW5:AW34)/AS35</f>
        <v>0.7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561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M1" zoomScaleNormal="100" workbookViewId="0">
      <pane ySplit="3" topLeftCell="A9" activePane="bottomLeft" state="frozen"/>
      <selection pane="bottomLeft" activeCell="AY19" sqref="AY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8996235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15" t="s">
        <v>95</v>
      </c>
      <c r="AS2" s="616"/>
      <c r="AT2" s="616"/>
      <c r="AU2" s="616"/>
      <c r="AV2" s="617"/>
      <c r="AW2" s="615" t="s">
        <v>96</v>
      </c>
      <c r="AX2" s="616"/>
      <c r="AY2" s="617"/>
      <c r="AZ2" s="615" t="s">
        <v>98</v>
      </c>
      <c r="BA2" s="616"/>
      <c r="BB2" s="617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12" t="s">
        <v>126</v>
      </c>
      <c r="AO3" s="613"/>
      <c r="AP3" s="614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8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6278</v>
      </c>
      <c r="L20" s="84">
        <f t="shared" si="33"/>
        <v>0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f t="shared" si="18"/>
        <v>4859</v>
      </c>
      <c r="U20" s="5">
        <f t="shared" si="4"/>
        <v>0</v>
      </c>
      <c r="V20" s="5">
        <f t="shared" si="18"/>
        <v>408</v>
      </c>
      <c r="W20" s="334">
        <f t="shared" si="17"/>
        <v>0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f t="shared" si="18"/>
        <v>159.02000000000001</v>
      </c>
      <c r="AF20" s="84">
        <f t="shared" si="21"/>
        <v>0</v>
      </c>
      <c r="AG20" s="5">
        <f t="shared" si="18"/>
        <v>1644</v>
      </c>
      <c r="AH20" s="84">
        <f t="shared" si="22"/>
        <v>0</v>
      </c>
      <c r="AI20" s="84">
        <f t="shared" si="23"/>
        <v>0</v>
      </c>
      <c r="AJ20" s="336">
        <f t="shared" si="24"/>
        <v>0</v>
      </c>
      <c r="AK20" s="337">
        <f t="shared" si="5"/>
        <v>0</v>
      </c>
      <c r="AL20" s="337">
        <f t="shared" si="25"/>
        <v>0</v>
      </c>
      <c r="AM20" s="337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5">
        <f t="shared" si="26"/>
        <v>43997</v>
      </c>
      <c r="AS20" s="438">
        <f t="shared" si="6"/>
        <v>0.9</v>
      </c>
      <c r="AT20" s="205">
        <f t="shared" si="6"/>
        <v>177</v>
      </c>
      <c r="AU20" s="439">
        <f t="shared" si="34"/>
        <v>1.1000000000000001</v>
      </c>
      <c r="AV20" s="205">
        <f t="shared" si="34"/>
        <v>89</v>
      </c>
      <c r="AW20" s="5">
        <v>2.9</v>
      </c>
      <c r="AX20" s="205">
        <f t="shared" ref="AX20" si="38">AX19</f>
        <v>96</v>
      </c>
      <c r="AY20" s="442">
        <f t="shared" si="7"/>
        <v>159.30000000000001</v>
      </c>
      <c r="AZ20" s="442">
        <f t="shared" si="27"/>
        <v>97.9</v>
      </c>
      <c r="BA20" s="442">
        <f t="shared" si="28"/>
        <v>278.39999999999998</v>
      </c>
      <c r="BB20" s="21">
        <f t="shared" si="29"/>
        <v>0</v>
      </c>
      <c r="BC20" s="21">
        <f t="shared" si="30"/>
        <v>0</v>
      </c>
      <c r="BD20" s="21">
        <f t="shared" si="30"/>
        <v>0</v>
      </c>
      <c r="BE20" s="24">
        <f t="shared" si="31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f t="shared" si="13"/>
        <v>599749</v>
      </c>
      <c r="H21" s="5">
        <f t="shared" si="14"/>
        <v>0</v>
      </c>
      <c r="I21" s="5">
        <f t="shared" si="0"/>
        <v>0</v>
      </c>
      <c r="J21" s="344">
        <f t="shared" si="1"/>
        <v>0</v>
      </c>
      <c r="K21" s="5">
        <f>'Swimming Pool quality check '!H21</f>
        <v>6278</v>
      </c>
      <c r="L21" s="84">
        <f t="shared" si="33"/>
        <v>0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f t="shared" si="18"/>
        <v>4859</v>
      </c>
      <c r="U21" s="5">
        <f t="shared" si="4"/>
        <v>0</v>
      </c>
      <c r="V21" s="5">
        <f t="shared" si="18"/>
        <v>408</v>
      </c>
      <c r="W21" s="334">
        <f t="shared" si="17"/>
        <v>0</v>
      </c>
      <c r="X21" s="5">
        <f t="shared" si="18"/>
        <v>143983</v>
      </c>
      <c r="Y21" s="334">
        <f>SUM(X21-X20)</f>
        <v>0</v>
      </c>
      <c r="Z21" s="5">
        <f t="shared" si="18"/>
        <v>95011</v>
      </c>
      <c r="AA21" s="84">
        <f t="shared" si="20"/>
        <v>0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159.02000000000001</v>
      </c>
      <c r="AF21" s="84">
        <f t="shared" si="21"/>
        <v>0</v>
      </c>
      <c r="AG21" s="5">
        <f t="shared" si="18"/>
        <v>1644</v>
      </c>
      <c r="AH21" s="84">
        <f t="shared" si="22"/>
        <v>0</v>
      </c>
      <c r="AI21" s="84">
        <f t="shared" si="23"/>
        <v>0</v>
      </c>
      <c r="AJ21" s="336">
        <f t="shared" si="24"/>
        <v>0</v>
      </c>
      <c r="AK21" s="337">
        <f t="shared" si="5"/>
        <v>0</v>
      </c>
      <c r="AL21" s="337">
        <f t="shared" si="25"/>
        <v>0</v>
      </c>
      <c r="AM21" s="337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5">
        <f t="shared" si="26"/>
        <v>43998</v>
      </c>
      <c r="AS21" s="438">
        <f t="shared" si="6"/>
        <v>0.9</v>
      </c>
      <c r="AT21" s="205">
        <f t="shared" si="6"/>
        <v>177</v>
      </c>
      <c r="AU21" s="439">
        <f t="shared" si="34"/>
        <v>1.1000000000000001</v>
      </c>
      <c r="AV21" s="205">
        <f t="shared" si="34"/>
        <v>89</v>
      </c>
      <c r="AW21" s="5">
        <v>2.9</v>
      </c>
      <c r="AX21" s="205">
        <f t="shared" ref="AX21" si="39">AX20</f>
        <v>96</v>
      </c>
      <c r="AY21" s="442">
        <f t="shared" si="7"/>
        <v>159.30000000000001</v>
      </c>
      <c r="AZ21" s="442">
        <f t="shared" si="27"/>
        <v>97.9</v>
      </c>
      <c r="BA21" s="442">
        <f t="shared" si="28"/>
        <v>278.39999999999998</v>
      </c>
      <c r="BB21" s="21">
        <f t="shared" si="2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599749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6278</v>
      </c>
      <c r="L22" s="84">
        <f t="shared" si="33"/>
        <v>0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4859</v>
      </c>
      <c r="U22" s="5">
        <f t="shared" si="4"/>
        <v>0</v>
      </c>
      <c r="V22" s="5">
        <f t="shared" si="18"/>
        <v>408</v>
      </c>
      <c r="W22" s="334">
        <f t="shared" si="17"/>
        <v>0</v>
      </c>
      <c r="X22" s="5">
        <f t="shared" si="18"/>
        <v>143983</v>
      </c>
      <c r="Y22" s="334">
        <f t="shared" si="19"/>
        <v>0</v>
      </c>
      <c r="Z22" s="5">
        <f t="shared" si="18"/>
        <v>95011</v>
      </c>
      <c r="AA22" s="84">
        <f t="shared" si="20"/>
        <v>0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159.02000000000001</v>
      </c>
      <c r="AF22" s="84">
        <f t="shared" si="21"/>
        <v>0</v>
      </c>
      <c r="AG22" s="5">
        <f t="shared" si="18"/>
        <v>1644</v>
      </c>
      <c r="AH22" s="84">
        <f t="shared" si="22"/>
        <v>0</v>
      </c>
      <c r="AI22" s="84">
        <f t="shared" si="23"/>
        <v>0</v>
      </c>
      <c r="AJ22" s="336">
        <f t="shared" si="24"/>
        <v>0</v>
      </c>
      <c r="AK22" s="337">
        <f t="shared" si="5"/>
        <v>0</v>
      </c>
      <c r="AL22" s="337">
        <f t="shared" si="25"/>
        <v>0</v>
      </c>
      <c r="AM22" s="337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5">
        <f t="shared" si="26"/>
        <v>43999</v>
      </c>
      <c r="AS22" s="438">
        <f t="shared" ref="AS22:AT35" si="40">AS21</f>
        <v>0.9</v>
      </c>
      <c r="AT22" s="205">
        <f t="shared" si="40"/>
        <v>177</v>
      </c>
      <c r="AU22" s="439">
        <f t="shared" si="34"/>
        <v>1.1000000000000001</v>
      </c>
      <c r="AV22" s="205">
        <f t="shared" si="34"/>
        <v>89</v>
      </c>
      <c r="AW22" s="5">
        <v>2.9</v>
      </c>
      <c r="AX22" s="205">
        <f t="shared" ref="AX22" si="41">AX21</f>
        <v>96</v>
      </c>
      <c r="AY22" s="442">
        <f t="shared" si="7"/>
        <v>159.30000000000001</v>
      </c>
      <c r="AZ22" s="442">
        <f t="shared" si="27"/>
        <v>97.9</v>
      </c>
      <c r="BA22" s="442">
        <f t="shared" si="28"/>
        <v>278.39999999999998</v>
      </c>
      <c r="BB22" s="21">
        <f>AY22-AY21</f>
        <v>0</v>
      </c>
      <c r="BC22" s="21">
        <f t="shared" si="29"/>
        <v>0</v>
      </c>
      <c r="BD22" s="21">
        <f t="shared" si="29"/>
        <v>0</v>
      </c>
      <c r="BE22" s="24">
        <f t="shared" si="31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44000</v>
      </c>
      <c r="B23" s="5">
        <f t="shared" si="10"/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f t="shared" si="13"/>
        <v>599749</v>
      </c>
      <c r="H23" s="5">
        <f t="shared" si="14"/>
        <v>0</v>
      </c>
      <c r="I23" s="5">
        <f t="shared" si="0"/>
        <v>0</v>
      </c>
      <c r="J23" s="344">
        <f t="shared" si="1"/>
        <v>0</v>
      </c>
      <c r="K23" s="5">
        <f>'Swimming Pool quality check '!H23</f>
        <v>6278</v>
      </c>
      <c r="L23" s="282">
        <f t="shared" si="33"/>
        <v>0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f t="shared" si="18"/>
        <v>4859</v>
      </c>
      <c r="U23" s="5">
        <f t="shared" si="4"/>
        <v>0</v>
      </c>
      <c r="V23" s="5">
        <f t="shared" si="18"/>
        <v>408</v>
      </c>
      <c r="W23" s="334">
        <f t="shared" si="17"/>
        <v>0</v>
      </c>
      <c r="X23" s="5">
        <f t="shared" si="18"/>
        <v>143983</v>
      </c>
      <c r="Y23" s="334">
        <f t="shared" si="19"/>
        <v>0</v>
      </c>
      <c r="Z23" s="5">
        <f t="shared" si="18"/>
        <v>95011</v>
      </c>
      <c r="AA23" s="84">
        <f t="shared" si="20"/>
        <v>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f t="shared" si="18"/>
        <v>159.02000000000001</v>
      </c>
      <c r="AF23" s="84">
        <f t="shared" si="21"/>
        <v>0</v>
      </c>
      <c r="AG23" s="5">
        <f t="shared" si="18"/>
        <v>1644</v>
      </c>
      <c r="AH23" s="84">
        <f t="shared" si="22"/>
        <v>0</v>
      </c>
      <c r="AI23" s="84">
        <f t="shared" si="23"/>
        <v>0</v>
      </c>
      <c r="AJ23" s="336">
        <f t="shared" si="24"/>
        <v>0</v>
      </c>
      <c r="AK23" s="337">
        <f t="shared" si="5"/>
        <v>0</v>
      </c>
      <c r="AL23" s="337">
        <f t="shared" si="25"/>
        <v>0</v>
      </c>
      <c r="AM23" s="337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5">
        <f t="shared" si="26"/>
        <v>44000</v>
      </c>
      <c r="AS23" s="438">
        <f t="shared" si="40"/>
        <v>0.9</v>
      </c>
      <c r="AT23" s="205">
        <f t="shared" si="40"/>
        <v>177</v>
      </c>
      <c r="AU23" s="439">
        <f t="shared" si="34"/>
        <v>1.1000000000000001</v>
      </c>
      <c r="AV23" s="205">
        <f t="shared" si="34"/>
        <v>89</v>
      </c>
      <c r="AW23" s="5">
        <v>2.9</v>
      </c>
      <c r="AX23" s="205">
        <f t="shared" ref="AX23" si="42">AX22</f>
        <v>96</v>
      </c>
      <c r="AY23" s="442">
        <f t="shared" si="7"/>
        <v>159.30000000000001</v>
      </c>
      <c r="AZ23" s="442">
        <f t="shared" si="27"/>
        <v>97.9</v>
      </c>
      <c r="BA23" s="442">
        <f t="shared" si="28"/>
        <v>278.39999999999998</v>
      </c>
      <c r="BB23" s="21">
        <f t="shared" si="29"/>
        <v>0</v>
      </c>
      <c r="BC23" s="21">
        <f t="shared" si="29"/>
        <v>0</v>
      </c>
      <c r="BD23" s="21">
        <f t="shared" si="29"/>
        <v>0</v>
      </c>
      <c r="BE23" s="24">
        <f t="shared" si="31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599749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6278</v>
      </c>
      <c r="L24" s="282">
        <f t="shared" si="33"/>
        <v>0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f t="shared" si="18"/>
        <v>4859</v>
      </c>
      <c r="U24" s="5">
        <f t="shared" si="4"/>
        <v>0</v>
      </c>
      <c r="V24" s="5">
        <f t="shared" si="18"/>
        <v>408</v>
      </c>
      <c r="W24" s="334">
        <f t="shared" si="17"/>
        <v>0</v>
      </c>
      <c r="X24" s="5">
        <f t="shared" si="18"/>
        <v>143983</v>
      </c>
      <c r="Y24" s="334">
        <f t="shared" si="19"/>
        <v>0</v>
      </c>
      <c r="Z24" s="5">
        <f t="shared" si="18"/>
        <v>95011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159.02000000000001</v>
      </c>
      <c r="AF24" s="84">
        <f t="shared" si="21"/>
        <v>0</v>
      </c>
      <c r="AG24" s="5">
        <f t="shared" si="18"/>
        <v>1644</v>
      </c>
      <c r="AH24" s="84">
        <f t="shared" si="22"/>
        <v>0</v>
      </c>
      <c r="AI24" s="84">
        <f t="shared" si="23"/>
        <v>0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5">
        <f t="shared" si="26"/>
        <v>44001</v>
      </c>
      <c r="AS24" s="438">
        <f t="shared" si="40"/>
        <v>0.9</v>
      </c>
      <c r="AT24" s="205">
        <f t="shared" si="40"/>
        <v>177</v>
      </c>
      <c r="AU24" s="439">
        <f t="shared" si="34"/>
        <v>1.1000000000000001</v>
      </c>
      <c r="AV24" s="205">
        <f t="shared" si="34"/>
        <v>89</v>
      </c>
      <c r="AW24" s="5">
        <v>2.9</v>
      </c>
      <c r="AX24" s="205">
        <f t="shared" ref="AX24" si="43">AX23</f>
        <v>96</v>
      </c>
      <c r="AY24" s="442">
        <f t="shared" si="7"/>
        <v>159.30000000000001</v>
      </c>
      <c r="AZ24" s="442">
        <f t="shared" si="27"/>
        <v>97.9</v>
      </c>
      <c r="BA24" s="442">
        <f t="shared" si="28"/>
        <v>278.39999999999998</v>
      </c>
      <c r="BB24" s="21">
        <f t="shared" si="29"/>
        <v>0</v>
      </c>
      <c r="BC24" s="21">
        <f t="shared" si="29"/>
        <v>0</v>
      </c>
      <c r="BD24" s="21">
        <f t="shared" si="29"/>
        <v>0</v>
      </c>
      <c r="BE24" s="24">
        <f t="shared" si="31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f t="shared" si="13"/>
        <v>599749</v>
      </c>
      <c r="H25" s="5">
        <f t="shared" si="14"/>
        <v>0</v>
      </c>
      <c r="I25" s="5">
        <f t="shared" si="0"/>
        <v>0</v>
      </c>
      <c r="J25" s="344">
        <f t="shared" si="1"/>
        <v>0</v>
      </c>
      <c r="K25" s="5">
        <f>'Swimming Pool quality check '!H25</f>
        <v>6278</v>
      </c>
      <c r="L25" s="282">
        <f t="shared" si="33"/>
        <v>0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f t="shared" si="18"/>
        <v>4859</v>
      </c>
      <c r="U25" s="5">
        <f t="shared" si="4"/>
        <v>0</v>
      </c>
      <c r="V25" s="5">
        <f t="shared" si="18"/>
        <v>408</v>
      </c>
      <c r="W25" s="334">
        <f t="shared" si="17"/>
        <v>0</v>
      </c>
      <c r="X25" s="5">
        <f t="shared" si="18"/>
        <v>143983</v>
      </c>
      <c r="Y25" s="334">
        <f t="shared" si="19"/>
        <v>0</v>
      </c>
      <c r="Z25" s="5">
        <f t="shared" si="18"/>
        <v>95011</v>
      </c>
      <c r="AA25" s="84">
        <f t="shared" si="20"/>
        <v>0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159.02000000000001</v>
      </c>
      <c r="AF25" s="84">
        <f t="shared" si="21"/>
        <v>0</v>
      </c>
      <c r="AG25" s="5">
        <f t="shared" si="18"/>
        <v>1644</v>
      </c>
      <c r="AH25" s="84">
        <f t="shared" si="22"/>
        <v>0</v>
      </c>
      <c r="AI25" s="84">
        <f t="shared" si="23"/>
        <v>0</v>
      </c>
      <c r="AJ25" s="336">
        <f t="shared" si="24"/>
        <v>0</v>
      </c>
      <c r="AK25" s="337">
        <f t="shared" si="5"/>
        <v>0</v>
      </c>
      <c r="AL25" s="337">
        <f t="shared" si="25"/>
        <v>0</v>
      </c>
      <c r="AM25" s="337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5">
        <f t="shared" si="26"/>
        <v>44002</v>
      </c>
      <c r="AS25" s="438">
        <f t="shared" si="40"/>
        <v>0.9</v>
      </c>
      <c r="AT25" s="205">
        <f t="shared" si="40"/>
        <v>177</v>
      </c>
      <c r="AU25" s="439">
        <f t="shared" si="34"/>
        <v>1.1000000000000001</v>
      </c>
      <c r="AV25" s="205">
        <f t="shared" si="34"/>
        <v>89</v>
      </c>
      <c r="AW25" s="5">
        <v>2.9</v>
      </c>
      <c r="AX25" s="205">
        <f t="shared" ref="AX25" si="44">AX24</f>
        <v>96</v>
      </c>
      <c r="AY25" s="442">
        <f t="shared" si="7"/>
        <v>159.30000000000001</v>
      </c>
      <c r="AZ25" s="442">
        <f t="shared" si="27"/>
        <v>97.9</v>
      </c>
      <c r="BA25" s="442">
        <f t="shared" si="28"/>
        <v>278.39999999999998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f t="shared" si="13"/>
        <v>599749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6278</v>
      </c>
      <c r="L26" s="282">
        <f t="shared" si="33"/>
        <v>0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f t="shared" si="18"/>
        <v>4859</v>
      </c>
      <c r="U26" s="5">
        <f t="shared" si="4"/>
        <v>0</v>
      </c>
      <c r="V26" s="5">
        <f t="shared" si="18"/>
        <v>408</v>
      </c>
      <c r="W26" s="334">
        <f t="shared" si="17"/>
        <v>0</v>
      </c>
      <c r="X26" s="5">
        <f t="shared" si="18"/>
        <v>143983</v>
      </c>
      <c r="Y26" s="334">
        <f t="shared" si="19"/>
        <v>0</v>
      </c>
      <c r="Z26" s="5">
        <f t="shared" si="18"/>
        <v>95011</v>
      </c>
      <c r="AA26" s="84">
        <f t="shared" si="20"/>
        <v>0</v>
      </c>
      <c r="AB26" s="5">
        <f t="shared" si="18"/>
        <v>268</v>
      </c>
      <c r="AC26" s="5">
        <f t="shared" si="18"/>
        <v>670</v>
      </c>
      <c r="AD26" s="84">
        <f t="shared" si="32"/>
        <v>0</v>
      </c>
      <c r="AE26" s="5">
        <f t="shared" si="18"/>
        <v>159.02000000000001</v>
      </c>
      <c r="AF26" s="84">
        <f t="shared" si="21"/>
        <v>0</v>
      </c>
      <c r="AG26" s="5">
        <f t="shared" si="18"/>
        <v>1644</v>
      </c>
      <c r="AH26" s="84">
        <f t="shared" si="22"/>
        <v>0</v>
      </c>
      <c r="AI26" s="84">
        <f t="shared" si="23"/>
        <v>0</v>
      </c>
      <c r="AJ26" s="336">
        <f t="shared" si="24"/>
        <v>0</v>
      </c>
      <c r="AK26" s="337">
        <f t="shared" si="5"/>
        <v>0</v>
      </c>
      <c r="AL26" s="337">
        <f>SUM(AJ26-W26)</f>
        <v>0</v>
      </c>
      <c r="AM26" s="337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5">
        <f t="shared" si="26"/>
        <v>44003</v>
      </c>
      <c r="AS26" s="438">
        <f t="shared" si="40"/>
        <v>0.9</v>
      </c>
      <c r="AT26" s="205">
        <f t="shared" si="40"/>
        <v>177</v>
      </c>
      <c r="AU26" s="439">
        <f t="shared" si="34"/>
        <v>1.1000000000000001</v>
      </c>
      <c r="AV26" s="205">
        <f t="shared" si="34"/>
        <v>89</v>
      </c>
      <c r="AW26" s="5">
        <v>2.9</v>
      </c>
      <c r="AX26" s="205">
        <f t="shared" ref="AX26" si="45">AX25</f>
        <v>96</v>
      </c>
      <c r="AY26" s="442">
        <f t="shared" si="7"/>
        <v>159.30000000000001</v>
      </c>
      <c r="AZ26" s="442">
        <f t="shared" si="27"/>
        <v>97.9</v>
      </c>
      <c r="BA26" s="442">
        <f t="shared" si="28"/>
        <v>278.39999999999998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353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f t="shared" si="13"/>
        <v>599749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6278</v>
      </c>
      <c r="L27" s="282">
        <f t="shared" si="33"/>
        <v>0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f t="shared" si="18"/>
        <v>4859</v>
      </c>
      <c r="U27" s="5">
        <f t="shared" si="4"/>
        <v>0</v>
      </c>
      <c r="V27" s="5">
        <f t="shared" si="18"/>
        <v>408</v>
      </c>
      <c r="W27" s="334">
        <f t="shared" si="17"/>
        <v>0</v>
      </c>
      <c r="X27" s="5">
        <f t="shared" si="18"/>
        <v>143983</v>
      </c>
      <c r="Y27" s="334">
        <f>SUM(X27-X26)</f>
        <v>0</v>
      </c>
      <c r="Z27" s="5">
        <f t="shared" si="18"/>
        <v>95011</v>
      </c>
      <c r="AA27" s="84">
        <f t="shared" si="20"/>
        <v>0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 t="shared" si="18"/>
        <v>159.02000000000001</v>
      </c>
      <c r="AF27" s="84">
        <f t="shared" si="21"/>
        <v>0</v>
      </c>
      <c r="AG27" s="5">
        <f t="shared" si="18"/>
        <v>1644</v>
      </c>
      <c r="AH27" s="84">
        <f t="shared" si="22"/>
        <v>0</v>
      </c>
      <c r="AI27" s="84">
        <f t="shared" si="23"/>
        <v>0</v>
      </c>
      <c r="AJ27" s="336">
        <f t="shared" si="24"/>
        <v>0</v>
      </c>
      <c r="AK27" s="337">
        <f t="shared" si="5"/>
        <v>0</v>
      </c>
      <c r="AL27" s="337">
        <f t="shared" si="25"/>
        <v>0</v>
      </c>
      <c r="AM27" s="337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5">
        <f t="shared" si="26"/>
        <v>44004</v>
      </c>
      <c r="AS27" s="438">
        <f t="shared" si="40"/>
        <v>0.9</v>
      </c>
      <c r="AT27" s="205">
        <f t="shared" si="40"/>
        <v>177</v>
      </c>
      <c r="AU27" s="439">
        <f t="shared" si="34"/>
        <v>1.1000000000000001</v>
      </c>
      <c r="AV27" s="205">
        <f t="shared" si="34"/>
        <v>89</v>
      </c>
      <c r="AW27" s="5">
        <v>2.9</v>
      </c>
      <c r="AX27" s="205">
        <f t="shared" ref="AX27" si="46">AX26</f>
        <v>96</v>
      </c>
      <c r="AY27" s="442">
        <f t="shared" si="7"/>
        <v>159.30000000000001</v>
      </c>
      <c r="AZ27" s="442">
        <f t="shared" si="27"/>
        <v>97.9</v>
      </c>
      <c r="BA27" s="442">
        <f t="shared" si="28"/>
        <v>278.39999999999998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599749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6278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f t="shared" si="18"/>
        <v>4859</v>
      </c>
      <c r="U28" s="5">
        <f t="shared" si="4"/>
        <v>0</v>
      </c>
      <c r="V28" s="5">
        <f t="shared" si="18"/>
        <v>408</v>
      </c>
      <c r="W28" s="334">
        <f t="shared" si="17"/>
        <v>0</v>
      </c>
      <c r="X28" s="5">
        <f t="shared" si="18"/>
        <v>143983</v>
      </c>
      <c r="Y28" s="334">
        <f t="shared" si="19"/>
        <v>0</v>
      </c>
      <c r="Z28" s="5">
        <f t="shared" si="18"/>
        <v>95011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159.02000000000001</v>
      </c>
      <c r="AF28" s="84">
        <f t="shared" si="21"/>
        <v>0</v>
      </c>
      <c r="AG28" s="5">
        <f t="shared" si="18"/>
        <v>1644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5">
        <f t="shared" si="26"/>
        <v>44005</v>
      </c>
      <c r="AS28" s="438">
        <f t="shared" si="40"/>
        <v>0.9</v>
      </c>
      <c r="AT28" s="205">
        <f t="shared" si="40"/>
        <v>177</v>
      </c>
      <c r="AU28" s="439">
        <f t="shared" si="34"/>
        <v>1.1000000000000001</v>
      </c>
      <c r="AV28" s="205">
        <f t="shared" si="34"/>
        <v>89</v>
      </c>
      <c r="AW28" s="5">
        <v>2.9</v>
      </c>
      <c r="AX28" s="205">
        <f t="shared" ref="AX28" si="47">AX27</f>
        <v>96</v>
      </c>
      <c r="AY28" s="442">
        <f t="shared" si="7"/>
        <v>159.30000000000001</v>
      </c>
      <c r="AZ28" s="442">
        <f t="shared" si="27"/>
        <v>97.9</v>
      </c>
      <c r="BA28" s="442">
        <f t="shared" si="28"/>
        <v>278.39999999999998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f t="shared" si="13"/>
        <v>599749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6278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f t="shared" si="18"/>
        <v>4859</v>
      </c>
      <c r="U29" s="5">
        <f t="shared" si="4"/>
        <v>0</v>
      </c>
      <c r="V29" s="5">
        <f t="shared" si="18"/>
        <v>408</v>
      </c>
      <c r="W29" s="334">
        <f t="shared" si="17"/>
        <v>0</v>
      </c>
      <c r="X29" s="5">
        <f t="shared" si="18"/>
        <v>143983</v>
      </c>
      <c r="Y29" s="334">
        <f t="shared" si="19"/>
        <v>0</v>
      </c>
      <c r="Z29" s="5">
        <f t="shared" si="18"/>
        <v>95011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159.02000000000001</v>
      </c>
      <c r="AF29" s="84">
        <f t="shared" si="21"/>
        <v>0</v>
      </c>
      <c r="AG29" s="5">
        <f t="shared" si="18"/>
        <v>1644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40"/>
        <v>0.9</v>
      </c>
      <c r="AT29" s="205">
        <f t="shared" si="40"/>
        <v>177</v>
      </c>
      <c r="AU29" s="439">
        <f t="shared" si="34"/>
        <v>1.1000000000000001</v>
      </c>
      <c r="AV29" s="205">
        <f t="shared" si="34"/>
        <v>89</v>
      </c>
      <c r="AW29" s="5">
        <v>2.9</v>
      </c>
      <c r="AX29" s="205">
        <f t="shared" ref="AX29" si="48">AX28</f>
        <v>96</v>
      </c>
      <c r="AY29" s="442">
        <f t="shared" si="7"/>
        <v>159.30000000000001</v>
      </c>
      <c r="AZ29" s="442">
        <f t="shared" si="27"/>
        <v>97.9</v>
      </c>
      <c r="BA29" s="442">
        <f t="shared" si="28"/>
        <v>278.39999999999998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599749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6278</v>
      </c>
      <c r="L30" s="282">
        <f t="shared" si="33"/>
        <v>0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f t="shared" si="18"/>
        <v>4859</v>
      </c>
      <c r="U30" s="5">
        <f t="shared" si="4"/>
        <v>0</v>
      </c>
      <c r="V30" s="5">
        <f t="shared" si="18"/>
        <v>408</v>
      </c>
      <c r="W30" s="334">
        <f t="shared" si="17"/>
        <v>0</v>
      </c>
      <c r="X30" s="5">
        <f t="shared" si="18"/>
        <v>143983</v>
      </c>
      <c r="Y30" s="334">
        <f t="shared" si="19"/>
        <v>0</v>
      </c>
      <c r="Z30" s="5">
        <f t="shared" si="18"/>
        <v>95011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159.02000000000001</v>
      </c>
      <c r="AF30" s="84">
        <f t="shared" si="21"/>
        <v>0</v>
      </c>
      <c r="AG30" s="5">
        <f t="shared" si="18"/>
        <v>1644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40"/>
        <v>0.9</v>
      </c>
      <c r="AT30" s="205">
        <f t="shared" si="40"/>
        <v>177</v>
      </c>
      <c r="AU30" s="439">
        <f t="shared" si="34"/>
        <v>1.1000000000000001</v>
      </c>
      <c r="AV30" s="205">
        <f t="shared" si="34"/>
        <v>89</v>
      </c>
      <c r="AW30" s="5">
        <v>2.9</v>
      </c>
      <c r="AX30" s="205">
        <f t="shared" ref="AX30" si="49">AX29</f>
        <v>96</v>
      </c>
      <c r="AY30" s="442">
        <f t="shared" si="7"/>
        <v>159.30000000000001</v>
      </c>
      <c r="AZ30" s="442">
        <f t="shared" si="27"/>
        <v>97.9</v>
      </c>
      <c r="BA30" s="442">
        <f t="shared" si="28"/>
        <v>278.39999999999998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log'!$A$39))</f>
        <v>250</v>
      </c>
      <c r="F31" s="337"/>
      <c r="G31" s="5">
        <f t="shared" si="13"/>
        <v>599749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6278</v>
      </c>
      <c r="L31" s="282">
        <f t="shared" si="33"/>
        <v>0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f t="shared" si="18"/>
        <v>4859</v>
      </c>
      <c r="U31" s="5">
        <f t="shared" si="4"/>
        <v>0</v>
      </c>
      <c r="V31" s="5">
        <f t="shared" si="18"/>
        <v>408</v>
      </c>
      <c r="W31" s="334">
        <f t="shared" si="17"/>
        <v>0</v>
      </c>
      <c r="X31" s="5">
        <f t="shared" si="18"/>
        <v>143983</v>
      </c>
      <c r="Y31" s="334">
        <f t="shared" si="19"/>
        <v>0</v>
      </c>
      <c r="Z31" s="5">
        <f t="shared" si="18"/>
        <v>95011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159.02000000000001</v>
      </c>
      <c r="AF31" s="84">
        <f t="shared" si="21"/>
        <v>0</v>
      </c>
      <c r="AG31" s="5">
        <f t="shared" si="18"/>
        <v>1644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40"/>
        <v>0.9</v>
      </c>
      <c r="AT31" s="205">
        <f t="shared" si="40"/>
        <v>177</v>
      </c>
      <c r="AU31" s="439">
        <f t="shared" si="34"/>
        <v>1.1000000000000001</v>
      </c>
      <c r="AV31" s="205">
        <f t="shared" si="34"/>
        <v>89</v>
      </c>
      <c r="AW31" s="5">
        <v>2.9</v>
      </c>
      <c r="AX31" s="205">
        <f t="shared" ref="AX31" si="50">AX30</f>
        <v>96</v>
      </c>
      <c r="AY31" s="442">
        <f t="shared" si="7"/>
        <v>159.30000000000001</v>
      </c>
      <c r="AZ31" s="442">
        <f t="shared" si="27"/>
        <v>97.9</v>
      </c>
      <c r="BA31" s="442">
        <f t="shared" si="28"/>
        <v>278.39999999999998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599749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6278</v>
      </c>
      <c r="L32" s="282">
        <f t="shared" si="33"/>
        <v>0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f t="shared" si="18"/>
        <v>4859</v>
      </c>
      <c r="U32" s="5">
        <f t="shared" si="4"/>
        <v>0</v>
      </c>
      <c r="V32" s="5">
        <f t="shared" si="18"/>
        <v>408</v>
      </c>
      <c r="W32" s="334">
        <f t="shared" si="17"/>
        <v>0</v>
      </c>
      <c r="X32" s="5">
        <f t="shared" si="18"/>
        <v>143983</v>
      </c>
      <c r="Y32" s="334">
        <f t="shared" si="19"/>
        <v>0</v>
      </c>
      <c r="Z32" s="5">
        <f t="shared" si="18"/>
        <v>95011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159.02000000000001</v>
      </c>
      <c r="AF32" s="84">
        <f t="shared" si="21"/>
        <v>0</v>
      </c>
      <c r="AG32" s="5">
        <f t="shared" si="18"/>
        <v>1644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40"/>
        <v>0.9</v>
      </c>
      <c r="AT32" s="205">
        <f t="shared" si="40"/>
        <v>177</v>
      </c>
      <c r="AU32" s="439">
        <f t="shared" si="34"/>
        <v>1.1000000000000001</v>
      </c>
      <c r="AV32" s="205">
        <f t="shared" si="34"/>
        <v>89</v>
      </c>
      <c r="AW32" s="5">
        <v>2.9</v>
      </c>
      <c r="AX32" s="205">
        <f t="shared" ref="AX32" si="51">AX31</f>
        <v>96</v>
      </c>
      <c r="AY32" s="442">
        <f t="shared" si="7"/>
        <v>159.30000000000001</v>
      </c>
      <c r="AZ32" s="442">
        <f t="shared" si="27"/>
        <v>97.9</v>
      </c>
      <c r="BA32" s="442">
        <f t="shared" si="28"/>
        <v>278.39999999999998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f t="shared" si="13"/>
        <v>599749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6278</v>
      </c>
      <c r="L33" s="282">
        <f t="shared" si="33"/>
        <v>0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f t="shared" si="18"/>
        <v>4859</v>
      </c>
      <c r="U33" s="5">
        <f t="shared" si="4"/>
        <v>0</v>
      </c>
      <c r="V33" s="5">
        <f t="shared" si="18"/>
        <v>408</v>
      </c>
      <c r="W33" s="334">
        <f t="shared" si="17"/>
        <v>0</v>
      </c>
      <c r="X33" s="5">
        <f t="shared" si="18"/>
        <v>143983</v>
      </c>
      <c r="Y33" s="334">
        <f t="shared" si="19"/>
        <v>0</v>
      </c>
      <c r="Z33" s="5">
        <f t="shared" si="18"/>
        <v>95011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159.02000000000001</v>
      </c>
      <c r="AF33" s="84">
        <f>AE33-AE32</f>
        <v>0</v>
      </c>
      <c r="AG33" s="5">
        <f t="shared" si="18"/>
        <v>1644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40"/>
        <v>0.9</v>
      </c>
      <c r="AT33" s="205">
        <f t="shared" si="40"/>
        <v>177</v>
      </c>
      <c r="AU33" s="439">
        <f t="shared" si="34"/>
        <v>1.1000000000000001</v>
      </c>
      <c r="AV33" s="205">
        <f t="shared" si="34"/>
        <v>89</v>
      </c>
      <c r="AW33" s="5">
        <v>2.9</v>
      </c>
      <c r="AX33" s="205">
        <f t="shared" ref="AX33" si="52">AX32</f>
        <v>96</v>
      </c>
      <c r="AY33" s="442">
        <f t="shared" si="7"/>
        <v>159.30000000000001</v>
      </c>
      <c r="AZ33" s="442">
        <f t="shared" si="27"/>
        <v>97.9</v>
      </c>
      <c r="BA33" s="442">
        <f t="shared" si="28"/>
        <v>278.39999999999998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599749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6278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4859</v>
      </c>
      <c r="U34" s="5">
        <f t="shared" si="4"/>
        <v>0</v>
      </c>
      <c r="V34" s="5">
        <f t="shared" si="18"/>
        <v>408</v>
      </c>
      <c r="W34" s="334">
        <f t="shared" si="17"/>
        <v>0</v>
      </c>
      <c r="X34" s="5">
        <f t="shared" si="18"/>
        <v>143983</v>
      </c>
      <c r="Y34" s="334">
        <f t="shared" si="19"/>
        <v>0</v>
      </c>
      <c r="Z34" s="5">
        <f t="shared" si="18"/>
        <v>95011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159.02000000000001</v>
      </c>
      <c r="AF34" s="84">
        <f t="shared" si="21"/>
        <v>0</v>
      </c>
      <c r="AG34" s="5">
        <f t="shared" si="18"/>
        <v>1644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40"/>
        <v>0.9</v>
      </c>
      <c r="AT34" s="205">
        <f t="shared" si="40"/>
        <v>177</v>
      </c>
      <c r="AU34" s="440">
        <f t="shared" si="34"/>
        <v>1.1000000000000001</v>
      </c>
      <c r="AV34" s="205">
        <f t="shared" si="34"/>
        <v>89</v>
      </c>
      <c r="AW34" s="5">
        <v>2.9</v>
      </c>
      <c r="AX34" s="205">
        <f t="shared" ref="AX34" si="53">AX33</f>
        <v>96</v>
      </c>
      <c r="AY34" s="442">
        <f t="shared" si="7"/>
        <v>159.30000000000001</v>
      </c>
      <c r="AZ34" s="442">
        <f t="shared" si="27"/>
        <v>97.9</v>
      </c>
      <c r="BA34" s="442">
        <f t="shared" si="28"/>
        <v>278.39999999999998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599749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6278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4859</v>
      </c>
      <c r="U35" s="5">
        <f t="shared" si="4"/>
        <v>0</v>
      </c>
      <c r="V35" s="5">
        <f t="shared" si="18"/>
        <v>408</v>
      </c>
      <c r="W35" s="334">
        <f t="shared" si="17"/>
        <v>0</v>
      </c>
      <c r="X35" s="5">
        <f t="shared" si="18"/>
        <v>143983</v>
      </c>
      <c r="Y35" s="334">
        <f t="shared" si="19"/>
        <v>0</v>
      </c>
      <c r="Z35" s="5">
        <f t="shared" si="18"/>
        <v>95011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159.02000000000001</v>
      </c>
      <c r="AF35" s="84">
        <f t="shared" si="21"/>
        <v>0</v>
      </c>
      <c r="AG35" s="5">
        <f t="shared" si="18"/>
        <v>1644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40"/>
        <v>0.9</v>
      </c>
      <c r="AT35" s="205">
        <f t="shared" si="40"/>
        <v>177</v>
      </c>
      <c r="AU35" s="441">
        <f t="shared" si="34"/>
        <v>1.1000000000000001</v>
      </c>
      <c r="AV35" s="205">
        <f t="shared" si="34"/>
        <v>89</v>
      </c>
      <c r="AW35" s="5">
        <v>2.9</v>
      </c>
      <c r="AX35" s="205">
        <f t="shared" ref="AX35" si="54">AX34</f>
        <v>96</v>
      </c>
      <c r="AY35" s="442">
        <f t="shared" si="7"/>
        <v>159.30000000000001</v>
      </c>
      <c r="AZ35" s="442">
        <f t="shared" si="27"/>
        <v>97.9</v>
      </c>
      <c r="BA35" s="442">
        <f t="shared" si="28"/>
        <v>278.39999999999998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775</v>
      </c>
      <c r="I36" s="426">
        <f>SUM(I6:I35)</f>
        <v>775</v>
      </c>
      <c r="L36" s="275">
        <f>SUM(L7:L35)</f>
        <v>66</v>
      </c>
      <c r="Q36" s="514">
        <f>SUM(Q5:Q35)</f>
        <v>0</v>
      </c>
      <c r="U36" s="423">
        <f>SUM(U6:U35)</f>
        <v>29</v>
      </c>
      <c r="X36" s="333"/>
      <c r="Y36" s="332" t="e">
        <f>SUM(Y35,Y33,Y31,Y29,Y27,Y25,Y23,Y21,Y19,Y17,Y15,Y13,Y11,Y9,Y7+#REF!)</f>
        <v>#REF!</v>
      </c>
      <c r="AJ36" s="332">
        <f>SUM(AJ6:AJ35)</f>
        <v>213</v>
      </c>
      <c r="AK36" s="337" t="e">
        <f t="shared" si="5"/>
        <v>#REF!</v>
      </c>
      <c r="AL36" s="332">
        <f>SUM(AL6:AL35)</f>
        <v>212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7.4638709677419368E-2</v>
      </c>
      <c r="L37" s="158"/>
      <c r="O37" s="511">
        <f>SUM(Q36+I36)</f>
        <v>775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775</v>
      </c>
      <c r="H38" s="1">
        <f>SUM(H37+C37)</f>
        <v>7500</v>
      </c>
      <c r="K38" s="1">
        <f>SUM(H38/G38)</f>
        <v>9.67741935483871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L17" sqref="L17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18" t="s">
        <v>193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20"/>
    </row>
    <row r="2" spans="1:15" ht="15.75" customHeight="1" thickBot="1">
      <c r="A2" s="621"/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3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/>
      <c r="C20" s="37"/>
      <c r="D20" s="26">
        <f t="shared" si="3"/>
        <v>0</v>
      </c>
      <c r="E20" s="350"/>
      <c r="F20" s="350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1">
        <f>ELEC!C18</f>
        <v>43998</v>
      </c>
      <c r="B21" s="37"/>
      <c r="C21" s="37"/>
      <c r="D21" s="26">
        <f>(C21+B21)/2</f>
        <v>0</v>
      </c>
      <c r="E21" s="350"/>
      <c r="F21" s="350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1">
        <f>ELEC!C19</f>
        <v>43999</v>
      </c>
      <c r="B22" s="37"/>
      <c r="C22" s="37"/>
      <c r="D22" s="26">
        <f t="shared" si="3"/>
        <v>0</v>
      </c>
      <c r="E22" s="350"/>
      <c r="F22" s="407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1">
        <f>ELEC!C20</f>
        <v>44000</v>
      </c>
      <c r="B23" s="37"/>
      <c r="C23" s="37"/>
      <c r="D23" s="26">
        <f>(C23+B23)/2</f>
        <v>0</v>
      </c>
      <c r="E23" s="350"/>
      <c r="F23" s="350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1">
        <f>ELEC!C21</f>
        <v>44001</v>
      </c>
      <c r="B24" s="37"/>
      <c r="C24" s="37"/>
      <c r="D24" s="26">
        <f t="shared" si="3"/>
        <v>0</v>
      </c>
      <c r="E24" s="350"/>
      <c r="F24" s="350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1">
        <f>ELEC!C22</f>
        <v>44002</v>
      </c>
      <c r="B25" s="37"/>
      <c r="C25" s="37"/>
      <c r="D25" s="26">
        <f t="shared" si="3"/>
        <v>0</v>
      </c>
      <c r="E25" s="350"/>
      <c r="F25" s="350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1">
        <f>ELEC!C23</f>
        <v>44003</v>
      </c>
      <c r="B26" s="37"/>
      <c r="C26" s="37"/>
      <c r="D26" s="26">
        <f>(C26+B26)/2</f>
        <v>0</v>
      </c>
      <c r="E26" s="350"/>
      <c r="F26" s="350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1">
        <f>ELEC!C24</f>
        <v>44004</v>
      </c>
      <c r="B27" s="37"/>
      <c r="C27" s="37"/>
      <c r="D27" s="26">
        <f t="shared" si="3"/>
        <v>0</v>
      </c>
      <c r="E27" s="350"/>
      <c r="F27" s="350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1">
        <f>ELEC!C25</f>
        <v>44005</v>
      </c>
      <c r="B28" s="37"/>
      <c r="C28" s="37"/>
      <c r="D28" s="26">
        <f t="shared" si="3"/>
        <v>0</v>
      </c>
      <c r="E28" s="350"/>
      <c r="F28" s="350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1.7964285714285714E-2</v>
      </c>
      <c r="G36" s="207">
        <f>SUM(G6:G35)</f>
        <v>57.845000000000006</v>
      </c>
    </row>
    <row r="37" spans="1:15">
      <c r="D37" s="268">
        <f>SUM(D6:D35)/'EDl log'!A37</f>
        <v>23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P1" activePane="topRight" state="frozen"/>
      <selection pane="topRight" activeCell="AQ42" sqref="AQ4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6" t="s">
        <v>108</v>
      </c>
      <c r="AS3" s="626" t="s">
        <v>234</v>
      </c>
      <c r="AT3" s="624" t="s">
        <v>302</v>
      </c>
      <c r="AU3" s="625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27"/>
      <c r="AS4" s="627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8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150</v>
      </c>
      <c r="C20" s="207">
        <f t="shared" si="18"/>
        <v>3227.4193548387098</v>
      </c>
      <c r="D20">
        <f t="shared" si="19"/>
        <v>150</v>
      </c>
      <c r="E20" s="207">
        <f t="shared" si="18"/>
        <v>3227.4193548387098</v>
      </c>
      <c r="F20">
        <f t="shared" si="20"/>
        <v>150</v>
      </c>
      <c r="G20" s="207">
        <f t="shared" si="1"/>
        <v>3227.4193548387098</v>
      </c>
      <c r="H20" s="207">
        <f t="shared" si="21"/>
        <v>150</v>
      </c>
      <c r="I20" s="207">
        <f t="shared" si="2"/>
        <v>3227.4193548387098</v>
      </c>
      <c r="J20" s="207">
        <f t="shared" si="22"/>
        <v>150</v>
      </c>
      <c r="K20" s="207">
        <f t="shared" si="3"/>
        <v>3227.4193548387098</v>
      </c>
      <c r="L20" s="207">
        <f t="shared" si="23"/>
        <v>150</v>
      </c>
      <c r="M20" s="207">
        <f t="shared" si="4"/>
        <v>3227.4193548387098</v>
      </c>
      <c r="N20" s="207">
        <f t="shared" si="24"/>
        <v>150</v>
      </c>
      <c r="O20" s="207">
        <f t="shared" si="5"/>
        <v>3227.4193548387098</v>
      </c>
      <c r="P20" s="207">
        <f t="shared" si="25"/>
        <v>150</v>
      </c>
      <c r="Q20" s="207">
        <f t="shared" si="6"/>
        <v>3227.4193548387098</v>
      </c>
      <c r="R20" s="207">
        <f t="shared" si="26"/>
        <v>150</v>
      </c>
      <c r="S20" s="207">
        <f t="shared" si="7"/>
        <v>3227.4193548387098</v>
      </c>
      <c r="T20" s="207">
        <f t="shared" si="27"/>
        <v>150</v>
      </c>
      <c r="U20" s="207">
        <f t="shared" si="8"/>
        <v>3227.4193548387098</v>
      </c>
      <c r="V20" s="207">
        <f t="shared" si="28"/>
        <v>150</v>
      </c>
      <c r="W20" s="207">
        <f t="shared" si="9"/>
        <v>3227.4193548387098</v>
      </c>
      <c r="X20" s="35">
        <f t="shared" si="10"/>
        <v>0.48387096774193544</v>
      </c>
      <c r="Y20" s="36">
        <f t="shared" si="29"/>
        <v>35501.612903225803</v>
      </c>
      <c r="Z20" s="207">
        <f>'B5'!C19</f>
        <v>156</v>
      </c>
      <c r="AA20" s="207">
        <f t="shared" si="30"/>
        <v>1560</v>
      </c>
      <c r="AB20" s="207">
        <f t="shared" si="31"/>
        <v>156</v>
      </c>
      <c r="AC20" s="207">
        <f t="shared" si="30"/>
        <v>1560</v>
      </c>
      <c r="AD20" s="207">
        <f t="shared" si="32"/>
        <v>156</v>
      </c>
      <c r="AE20" s="207">
        <f t="shared" si="11"/>
        <v>1560</v>
      </c>
      <c r="AF20" s="207">
        <f t="shared" si="33"/>
        <v>156</v>
      </c>
      <c r="AG20" s="207">
        <f t="shared" si="12"/>
        <v>1560</v>
      </c>
      <c r="AH20" s="207">
        <f t="shared" si="34"/>
        <v>156</v>
      </c>
      <c r="AI20" s="207">
        <f t="shared" si="13"/>
        <v>1560</v>
      </c>
      <c r="AJ20" s="207">
        <f t="shared" si="35"/>
        <v>156</v>
      </c>
      <c r="AK20" s="207">
        <f t="shared" si="14"/>
        <v>1560</v>
      </c>
      <c r="AL20" s="207">
        <f t="shared" si="36"/>
        <v>156</v>
      </c>
      <c r="AM20" s="207">
        <f t="shared" si="15"/>
        <v>1560</v>
      </c>
      <c r="AN20" s="35">
        <f t="shared" si="16"/>
        <v>0.55714285714285716</v>
      </c>
      <c r="AO20" s="36">
        <f t="shared" si="17"/>
        <v>10920</v>
      </c>
      <c r="AQ20" s="227">
        <f t="shared" si="37"/>
        <v>0.49931819837824892</v>
      </c>
      <c r="AR20" s="38">
        <f t="shared" si="41"/>
        <v>46421.612903225803</v>
      </c>
      <c r="AS20" s="201">
        <f t="shared" si="38"/>
        <v>0</v>
      </c>
      <c r="AT20" s="278"/>
      <c r="AU20" s="452"/>
      <c r="AV20" s="539">
        <f t="shared" si="42"/>
        <v>0.34</v>
      </c>
      <c r="AW20" s="300">
        <f>-SUM('B5'!AI19)</f>
        <v>0</v>
      </c>
      <c r="AX20" s="300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07">
        <f>SUM('General information '!E20)</f>
        <v>0</v>
      </c>
      <c r="BC20" s="3">
        <f t="shared" si="43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150</v>
      </c>
      <c r="C21" s="207">
        <f t="shared" si="18"/>
        <v>3227.4193548387098</v>
      </c>
      <c r="D21">
        <f t="shared" si="19"/>
        <v>150</v>
      </c>
      <c r="E21" s="207">
        <f t="shared" si="18"/>
        <v>3227.4193548387098</v>
      </c>
      <c r="F21">
        <f t="shared" si="20"/>
        <v>150</v>
      </c>
      <c r="G21" s="207">
        <f t="shared" si="1"/>
        <v>3227.4193548387098</v>
      </c>
      <c r="H21" s="207">
        <f t="shared" si="21"/>
        <v>150</v>
      </c>
      <c r="I21" s="207">
        <f t="shared" si="2"/>
        <v>3227.4193548387098</v>
      </c>
      <c r="J21" s="207">
        <f t="shared" si="22"/>
        <v>150</v>
      </c>
      <c r="K21" s="207">
        <f t="shared" si="3"/>
        <v>3227.4193548387098</v>
      </c>
      <c r="L21" s="207">
        <f t="shared" si="23"/>
        <v>150</v>
      </c>
      <c r="M21" s="207">
        <f t="shared" si="4"/>
        <v>3227.4193548387098</v>
      </c>
      <c r="N21" s="207">
        <f t="shared" si="24"/>
        <v>150</v>
      </c>
      <c r="O21" s="207">
        <f t="shared" si="5"/>
        <v>3227.4193548387098</v>
      </c>
      <c r="P21" s="207">
        <f t="shared" si="25"/>
        <v>150</v>
      </c>
      <c r="Q21" s="207">
        <f t="shared" si="6"/>
        <v>3227.4193548387098</v>
      </c>
      <c r="R21" s="207">
        <f t="shared" si="26"/>
        <v>150</v>
      </c>
      <c r="S21" s="207">
        <f t="shared" si="7"/>
        <v>3227.4193548387098</v>
      </c>
      <c r="T21" s="207">
        <f t="shared" si="27"/>
        <v>150</v>
      </c>
      <c r="U21" s="207">
        <f t="shared" si="8"/>
        <v>3227.4193548387098</v>
      </c>
      <c r="V21" s="207">
        <f t="shared" si="28"/>
        <v>150</v>
      </c>
      <c r="W21" s="207">
        <f t="shared" si="9"/>
        <v>3227.4193548387098</v>
      </c>
      <c r="X21" s="35">
        <f t="shared" si="10"/>
        <v>0.48387096774193544</v>
      </c>
      <c r="Y21" s="36">
        <f t="shared" si="29"/>
        <v>35501.612903225803</v>
      </c>
      <c r="Z21" s="207">
        <f>'B5'!C20</f>
        <v>156</v>
      </c>
      <c r="AA21" s="207">
        <f t="shared" si="30"/>
        <v>1560</v>
      </c>
      <c r="AB21" s="207">
        <f t="shared" si="31"/>
        <v>156</v>
      </c>
      <c r="AC21" s="207">
        <f t="shared" si="30"/>
        <v>1560</v>
      </c>
      <c r="AD21" s="207">
        <f t="shared" si="32"/>
        <v>156</v>
      </c>
      <c r="AE21" s="207">
        <f t="shared" si="11"/>
        <v>1560</v>
      </c>
      <c r="AF21" s="207">
        <f t="shared" si="33"/>
        <v>156</v>
      </c>
      <c r="AG21" s="207">
        <f t="shared" si="12"/>
        <v>1560</v>
      </c>
      <c r="AH21" s="207">
        <f t="shared" si="34"/>
        <v>156</v>
      </c>
      <c r="AI21" s="207">
        <f t="shared" si="13"/>
        <v>1560</v>
      </c>
      <c r="AJ21" s="207">
        <f t="shared" si="35"/>
        <v>156</v>
      </c>
      <c r="AK21" s="207">
        <f t="shared" si="14"/>
        <v>1560</v>
      </c>
      <c r="AL21" s="207">
        <f t="shared" si="36"/>
        <v>156</v>
      </c>
      <c r="AM21" s="207">
        <f t="shared" si="15"/>
        <v>1560</v>
      </c>
      <c r="AN21" s="35">
        <f t="shared" si="16"/>
        <v>0.55714285714285716</v>
      </c>
      <c r="AO21" s="36">
        <f t="shared" si="17"/>
        <v>10920</v>
      </c>
      <c r="AQ21" s="227">
        <f t="shared" si="37"/>
        <v>0.49931819837824892</v>
      </c>
      <c r="AR21" s="38">
        <f t="shared" si="41"/>
        <v>46421.612903225803</v>
      </c>
      <c r="AS21" s="201">
        <f>SUM(AR21-AR20-AT21)</f>
        <v>0</v>
      </c>
      <c r="AT21" s="278"/>
      <c r="AU21" s="452"/>
      <c r="AV21" s="539">
        <f t="shared" si="42"/>
        <v>0.34</v>
      </c>
      <c r="AW21" s="300">
        <f>-SUM('B5'!AI20)</f>
        <v>0</v>
      </c>
      <c r="AX21" s="300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07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150</v>
      </c>
      <c r="C22" s="207">
        <f t="shared" si="18"/>
        <v>3227.4193548387098</v>
      </c>
      <c r="D22">
        <f t="shared" si="19"/>
        <v>150</v>
      </c>
      <c r="E22" s="207">
        <f t="shared" si="18"/>
        <v>3227.4193548387098</v>
      </c>
      <c r="F22">
        <f t="shared" si="20"/>
        <v>150</v>
      </c>
      <c r="G22" s="207">
        <f t="shared" si="1"/>
        <v>3227.4193548387098</v>
      </c>
      <c r="H22" s="207">
        <f t="shared" si="21"/>
        <v>150</v>
      </c>
      <c r="I22" s="207">
        <f t="shared" si="2"/>
        <v>3227.4193548387098</v>
      </c>
      <c r="J22" s="207">
        <f t="shared" si="22"/>
        <v>150</v>
      </c>
      <c r="K22" s="207">
        <f t="shared" si="3"/>
        <v>3227.4193548387098</v>
      </c>
      <c r="L22" s="207">
        <f t="shared" si="23"/>
        <v>150</v>
      </c>
      <c r="M22" s="207">
        <f t="shared" si="4"/>
        <v>3227.4193548387098</v>
      </c>
      <c r="N22" s="207">
        <f t="shared" si="24"/>
        <v>150</v>
      </c>
      <c r="O22" s="207">
        <f t="shared" si="5"/>
        <v>3227.4193548387098</v>
      </c>
      <c r="P22" s="207">
        <f t="shared" si="25"/>
        <v>150</v>
      </c>
      <c r="Q22" s="207">
        <f t="shared" si="6"/>
        <v>3227.4193548387098</v>
      </c>
      <c r="R22" s="207">
        <f t="shared" si="26"/>
        <v>150</v>
      </c>
      <c r="S22" s="207">
        <f t="shared" si="7"/>
        <v>3227.4193548387098</v>
      </c>
      <c r="T22" s="207">
        <f t="shared" si="27"/>
        <v>150</v>
      </c>
      <c r="U22" s="207">
        <f t="shared" si="8"/>
        <v>3227.4193548387098</v>
      </c>
      <c r="V22" s="207">
        <f t="shared" si="28"/>
        <v>150</v>
      </c>
      <c r="W22" s="207">
        <f t="shared" si="9"/>
        <v>3227.4193548387098</v>
      </c>
      <c r="X22" s="35">
        <f t="shared" si="10"/>
        <v>0.48387096774193544</v>
      </c>
      <c r="Y22" s="36">
        <f t="shared" si="29"/>
        <v>35501.612903225803</v>
      </c>
      <c r="Z22" s="207">
        <f>'B5'!C21</f>
        <v>156</v>
      </c>
      <c r="AA22" s="207">
        <f t="shared" si="30"/>
        <v>1560</v>
      </c>
      <c r="AB22" s="207">
        <f t="shared" si="31"/>
        <v>156</v>
      </c>
      <c r="AC22" s="207">
        <f t="shared" si="30"/>
        <v>1560</v>
      </c>
      <c r="AD22" s="207">
        <f t="shared" si="32"/>
        <v>156</v>
      </c>
      <c r="AE22" s="207">
        <f t="shared" si="11"/>
        <v>1560</v>
      </c>
      <c r="AF22" s="207">
        <f t="shared" si="33"/>
        <v>156</v>
      </c>
      <c r="AG22" s="207">
        <f t="shared" si="12"/>
        <v>1560</v>
      </c>
      <c r="AH22" s="207">
        <f t="shared" si="34"/>
        <v>156</v>
      </c>
      <c r="AI22" s="207">
        <f t="shared" si="13"/>
        <v>1560</v>
      </c>
      <c r="AJ22" s="207">
        <f t="shared" si="35"/>
        <v>156</v>
      </c>
      <c r="AK22" s="207">
        <f t="shared" si="14"/>
        <v>1560</v>
      </c>
      <c r="AL22" s="207">
        <f t="shared" si="36"/>
        <v>156</v>
      </c>
      <c r="AM22" s="207">
        <f t="shared" si="15"/>
        <v>1560</v>
      </c>
      <c r="AN22" s="35">
        <f t="shared" si="16"/>
        <v>0.55714285714285716</v>
      </c>
      <c r="AO22" s="36">
        <f t="shared" si="17"/>
        <v>10920</v>
      </c>
      <c r="AQ22" s="227">
        <f t="shared" si="37"/>
        <v>0.49931819837824892</v>
      </c>
      <c r="AR22" s="38">
        <f t="shared" si="41"/>
        <v>46421.612903225803</v>
      </c>
      <c r="AS22" s="201">
        <f t="shared" si="38"/>
        <v>0</v>
      </c>
      <c r="AT22" s="278"/>
      <c r="AU22" s="452"/>
      <c r="AV22" s="539">
        <f t="shared" si="42"/>
        <v>0.34</v>
      </c>
      <c r="AW22" s="300">
        <f>-SUM('B5'!AI21)</f>
        <v>0</v>
      </c>
      <c r="AX22" s="300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07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150</v>
      </c>
      <c r="C23" s="207">
        <f t="shared" si="18"/>
        <v>3227.4193548387098</v>
      </c>
      <c r="D23">
        <f t="shared" si="19"/>
        <v>150</v>
      </c>
      <c r="E23" s="207">
        <f t="shared" si="18"/>
        <v>3227.4193548387098</v>
      </c>
      <c r="F23">
        <f t="shared" si="20"/>
        <v>150</v>
      </c>
      <c r="G23" s="207">
        <f t="shared" si="1"/>
        <v>3227.4193548387098</v>
      </c>
      <c r="H23" s="207">
        <f t="shared" si="21"/>
        <v>150</v>
      </c>
      <c r="I23" s="207">
        <f t="shared" si="2"/>
        <v>3227.4193548387098</v>
      </c>
      <c r="J23" s="207">
        <f t="shared" si="22"/>
        <v>150</v>
      </c>
      <c r="K23" s="207">
        <f t="shared" si="3"/>
        <v>3227.4193548387098</v>
      </c>
      <c r="L23" s="207">
        <f t="shared" si="23"/>
        <v>150</v>
      </c>
      <c r="M23" s="207">
        <f t="shared" si="4"/>
        <v>3227.4193548387098</v>
      </c>
      <c r="N23" s="207">
        <f t="shared" si="24"/>
        <v>150</v>
      </c>
      <c r="O23" s="207">
        <f t="shared" si="5"/>
        <v>3227.4193548387098</v>
      </c>
      <c r="P23" s="207">
        <f t="shared" si="25"/>
        <v>150</v>
      </c>
      <c r="Q23" s="207">
        <f t="shared" si="6"/>
        <v>3227.4193548387098</v>
      </c>
      <c r="R23" s="207">
        <f t="shared" si="26"/>
        <v>150</v>
      </c>
      <c r="S23" s="207">
        <f t="shared" si="7"/>
        <v>3227.4193548387098</v>
      </c>
      <c r="T23" s="207">
        <f t="shared" si="27"/>
        <v>150</v>
      </c>
      <c r="U23" s="207">
        <f t="shared" si="8"/>
        <v>3227.4193548387098</v>
      </c>
      <c r="V23" s="207">
        <f t="shared" si="28"/>
        <v>150</v>
      </c>
      <c r="W23" s="207">
        <f t="shared" si="9"/>
        <v>3227.4193548387098</v>
      </c>
      <c r="X23" s="35">
        <f t="shared" si="10"/>
        <v>0.48387096774193544</v>
      </c>
      <c r="Y23" s="36">
        <f t="shared" si="29"/>
        <v>35501.612903225803</v>
      </c>
      <c r="Z23" s="207">
        <f>'B5'!C22</f>
        <v>156</v>
      </c>
      <c r="AA23" s="207">
        <f t="shared" si="30"/>
        <v>1560</v>
      </c>
      <c r="AB23" s="207">
        <f t="shared" si="31"/>
        <v>156</v>
      </c>
      <c r="AC23" s="207">
        <f t="shared" si="30"/>
        <v>1560</v>
      </c>
      <c r="AD23" s="207">
        <f t="shared" si="32"/>
        <v>156</v>
      </c>
      <c r="AE23" s="207">
        <f t="shared" si="11"/>
        <v>1560</v>
      </c>
      <c r="AF23" s="207">
        <f t="shared" si="33"/>
        <v>156</v>
      </c>
      <c r="AG23" s="207">
        <f t="shared" si="12"/>
        <v>1560</v>
      </c>
      <c r="AH23" s="207">
        <f t="shared" si="34"/>
        <v>156</v>
      </c>
      <c r="AI23" s="207">
        <f t="shared" si="13"/>
        <v>1560</v>
      </c>
      <c r="AJ23" s="207">
        <f t="shared" si="35"/>
        <v>156</v>
      </c>
      <c r="AK23" s="207">
        <f t="shared" si="14"/>
        <v>1560</v>
      </c>
      <c r="AL23" s="207">
        <f t="shared" si="36"/>
        <v>156</v>
      </c>
      <c r="AM23" s="207">
        <f t="shared" si="15"/>
        <v>1560</v>
      </c>
      <c r="AN23" s="35">
        <f t="shared" si="16"/>
        <v>0.55714285714285716</v>
      </c>
      <c r="AO23" s="36">
        <f t="shared" si="17"/>
        <v>10920</v>
      </c>
      <c r="AQ23" s="227">
        <f t="shared" si="37"/>
        <v>0.49931819837824892</v>
      </c>
      <c r="AR23" s="38">
        <f t="shared" si="41"/>
        <v>46421.612903225803</v>
      </c>
      <c r="AS23" s="201">
        <f t="shared" si="38"/>
        <v>0</v>
      </c>
      <c r="AT23" s="278"/>
      <c r="AU23" s="452"/>
      <c r="AV23" s="539">
        <f t="shared" si="42"/>
        <v>0.34</v>
      </c>
      <c r="AW23" s="300">
        <f>-SUM('B5'!AI22)</f>
        <v>0</v>
      </c>
      <c r="AX23" s="300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07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150</v>
      </c>
      <c r="C24" s="207">
        <f t="shared" si="18"/>
        <v>3227.4193548387098</v>
      </c>
      <c r="D24">
        <f t="shared" si="19"/>
        <v>150</v>
      </c>
      <c r="E24" s="207">
        <f t="shared" si="18"/>
        <v>3227.4193548387098</v>
      </c>
      <c r="F24">
        <f t="shared" si="20"/>
        <v>150</v>
      </c>
      <c r="G24" s="207">
        <f t="shared" si="1"/>
        <v>3227.4193548387098</v>
      </c>
      <c r="H24" s="207">
        <f t="shared" si="21"/>
        <v>150</v>
      </c>
      <c r="I24" s="207">
        <f t="shared" si="2"/>
        <v>3227.4193548387098</v>
      </c>
      <c r="J24" s="207">
        <f t="shared" si="22"/>
        <v>150</v>
      </c>
      <c r="K24" s="207">
        <f t="shared" si="3"/>
        <v>3227.4193548387098</v>
      </c>
      <c r="L24" s="207">
        <f t="shared" si="23"/>
        <v>150</v>
      </c>
      <c r="M24" s="207">
        <f t="shared" si="4"/>
        <v>3227.4193548387098</v>
      </c>
      <c r="N24" s="207">
        <f t="shared" si="24"/>
        <v>150</v>
      </c>
      <c r="O24" s="207">
        <f t="shared" si="5"/>
        <v>3227.4193548387098</v>
      </c>
      <c r="P24" s="207">
        <f t="shared" si="25"/>
        <v>150</v>
      </c>
      <c r="Q24" s="207">
        <f t="shared" si="6"/>
        <v>3227.4193548387098</v>
      </c>
      <c r="R24" s="207">
        <f t="shared" si="26"/>
        <v>150</v>
      </c>
      <c r="S24" s="207">
        <f t="shared" si="7"/>
        <v>3227.4193548387098</v>
      </c>
      <c r="T24" s="207">
        <f t="shared" si="27"/>
        <v>150</v>
      </c>
      <c r="U24" s="207">
        <f t="shared" si="8"/>
        <v>3227.4193548387098</v>
      </c>
      <c r="V24" s="207">
        <f t="shared" si="28"/>
        <v>150</v>
      </c>
      <c r="W24" s="207">
        <f t="shared" si="9"/>
        <v>3227.4193548387098</v>
      </c>
      <c r="X24" s="35">
        <f t="shared" si="10"/>
        <v>0.48387096774193544</v>
      </c>
      <c r="Y24" s="36">
        <f t="shared" si="29"/>
        <v>35501.612903225803</v>
      </c>
      <c r="Z24" s="207">
        <f>'B5'!C23</f>
        <v>156</v>
      </c>
      <c r="AA24" s="207">
        <f t="shared" si="30"/>
        <v>1560</v>
      </c>
      <c r="AB24" s="207">
        <f t="shared" si="31"/>
        <v>156</v>
      </c>
      <c r="AC24" s="207">
        <f t="shared" si="30"/>
        <v>1560</v>
      </c>
      <c r="AD24" s="207">
        <f t="shared" si="32"/>
        <v>156</v>
      </c>
      <c r="AE24" s="207">
        <f t="shared" si="11"/>
        <v>1560</v>
      </c>
      <c r="AF24" s="207">
        <f t="shared" si="33"/>
        <v>156</v>
      </c>
      <c r="AG24" s="207">
        <f t="shared" si="12"/>
        <v>1560</v>
      </c>
      <c r="AH24" s="207">
        <f t="shared" si="34"/>
        <v>156</v>
      </c>
      <c r="AI24" s="207">
        <f t="shared" si="13"/>
        <v>1560</v>
      </c>
      <c r="AJ24" s="207">
        <f t="shared" si="35"/>
        <v>156</v>
      </c>
      <c r="AK24" s="207">
        <f t="shared" si="14"/>
        <v>1560</v>
      </c>
      <c r="AL24" s="207">
        <f t="shared" si="36"/>
        <v>156</v>
      </c>
      <c r="AM24" s="207">
        <f t="shared" si="15"/>
        <v>1560</v>
      </c>
      <c r="AN24" s="35">
        <f t="shared" si="16"/>
        <v>0.55714285714285716</v>
      </c>
      <c r="AO24" s="36">
        <f t="shared" si="17"/>
        <v>10920</v>
      </c>
      <c r="AQ24" s="227">
        <f t="shared" si="37"/>
        <v>0.49931819837824892</v>
      </c>
      <c r="AR24" s="38">
        <f t="shared" si="41"/>
        <v>46421.612903225803</v>
      </c>
      <c r="AS24" s="201">
        <f t="shared" si="38"/>
        <v>0</v>
      </c>
      <c r="AT24" s="278"/>
      <c r="AU24" s="452"/>
      <c r="AV24" s="539">
        <f t="shared" si="42"/>
        <v>0.34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07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150</v>
      </c>
      <c r="C25" s="207">
        <f t="shared" si="18"/>
        <v>3227.4193548387098</v>
      </c>
      <c r="D25">
        <f t="shared" si="19"/>
        <v>150</v>
      </c>
      <c r="E25" s="207">
        <f t="shared" si="18"/>
        <v>3227.4193548387098</v>
      </c>
      <c r="F25">
        <f t="shared" si="20"/>
        <v>150</v>
      </c>
      <c r="G25" s="207">
        <f t="shared" si="1"/>
        <v>3227.4193548387098</v>
      </c>
      <c r="H25" s="207">
        <f t="shared" si="21"/>
        <v>150</v>
      </c>
      <c r="I25" s="207">
        <f t="shared" si="2"/>
        <v>3227.4193548387098</v>
      </c>
      <c r="J25" s="207">
        <f t="shared" si="22"/>
        <v>150</v>
      </c>
      <c r="K25" s="207">
        <f t="shared" si="3"/>
        <v>3227.4193548387098</v>
      </c>
      <c r="L25" s="207">
        <f t="shared" si="23"/>
        <v>150</v>
      </c>
      <c r="M25" s="207">
        <f t="shared" si="4"/>
        <v>3227.4193548387098</v>
      </c>
      <c r="N25" s="207">
        <f t="shared" si="24"/>
        <v>150</v>
      </c>
      <c r="O25" s="207">
        <f t="shared" si="5"/>
        <v>3227.4193548387098</v>
      </c>
      <c r="P25" s="207">
        <f t="shared" si="25"/>
        <v>150</v>
      </c>
      <c r="Q25" s="207">
        <f t="shared" si="6"/>
        <v>3227.4193548387098</v>
      </c>
      <c r="R25" s="207">
        <f t="shared" si="26"/>
        <v>150</v>
      </c>
      <c r="S25" s="207">
        <f t="shared" si="7"/>
        <v>3227.4193548387098</v>
      </c>
      <c r="T25" s="207">
        <f t="shared" si="27"/>
        <v>150</v>
      </c>
      <c r="U25" s="207">
        <f t="shared" si="8"/>
        <v>3227.4193548387098</v>
      </c>
      <c r="V25" s="207">
        <f t="shared" si="28"/>
        <v>150</v>
      </c>
      <c r="W25" s="207">
        <f t="shared" si="9"/>
        <v>3227.4193548387098</v>
      </c>
      <c r="X25" s="35">
        <f t="shared" si="10"/>
        <v>0.48387096774193544</v>
      </c>
      <c r="Y25" s="36">
        <f t="shared" si="29"/>
        <v>35501.612903225803</v>
      </c>
      <c r="Z25" s="207">
        <f>'B5'!C24</f>
        <v>156</v>
      </c>
      <c r="AA25" s="207">
        <f t="shared" si="30"/>
        <v>1560</v>
      </c>
      <c r="AB25" s="207">
        <f t="shared" si="31"/>
        <v>156</v>
      </c>
      <c r="AC25" s="207">
        <f t="shared" si="30"/>
        <v>1560</v>
      </c>
      <c r="AD25" s="207">
        <f t="shared" si="32"/>
        <v>156</v>
      </c>
      <c r="AE25" s="207">
        <f t="shared" si="11"/>
        <v>1560</v>
      </c>
      <c r="AF25" s="207">
        <f t="shared" si="33"/>
        <v>156</v>
      </c>
      <c r="AG25" s="207">
        <f t="shared" si="12"/>
        <v>1560</v>
      </c>
      <c r="AH25" s="207">
        <f t="shared" si="34"/>
        <v>156</v>
      </c>
      <c r="AI25" s="207">
        <f t="shared" si="13"/>
        <v>1560</v>
      </c>
      <c r="AJ25" s="207">
        <f t="shared" si="35"/>
        <v>156</v>
      </c>
      <c r="AK25" s="207">
        <f t="shared" si="14"/>
        <v>1560</v>
      </c>
      <c r="AL25" s="207">
        <f t="shared" si="36"/>
        <v>156</v>
      </c>
      <c r="AM25" s="207">
        <f t="shared" si="15"/>
        <v>1560</v>
      </c>
      <c r="AN25" s="35">
        <f t="shared" si="16"/>
        <v>0.55714285714285716</v>
      </c>
      <c r="AO25" s="36">
        <f t="shared" si="17"/>
        <v>10920</v>
      </c>
      <c r="AQ25" s="227">
        <f t="shared" si="37"/>
        <v>0.49931819837824892</v>
      </c>
      <c r="AR25" s="38">
        <f t="shared" si="41"/>
        <v>46421.612903225803</v>
      </c>
      <c r="AS25" s="201">
        <f t="shared" si="38"/>
        <v>0</v>
      </c>
      <c r="AT25" s="278"/>
      <c r="AU25" s="452"/>
      <c r="AV25" s="539">
        <f t="shared" si="42"/>
        <v>0.34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7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150</v>
      </c>
      <c r="C26" s="207">
        <f t="shared" si="18"/>
        <v>3227.4193548387098</v>
      </c>
      <c r="D26">
        <f t="shared" si="19"/>
        <v>150</v>
      </c>
      <c r="E26" s="207">
        <f t="shared" si="18"/>
        <v>3227.4193548387098</v>
      </c>
      <c r="F26">
        <f t="shared" si="20"/>
        <v>150</v>
      </c>
      <c r="G26" s="207">
        <f t="shared" si="1"/>
        <v>3227.4193548387098</v>
      </c>
      <c r="H26" s="207">
        <f t="shared" si="21"/>
        <v>150</v>
      </c>
      <c r="I26" s="207">
        <f t="shared" si="2"/>
        <v>3227.4193548387098</v>
      </c>
      <c r="J26" s="207">
        <f t="shared" si="22"/>
        <v>150</v>
      </c>
      <c r="K26" s="207">
        <f t="shared" si="3"/>
        <v>3227.4193548387098</v>
      </c>
      <c r="L26" s="207">
        <f t="shared" si="23"/>
        <v>150</v>
      </c>
      <c r="M26" s="207">
        <f t="shared" si="4"/>
        <v>3227.4193548387098</v>
      </c>
      <c r="N26" s="207">
        <f t="shared" si="24"/>
        <v>150</v>
      </c>
      <c r="O26" s="207">
        <f t="shared" si="5"/>
        <v>3227.4193548387098</v>
      </c>
      <c r="P26" s="207">
        <f t="shared" si="25"/>
        <v>150</v>
      </c>
      <c r="Q26" s="207">
        <f t="shared" si="6"/>
        <v>3227.4193548387098</v>
      </c>
      <c r="R26" s="207">
        <f t="shared" si="26"/>
        <v>150</v>
      </c>
      <c r="S26" s="207">
        <f t="shared" si="7"/>
        <v>3227.4193548387098</v>
      </c>
      <c r="T26" s="207">
        <f t="shared" si="27"/>
        <v>150</v>
      </c>
      <c r="U26" s="207">
        <f t="shared" si="8"/>
        <v>3227.4193548387098</v>
      </c>
      <c r="V26" s="207">
        <f t="shared" si="28"/>
        <v>150</v>
      </c>
      <c r="W26" s="207">
        <f t="shared" si="9"/>
        <v>3227.4193548387098</v>
      </c>
      <c r="X26" s="35">
        <f t="shared" si="10"/>
        <v>0.48387096774193544</v>
      </c>
      <c r="Y26" s="36">
        <f t="shared" si="29"/>
        <v>35501.612903225803</v>
      </c>
      <c r="Z26" s="207">
        <f>'B5'!C25</f>
        <v>156</v>
      </c>
      <c r="AA26" s="207">
        <f t="shared" si="30"/>
        <v>1560</v>
      </c>
      <c r="AB26" s="207">
        <f t="shared" si="31"/>
        <v>156</v>
      </c>
      <c r="AC26" s="207">
        <f t="shared" si="30"/>
        <v>1560</v>
      </c>
      <c r="AD26" s="207">
        <f t="shared" si="32"/>
        <v>156</v>
      </c>
      <c r="AE26" s="207">
        <f t="shared" si="11"/>
        <v>1560</v>
      </c>
      <c r="AF26" s="207">
        <f t="shared" si="33"/>
        <v>156</v>
      </c>
      <c r="AG26" s="207">
        <f t="shared" si="12"/>
        <v>1560</v>
      </c>
      <c r="AH26" s="207">
        <f t="shared" si="34"/>
        <v>156</v>
      </c>
      <c r="AI26" s="207">
        <f t="shared" si="13"/>
        <v>1560</v>
      </c>
      <c r="AJ26" s="207">
        <f t="shared" si="35"/>
        <v>156</v>
      </c>
      <c r="AK26" s="207">
        <f t="shared" si="14"/>
        <v>1560</v>
      </c>
      <c r="AL26" s="207">
        <f t="shared" si="36"/>
        <v>156</v>
      </c>
      <c r="AM26" s="207">
        <f t="shared" si="15"/>
        <v>1560</v>
      </c>
      <c r="AN26" s="35">
        <f t="shared" si="16"/>
        <v>0.55714285714285716</v>
      </c>
      <c r="AO26" s="36">
        <f t="shared" si="17"/>
        <v>10920</v>
      </c>
      <c r="AQ26" s="227">
        <f t="shared" si="37"/>
        <v>0.49931819837824892</v>
      </c>
      <c r="AR26" s="38">
        <f t="shared" si="41"/>
        <v>46421.612903225803</v>
      </c>
      <c r="AS26" s="201">
        <f t="shared" si="38"/>
        <v>0</v>
      </c>
      <c r="AT26" s="278"/>
      <c r="AU26" s="452"/>
      <c r="AV26" s="539">
        <f t="shared" si="42"/>
        <v>0.34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7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150</v>
      </c>
      <c r="C27" s="207">
        <f t="shared" si="18"/>
        <v>3227.4193548387098</v>
      </c>
      <c r="D27">
        <f t="shared" si="19"/>
        <v>150</v>
      </c>
      <c r="E27" s="207">
        <f t="shared" si="18"/>
        <v>3227.4193548387098</v>
      </c>
      <c r="F27">
        <f t="shared" si="20"/>
        <v>150</v>
      </c>
      <c r="G27" s="207">
        <f t="shared" si="1"/>
        <v>3227.4193548387098</v>
      </c>
      <c r="H27" s="207">
        <f t="shared" si="21"/>
        <v>150</v>
      </c>
      <c r="I27" s="207">
        <f t="shared" si="2"/>
        <v>3227.4193548387098</v>
      </c>
      <c r="J27" s="207">
        <f t="shared" si="22"/>
        <v>150</v>
      </c>
      <c r="K27" s="207">
        <f t="shared" si="3"/>
        <v>3227.4193548387098</v>
      </c>
      <c r="L27" s="207">
        <f t="shared" si="23"/>
        <v>150</v>
      </c>
      <c r="M27" s="207">
        <f t="shared" si="4"/>
        <v>3227.4193548387098</v>
      </c>
      <c r="N27" s="207">
        <f t="shared" si="24"/>
        <v>150</v>
      </c>
      <c r="O27" s="207">
        <f t="shared" si="5"/>
        <v>3227.4193548387098</v>
      </c>
      <c r="P27" s="207">
        <f t="shared" si="25"/>
        <v>150</v>
      </c>
      <c r="Q27" s="207">
        <f t="shared" si="6"/>
        <v>3227.4193548387098</v>
      </c>
      <c r="R27" s="207">
        <f t="shared" si="26"/>
        <v>150</v>
      </c>
      <c r="S27" s="207">
        <f t="shared" si="7"/>
        <v>3227.4193548387098</v>
      </c>
      <c r="T27" s="207">
        <f t="shared" si="27"/>
        <v>150</v>
      </c>
      <c r="U27" s="207">
        <f t="shared" si="8"/>
        <v>3227.4193548387098</v>
      </c>
      <c r="V27" s="207">
        <f t="shared" si="28"/>
        <v>150</v>
      </c>
      <c r="W27" s="207">
        <f t="shared" si="9"/>
        <v>3227.4193548387098</v>
      </c>
      <c r="X27" s="35">
        <f t="shared" si="10"/>
        <v>0.48387096774193544</v>
      </c>
      <c r="Y27" s="36">
        <f t="shared" si="29"/>
        <v>35501.612903225803</v>
      </c>
      <c r="Z27" s="207">
        <f>'B5'!C26</f>
        <v>156</v>
      </c>
      <c r="AA27" s="207">
        <f t="shared" si="30"/>
        <v>1560</v>
      </c>
      <c r="AB27" s="207">
        <f t="shared" si="31"/>
        <v>156</v>
      </c>
      <c r="AC27" s="207">
        <f t="shared" si="30"/>
        <v>1560</v>
      </c>
      <c r="AD27" s="207">
        <f t="shared" si="32"/>
        <v>156</v>
      </c>
      <c r="AE27" s="207">
        <f t="shared" si="11"/>
        <v>1560</v>
      </c>
      <c r="AF27" s="207">
        <f t="shared" si="33"/>
        <v>156</v>
      </c>
      <c r="AG27" s="207">
        <f t="shared" si="12"/>
        <v>1560</v>
      </c>
      <c r="AH27" s="207">
        <f t="shared" si="34"/>
        <v>156</v>
      </c>
      <c r="AI27" s="207">
        <f t="shared" si="13"/>
        <v>1560</v>
      </c>
      <c r="AJ27" s="207">
        <f t="shared" si="35"/>
        <v>156</v>
      </c>
      <c r="AK27" s="207">
        <f t="shared" si="14"/>
        <v>1560</v>
      </c>
      <c r="AL27" s="207">
        <f t="shared" si="36"/>
        <v>156</v>
      </c>
      <c r="AM27" s="207">
        <f t="shared" si="15"/>
        <v>1560</v>
      </c>
      <c r="AN27" s="35">
        <f t="shared" si="16"/>
        <v>0.55714285714285716</v>
      </c>
      <c r="AO27" s="36">
        <f t="shared" si="17"/>
        <v>10920</v>
      </c>
      <c r="AQ27" s="227">
        <f t="shared" si="37"/>
        <v>0.49931819837824892</v>
      </c>
      <c r="AR27" s="38">
        <f t="shared" si="41"/>
        <v>46421.612903225803</v>
      </c>
      <c r="AS27" s="201">
        <f t="shared" si="38"/>
        <v>0</v>
      </c>
      <c r="AT27" s="278"/>
      <c r="AU27" s="452"/>
      <c r="AV27" s="539">
        <f t="shared" si="42"/>
        <v>0.34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7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150</v>
      </c>
      <c r="C28" s="207">
        <f t="shared" si="18"/>
        <v>3227.4193548387098</v>
      </c>
      <c r="D28">
        <f t="shared" si="19"/>
        <v>150</v>
      </c>
      <c r="E28" s="207">
        <f t="shared" si="18"/>
        <v>3227.4193548387098</v>
      </c>
      <c r="F28">
        <f t="shared" si="20"/>
        <v>150</v>
      </c>
      <c r="G28" s="207">
        <f t="shared" si="1"/>
        <v>3227.4193548387098</v>
      </c>
      <c r="H28" s="207">
        <f t="shared" si="21"/>
        <v>150</v>
      </c>
      <c r="I28" s="207">
        <f t="shared" si="2"/>
        <v>3227.4193548387098</v>
      </c>
      <c r="J28" s="207">
        <f t="shared" si="22"/>
        <v>150</v>
      </c>
      <c r="K28" s="207">
        <f t="shared" si="3"/>
        <v>3227.4193548387098</v>
      </c>
      <c r="L28" s="207">
        <f t="shared" si="23"/>
        <v>150</v>
      </c>
      <c r="M28" s="207">
        <f t="shared" si="4"/>
        <v>3227.4193548387098</v>
      </c>
      <c r="N28" s="207">
        <f t="shared" si="24"/>
        <v>150</v>
      </c>
      <c r="O28" s="207">
        <f t="shared" si="5"/>
        <v>3227.4193548387098</v>
      </c>
      <c r="P28" s="207">
        <f t="shared" si="25"/>
        <v>150</v>
      </c>
      <c r="Q28" s="207">
        <f t="shared" si="6"/>
        <v>3227.4193548387098</v>
      </c>
      <c r="R28" s="207">
        <f t="shared" si="26"/>
        <v>150</v>
      </c>
      <c r="S28" s="207">
        <f t="shared" si="7"/>
        <v>3227.4193548387098</v>
      </c>
      <c r="T28" s="207">
        <f t="shared" si="27"/>
        <v>150</v>
      </c>
      <c r="U28" s="207">
        <f t="shared" si="8"/>
        <v>3227.4193548387098</v>
      </c>
      <c r="V28" s="207">
        <f t="shared" si="28"/>
        <v>150</v>
      </c>
      <c r="W28" s="207">
        <f t="shared" si="9"/>
        <v>3227.4193548387098</v>
      </c>
      <c r="X28" s="35">
        <f t="shared" si="10"/>
        <v>0.48387096774193544</v>
      </c>
      <c r="Y28" s="36">
        <f t="shared" si="29"/>
        <v>35501.612903225803</v>
      </c>
      <c r="Z28" s="207">
        <f>'B5'!C27</f>
        <v>156</v>
      </c>
      <c r="AA28" s="207">
        <f t="shared" si="30"/>
        <v>1560</v>
      </c>
      <c r="AB28" s="207">
        <f t="shared" si="31"/>
        <v>156</v>
      </c>
      <c r="AC28" s="207">
        <f t="shared" si="30"/>
        <v>1560</v>
      </c>
      <c r="AD28" s="207">
        <f t="shared" si="32"/>
        <v>156</v>
      </c>
      <c r="AE28" s="207">
        <f t="shared" si="11"/>
        <v>1560</v>
      </c>
      <c r="AF28" s="207">
        <f t="shared" si="33"/>
        <v>156</v>
      </c>
      <c r="AG28" s="207">
        <f t="shared" si="12"/>
        <v>1560</v>
      </c>
      <c r="AH28" s="207">
        <f t="shared" si="34"/>
        <v>156</v>
      </c>
      <c r="AI28" s="207">
        <f t="shared" si="13"/>
        <v>1560</v>
      </c>
      <c r="AJ28" s="207">
        <f t="shared" si="35"/>
        <v>156</v>
      </c>
      <c r="AK28" s="207">
        <f t="shared" si="14"/>
        <v>1560</v>
      </c>
      <c r="AL28" s="207">
        <f t="shared" si="36"/>
        <v>156</v>
      </c>
      <c r="AM28" s="207">
        <f t="shared" si="15"/>
        <v>1560</v>
      </c>
      <c r="AN28" s="35">
        <f t="shared" si="16"/>
        <v>0.55714285714285716</v>
      </c>
      <c r="AO28" s="36">
        <f t="shared" si="17"/>
        <v>10920</v>
      </c>
      <c r="AQ28" s="227">
        <f t="shared" si="37"/>
        <v>0.49931819837824892</v>
      </c>
      <c r="AR28" s="38">
        <f t="shared" si="41"/>
        <v>46421.612903225803</v>
      </c>
      <c r="AS28" s="201">
        <f t="shared" si="38"/>
        <v>0</v>
      </c>
      <c r="AT28" s="368"/>
      <c r="AU28" s="452"/>
      <c r="AV28" s="539">
        <f t="shared" si="42"/>
        <v>0.34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7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150</v>
      </c>
      <c r="C29" s="207">
        <f t="shared" si="18"/>
        <v>3227.4193548387098</v>
      </c>
      <c r="D29">
        <f t="shared" si="19"/>
        <v>150</v>
      </c>
      <c r="E29" s="207">
        <f t="shared" si="18"/>
        <v>3227.4193548387098</v>
      </c>
      <c r="F29">
        <f t="shared" si="20"/>
        <v>150</v>
      </c>
      <c r="G29" s="207">
        <f t="shared" si="1"/>
        <v>3227.4193548387098</v>
      </c>
      <c r="H29" s="207">
        <f t="shared" si="21"/>
        <v>150</v>
      </c>
      <c r="I29" s="207">
        <f t="shared" si="2"/>
        <v>3227.4193548387098</v>
      </c>
      <c r="J29" s="207">
        <f t="shared" si="22"/>
        <v>150</v>
      </c>
      <c r="K29" s="207">
        <f t="shared" si="3"/>
        <v>3227.4193548387098</v>
      </c>
      <c r="L29" s="207">
        <f t="shared" si="23"/>
        <v>150</v>
      </c>
      <c r="M29" s="207">
        <f t="shared" si="4"/>
        <v>3227.4193548387098</v>
      </c>
      <c r="N29" s="207">
        <f t="shared" si="24"/>
        <v>150</v>
      </c>
      <c r="O29" s="207">
        <f t="shared" si="5"/>
        <v>3227.4193548387098</v>
      </c>
      <c r="P29" s="207">
        <f t="shared" si="25"/>
        <v>150</v>
      </c>
      <c r="Q29" s="207">
        <f t="shared" si="6"/>
        <v>3227.4193548387098</v>
      </c>
      <c r="R29" s="207">
        <f t="shared" si="26"/>
        <v>150</v>
      </c>
      <c r="S29" s="207">
        <f t="shared" si="7"/>
        <v>3227.4193548387098</v>
      </c>
      <c r="T29" s="207">
        <f t="shared" si="27"/>
        <v>150</v>
      </c>
      <c r="U29" s="207">
        <f t="shared" si="8"/>
        <v>3227.4193548387098</v>
      </c>
      <c r="V29" s="207">
        <f t="shared" si="28"/>
        <v>150</v>
      </c>
      <c r="W29" s="207">
        <f t="shared" si="9"/>
        <v>3227.4193548387098</v>
      </c>
      <c r="X29" s="35">
        <f t="shared" si="10"/>
        <v>0.48387096774193544</v>
      </c>
      <c r="Y29" s="36">
        <f t="shared" si="29"/>
        <v>35501.612903225803</v>
      </c>
      <c r="Z29" s="207">
        <f>'B5'!C28</f>
        <v>156</v>
      </c>
      <c r="AA29" s="207">
        <f t="shared" si="30"/>
        <v>1560</v>
      </c>
      <c r="AB29" s="207">
        <f t="shared" si="31"/>
        <v>156</v>
      </c>
      <c r="AC29" s="207">
        <f t="shared" si="30"/>
        <v>1560</v>
      </c>
      <c r="AD29" s="207">
        <f t="shared" si="32"/>
        <v>156</v>
      </c>
      <c r="AE29" s="207">
        <f t="shared" si="11"/>
        <v>1560</v>
      </c>
      <c r="AF29" s="207">
        <f t="shared" si="33"/>
        <v>156</v>
      </c>
      <c r="AG29" s="207">
        <f t="shared" si="12"/>
        <v>1560</v>
      </c>
      <c r="AH29" s="207">
        <f t="shared" si="34"/>
        <v>156</v>
      </c>
      <c r="AI29" s="207">
        <f t="shared" si="13"/>
        <v>1560</v>
      </c>
      <c r="AJ29" s="207">
        <f t="shared" si="35"/>
        <v>156</v>
      </c>
      <c r="AK29" s="207">
        <f t="shared" si="14"/>
        <v>1560</v>
      </c>
      <c r="AL29" s="207">
        <f t="shared" si="36"/>
        <v>156</v>
      </c>
      <c r="AM29" s="207">
        <f t="shared" si="15"/>
        <v>1560</v>
      </c>
      <c r="AN29" s="35">
        <f t="shared" si="16"/>
        <v>0.55714285714285716</v>
      </c>
      <c r="AO29" s="36">
        <f t="shared" si="17"/>
        <v>10920</v>
      </c>
      <c r="AQ29" s="227">
        <f t="shared" si="37"/>
        <v>0.49931819837824892</v>
      </c>
      <c r="AR29" s="38">
        <f t="shared" si="41"/>
        <v>46421.612903225803</v>
      </c>
      <c r="AS29" s="201">
        <f t="shared" si="38"/>
        <v>0</v>
      </c>
      <c r="AT29" s="368"/>
      <c r="AU29" s="452"/>
      <c r="AV29" s="539">
        <f t="shared" si="42"/>
        <v>0.34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150</v>
      </c>
      <c r="C30" s="207">
        <f t="shared" si="18"/>
        <v>3227.4193548387098</v>
      </c>
      <c r="D30">
        <f t="shared" ref="D30:D35" si="44">SUM(B30)</f>
        <v>150</v>
      </c>
      <c r="E30" s="207">
        <f t="shared" si="18"/>
        <v>3227.4193548387098</v>
      </c>
      <c r="F30">
        <f t="shared" ref="F30:F35" si="45">SUM(D30)</f>
        <v>150</v>
      </c>
      <c r="G30" s="207">
        <f t="shared" si="1"/>
        <v>3227.4193548387098</v>
      </c>
      <c r="H30" s="207">
        <f t="shared" ref="H30:H35" si="46">SUM(F30)</f>
        <v>150</v>
      </c>
      <c r="I30" s="207">
        <f t="shared" si="2"/>
        <v>3227.4193548387098</v>
      </c>
      <c r="J30" s="207">
        <f t="shared" ref="J30:J35" si="47">SUM(H30)</f>
        <v>150</v>
      </c>
      <c r="K30" s="207">
        <f t="shared" si="3"/>
        <v>3227.4193548387098</v>
      </c>
      <c r="L30" s="207">
        <f t="shared" ref="L30:L35" si="48">SUM(J30)</f>
        <v>150</v>
      </c>
      <c r="M30" s="207">
        <f t="shared" si="4"/>
        <v>3227.4193548387098</v>
      </c>
      <c r="N30" s="207">
        <f t="shared" ref="N30:N35" si="49">SUM(L30)</f>
        <v>150</v>
      </c>
      <c r="O30" s="207">
        <f t="shared" si="5"/>
        <v>3227.4193548387098</v>
      </c>
      <c r="P30" s="207">
        <f t="shared" ref="P30:P35" si="50">SUM(N30)</f>
        <v>150</v>
      </c>
      <c r="Q30" s="207">
        <f t="shared" si="6"/>
        <v>3227.4193548387098</v>
      </c>
      <c r="R30" s="207">
        <f t="shared" ref="R30:R35" si="51">SUM(P30)</f>
        <v>150</v>
      </c>
      <c r="S30" s="207">
        <f t="shared" si="7"/>
        <v>3227.4193548387098</v>
      </c>
      <c r="T30" s="207">
        <f t="shared" ref="T30:T35" si="52">SUM(R30)</f>
        <v>150</v>
      </c>
      <c r="U30" s="207">
        <f t="shared" si="8"/>
        <v>3227.4193548387098</v>
      </c>
      <c r="V30" s="207">
        <f t="shared" ref="V30:V35" si="53">SUM(T30)</f>
        <v>150</v>
      </c>
      <c r="W30" s="207">
        <f t="shared" si="9"/>
        <v>3227.4193548387098</v>
      </c>
      <c r="X30" s="35">
        <f t="shared" ref="X30:X35" si="54">SUM(Y30/73370)</f>
        <v>0.48387096774193544</v>
      </c>
      <c r="Y30" s="36">
        <f t="shared" ref="Y30:Y35" si="55">SUM(C30+E30+G30+I30+K30+M30+O30+Q30+S30+U30+W30)</f>
        <v>35501.612903225803</v>
      </c>
      <c r="Z30" s="207">
        <f>'B5'!C29</f>
        <v>156</v>
      </c>
      <c r="AA30" s="207">
        <f t="shared" si="30"/>
        <v>1560</v>
      </c>
      <c r="AB30" s="207">
        <f t="shared" ref="AB30:AB35" si="56">SUM(Z30)</f>
        <v>156</v>
      </c>
      <c r="AC30" s="207">
        <f t="shared" si="30"/>
        <v>1560</v>
      </c>
      <c r="AD30" s="207">
        <f t="shared" ref="AD30:AD35" si="57">SUM(AB30)</f>
        <v>156</v>
      </c>
      <c r="AE30" s="207">
        <f t="shared" si="11"/>
        <v>1560</v>
      </c>
      <c r="AF30" s="207">
        <f t="shared" ref="AF30:AF35" si="58">SUM(AD30)</f>
        <v>156</v>
      </c>
      <c r="AG30" s="207">
        <f t="shared" si="12"/>
        <v>1560</v>
      </c>
      <c r="AH30" s="207">
        <f t="shared" ref="AH30:AH35" si="59">SUM(AF30)</f>
        <v>156</v>
      </c>
      <c r="AI30" s="207">
        <f t="shared" si="13"/>
        <v>1560</v>
      </c>
      <c r="AJ30" s="207">
        <f t="shared" ref="AJ30:AJ35" si="60">SUM(AH30)</f>
        <v>156</v>
      </c>
      <c r="AK30" s="207">
        <f t="shared" si="14"/>
        <v>1560</v>
      </c>
      <c r="AL30" s="207">
        <f t="shared" ref="AL30:AL35" si="61">SUM(AJ30)</f>
        <v>156</v>
      </c>
      <c r="AM30" s="207">
        <f t="shared" si="15"/>
        <v>1560</v>
      </c>
      <c r="AN30" s="35">
        <f t="shared" ref="AN30:AN35" si="62">SUM(AO30/19600)</f>
        <v>0.55714285714285716</v>
      </c>
      <c r="AO30" s="36">
        <f t="shared" ref="AO30:AO35" si="63">SUM(AA30+AC30+AE30+AG30+AI30+AK30+AM30)</f>
        <v>10920</v>
      </c>
      <c r="AQ30" s="227">
        <f t="shared" si="37"/>
        <v>0.49931819837824892</v>
      </c>
      <c r="AR30" s="38">
        <f t="shared" si="41"/>
        <v>46421.612903225803</v>
      </c>
      <c r="AS30" s="201">
        <f t="shared" si="38"/>
        <v>0</v>
      </c>
      <c r="AT30" s="368"/>
      <c r="AU30" s="452"/>
      <c r="AV30" s="539">
        <f t="shared" si="42"/>
        <v>0.34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150</v>
      </c>
      <c r="C31" s="207">
        <f t="shared" si="18"/>
        <v>3227.4193548387098</v>
      </c>
      <c r="D31">
        <f t="shared" si="44"/>
        <v>150</v>
      </c>
      <c r="E31" s="207">
        <f t="shared" si="18"/>
        <v>3227.4193548387098</v>
      </c>
      <c r="F31">
        <f t="shared" si="45"/>
        <v>150</v>
      </c>
      <c r="G31" s="207">
        <f t="shared" si="1"/>
        <v>3227.4193548387098</v>
      </c>
      <c r="H31" s="207">
        <f t="shared" si="46"/>
        <v>150</v>
      </c>
      <c r="I31" s="207">
        <f t="shared" si="2"/>
        <v>3227.4193548387098</v>
      </c>
      <c r="J31" s="207">
        <f t="shared" si="47"/>
        <v>150</v>
      </c>
      <c r="K31" s="207">
        <f t="shared" si="3"/>
        <v>3227.4193548387098</v>
      </c>
      <c r="L31" s="207">
        <f t="shared" si="48"/>
        <v>150</v>
      </c>
      <c r="M31" s="207">
        <f t="shared" si="4"/>
        <v>3227.4193548387098</v>
      </c>
      <c r="N31" s="207">
        <f t="shared" si="49"/>
        <v>150</v>
      </c>
      <c r="O31" s="207">
        <f t="shared" si="5"/>
        <v>3227.4193548387098</v>
      </c>
      <c r="P31" s="207">
        <f t="shared" si="50"/>
        <v>150</v>
      </c>
      <c r="Q31" s="207">
        <f t="shared" si="6"/>
        <v>3227.4193548387098</v>
      </c>
      <c r="R31" s="207">
        <f t="shared" si="51"/>
        <v>150</v>
      </c>
      <c r="S31" s="207">
        <f t="shared" si="7"/>
        <v>3227.4193548387098</v>
      </c>
      <c r="T31" s="207">
        <f t="shared" si="52"/>
        <v>150</v>
      </c>
      <c r="U31" s="207">
        <f t="shared" si="8"/>
        <v>3227.4193548387098</v>
      </c>
      <c r="V31" s="207">
        <f t="shared" si="53"/>
        <v>150</v>
      </c>
      <c r="W31" s="207">
        <f t="shared" si="9"/>
        <v>3227.4193548387098</v>
      </c>
      <c r="X31" s="35">
        <f t="shared" si="54"/>
        <v>0.48387096774193544</v>
      </c>
      <c r="Y31" s="36">
        <f t="shared" si="55"/>
        <v>35501.612903225803</v>
      </c>
      <c r="Z31" s="207">
        <f>'B5'!C30</f>
        <v>156</v>
      </c>
      <c r="AA31" s="207">
        <f t="shared" si="30"/>
        <v>1560</v>
      </c>
      <c r="AB31" s="207">
        <f t="shared" si="56"/>
        <v>156</v>
      </c>
      <c r="AC31" s="207">
        <f t="shared" si="30"/>
        <v>1560</v>
      </c>
      <c r="AD31" s="207">
        <f t="shared" si="57"/>
        <v>156</v>
      </c>
      <c r="AE31" s="207">
        <f t="shared" si="11"/>
        <v>1560</v>
      </c>
      <c r="AF31" s="207">
        <f t="shared" si="58"/>
        <v>156</v>
      </c>
      <c r="AG31" s="207">
        <f t="shared" si="12"/>
        <v>1560</v>
      </c>
      <c r="AH31" s="207">
        <f t="shared" si="59"/>
        <v>156</v>
      </c>
      <c r="AI31" s="207">
        <f t="shared" si="13"/>
        <v>1560</v>
      </c>
      <c r="AJ31" s="207">
        <f t="shared" si="60"/>
        <v>156</v>
      </c>
      <c r="AK31" s="207">
        <f t="shared" si="14"/>
        <v>1560</v>
      </c>
      <c r="AL31" s="207">
        <f t="shared" si="61"/>
        <v>156</v>
      </c>
      <c r="AM31" s="207">
        <f t="shared" si="15"/>
        <v>1560</v>
      </c>
      <c r="AN31" s="35">
        <f t="shared" si="62"/>
        <v>0.55714285714285716</v>
      </c>
      <c r="AO31" s="36">
        <f t="shared" si="63"/>
        <v>10920</v>
      </c>
      <c r="AQ31" s="227">
        <f t="shared" si="37"/>
        <v>0.49931819837824892</v>
      </c>
      <c r="AR31" s="38">
        <f t="shared" si="41"/>
        <v>46421.612903225803</v>
      </c>
      <c r="AS31" s="201">
        <f>SUM(AR31-AR30-AT31)</f>
        <v>0</v>
      </c>
      <c r="AT31" s="368"/>
      <c r="AU31" s="452"/>
      <c r="AV31" s="539">
        <f t="shared" si="42"/>
        <v>0.34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150</v>
      </c>
      <c r="C32" s="207">
        <f t="shared" si="18"/>
        <v>3227.4193548387098</v>
      </c>
      <c r="D32">
        <f t="shared" si="44"/>
        <v>150</v>
      </c>
      <c r="E32" s="207">
        <f t="shared" si="18"/>
        <v>3227.4193548387098</v>
      </c>
      <c r="F32">
        <f t="shared" si="45"/>
        <v>150</v>
      </c>
      <c r="G32" s="207">
        <f t="shared" si="1"/>
        <v>3227.4193548387098</v>
      </c>
      <c r="H32" s="207">
        <f t="shared" si="46"/>
        <v>150</v>
      </c>
      <c r="I32" s="207">
        <f t="shared" si="2"/>
        <v>3227.4193548387098</v>
      </c>
      <c r="J32" s="207">
        <f t="shared" si="47"/>
        <v>150</v>
      </c>
      <c r="K32" s="207">
        <f t="shared" si="3"/>
        <v>3227.4193548387098</v>
      </c>
      <c r="L32" s="207">
        <f t="shared" si="48"/>
        <v>150</v>
      </c>
      <c r="M32" s="207">
        <f t="shared" si="4"/>
        <v>3227.4193548387098</v>
      </c>
      <c r="N32" s="207">
        <f t="shared" si="49"/>
        <v>150</v>
      </c>
      <c r="O32" s="207">
        <f t="shared" si="5"/>
        <v>3227.4193548387098</v>
      </c>
      <c r="P32" s="207">
        <f t="shared" si="50"/>
        <v>150</v>
      </c>
      <c r="Q32" s="207">
        <f t="shared" si="6"/>
        <v>3227.4193548387098</v>
      </c>
      <c r="R32" s="207">
        <f t="shared" si="51"/>
        <v>150</v>
      </c>
      <c r="S32" s="207">
        <f t="shared" si="7"/>
        <v>3227.4193548387098</v>
      </c>
      <c r="T32" s="207">
        <f t="shared" si="52"/>
        <v>150</v>
      </c>
      <c r="U32" s="207">
        <f t="shared" si="8"/>
        <v>3227.4193548387098</v>
      </c>
      <c r="V32" s="207">
        <f t="shared" si="53"/>
        <v>150</v>
      </c>
      <c r="W32" s="207">
        <f t="shared" si="9"/>
        <v>3227.4193548387098</v>
      </c>
      <c r="X32" s="35">
        <f t="shared" si="54"/>
        <v>0.48387096774193544</v>
      </c>
      <c r="Y32" s="36">
        <f t="shared" si="55"/>
        <v>35501.612903225803</v>
      </c>
      <c r="Z32" s="207">
        <f>'B5'!C31</f>
        <v>156</v>
      </c>
      <c r="AA32" s="207">
        <f t="shared" si="30"/>
        <v>1560</v>
      </c>
      <c r="AB32" s="207">
        <f t="shared" si="56"/>
        <v>156</v>
      </c>
      <c r="AC32" s="207">
        <f t="shared" si="30"/>
        <v>1560</v>
      </c>
      <c r="AD32" s="207">
        <f t="shared" si="57"/>
        <v>156</v>
      </c>
      <c r="AE32" s="207">
        <f t="shared" si="11"/>
        <v>1560</v>
      </c>
      <c r="AF32" s="207">
        <f t="shared" si="58"/>
        <v>156</v>
      </c>
      <c r="AG32" s="207">
        <f t="shared" si="12"/>
        <v>1560</v>
      </c>
      <c r="AH32" s="207">
        <f t="shared" si="59"/>
        <v>156</v>
      </c>
      <c r="AI32" s="207">
        <f t="shared" si="13"/>
        <v>1560</v>
      </c>
      <c r="AJ32" s="207">
        <f t="shared" si="60"/>
        <v>156</v>
      </c>
      <c r="AK32" s="207">
        <f t="shared" si="14"/>
        <v>1560</v>
      </c>
      <c r="AL32" s="207">
        <f t="shared" si="61"/>
        <v>156</v>
      </c>
      <c r="AM32" s="207">
        <f t="shared" si="15"/>
        <v>1560</v>
      </c>
      <c r="AN32" s="35">
        <f t="shared" si="62"/>
        <v>0.55714285714285716</v>
      </c>
      <c r="AO32" s="36">
        <f t="shared" si="63"/>
        <v>10920</v>
      </c>
      <c r="AQ32" s="227">
        <f t="shared" si="37"/>
        <v>0.49931819837824892</v>
      </c>
      <c r="AR32" s="38">
        <f t="shared" si="41"/>
        <v>46421.612903225803</v>
      </c>
      <c r="AS32" s="201">
        <f t="shared" si="38"/>
        <v>0</v>
      </c>
      <c r="AT32" s="368"/>
      <c r="AU32" s="452"/>
      <c r="AV32" s="539">
        <f>IF(AT32&gt;0,AU32,AV31)</f>
        <v>0.34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150</v>
      </c>
      <c r="C33" s="207">
        <f t="shared" si="18"/>
        <v>3227.4193548387098</v>
      </c>
      <c r="D33">
        <f t="shared" si="44"/>
        <v>150</v>
      </c>
      <c r="E33" s="207">
        <f t="shared" si="18"/>
        <v>3227.4193548387098</v>
      </c>
      <c r="F33">
        <f t="shared" si="45"/>
        <v>150</v>
      </c>
      <c r="G33" s="207">
        <f t="shared" si="1"/>
        <v>3227.4193548387098</v>
      </c>
      <c r="H33" s="207">
        <f t="shared" si="46"/>
        <v>150</v>
      </c>
      <c r="I33" s="207">
        <f t="shared" si="2"/>
        <v>3227.4193548387098</v>
      </c>
      <c r="J33" s="207">
        <f t="shared" si="47"/>
        <v>150</v>
      </c>
      <c r="K33" s="207">
        <f t="shared" si="3"/>
        <v>3227.4193548387098</v>
      </c>
      <c r="L33" s="207">
        <f t="shared" si="48"/>
        <v>150</v>
      </c>
      <c r="M33" s="207">
        <f t="shared" si="4"/>
        <v>3227.4193548387098</v>
      </c>
      <c r="N33" s="207">
        <f t="shared" si="49"/>
        <v>150</v>
      </c>
      <c r="O33" s="207">
        <f t="shared" si="5"/>
        <v>3227.4193548387098</v>
      </c>
      <c r="P33" s="207">
        <f t="shared" si="50"/>
        <v>150</v>
      </c>
      <c r="Q33" s="207">
        <f t="shared" si="6"/>
        <v>3227.4193548387098</v>
      </c>
      <c r="R33" s="207">
        <f t="shared" si="51"/>
        <v>150</v>
      </c>
      <c r="S33" s="207">
        <f t="shared" si="7"/>
        <v>3227.4193548387098</v>
      </c>
      <c r="T33" s="207">
        <f t="shared" si="52"/>
        <v>150</v>
      </c>
      <c r="U33" s="207">
        <f t="shared" si="8"/>
        <v>3227.4193548387098</v>
      </c>
      <c r="V33" s="207">
        <f t="shared" si="53"/>
        <v>150</v>
      </c>
      <c r="W33" s="207">
        <f t="shared" si="9"/>
        <v>3227.4193548387098</v>
      </c>
      <c r="X33" s="35">
        <f t="shared" si="54"/>
        <v>0.48387096774193544</v>
      </c>
      <c r="Y33" s="36">
        <f t="shared" si="55"/>
        <v>35501.612903225803</v>
      </c>
      <c r="Z33" s="207">
        <f>'B5'!C32</f>
        <v>156</v>
      </c>
      <c r="AA33" s="207">
        <f t="shared" si="30"/>
        <v>1560</v>
      </c>
      <c r="AB33" s="207">
        <f t="shared" si="56"/>
        <v>156</v>
      </c>
      <c r="AC33" s="207">
        <f t="shared" si="30"/>
        <v>1560</v>
      </c>
      <c r="AD33" s="207">
        <f t="shared" si="57"/>
        <v>156</v>
      </c>
      <c r="AE33" s="207">
        <f t="shared" si="11"/>
        <v>1560</v>
      </c>
      <c r="AF33" s="207">
        <f t="shared" si="58"/>
        <v>156</v>
      </c>
      <c r="AG33" s="207">
        <f t="shared" si="12"/>
        <v>1560</v>
      </c>
      <c r="AH33" s="207">
        <f t="shared" si="59"/>
        <v>156</v>
      </c>
      <c r="AI33" s="207">
        <f t="shared" si="13"/>
        <v>1560</v>
      </c>
      <c r="AJ33" s="207">
        <f t="shared" si="60"/>
        <v>156</v>
      </c>
      <c r="AK33" s="207">
        <f t="shared" si="14"/>
        <v>1560</v>
      </c>
      <c r="AL33" s="207">
        <f t="shared" si="61"/>
        <v>156</v>
      </c>
      <c r="AM33" s="207">
        <f t="shared" si="15"/>
        <v>1560</v>
      </c>
      <c r="AN33" s="35">
        <f t="shared" si="62"/>
        <v>0.55714285714285716</v>
      </c>
      <c r="AO33" s="36">
        <f t="shared" si="63"/>
        <v>10920</v>
      </c>
      <c r="AQ33" s="227">
        <f t="shared" si="37"/>
        <v>0.49931819837824892</v>
      </c>
      <c r="AR33" s="38">
        <f t="shared" si="41"/>
        <v>46421.612903225803</v>
      </c>
      <c r="AS33" s="201">
        <f t="shared" si="38"/>
        <v>0</v>
      </c>
      <c r="AT33" s="368"/>
      <c r="AU33" s="452"/>
      <c r="AV33" s="539">
        <f>IF(AT33&gt;0,AU33,AV32)</f>
        <v>0.34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150</v>
      </c>
      <c r="C34" s="207">
        <f t="shared" si="18"/>
        <v>3227.4193548387098</v>
      </c>
      <c r="D34">
        <f t="shared" si="44"/>
        <v>150</v>
      </c>
      <c r="E34" s="207">
        <f t="shared" si="18"/>
        <v>3227.4193548387098</v>
      </c>
      <c r="F34">
        <f t="shared" si="45"/>
        <v>150</v>
      </c>
      <c r="G34" s="207">
        <f t="shared" si="1"/>
        <v>3227.4193548387098</v>
      </c>
      <c r="H34" s="207">
        <f t="shared" si="46"/>
        <v>150</v>
      </c>
      <c r="I34" s="207">
        <f t="shared" si="2"/>
        <v>3227.4193548387098</v>
      </c>
      <c r="J34" s="207">
        <f t="shared" si="47"/>
        <v>150</v>
      </c>
      <c r="K34" s="207">
        <f t="shared" si="3"/>
        <v>3227.4193548387098</v>
      </c>
      <c r="L34" s="207">
        <f t="shared" si="48"/>
        <v>150</v>
      </c>
      <c r="M34" s="207">
        <f t="shared" si="4"/>
        <v>3227.4193548387098</v>
      </c>
      <c r="N34" s="207">
        <f t="shared" si="49"/>
        <v>150</v>
      </c>
      <c r="O34" s="207">
        <f t="shared" si="5"/>
        <v>3227.4193548387098</v>
      </c>
      <c r="P34" s="207">
        <f t="shared" si="50"/>
        <v>150</v>
      </c>
      <c r="Q34" s="207">
        <f t="shared" si="6"/>
        <v>3227.4193548387098</v>
      </c>
      <c r="R34" s="207">
        <f t="shared" si="51"/>
        <v>150</v>
      </c>
      <c r="S34" s="207">
        <f t="shared" si="7"/>
        <v>3227.4193548387098</v>
      </c>
      <c r="T34" s="207">
        <f t="shared" si="52"/>
        <v>150</v>
      </c>
      <c r="U34" s="207">
        <f t="shared" si="8"/>
        <v>3227.4193548387098</v>
      </c>
      <c r="V34" s="207">
        <f t="shared" si="53"/>
        <v>150</v>
      </c>
      <c r="W34" s="207">
        <f t="shared" si="9"/>
        <v>3227.4193548387098</v>
      </c>
      <c r="X34" s="35">
        <f t="shared" si="54"/>
        <v>0.48387096774193544</v>
      </c>
      <c r="Y34" s="36">
        <f t="shared" si="55"/>
        <v>35501.612903225803</v>
      </c>
      <c r="Z34" s="207">
        <f>'B5'!C33</f>
        <v>156</v>
      </c>
      <c r="AA34" s="207">
        <f t="shared" si="30"/>
        <v>1560</v>
      </c>
      <c r="AB34" s="207">
        <f t="shared" si="56"/>
        <v>156</v>
      </c>
      <c r="AC34" s="207">
        <f t="shared" si="30"/>
        <v>1560</v>
      </c>
      <c r="AD34" s="207">
        <f t="shared" si="57"/>
        <v>156</v>
      </c>
      <c r="AE34" s="207">
        <f t="shared" si="11"/>
        <v>1560</v>
      </c>
      <c r="AF34" s="207">
        <f t="shared" si="58"/>
        <v>156</v>
      </c>
      <c r="AG34" s="207">
        <f t="shared" si="12"/>
        <v>1560</v>
      </c>
      <c r="AH34" s="207">
        <f t="shared" si="59"/>
        <v>156</v>
      </c>
      <c r="AI34" s="207">
        <f t="shared" si="13"/>
        <v>1560</v>
      </c>
      <c r="AJ34" s="207">
        <f t="shared" si="60"/>
        <v>156</v>
      </c>
      <c r="AK34" s="207">
        <f t="shared" si="14"/>
        <v>1560</v>
      </c>
      <c r="AL34" s="207">
        <f t="shared" si="61"/>
        <v>156</v>
      </c>
      <c r="AM34" s="207">
        <f t="shared" si="15"/>
        <v>1560</v>
      </c>
      <c r="AN34" s="35">
        <f t="shared" si="62"/>
        <v>0.55714285714285716</v>
      </c>
      <c r="AO34" s="36">
        <f t="shared" si="63"/>
        <v>10920</v>
      </c>
      <c r="AQ34" s="227">
        <f>SUM(AR34/92970)</f>
        <v>0.49931819837824892</v>
      </c>
      <c r="AR34" s="38">
        <f t="shared" si="41"/>
        <v>46421.612903225803</v>
      </c>
      <c r="AS34" s="201">
        <f t="shared" si="38"/>
        <v>0</v>
      </c>
      <c r="AT34" s="368"/>
      <c r="AU34" s="452"/>
      <c r="AV34" s="539">
        <f t="shared" si="42"/>
        <v>0.34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150</v>
      </c>
      <c r="C35" s="207">
        <f t="shared" si="18"/>
        <v>3227.4193548387098</v>
      </c>
      <c r="D35">
        <f t="shared" si="44"/>
        <v>150</v>
      </c>
      <c r="E35" s="207">
        <f t="shared" si="18"/>
        <v>3227.4193548387098</v>
      </c>
      <c r="F35">
        <f t="shared" si="45"/>
        <v>150</v>
      </c>
      <c r="G35" s="207">
        <f t="shared" si="1"/>
        <v>3227.4193548387098</v>
      </c>
      <c r="H35" s="207">
        <f t="shared" si="46"/>
        <v>150</v>
      </c>
      <c r="I35" s="207">
        <f t="shared" si="2"/>
        <v>3227.4193548387098</v>
      </c>
      <c r="J35" s="207">
        <f t="shared" si="47"/>
        <v>150</v>
      </c>
      <c r="K35" s="207">
        <f t="shared" si="3"/>
        <v>3227.4193548387098</v>
      </c>
      <c r="L35" s="207">
        <f t="shared" si="48"/>
        <v>150</v>
      </c>
      <c r="M35" s="207">
        <f t="shared" si="4"/>
        <v>3227.4193548387098</v>
      </c>
      <c r="N35" s="207">
        <f t="shared" si="49"/>
        <v>150</v>
      </c>
      <c r="O35" s="207">
        <f t="shared" si="5"/>
        <v>3227.4193548387098</v>
      </c>
      <c r="P35" s="207">
        <f t="shared" si="50"/>
        <v>150</v>
      </c>
      <c r="Q35" s="207">
        <f t="shared" si="6"/>
        <v>3227.4193548387098</v>
      </c>
      <c r="R35" s="207">
        <f t="shared" si="51"/>
        <v>150</v>
      </c>
      <c r="S35" s="207">
        <f t="shared" si="7"/>
        <v>3227.4193548387098</v>
      </c>
      <c r="T35" s="207">
        <f t="shared" si="52"/>
        <v>150</v>
      </c>
      <c r="U35" s="207">
        <f t="shared" si="8"/>
        <v>3227.4193548387098</v>
      </c>
      <c r="V35" s="207">
        <f t="shared" si="53"/>
        <v>150</v>
      </c>
      <c r="W35" s="207">
        <f t="shared" si="9"/>
        <v>3227.4193548387098</v>
      </c>
      <c r="X35" s="35">
        <f t="shared" si="54"/>
        <v>0.48387096774193544</v>
      </c>
      <c r="Y35" s="36">
        <f t="shared" si="55"/>
        <v>35501.612903225803</v>
      </c>
      <c r="Z35" s="207">
        <f>'B5'!C34</f>
        <v>156</v>
      </c>
      <c r="AA35" s="207">
        <f t="shared" si="30"/>
        <v>1560</v>
      </c>
      <c r="AB35" s="207">
        <f t="shared" si="56"/>
        <v>156</v>
      </c>
      <c r="AC35" s="207">
        <f t="shared" si="30"/>
        <v>1560</v>
      </c>
      <c r="AD35" s="207">
        <f t="shared" si="57"/>
        <v>156</v>
      </c>
      <c r="AE35" s="207">
        <f t="shared" si="11"/>
        <v>1560</v>
      </c>
      <c r="AF35" s="207">
        <f t="shared" si="58"/>
        <v>156</v>
      </c>
      <c r="AG35" s="207">
        <f t="shared" si="12"/>
        <v>1560</v>
      </c>
      <c r="AH35" s="207">
        <f t="shared" si="59"/>
        <v>156</v>
      </c>
      <c r="AI35" s="207">
        <f t="shared" si="13"/>
        <v>1560</v>
      </c>
      <c r="AJ35" s="207">
        <f t="shared" si="60"/>
        <v>156</v>
      </c>
      <c r="AK35" s="207">
        <f t="shared" si="14"/>
        <v>1560</v>
      </c>
      <c r="AL35" s="207">
        <f t="shared" si="61"/>
        <v>156</v>
      </c>
      <c r="AM35" s="207">
        <f t="shared" si="15"/>
        <v>1560</v>
      </c>
      <c r="AN35" s="35">
        <f t="shared" si="62"/>
        <v>0.55714285714285716</v>
      </c>
      <c r="AO35" s="36">
        <f t="shared" si="63"/>
        <v>10920</v>
      </c>
      <c r="AQ35" s="227">
        <f>SUM(AR35/92970)</f>
        <v>0.49931819837824892</v>
      </c>
      <c r="AR35" s="38">
        <f t="shared" si="41"/>
        <v>46421.612903225803</v>
      </c>
      <c r="AS35" s="201">
        <f t="shared" si="38"/>
        <v>0</v>
      </c>
      <c r="AT35" s="368"/>
      <c r="AU35" s="452"/>
      <c r="AV35" s="539">
        <f>IF(AT35&gt;0,AU35,AV34)</f>
        <v>0.34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2</v>
      </c>
      <c r="AT36" s="207">
        <f>SUM(AT6:AT35)</f>
        <v>10353.1</v>
      </c>
      <c r="AU36">
        <f>SUM(AU6:AU35)/AS36</f>
        <v>0.22000000000000003</v>
      </c>
      <c r="AX36" s="207">
        <f>SUM(AX6:AX35)</f>
        <v>-13884.645161290327</v>
      </c>
      <c r="AY36" s="207">
        <f>SUM(AY6:AY35)</f>
        <v>-19316.745161290331</v>
      </c>
    </row>
    <row r="37" spans="1:60">
      <c r="AS37" s="210"/>
      <c r="AT37">
        <f>+AT36*AU36</f>
        <v>2277.6820000000002</v>
      </c>
    </row>
    <row r="39" spans="1:60">
      <c r="AS39" s="166">
        <f>SUM(AS6:AS35)/'EDl log'!A37</f>
        <v>-1379.767511520738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G1" zoomScaleNormal="100" workbookViewId="0">
      <pane ySplit="1" topLeftCell="A2" activePane="bottomLeft" state="frozen"/>
      <selection pane="bottomLeft" activeCell="T16" sqref="T1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4">
        <v>8659</v>
      </c>
      <c r="C3" s="297">
        <f>B3-B2</f>
        <v>4</v>
      </c>
      <c r="D3" s="585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5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5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5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5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2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2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2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2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2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2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2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f t="shared" si="28"/>
        <v>8689</v>
      </c>
      <c r="C17" s="297">
        <f t="shared" si="11"/>
        <v>0</v>
      </c>
      <c r="D17" s="277">
        <f t="shared" si="28"/>
        <v>159491</v>
      </c>
      <c r="E17" s="297">
        <f t="shared" si="12"/>
        <v>0</v>
      </c>
      <c r="F17" s="297">
        <f t="shared" si="0"/>
        <v>0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0</v>
      </c>
      <c r="AA17" s="297">
        <f t="shared" si="20"/>
        <v>0</v>
      </c>
      <c r="AB17" s="297">
        <f t="shared" si="21"/>
        <v>0</v>
      </c>
      <c r="AC17" s="297">
        <f t="shared" si="22"/>
        <v>0</v>
      </c>
      <c r="AD17" s="74">
        <f>ELEC!Q17</f>
        <v>0</v>
      </c>
      <c r="AE17" s="74" t="e">
        <f t="shared" si="24"/>
        <v>#DIV/0!</v>
      </c>
      <c r="AF17" s="416" t="e">
        <f t="shared" si="25"/>
        <v>#DIV/0!</v>
      </c>
      <c r="AG17" s="417" t="e">
        <f t="shared" si="26"/>
        <v>#DIV/0!</v>
      </c>
      <c r="AH17" s="417" t="e">
        <f t="shared" si="23"/>
        <v>#DIV/0!</v>
      </c>
      <c r="AI17" s="74">
        <f t="shared" si="27"/>
        <v>0</v>
      </c>
      <c r="AJ17" s="299">
        <f t="shared" si="9"/>
        <v>0.25738396624472576</v>
      </c>
      <c r="AK17" s="299">
        <f t="shared" ref="AK17:AK32" si="30">IF(Z17&gt;0,AI17/Z17,0)</f>
        <v>0</v>
      </c>
    </row>
    <row r="18" spans="1:37">
      <c r="A18" s="4">
        <f>ELEC!C18</f>
        <v>43998</v>
      </c>
      <c r="B18" s="277">
        <f t="shared" si="28"/>
        <v>8689</v>
      </c>
      <c r="C18" s="297">
        <f t="shared" si="11"/>
        <v>0</v>
      </c>
      <c r="D18" s="277">
        <f t="shared" si="28"/>
        <v>159491</v>
      </c>
      <c r="E18" s="297">
        <f t="shared" si="12"/>
        <v>0</v>
      </c>
      <c r="F18" s="297">
        <f t="shared" si="0"/>
        <v>0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0</v>
      </c>
      <c r="AA18" s="297">
        <f t="shared" si="20"/>
        <v>0</v>
      </c>
      <c r="AB18" s="297">
        <f t="shared" si="21"/>
        <v>0</v>
      </c>
      <c r="AC18" s="297">
        <f t="shared" si="22"/>
        <v>0</v>
      </c>
      <c r="AD18" s="74">
        <f>ELEC!Q18</f>
        <v>0</v>
      </c>
      <c r="AE18" s="74" t="e">
        <f t="shared" si="24"/>
        <v>#DIV/0!</v>
      </c>
      <c r="AF18" s="416" t="e">
        <f t="shared" si="25"/>
        <v>#DIV/0!</v>
      </c>
      <c r="AG18" s="417" t="e">
        <f t="shared" si="26"/>
        <v>#DIV/0!</v>
      </c>
      <c r="AH18" s="417" t="e">
        <f t="shared" si="23"/>
        <v>#DIV/0!</v>
      </c>
      <c r="AI18" s="74">
        <f t="shared" si="27"/>
        <v>0</v>
      </c>
      <c r="AJ18" s="299">
        <f t="shared" si="9"/>
        <v>0.25738396624472576</v>
      </c>
      <c r="AK18" s="299">
        <f t="shared" si="30"/>
        <v>0</v>
      </c>
    </row>
    <row r="19" spans="1:37">
      <c r="A19" s="4">
        <f>ELEC!C19</f>
        <v>43999</v>
      </c>
      <c r="B19" s="277">
        <f t="shared" si="28"/>
        <v>8689</v>
      </c>
      <c r="C19" s="297">
        <f t="shared" si="11"/>
        <v>0</v>
      </c>
      <c r="D19" s="277">
        <f t="shared" si="28"/>
        <v>159491</v>
      </c>
      <c r="E19" s="297">
        <f t="shared" si="12"/>
        <v>0</v>
      </c>
      <c r="F19" s="297">
        <f t="shared" si="0"/>
        <v>0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0</v>
      </c>
      <c r="AA19" s="297">
        <f t="shared" si="20"/>
        <v>0</v>
      </c>
      <c r="AB19" s="297">
        <f t="shared" si="21"/>
        <v>0</v>
      </c>
      <c r="AC19" s="297">
        <f t="shared" si="22"/>
        <v>0</v>
      </c>
      <c r="AD19" s="74">
        <f>ELEC!Q19</f>
        <v>0</v>
      </c>
      <c r="AE19" s="74" t="e">
        <f t="shared" si="24"/>
        <v>#DIV/0!</v>
      </c>
      <c r="AF19" s="416" t="e">
        <f t="shared" si="25"/>
        <v>#DIV/0!</v>
      </c>
      <c r="AG19" s="417" t="e">
        <f t="shared" si="26"/>
        <v>#DIV/0!</v>
      </c>
      <c r="AH19" s="417" t="e">
        <f t="shared" si="23"/>
        <v>#DIV/0!</v>
      </c>
      <c r="AI19" s="74">
        <f t="shared" si="27"/>
        <v>0</v>
      </c>
      <c r="AJ19" s="299">
        <f t="shared" si="9"/>
        <v>0.25738396624472576</v>
      </c>
      <c r="AK19" s="299">
        <f t="shared" si="30"/>
        <v>0</v>
      </c>
    </row>
    <row r="20" spans="1:37">
      <c r="A20" s="4">
        <f>ELEC!C20</f>
        <v>44000</v>
      </c>
      <c r="B20" s="277">
        <f t="shared" si="28"/>
        <v>8689</v>
      </c>
      <c r="C20" s="297">
        <f>B20-B19</f>
        <v>0</v>
      </c>
      <c r="D20" s="277">
        <f t="shared" si="28"/>
        <v>159491</v>
      </c>
      <c r="E20" s="297">
        <f t="shared" si="12"/>
        <v>0</v>
      </c>
      <c r="F20" s="297">
        <f t="shared" si="0"/>
        <v>0</v>
      </c>
      <c r="G20" s="200"/>
      <c r="H20" s="298">
        <f t="shared" si="13"/>
        <v>8770</v>
      </c>
      <c r="I20" s="297" t="str">
        <f t="shared" si="1"/>
        <v>ok</v>
      </c>
      <c r="J20" s="277">
        <f t="shared" si="14"/>
        <v>10698</v>
      </c>
      <c r="K20" s="297">
        <f t="shared" si="2"/>
        <v>0</v>
      </c>
      <c r="L20" s="277">
        <f t="shared" si="14"/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f t="shared" si="17"/>
        <v>11226</v>
      </c>
      <c r="S20" s="297">
        <f t="shared" si="5"/>
        <v>0</v>
      </c>
      <c r="T20" s="277">
        <f t="shared" si="17"/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0</v>
      </c>
      <c r="AA20" s="297">
        <f t="shared" si="20"/>
        <v>0</v>
      </c>
      <c r="AB20" s="297">
        <f t="shared" si="21"/>
        <v>0</v>
      </c>
      <c r="AC20" s="297">
        <f t="shared" si="22"/>
        <v>0</v>
      </c>
      <c r="AD20" s="74">
        <f>ELEC!Q20</f>
        <v>0</v>
      </c>
      <c r="AE20" s="74" t="e">
        <f t="shared" si="24"/>
        <v>#DIV/0!</v>
      </c>
      <c r="AF20" s="416" t="e">
        <f t="shared" si="25"/>
        <v>#DIV/0!</v>
      </c>
      <c r="AG20" s="417" t="e">
        <f t="shared" si="26"/>
        <v>#DIV/0!</v>
      </c>
      <c r="AH20" s="417" t="e">
        <f t="shared" si="23"/>
        <v>#DIV/0!</v>
      </c>
      <c r="AI20" s="74">
        <f>AD20*AJ20</f>
        <v>0</v>
      </c>
      <c r="AJ20" s="299">
        <f t="shared" si="9"/>
        <v>0.25738396624472576</v>
      </c>
      <c r="AK20" s="299">
        <f t="shared" si="30"/>
        <v>0</v>
      </c>
    </row>
    <row r="21" spans="1:37">
      <c r="A21" s="4">
        <f>ELEC!C21</f>
        <v>44001</v>
      </c>
      <c r="B21" s="277">
        <f t="shared" si="28"/>
        <v>8689</v>
      </c>
      <c r="C21" s="297">
        <f t="shared" si="11"/>
        <v>0</v>
      </c>
      <c r="D21" s="277">
        <f t="shared" si="28"/>
        <v>159491</v>
      </c>
      <c r="E21" s="297">
        <f t="shared" si="12"/>
        <v>0</v>
      </c>
      <c r="F21" s="297">
        <f t="shared" si="0"/>
        <v>0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0</v>
      </c>
      <c r="AA21" s="297">
        <f t="shared" si="20"/>
        <v>0</v>
      </c>
      <c r="AB21" s="297">
        <f t="shared" si="21"/>
        <v>0</v>
      </c>
      <c r="AC21" s="297">
        <f t="shared" si="22"/>
        <v>0</v>
      </c>
      <c r="AD21" s="74">
        <f>ELEC!Q21</f>
        <v>0</v>
      </c>
      <c r="AE21" s="74" t="e">
        <f t="shared" si="24"/>
        <v>#DIV/0!</v>
      </c>
      <c r="AF21" s="416" t="e">
        <f t="shared" si="25"/>
        <v>#DIV/0!</v>
      </c>
      <c r="AG21" s="417" t="e">
        <f t="shared" si="26"/>
        <v>#DIV/0!</v>
      </c>
      <c r="AH21" s="417" t="e">
        <f t="shared" si="23"/>
        <v>#DIV/0!</v>
      </c>
      <c r="AI21" s="74">
        <f t="shared" si="27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44002</v>
      </c>
      <c r="B22" s="277">
        <f t="shared" si="28"/>
        <v>8689</v>
      </c>
      <c r="C22" s="297">
        <f t="shared" si="11"/>
        <v>0</v>
      </c>
      <c r="D22" s="277">
        <f t="shared" si="28"/>
        <v>159491</v>
      </c>
      <c r="E22" s="297">
        <f t="shared" si="12"/>
        <v>0</v>
      </c>
      <c r="F22" s="297">
        <f t="shared" si="0"/>
        <v>0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f t="shared" si="17"/>
        <v>11226</v>
      </c>
      <c r="S22" s="297">
        <f t="shared" si="5"/>
        <v>0</v>
      </c>
      <c r="T22" s="277">
        <f t="shared" si="17"/>
        <v>259153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16" t="e">
        <f t="shared" si="25"/>
        <v>#DIV/0!</v>
      </c>
      <c r="AG22" s="417" t="e">
        <f t="shared" si="26"/>
        <v>#DIV/0!</v>
      </c>
      <c r="AH22" s="417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44003</v>
      </c>
      <c r="B23" s="277">
        <f t="shared" si="28"/>
        <v>8689</v>
      </c>
      <c r="C23" s="297">
        <f t="shared" si="11"/>
        <v>0</v>
      </c>
      <c r="D23" s="277">
        <f t="shared" si="28"/>
        <v>159491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f t="shared" si="14"/>
        <v>10698</v>
      </c>
      <c r="K23" s="297">
        <f t="shared" si="2"/>
        <v>0</v>
      </c>
      <c r="L23" s="277">
        <f t="shared" si="14"/>
        <v>238479</v>
      </c>
      <c r="M23" s="297">
        <f t="shared" si="3"/>
        <v>0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f t="shared" si="17"/>
        <v>11226</v>
      </c>
      <c r="S23" s="297">
        <f t="shared" si="5"/>
        <v>0</v>
      </c>
      <c r="T23" s="277">
        <f t="shared" si="17"/>
        <v>259153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16" t="e">
        <f t="shared" si="25"/>
        <v>#DIV/0!</v>
      </c>
      <c r="AG23" s="417" t="e">
        <f t="shared" si="26"/>
        <v>#DIV/0!</v>
      </c>
      <c r="AH23" s="417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44004</v>
      </c>
      <c r="B24" s="277">
        <f t="shared" si="28"/>
        <v>8689</v>
      </c>
      <c r="C24" s="297">
        <f t="shared" si="11"/>
        <v>0</v>
      </c>
      <c r="D24" s="277">
        <f t="shared" si="28"/>
        <v>159491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238479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17"/>
        <v>11226</v>
      </c>
      <c r="S24" s="297">
        <f t="shared" si="5"/>
        <v>0</v>
      </c>
      <c r="T24" s="277">
        <f t="shared" si="17"/>
        <v>259153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16" t="e">
        <f t="shared" si="25"/>
        <v>#DIV/0!</v>
      </c>
      <c r="AG24" s="417" t="e">
        <f t="shared" si="26"/>
        <v>#DIV/0!</v>
      </c>
      <c r="AH24" s="417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44005</v>
      </c>
      <c r="B25" s="277">
        <f t="shared" si="28"/>
        <v>8689</v>
      </c>
      <c r="C25" s="297">
        <f t="shared" si="11"/>
        <v>0</v>
      </c>
      <c r="D25" s="277">
        <f t="shared" si="28"/>
        <v>159491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238479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277">
        <f t="shared" si="17"/>
        <v>11226</v>
      </c>
      <c r="S25" s="297">
        <f t="shared" si="5"/>
        <v>0</v>
      </c>
      <c r="T25" s="277">
        <f t="shared" si="17"/>
        <v>259153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16" t="e">
        <f t="shared" si="25"/>
        <v>#DIV/0!</v>
      </c>
      <c r="AG25" s="417" t="e">
        <f t="shared" si="26"/>
        <v>#DIV/0!</v>
      </c>
      <c r="AH25" s="417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44006</v>
      </c>
      <c r="B26" s="277">
        <f t="shared" si="28"/>
        <v>8689</v>
      </c>
      <c r="C26" s="297">
        <f t="shared" si="11"/>
        <v>0</v>
      </c>
      <c r="D26" s="277">
        <f t="shared" si="28"/>
        <v>159491</v>
      </c>
      <c r="E26" s="297">
        <f t="shared" si="12"/>
        <v>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f t="shared" si="14"/>
        <v>10698</v>
      </c>
      <c r="K26" s="297">
        <f t="shared" si="2"/>
        <v>0</v>
      </c>
      <c r="L26" s="277">
        <f t="shared" si="14"/>
        <v>238479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f t="shared" si="17"/>
        <v>11226</v>
      </c>
      <c r="S26" s="297">
        <f t="shared" si="5"/>
        <v>0</v>
      </c>
      <c r="T26" s="277">
        <f t="shared" si="17"/>
        <v>259153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16" t="e">
        <f t="shared" si="25"/>
        <v>#DIV/0!</v>
      </c>
      <c r="AG26" s="417" t="e">
        <f t="shared" si="26"/>
        <v>#DIV/0!</v>
      </c>
      <c r="AH26" s="417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28"/>
        <v>8689</v>
      </c>
      <c r="C27" s="297">
        <f t="shared" si="11"/>
        <v>0</v>
      </c>
      <c r="D27" s="277">
        <f t="shared" si="28"/>
        <v>159491</v>
      </c>
      <c r="E27" s="297">
        <f t="shared" si="12"/>
        <v>0</v>
      </c>
      <c r="F27" s="297">
        <f t="shared" si="0"/>
        <v>0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238479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277">
        <f t="shared" si="17"/>
        <v>11226</v>
      </c>
      <c r="S27" s="297">
        <f t="shared" si="5"/>
        <v>0</v>
      </c>
      <c r="T27" s="277">
        <f t="shared" si="17"/>
        <v>259153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16" t="e">
        <f t="shared" si="25"/>
        <v>#DIV/0!</v>
      </c>
      <c r="AG27" s="417" t="e">
        <f t="shared" si="26"/>
        <v>#DIV/0!</v>
      </c>
      <c r="AH27" s="417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28"/>
        <v>8689</v>
      </c>
      <c r="C28" s="297">
        <f t="shared" si="11"/>
        <v>0</v>
      </c>
      <c r="D28" s="277">
        <f t="shared" si="28"/>
        <v>159491</v>
      </c>
      <c r="E28" s="297">
        <f t="shared" si="12"/>
        <v>0</v>
      </c>
      <c r="F28" s="297">
        <f t="shared" si="0"/>
        <v>0</v>
      </c>
      <c r="G28" s="295"/>
      <c r="H28" s="298">
        <f t="shared" si="13"/>
        <v>8770</v>
      </c>
      <c r="I28" s="297" t="str">
        <f t="shared" si="1"/>
        <v>ok</v>
      </c>
      <c r="J28" s="277">
        <f t="shared" si="14"/>
        <v>10698</v>
      </c>
      <c r="K28" s="297">
        <f t="shared" si="2"/>
        <v>0</v>
      </c>
      <c r="L28" s="277">
        <f t="shared" si="14"/>
        <v>238479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11226</v>
      </c>
      <c r="S28" s="297">
        <f t="shared" si="5"/>
        <v>0</v>
      </c>
      <c r="T28" s="277">
        <f t="shared" si="17"/>
        <v>259153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16" t="e">
        <f t="shared" si="25"/>
        <v>#DIV/0!</v>
      </c>
      <c r="AG28" s="417" t="e">
        <f t="shared" si="26"/>
        <v>#DIV/0!</v>
      </c>
      <c r="AH28" s="417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28"/>
        <v>8689</v>
      </c>
      <c r="C29" s="297">
        <f t="shared" si="11"/>
        <v>0</v>
      </c>
      <c r="D29" s="277">
        <f t="shared" si="28"/>
        <v>159491</v>
      </c>
      <c r="E29" s="297">
        <f>SUM(D29-D28)</f>
        <v>0</v>
      </c>
      <c r="F29" s="297">
        <f t="shared" si="0"/>
        <v>0</v>
      </c>
      <c r="G29" s="200"/>
      <c r="H29" s="298">
        <f t="shared" si="13"/>
        <v>8770</v>
      </c>
      <c r="I29" s="297" t="str">
        <f t="shared" si="1"/>
        <v>ok</v>
      </c>
      <c r="J29" s="277">
        <f t="shared" si="14"/>
        <v>10698</v>
      </c>
      <c r="K29" s="297">
        <f t="shared" si="2"/>
        <v>0</v>
      </c>
      <c r="L29" s="277">
        <f t="shared" si="14"/>
        <v>238479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11226</v>
      </c>
      <c r="S29" s="297">
        <f t="shared" si="5"/>
        <v>0</v>
      </c>
      <c r="T29" s="277">
        <f t="shared" si="17"/>
        <v>259153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16" t="e">
        <f t="shared" si="25"/>
        <v>#DIV/0!</v>
      </c>
      <c r="AG29" s="417" t="e">
        <f t="shared" si="26"/>
        <v>#DIV/0!</v>
      </c>
      <c r="AH29" s="417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28"/>
        <v>8689</v>
      </c>
      <c r="C30" s="297">
        <f t="shared" si="11"/>
        <v>0</v>
      </c>
      <c r="D30" s="277">
        <f t="shared" si="28"/>
        <v>159491</v>
      </c>
      <c r="E30" s="297">
        <f t="shared" si="12"/>
        <v>0</v>
      </c>
      <c r="F30" s="297">
        <f t="shared" si="0"/>
        <v>0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238479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11226</v>
      </c>
      <c r="S30" s="297">
        <f t="shared" si="5"/>
        <v>0</v>
      </c>
      <c r="T30" s="277">
        <f t="shared" si="17"/>
        <v>259153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16" t="e">
        <f t="shared" si="25"/>
        <v>#DIV/0!</v>
      </c>
      <c r="AG30" s="417" t="e">
        <f t="shared" si="26"/>
        <v>#DIV/0!</v>
      </c>
      <c r="AH30" s="417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28"/>
        <v>8689</v>
      </c>
      <c r="C31" s="297">
        <f t="shared" si="11"/>
        <v>0</v>
      </c>
      <c r="D31" s="277">
        <f t="shared" si="28"/>
        <v>159491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238479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11226</v>
      </c>
      <c r="S31" s="297">
        <f t="shared" si="5"/>
        <v>0</v>
      </c>
      <c r="T31" s="277">
        <f t="shared" si="17"/>
        <v>259153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8689</v>
      </c>
      <c r="C32" s="297">
        <f t="shared" si="11"/>
        <v>0</v>
      </c>
      <c r="D32" s="277">
        <f t="shared" si="28"/>
        <v>159491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238479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11226</v>
      </c>
      <c r="S32" s="297">
        <f t="shared" si="5"/>
        <v>0</v>
      </c>
      <c r="T32" s="277">
        <f t="shared" si="17"/>
        <v>259153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68</v>
      </c>
      <c r="V33" s="40"/>
      <c r="X33">
        <v>341</v>
      </c>
      <c r="Z33" s="435">
        <f>SUM(Z3:Z32)</f>
        <v>68</v>
      </c>
    </row>
    <row r="34" spans="3:26">
      <c r="C34" s="40">
        <f>SUM(C3:C32)</f>
        <v>34</v>
      </c>
      <c r="K34" s="40">
        <f>SUM(K3:K32)</f>
        <v>9</v>
      </c>
      <c r="S34" s="40">
        <f>SUM(S3:S32)</f>
        <v>25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13633</v>
      </c>
      <c r="E6" s="3">
        <f>ELEC!Q24</f>
        <v>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-30.300000000000026</v>
      </c>
      <c r="J16" s="9">
        <f>'B5'!A18</f>
        <v>43996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43997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43998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43999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4"/>
      <c r="B1" s="632" t="s">
        <v>119</v>
      </c>
      <c r="C1" s="632" t="s">
        <v>118</v>
      </c>
      <c r="D1" s="636" t="s">
        <v>113</v>
      </c>
      <c r="E1" s="636" t="s">
        <v>114</v>
      </c>
      <c r="F1" s="637" t="s">
        <v>120</v>
      </c>
      <c r="G1" s="638" t="s">
        <v>75</v>
      </c>
      <c r="H1" s="629" t="s">
        <v>115</v>
      </c>
      <c r="I1" s="630" t="s">
        <v>116</v>
      </c>
      <c r="J1" s="629" t="s">
        <v>117</v>
      </c>
      <c r="K1" s="628" t="s">
        <v>121</v>
      </c>
      <c r="L1" s="628" t="s">
        <v>122</v>
      </c>
      <c r="M1" s="628" t="s">
        <v>123</v>
      </c>
      <c r="N1" s="628" t="s">
        <v>124</v>
      </c>
    </row>
    <row r="2" spans="1:14">
      <c r="A2" s="635"/>
      <c r="B2" s="633"/>
      <c r="C2" s="633"/>
      <c r="D2" s="636"/>
      <c r="E2" s="636"/>
      <c r="F2" s="637"/>
      <c r="G2" s="638"/>
      <c r="H2" s="629"/>
      <c r="I2" s="631"/>
      <c r="J2" s="629"/>
      <c r="K2" s="628"/>
      <c r="L2" s="628"/>
      <c r="M2" s="628"/>
      <c r="N2" s="628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12</v>
      </c>
      <c r="G19" s="79">
        <f>WATER!BG19</f>
        <v>-29.40000000000002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39" t="s">
        <v>151</v>
      </c>
      <c r="U3" s="639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tabSelected="1" zoomScale="80" zoomScaleNormal="80" workbookViewId="0">
      <selection activeCell="D18" sqref="D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1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1">
        <v>8029660</v>
      </c>
      <c r="G4" s="161">
        <f t="shared" ref="G4:G33" si="0">F4-F3</f>
        <v>897</v>
      </c>
      <c r="H4" s="581">
        <v>24627769</v>
      </c>
      <c r="I4" s="162">
        <f t="shared" ref="I4:I34" si="1">H4-H3</f>
        <v>3020</v>
      </c>
      <c r="J4" s="583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74.649465266261288</v>
      </c>
      <c r="P4" s="307">
        <f>SUM(L4:O4)</f>
        <v>621.09059296112025</v>
      </c>
      <c r="Q4" s="307">
        <f>SUM(-tanks!AX6*tanks!$AU$36)</f>
        <v>170.45812903226312</v>
      </c>
      <c r="R4" s="307">
        <f>SUM(P4:Q4)</f>
        <v>791.54872199338342</v>
      </c>
      <c r="S4" s="309">
        <f>SUM(ELEC!N3)</f>
        <v>14293</v>
      </c>
      <c r="T4" s="346">
        <f>IF(S4&gt;0,R4/S4,0)</f>
        <v>5.5380166654543025E-2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71"/>
      <c r="AC4" s="672"/>
    </row>
    <row r="5" spans="1:30">
      <c r="A5" s="164">
        <f>ELEC!C4</f>
        <v>43984</v>
      </c>
      <c r="B5" s="579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9">
        <v>8030570</v>
      </c>
      <c r="G5" s="161">
        <f t="shared" si="0"/>
        <v>910</v>
      </c>
      <c r="H5" s="579">
        <v>24630940</v>
      </c>
      <c r="I5" s="162">
        <f t="shared" si="1"/>
        <v>3171</v>
      </c>
      <c r="J5" s="587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74.649465266261288</v>
      </c>
      <c r="P5" s="307">
        <f t="shared" ref="P5:P33" si="9">SUM(L5:O5)</f>
        <v>611.13503740556473</v>
      </c>
      <c r="Q5" s="307">
        <f>SUM(-tanks!AX7*tanks!$AU$36)</f>
        <v>85.218064516126773</v>
      </c>
      <c r="R5" s="307">
        <f t="shared" ref="R5:R33" si="10">SUM(P5:Q5)</f>
        <v>696.35310192169152</v>
      </c>
      <c r="S5" s="309">
        <f>SUM(ELEC!N4)</f>
        <v>13728</v>
      </c>
      <c r="T5" s="346">
        <f>IF(S5&gt;0,R5/S5,0)</f>
        <v>5.0725021993130212E-2</v>
      </c>
      <c r="U5" s="256"/>
      <c r="V5" s="665"/>
      <c r="W5" s="666"/>
      <c r="X5" s="666"/>
      <c r="Y5" s="667"/>
      <c r="Z5" s="26" t="s">
        <v>203</v>
      </c>
      <c r="AA5" s="271">
        <f>'[2]EDl log'!AA22</f>
        <v>5000</v>
      </c>
      <c r="AB5" s="673"/>
      <c r="AC5" s="674"/>
    </row>
    <row r="6" spans="1:30">
      <c r="A6" s="164">
        <f>ELEC!C5</f>
        <v>43985</v>
      </c>
      <c r="B6" s="567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7">
        <v>8031383</v>
      </c>
      <c r="G6" s="161">
        <f t="shared" si="0"/>
        <v>813</v>
      </c>
      <c r="H6" s="567">
        <v>24635178</v>
      </c>
      <c r="I6" s="162">
        <f t="shared" si="1"/>
        <v>4238</v>
      </c>
      <c r="J6" s="567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74.649465266261288</v>
      </c>
      <c r="P6" s="307">
        <f t="shared" si="9"/>
        <v>639.88727621153487</v>
      </c>
      <c r="Q6" s="307">
        <f>SUM(-tanks!AX8*tanks!$AU$36)</f>
        <v>271.21316129032527</v>
      </c>
      <c r="R6" s="307">
        <f t="shared" si="10"/>
        <v>911.10043750186014</v>
      </c>
      <c r="S6" s="309">
        <f>SUM(ELEC!N5)</f>
        <v>14416</v>
      </c>
      <c r="T6" s="346">
        <f t="shared" ref="T6:T33" si="12">IF(S6&gt;0,R6/S6,0)</f>
        <v>6.3200640781205616E-2</v>
      </c>
      <c r="V6" s="668"/>
      <c r="W6" s="669"/>
      <c r="X6" s="669"/>
      <c r="Y6" s="670"/>
      <c r="Z6" s="3"/>
      <c r="AA6" s="3"/>
      <c r="AB6" s="673"/>
      <c r="AC6" s="674"/>
    </row>
    <row r="7" spans="1:30" ht="15" customHeight="1">
      <c r="A7" s="164">
        <f>ELEC!C6</f>
        <v>43986</v>
      </c>
      <c r="B7" s="589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9">
        <v>8032171</v>
      </c>
      <c r="G7" s="161">
        <f t="shared" si="0"/>
        <v>788</v>
      </c>
      <c r="H7" s="589">
        <v>24638023</v>
      </c>
      <c r="I7" s="162">
        <f t="shared" si="1"/>
        <v>2845</v>
      </c>
      <c r="J7" s="587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74.649465266261288</v>
      </c>
      <c r="P7" s="307">
        <f t="shared" si="9"/>
        <v>555.65775714022482</v>
      </c>
      <c r="Q7" s="307">
        <f>SUM(-tanks!AX9*tanks!$AU$36)</f>
        <v>-252.71612903225676</v>
      </c>
      <c r="R7" s="307">
        <f t="shared" si="10"/>
        <v>302.94162810796809</v>
      </c>
      <c r="S7" s="309">
        <f>SUM(ELEC!N6)</f>
        <v>12453</v>
      </c>
      <c r="T7" s="346">
        <f t="shared" si="12"/>
        <v>2.4326799012926049E-2</v>
      </c>
      <c r="V7" s="661" t="s">
        <v>204</v>
      </c>
      <c r="W7" s="662"/>
      <c r="X7" s="663" t="s">
        <v>205</v>
      </c>
      <c r="Y7" s="664"/>
      <c r="Z7" s="662"/>
      <c r="AA7" s="26"/>
      <c r="AB7" s="675"/>
      <c r="AC7" s="676"/>
    </row>
    <row r="8" spans="1:30" ht="15.75" customHeight="1">
      <c r="A8" s="164">
        <f>ELEC!C7</f>
        <v>43987</v>
      </c>
      <c r="B8" s="567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7">
        <v>8032954</v>
      </c>
      <c r="G8" s="161">
        <f t="shared" si="0"/>
        <v>783</v>
      </c>
      <c r="H8" s="567">
        <v>24641021</v>
      </c>
      <c r="I8" s="162">
        <f t="shared" si="1"/>
        <v>2998</v>
      </c>
      <c r="J8" s="567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74.649465266261288</v>
      </c>
      <c r="P8" s="307">
        <f t="shared" si="9"/>
        <v>573.81762447024141</v>
      </c>
      <c r="Q8" s="307">
        <f>SUM(-tanks!AX10*tanks!$AU$36)</f>
        <v>211.79612903225674</v>
      </c>
      <c r="R8" s="307">
        <f t="shared" si="10"/>
        <v>785.61375350249818</v>
      </c>
      <c r="S8" s="309">
        <f>SUM(ELEC!N7)</f>
        <v>13633</v>
      </c>
      <c r="T8" s="346">
        <f>IF(S8&gt;0,R8/S8,0)</f>
        <v>5.7625889642961795E-2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7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7">
        <v>8033888</v>
      </c>
      <c r="G9" s="161">
        <f t="shared" si="0"/>
        <v>934</v>
      </c>
      <c r="H9" s="567">
        <v>24644340</v>
      </c>
      <c r="I9" s="162">
        <f t="shared" si="1"/>
        <v>3319</v>
      </c>
      <c r="J9" s="567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74.649465266261288</v>
      </c>
      <c r="P9" s="307">
        <f t="shared" si="9"/>
        <v>618.41596609544865</v>
      </c>
      <c r="Q9" s="307">
        <f>SUM(-tanks!AX11*tanks!$AU$36)</f>
        <v>116.38709677419335</v>
      </c>
      <c r="R9" s="307">
        <f>SUM(P9:Q9)</f>
        <v>734.80306286964196</v>
      </c>
      <c r="S9" s="309">
        <f>SUM(ELEC!N8)</f>
        <v>13778</v>
      </c>
      <c r="T9" s="346">
        <f t="shared" si="12"/>
        <v>5.3331620182148494E-2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7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7">
        <v>8035096</v>
      </c>
      <c r="G10" s="161">
        <f t="shared" si="0"/>
        <v>1208</v>
      </c>
      <c r="H10" s="567">
        <v>24648943</v>
      </c>
      <c r="I10" s="162">
        <f t="shared" si="1"/>
        <v>4603</v>
      </c>
      <c r="J10" s="567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74.649465266261288</v>
      </c>
      <c r="P10" s="307">
        <f t="shared" si="9"/>
        <v>751.3831302745532</v>
      </c>
      <c r="Q10" s="307">
        <f>SUM(-tanks!AX12*tanks!$AU$36)</f>
        <v>190.01612903226155</v>
      </c>
      <c r="R10" s="307">
        <f t="shared" si="10"/>
        <v>941.39925930681477</v>
      </c>
      <c r="S10" s="309">
        <f>SUM(ELEC!N9)</f>
        <v>16205</v>
      </c>
      <c r="T10" s="346">
        <f t="shared" si="12"/>
        <v>5.8093135409244975E-2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90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90">
        <v>8036024</v>
      </c>
      <c r="G11" s="161">
        <f t="shared" si="0"/>
        <v>928</v>
      </c>
      <c r="H11" s="590">
        <v>24652464</v>
      </c>
      <c r="I11" s="162">
        <f t="shared" si="1"/>
        <v>3521</v>
      </c>
      <c r="J11" s="587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74.649465266261288</v>
      </c>
      <c r="P11" s="307">
        <f t="shared" si="9"/>
        <v>668.18313027455315</v>
      </c>
      <c r="Q11" s="307">
        <f>SUM(-tanks!AX13*tanks!$AU$36)</f>
        <v>159.87612903225676</v>
      </c>
      <c r="R11" s="307">
        <f t="shared" si="10"/>
        <v>828.05925930680996</v>
      </c>
      <c r="S11" s="309">
        <f>SUM(ELEC!N10)</f>
        <v>15745</v>
      </c>
      <c r="T11" s="346">
        <f t="shared" si="12"/>
        <v>5.2591886904211495E-2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7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7">
        <v>8037265</v>
      </c>
      <c r="G12" s="161">
        <f t="shared" si="0"/>
        <v>1241</v>
      </c>
      <c r="H12" s="567">
        <v>24655859</v>
      </c>
      <c r="I12" s="162">
        <f t="shared" si="1"/>
        <v>3395</v>
      </c>
      <c r="J12" s="567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74.649465266261288</v>
      </c>
      <c r="P12" s="307">
        <f t="shared" si="9"/>
        <v>712.26140556476867</v>
      </c>
      <c r="Q12" s="307">
        <f>SUM(-tanks!AX14*tanks!$AU$36)</f>
        <v>156.13329032258133</v>
      </c>
      <c r="R12" s="307">
        <f t="shared" si="10"/>
        <v>868.39469588735005</v>
      </c>
      <c r="S12" s="309">
        <f>SUM(ELEC!N11)</f>
        <v>15283</v>
      </c>
      <c r="T12" s="346">
        <f t="shared" si="12"/>
        <v>5.6820957658008903E-2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7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7">
        <v>8037688</v>
      </c>
      <c r="G13" s="161">
        <f t="shared" si="0"/>
        <v>423</v>
      </c>
      <c r="H13" s="567">
        <v>24658386</v>
      </c>
      <c r="I13" s="162">
        <f t="shared" si="1"/>
        <v>2527</v>
      </c>
      <c r="J13" s="567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74.649465266261288</v>
      </c>
      <c r="P13" s="307">
        <f t="shared" si="9"/>
        <v>499.34200257969411</v>
      </c>
      <c r="Q13" s="307">
        <f>SUM(-tanks!AX15*tanks!$AU$36)</f>
        <v>404.58425806450839</v>
      </c>
      <c r="R13" s="307">
        <f t="shared" si="10"/>
        <v>903.92626064420256</v>
      </c>
      <c r="S13" s="309">
        <f>SUM(ELEC!N12)</f>
        <v>16634</v>
      </c>
      <c r="T13" s="346">
        <f t="shared" si="12"/>
        <v>5.4342086127461976E-2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56">
        <f>ELEC!C13</f>
        <v>43993</v>
      </c>
      <c r="B14" s="567">
        <v>50054654</v>
      </c>
      <c r="C14" s="654">
        <f>SUM(B15+B14-B13)</f>
        <v>6667</v>
      </c>
      <c r="D14" s="658">
        <f t="shared" si="8"/>
        <v>6668</v>
      </c>
      <c r="E14" s="658">
        <f t="shared" si="11"/>
        <v>50058818</v>
      </c>
      <c r="F14" s="593">
        <f t="shared" ref="F14:J34" si="13">F13</f>
        <v>8037688</v>
      </c>
      <c r="G14" s="648">
        <f>F15+F14-F13</f>
        <v>413</v>
      </c>
      <c r="H14" s="593">
        <v>24659259</v>
      </c>
      <c r="I14" s="650">
        <f>H15+H14-H13</f>
        <v>2785</v>
      </c>
      <c r="J14" s="593">
        <v>17357710</v>
      </c>
      <c r="K14" s="652">
        <f>J15+J14-J13</f>
        <v>3470</v>
      </c>
      <c r="L14" s="646">
        <f t="shared" si="3"/>
        <v>87.668325041459369</v>
      </c>
      <c r="M14" s="646">
        <f t="shared" si="4"/>
        <v>206.91210613598673</v>
      </c>
      <c r="N14" s="646">
        <f t="shared" si="5"/>
        <v>184.14593698175787</v>
      </c>
      <c r="O14" s="646">
        <f t="shared" si="6"/>
        <v>74.649465266261288</v>
      </c>
      <c r="P14" s="640">
        <f>SUM(L14:O15)</f>
        <v>553.3758334254652</v>
      </c>
      <c r="Q14" s="640">
        <f>SUM(-tanks!AX16*tanks!$AU$36)</f>
        <v>476.88406451612906</v>
      </c>
      <c r="R14" s="640">
        <f>SUM(P14:Q15)</f>
        <v>1030.2598979415943</v>
      </c>
      <c r="S14" s="642">
        <f>SUM(ELEC!N13)</f>
        <v>14437</v>
      </c>
      <c r="T14" s="644">
        <f t="shared" si="12"/>
        <v>7.1362464358356609E-2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57"/>
      <c r="B15" s="593">
        <v>4163</v>
      </c>
      <c r="C15" s="655"/>
      <c r="D15" s="659"/>
      <c r="E15" s="660"/>
      <c r="F15" s="593">
        <v>413</v>
      </c>
      <c r="G15" s="649"/>
      <c r="H15" s="593">
        <v>1912</v>
      </c>
      <c r="I15" s="651"/>
      <c r="J15" s="593">
        <v>1838</v>
      </c>
      <c r="K15" s="653"/>
      <c r="L15" s="647"/>
      <c r="M15" s="647"/>
      <c r="N15" s="647"/>
      <c r="O15" s="647"/>
      <c r="P15" s="641"/>
      <c r="Q15" s="641"/>
      <c r="R15" s="641"/>
      <c r="S15" s="643"/>
      <c r="T15" s="645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7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7">
        <v>1332</v>
      </c>
      <c r="G16" s="161">
        <f>F16-F15</f>
        <v>919</v>
      </c>
      <c r="H16" s="567">
        <v>3574</v>
      </c>
      <c r="I16" s="162">
        <f>H16-H15</f>
        <v>1662</v>
      </c>
      <c r="J16" s="567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74.649465266261288</v>
      </c>
      <c r="P16" s="307">
        <f t="shared" si="9"/>
        <v>445.26571733922981</v>
      </c>
      <c r="Q16" s="307">
        <f>SUM(-tanks!AX17*tanks!$AU$36)</f>
        <v>417.79774193548502</v>
      </c>
      <c r="R16" s="307">
        <f t="shared" si="10"/>
        <v>863.06345927471489</v>
      </c>
      <c r="S16" s="309">
        <f>SUM(ELEC!N14)</f>
        <v>15870</v>
      </c>
      <c r="T16" s="346">
        <f t="shared" si="12"/>
        <v>5.43833307671528E-2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7">
        <v>12114</v>
      </c>
      <c r="C17" s="271">
        <f t="shared" si="7"/>
        <v>4380</v>
      </c>
      <c r="D17" s="318">
        <f t="shared" si="8"/>
        <v>2864</v>
      </c>
      <c r="E17" s="318">
        <f t="shared" si="11"/>
        <v>10598</v>
      </c>
      <c r="F17" s="567">
        <v>1960</v>
      </c>
      <c r="G17" s="161">
        <f t="shared" si="0"/>
        <v>628</v>
      </c>
      <c r="H17" s="567">
        <v>5810</v>
      </c>
      <c r="I17" s="162">
        <f t="shared" si="1"/>
        <v>2236</v>
      </c>
      <c r="J17" s="567">
        <f t="shared" si="13"/>
        <v>2819</v>
      </c>
      <c r="K17" s="163">
        <f t="shared" si="2"/>
        <v>0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0</v>
      </c>
      <c r="O17" s="306">
        <f t="shared" si="17"/>
        <v>74.649465266261288</v>
      </c>
      <c r="P17" s="307">
        <f t="shared" si="9"/>
        <v>374.08031103740558</v>
      </c>
      <c r="Q17" s="307">
        <f>SUM(-tanks!AX18*tanks!$AU$36)</f>
        <v>376.06870967741844</v>
      </c>
      <c r="R17" s="307">
        <f t="shared" si="10"/>
        <v>750.14902071482402</v>
      </c>
      <c r="S17" s="309">
        <f>SUM(ELEC!N15)</f>
        <v>15047</v>
      </c>
      <c r="T17" s="346">
        <f t="shared" si="12"/>
        <v>4.9853726371690305E-2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7">
        <v>18112</v>
      </c>
      <c r="C18" s="271">
        <f t="shared" si="7"/>
        <v>5998</v>
      </c>
      <c r="D18" s="318">
        <f t="shared" si="8"/>
        <v>7523</v>
      </c>
      <c r="E18" s="318">
        <f t="shared" si="11"/>
        <v>19637</v>
      </c>
      <c r="F18" s="597">
        <v>2978</v>
      </c>
      <c r="G18" s="161">
        <f t="shared" si="0"/>
        <v>1018</v>
      </c>
      <c r="H18" s="597">
        <v>8675</v>
      </c>
      <c r="I18" s="162">
        <f t="shared" si="1"/>
        <v>2865</v>
      </c>
      <c r="J18" s="587">
        <v>6459</v>
      </c>
      <c r="K18" s="163">
        <f t="shared" si="2"/>
        <v>3640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193.16749585406302</v>
      </c>
      <c r="O18" s="306">
        <f t="shared" si="17"/>
        <v>74.649465266261288</v>
      </c>
      <c r="P18" s="307">
        <f t="shared" si="9"/>
        <v>696.76555150175056</v>
      </c>
      <c r="Q18" s="307">
        <f>SUM(-tanks!AX19*tanks!$AU$36)</f>
        <v>270.90516129032335</v>
      </c>
      <c r="R18" s="307">
        <f t="shared" si="10"/>
        <v>967.67071279207391</v>
      </c>
      <c r="S18" s="309">
        <f>SUM(ELEC!N16)</f>
        <v>14400</v>
      </c>
      <c r="T18" s="346">
        <f t="shared" si="12"/>
        <v>6.7199355055005128E-2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7">
        <f t="shared" ref="B19:B34" si="18">B18</f>
        <v>18112</v>
      </c>
      <c r="C19" s="271">
        <f t="shared" si="7"/>
        <v>0</v>
      </c>
      <c r="D19" s="318">
        <f t="shared" si="8"/>
        <v>0</v>
      </c>
      <c r="E19" s="318">
        <f t="shared" si="11"/>
        <v>18112</v>
      </c>
      <c r="F19" s="567">
        <f t="shared" si="13"/>
        <v>2978</v>
      </c>
      <c r="G19" s="161">
        <f t="shared" si="0"/>
        <v>0</v>
      </c>
      <c r="H19" s="567">
        <f t="shared" si="13"/>
        <v>8675</v>
      </c>
      <c r="I19" s="162">
        <f t="shared" si="1"/>
        <v>0</v>
      </c>
      <c r="J19" s="567">
        <f t="shared" si="13"/>
        <v>6459</v>
      </c>
      <c r="K19" s="163">
        <f t="shared" si="2"/>
        <v>0</v>
      </c>
      <c r="L19" s="306">
        <f t="shared" si="14"/>
        <v>0</v>
      </c>
      <c r="M19" s="306">
        <f t="shared" si="15"/>
        <v>0</v>
      </c>
      <c r="N19" s="306">
        <f t="shared" si="16"/>
        <v>0</v>
      </c>
      <c r="O19" s="306">
        <f t="shared" si="17"/>
        <v>74.649465266261288</v>
      </c>
      <c r="P19" s="307">
        <f t="shared" si="9"/>
        <v>74.649465266261288</v>
      </c>
      <c r="Q19" s="307">
        <f>SUM(-tanks!AX20*tanks!$AU$36)</f>
        <v>0</v>
      </c>
      <c r="R19" s="307">
        <f t="shared" si="10"/>
        <v>74.649465266261288</v>
      </c>
      <c r="S19" s="309">
        <f>SUM(ELEC!N17)</f>
        <v>0</v>
      </c>
      <c r="T19" s="346">
        <f t="shared" si="12"/>
        <v>0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7">
        <f t="shared" si="18"/>
        <v>18112</v>
      </c>
      <c r="C20" s="271">
        <f t="shared" si="7"/>
        <v>0</v>
      </c>
      <c r="D20" s="318">
        <f t="shared" si="8"/>
        <v>0</v>
      </c>
      <c r="E20" s="318">
        <f t="shared" si="11"/>
        <v>18112</v>
      </c>
      <c r="F20" s="567">
        <f t="shared" si="13"/>
        <v>2978</v>
      </c>
      <c r="G20" s="161">
        <f>F20-F19</f>
        <v>0</v>
      </c>
      <c r="H20" s="567">
        <f t="shared" si="13"/>
        <v>8675</v>
      </c>
      <c r="I20" s="162">
        <f t="shared" si="1"/>
        <v>0</v>
      </c>
      <c r="J20" s="567">
        <f t="shared" si="13"/>
        <v>6459</v>
      </c>
      <c r="K20" s="163">
        <f t="shared" si="2"/>
        <v>0</v>
      </c>
      <c r="L20" s="306">
        <f t="shared" si="14"/>
        <v>0</v>
      </c>
      <c r="M20" s="306">
        <f t="shared" si="15"/>
        <v>0</v>
      </c>
      <c r="N20" s="306">
        <f t="shared" si="16"/>
        <v>0</v>
      </c>
      <c r="O20" s="306">
        <f t="shared" si="17"/>
        <v>74.649465266261288</v>
      </c>
      <c r="P20" s="307">
        <f t="shared" si="9"/>
        <v>74.649465266261288</v>
      </c>
      <c r="Q20" s="307">
        <f>SUM(-tanks!AX21*tanks!$AU$36)</f>
        <v>0</v>
      </c>
      <c r="R20" s="307">
        <f t="shared" si="10"/>
        <v>74.649465266261288</v>
      </c>
      <c r="S20" s="309">
        <f>SUM(ELEC!N18)</f>
        <v>0</v>
      </c>
      <c r="T20" s="346">
        <f t="shared" si="12"/>
        <v>0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67">
        <f t="shared" si="18"/>
        <v>18112</v>
      </c>
      <c r="C21" s="271">
        <f t="shared" si="7"/>
        <v>0</v>
      </c>
      <c r="D21" s="318">
        <f t="shared" si="8"/>
        <v>0</v>
      </c>
      <c r="E21" s="318">
        <f t="shared" si="11"/>
        <v>18112</v>
      </c>
      <c r="F21" s="567">
        <f t="shared" si="13"/>
        <v>2978</v>
      </c>
      <c r="G21" s="161">
        <f t="shared" si="0"/>
        <v>0</v>
      </c>
      <c r="H21" s="567">
        <f t="shared" si="13"/>
        <v>8675</v>
      </c>
      <c r="I21" s="162">
        <f t="shared" si="1"/>
        <v>0</v>
      </c>
      <c r="J21" s="567">
        <f t="shared" si="13"/>
        <v>6459</v>
      </c>
      <c r="K21" s="163">
        <f t="shared" si="2"/>
        <v>0</v>
      </c>
      <c r="L21" s="306">
        <f t="shared" si="14"/>
        <v>0</v>
      </c>
      <c r="M21" s="306">
        <f t="shared" si="15"/>
        <v>0</v>
      </c>
      <c r="N21" s="306">
        <f t="shared" si="16"/>
        <v>0</v>
      </c>
      <c r="O21" s="306">
        <f t="shared" si="17"/>
        <v>74.649465266261288</v>
      </c>
      <c r="P21" s="307">
        <f t="shared" si="9"/>
        <v>74.649465266261288</v>
      </c>
      <c r="Q21" s="307">
        <f>SUM(-tanks!AX22*tanks!$AU$36)</f>
        <v>0</v>
      </c>
      <c r="R21" s="307">
        <f t="shared" si="10"/>
        <v>74.649465266261288</v>
      </c>
      <c r="S21" s="309">
        <f>SUM(ELEC!N19)</f>
        <v>0</v>
      </c>
      <c r="T21" s="346">
        <f t="shared" si="12"/>
        <v>0</v>
      </c>
      <c r="V21" t="s">
        <v>416</v>
      </c>
      <c r="AB21" s="271"/>
    </row>
    <row r="22" spans="1:32">
      <c r="A22" s="164">
        <f>ELEC!C20</f>
        <v>44000</v>
      </c>
      <c r="B22" s="567">
        <f t="shared" si="18"/>
        <v>18112</v>
      </c>
      <c r="C22" s="271">
        <f t="shared" si="7"/>
        <v>0</v>
      </c>
      <c r="D22" s="318">
        <f t="shared" si="8"/>
        <v>0</v>
      </c>
      <c r="E22" s="318">
        <f t="shared" si="11"/>
        <v>18112</v>
      </c>
      <c r="F22" s="567">
        <f t="shared" si="13"/>
        <v>2978</v>
      </c>
      <c r="G22" s="161">
        <f t="shared" si="0"/>
        <v>0</v>
      </c>
      <c r="H22" s="567">
        <f t="shared" si="13"/>
        <v>8675</v>
      </c>
      <c r="I22" s="162">
        <f t="shared" si="1"/>
        <v>0</v>
      </c>
      <c r="J22" s="567">
        <f t="shared" si="13"/>
        <v>6459</v>
      </c>
      <c r="K22" s="163">
        <f t="shared" si="2"/>
        <v>0</v>
      </c>
      <c r="L22" s="306">
        <f t="shared" si="14"/>
        <v>0</v>
      </c>
      <c r="M22" s="306">
        <f t="shared" si="15"/>
        <v>0</v>
      </c>
      <c r="N22" s="306">
        <f t="shared" si="16"/>
        <v>0</v>
      </c>
      <c r="O22" s="306">
        <f t="shared" si="17"/>
        <v>74.649465266261288</v>
      </c>
      <c r="P22" s="307">
        <f t="shared" si="9"/>
        <v>74.649465266261288</v>
      </c>
      <c r="Q22" s="307">
        <f>SUM(-tanks!AX23*tanks!$AU$36)</f>
        <v>0</v>
      </c>
      <c r="R22" s="307">
        <f t="shared" si="10"/>
        <v>74.649465266261288</v>
      </c>
      <c r="S22" s="309">
        <f>SUM(ELEC!N20)</f>
        <v>0</v>
      </c>
      <c r="T22" s="346">
        <f t="shared" si="12"/>
        <v>0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71"/>
      <c r="AC22" s="672"/>
    </row>
    <row r="23" spans="1:32">
      <c r="A23" s="164">
        <f>ELEC!C21</f>
        <v>44001</v>
      </c>
      <c r="B23" s="567">
        <f t="shared" si="18"/>
        <v>18112</v>
      </c>
      <c r="C23" s="271">
        <f t="shared" si="7"/>
        <v>0</v>
      </c>
      <c r="D23" s="318">
        <f t="shared" si="8"/>
        <v>0</v>
      </c>
      <c r="E23" s="318">
        <f t="shared" si="11"/>
        <v>18112</v>
      </c>
      <c r="F23" s="567">
        <f t="shared" si="13"/>
        <v>2978</v>
      </c>
      <c r="G23" s="161">
        <f t="shared" si="0"/>
        <v>0</v>
      </c>
      <c r="H23" s="567">
        <f t="shared" si="13"/>
        <v>8675</v>
      </c>
      <c r="I23" s="162">
        <f t="shared" si="1"/>
        <v>0</v>
      </c>
      <c r="J23" s="567">
        <f t="shared" si="13"/>
        <v>6459</v>
      </c>
      <c r="K23" s="163">
        <f t="shared" si="2"/>
        <v>0</v>
      </c>
      <c r="L23" s="306">
        <f t="shared" si="14"/>
        <v>0</v>
      </c>
      <c r="M23" s="306">
        <f t="shared" si="15"/>
        <v>0</v>
      </c>
      <c r="N23" s="306">
        <f t="shared" si="16"/>
        <v>0</v>
      </c>
      <c r="O23" s="306">
        <f t="shared" si="17"/>
        <v>74.649465266261288</v>
      </c>
      <c r="P23" s="307">
        <f t="shared" si="9"/>
        <v>74.649465266261288</v>
      </c>
      <c r="Q23" s="307">
        <f>SUM(-tanks!AX24*tanks!$AU$36)</f>
        <v>0</v>
      </c>
      <c r="R23" s="307">
        <f t="shared" si="10"/>
        <v>74.649465266261288</v>
      </c>
      <c r="S23" s="309">
        <f>SUM(ELEC!N21)</f>
        <v>0</v>
      </c>
      <c r="T23" s="346">
        <f t="shared" si="12"/>
        <v>0</v>
      </c>
      <c r="V23" s="677"/>
      <c r="W23" s="678"/>
      <c r="X23" s="678"/>
      <c r="Y23" s="679"/>
      <c r="Z23" s="26" t="s">
        <v>203</v>
      </c>
      <c r="AA23" s="26">
        <v>5000</v>
      </c>
      <c r="AB23" s="673"/>
      <c r="AC23" s="674"/>
    </row>
    <row r="24" spans="1:32">
      <c r="A24" s="164">
        <f>ELEC!C22</f>
        <v>44002</v>
      </c>
      <c r="B24" s="567">
        <f t="shared" si="18"/>
        <v>18112</v>
      </c>
      <c r="C24" s="271">
        <f t="shared" si="7"/>
        <v>0</v>
      </c>
      <c r="D24" s="318">
        <f t="shared" si="8"/>
        <v>0</v>
      </c>
      <c r="E24" s="318">
        <f t="shared" si="11"/>
        <v>18112</v>
      </c>
      <c r="F24" s="567">
        <f t="shared" si="13"/>
        <v>2978</v>
      </c>
      <c r="G24" s="161">
        <f t="shared" si="0"/>
        <v>0</v>
      </c>
      <c r="H24" s="567">
        <f t="shared" si="13"/>
        <v>8675</v>
      </c>
      <c r="I24" s="162">
        <f t="shared" si="1"/>
        <v>0</v>
      </c>
      <c r="J24" s="567">
        <f t="shared" si="13"/>
        <v>6459</v>
      </c>
      <c r="K24" s="163">
        <f t="shared" si="2"/>
        <v>0</v>
      </c>
      <c r="L24" s="306">
        <f t="shared" si="14"/>
        <v>0</v>
      </c>
      <c r="M24" s="306">
        <f t="shared" si="15"/>
        <v>0</v>
      </c>
      <c r="N24" s="306">
        <f t="shared" si="16"/>
        <v>0</v>
      </c>
      <c r="O24" s="306">
        <f t="shared" si="17"/>
        <v>74.649465266261288</v>
      </c>
      <c r="P24" s="307">
        <f t="shared" si="9"/>
        <v>74.649465266261288</v>
      </c>
      <c r="Q24" s="307">
        <f>SUM(-tanks!AX25*tanks!$AU$36)</f>
        <v>0</v>
      </c>
      <c r="R24" s="307">
        <f t="shared" si="10"/>
        <v>74.649465266261288</v>
      </c>
      <c r="S24" s="309">
        <f>SUM(ELEC!N22)</f>
        <v>0</v>
      </c>
      <c r="T24" s="346">
        <f t="shared" si="12"/>
        <v>0</v>
      </c>
      <c r="V24" s="680"/>
      <c r="W24" s="681"/>
      <c r="X24" s="681"/>
      <c r="Y24" s="682"/>
      <c r="Z24" s="683"/>
      <c r="AA24" s="684"/>
      <c r="AB24" s="673"/>
      <c r="AC24" s="674"/>
    </row>
    <row r="25" spans="1:32" ht="15" customHeight="1">
      <c r="A25" s="164">
        <f>ELEC!C23</f>
        <v>44003</v>
      </c>
      <c r="B25" s="567">
        <f t="shared" si="18"/>
        <v>18112</v>
      </c>
      <c r="C25" s="271">
        <f t="shared" si="7"/>
        <v>0</v>
      </c>
      <c r="D25" s="318">
        <f t="shared" si="8"/>
        <v>0</v>
      </c>
      <c r="E25" s="318">
        <f t="shared" si="11"/>
        <v>18112</v>
      </c>
      <c r="F25" s="567">
        <f t="shared" si="13"/>
        <v>2978</v>
      </c>
      <c r="G25" s="161">
        <f t="shared" si="0"/>
        <v>0</v>
      </c>
      <c r="H25" s="567">
        <f t="shared" si="13"/>
        <v>8675</v>
      </c>
      <c r="I25" s="162">
        <f t="shared" si="1"/>
        <v>0</v>
      </c>
      <c r="J25" s="567">
        <f t="shared" si="13"/>
        <v>6459</v>
      </c>
      <c r="K25" s="163">
        <f t="shared" si="2"/>
        <v>0</v>
      </c>
      <c r="L25" s="306">
        <f t="shared" si="14"/>
        <v>0</v>
      </c>
      <c r="M25" s="306">
        <f t="shared" si="15"/>
        <v>0</v>
      </c>
      <c r="N25" s="306">
        <f t="shared" si="16"/>
        <v>0</v>
      </c>
      <c r="O25" s="306">
        <f t="shared" si="17"/>
        <v>74.649465266261288</v>
      </c>
      <c r="P25" s="307">
        <f t="shared" si="9"/>
        <v>74.649465266261288</v>
      </c>
      <c r="Q25" s="307">
        <f>SUM(-tanks!AX26*tanks!$AU$36)</f>
        <v>0</v>
      </c>
      <c r="R25" s="307">
        <f t="shared" si="10"/>
        <v>74.649465266261288</v>
      </c>
      <c r="S25" s="309">
        <f>SUM(ELEC!N23)</f>
        <v>0</v>
      </c>
      <c r="T25" s="346">
        <f t="shared" si="12"/>
        <v>0</v>
      </c>
      <c r="V25" s="685" t="s">
        <v>204</v>
      </c>
      <c r="W25" s="686"/>
      <c r="X25" s="687" t="s">
        <v>205</v>
      </c>
      <c r="Y25" s="688"/>
      <c r="Z25" s="689"/>
      <c r="AA25" s="171"/>
      <c r="AB25" s="675"/>
      <c r="AC25" s="676"/>
    </row>
    <row r="26" spans="1:32" ht="17.25" customHeight="1">
      <c r="A26" s="164">
        <f>ELEC!C24</f>
        <v>44004</v>
      </c>
      <c r="B26" s="567">
        <f t="shared" si="18"/>
        <v>18112</v>
      </c>
      <c r="C26" s="271">
        <f t="shared" si="7"/>
        <v>0</v>
      </c>
      <c r="D26" s="318">
        <f t="shared" si="8"/>
        <v>0</v>
      </c>
      <c r="E26" s="318">
        <f t="shared" si="11"/>
        <v>18112</v>
      </c>
      <c r="F26" s="567">
        <f t="shared" si="13"/>
        <v>2978</v>
      </c>
      <c r="G26" s="161">
        <f t="shared" si="0"/>
        <v>0</v>
      </c>
      <c r="H26" s="567">
        <f t="shared" si="13"/>
        <v>8675</v>
      </c>
      <c r="I26" s="162">
        <f t="shared" si="1"/>
        <v>0</v>
      </c>
      <c r="J26" s="567">
        <f t="shared" si="13"/>
        <v>6459</v>
      </c>
      <c r="K26" s="163">
        <f t="shared" si="2"/>
        <v>0</v>
      </c>
      <c r="L26" s="306">
        <f t="shared" si="14"/>
        <v>0</v>
      </c>
      <c r="M26" s="306">
        <f t="shared" si="15"/>
        <v>0</v>
      </c>
      <c r="N26" s="306">
        <f t="shared" si="16"/>
        <v>0</v>
      </c>
      <c r="O26" s="306">
        <f t="shared" si="17"/>
        <v>74.649465266261288</v>
      </c>
      <c r="P26" s="307">
        <f t="shared" si="9"/>
        <v>74.649465266261288</v>
      </c>
      <c r="Q26" s="307">
        <f>SUM(-tanks!AX27*tanks!$AU$36)</f>
        <v>0</v>
      </c>
      <c r="R26" s="307">
        <f t="shared" si="10"/>
        <v>74.649465266261288</v>
      </c>
      <c r="S26" s="309">
        <f>SUM(ELEC!N24)</f>
        <v>0</v>
      </c>
      <c r="T26" s="346">
        <f t="shared" si="12"/>
        <v>0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567">
        <f t="shared" si="18"/>
        <v>18112</v>
      </c>
      <c r="C27" s="271">
        <f t="shared" si="7"/>
        <v>0</v>
      </c>
      <c r="D27" s="318">
        <f t="shared" si="8"/>
        <v>0</v>
      </c>
      <c r="E27" s="318">
        <f t="shared" si="11"/>
        <v>18112</v>
      </c>
      <c r="F27" s="567">
        <f t="shared" si="13"/>
        <v>2978</v>
      </c>
      <c r="G27" s="161">
        <f t="shared" si="0"/>
        <v>0</v>
      </c>
      <c r="H27" s="567">
        <f t="shared" si="13"/>
        <v>8675</v>
      </c>
      <c r="I27" s="162">
        <f t="shared" si="1"/>
        <v>0</v>
      </c>
      <c r="J27" s="567">
        <f t="shared" si="13"/>
        <v>6459</v>
      </c>
      <c r="K27" s="163">
        <f t="shared" si="2"/>
        <v>0</v>
      </c>
      <c r="L27" s="306">
        <f t="shared" si="14"/>
        <v>0</v>
      </c>
      <c r="M27" s="306">
        <f t="shared" si="15"/>
        <v>0</v>
      </c>
      <c r="N27" s="306">
        <f t="shared" si="16"/>
        <v>0</v>
      </c>
      <c r="O27" s="306">
        <f t="shared" si="17"/>
        <v>74.649465266261288</v>
      </c>
      <c r="P27" s="307">
        <f t="shared" si="9"/>
        <v>74.649465266261288</v>
      </c>
      <c r="Q27" s="307">
        <f>SUM(-tanks!AX28*tanks!$AU$36)</f>
        <v>0</v>
      </c>
      <c r="R27" s="307">
        <f t="shared" si="10"/>
        <v>74.649465266261288</v>
      </c>
      <c r="S27" s="309">
        <f>SUM(ELEC!N25)</f>
        <v>0</v>
      </c>
      <c r="T27" s="346">
        <f t="shared" si="12"/>
        <v>0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0.34510307439902993</v>
      </c>
    </row>
    <row r="28" spans="1:32">
      <c r="A28" s="164">
        <f>ELEC!C26</f>
        <v>44006</v>
      </c>
      <c r="B28" s="567">
        <f t="shared" si="18"/>
        <v>18112</v>
      </c>
      <c r="C28" s="271">
        <f t="shared" si="7"/>
        <v>0</v>
      </c>
      <c r="D28" s="318">
        <f t="shared" si="8"/>
        <v>0</v>
      </c>
      <c r="E28" s="318">
        <f t="shared" si="11"/>
        <v>18112</v>
      </c>
      <c r="F28" s="567">
        <f t="shared" si="13"/>
        <v>2978</v>
      </c>
      <c r="G28" s="161">
        <f t="shared" si="0"/>
        <v>0</v>
      </c>
      <c r="H28" s="567">
        <f t="shared" si="13"/>
        <v>8675</v>
      </c>
      <c r="I28" s="162">
        <f t="shared" si="1"/>
        <v>0</v>
      </c>
      <c r="J28" s="567">
        <f t="shared" si="13"/>
        <v>6459</v>
      </c>
      <c r="K28" s="163">
        <f t="shared" si="2"/>
        <v>0</v>
      </c>
      <c r="L28" s="306">
        <f t="shared" si="14"/>
        <v>0</v>
      </c>
      <c r="M28" s="306">
        <f t="shared" si="15"/>
        <v>0</v>
      </c>
      <c r="N28" s="306">
        <f t="shared" si="16"/>
        <v>0</v>
      </c>
      <c r="O28" s="306">
        <f t="shared" si="17"/>
        <v>74.649465266261288</v>
      </c>
      <c r="P28" s="307">
        <f t="shared" si="9"/>
        <v>74.649465266261288</v>
      </c>
      <c r="Q28" s="307">
        <f>SUM(-tanks!AX29*tanks!$AU$36)</f>
        <v>0</v>
      </c>
      <c r="R28" s="307">
        <f t="shared" si="10"/>
        <v>74.649465266261288</v>
      </c>
      <c r="S28" s="309">
        <f>SUM(ELEC!N26)</f>
        <v>0</v>
      </c>
      <c r="T28" s="346">
        <f t="shared" si="12"/>
        <v>0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0.51341037163849068</v>
      </c>
    </row>
    <row r="29" spans="1:32">
      <c r="A29" s="164">
        <f>ELEC!C27</f>
        <v>44007</v>
      </c>
      <c r="B29" s="567">
        <f t="shared" si="18"/>
        <v>18112</v>
      </c>
      <c r="C29" s="271">
        <f t="shared" si="7"/>
        <v>0</v>
      </c>
      <c r="D29" s="318">
        <f t="shared" si="8"/>
        <v>0</v>
      </c>
      <c r="E29" s="318">
        <f t="shared" si="11"/>
        <v>18112</v>
      </c>
      <c r="F29" s="567">
        <f t="shared" si="13"/>
        <v>2978</v>
      </c>
      <c r="G29" s="161">
        <f t="shared" si="0"/>
        <v>0</v>
      </c>
      <c r="H29" s="567">
        <f t="shared" si="13"/>
        <v>8675</v>
      </c>
      <c r="I29" s="162">
        <f t="shared" si="1"/>
        <v>0</v>
      </c>
      <c r="J29" s="567">
        <f t="shared" si="13"/>
        <v>6459</v>
      </c>
      <c r="K29" s="163">
        <f t="shared" si="2"/>
        <v>0</v>
      </c>
      <c r="L29" s="306">
        <f t="shared" si="14"/>
        <v>0</v>
      </c>
      <c r="M29" s="306">
        <f t="shared" si="15"/>
        <v>0</v>
      </c>
      <c r="N29" s="306">
        <f t="shared" si="16"/>
        <v>0</v>
      </c>
      <c r="O29" s="306">
        <f t="shared" si="17"/>
        <v>74.649465266261288</v>
      </c>
      <c r="P29" s="307">
        <f t="shared" si="9"/>
        <v>74.649465266261288</v>
      </c>
      <c r="Q29" s="307">
        <f>SUM(-tanks!AX30*tanks!$AU$36)</f>
        <v>0</v>
      </c>
      <c r="R29" s="307">
        <f t="shared" si="10"/>
        <v>74.649465266261288</v>
      </c>
      <c r="S29" s="309">
        <f>SUM(ELEC!N27)</f>
        <v>0</v>
      </c>
      <c r="T29" s="346">
        <f t="shared" si="12"/>
        <v>0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0.14151033121715767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7">
        <f t="shared" si="18"/>
        <v>18112</v>
      </c>
      <c r="C30" s="271">
        <f t="shared" si="7"/>
        <v>0</v>
      </c>
      <c r="D30" s="318">
        <f t="shared" si="8"/>
        <v>0</v>
      </c>
      <c r="E30" s="318">
        <f t="shared" si="11"/>
        <v>18112</v>
      </c>
      <c r="F30" s="567">
        <f t="shared" si="13"/>
        <v>2978</v>
      </c>
      <c r="G30" s="161">
        <f t="shared" si="0"/>
        <v>0</v>
      </c>
      <c r="H30" s="567">
        <f t="shared" si="13"/>
        <v>8675</v>
      </c>
      <c r="I30" s="162">
        <f t="shared" si="1"/>
        <v>0</v>
      </c>
      <c r="J30" s="567">
        <f t="shared" si="13"/>
        <v>6459</v>
      </c>
      <c r="K30" s="163">
        <f t="shared" si="2"/>
        <v>0</v>
      </c>
      <c r="L30" s="306">
        <f t="shared" si="14"/>
        <v>0</v>
      </c>
      <c r="M30" s="306">
        <f t="shared" si="15"/>
        <v>0</v>
      </c>
      <c r="N30" s="306">
        <f t="shared" si="16"/>
        <v>0</v>
      </c>
      <c r="O30" s="306">
        <f t="shared" si="17"/>
        <v>74.649465266261288</v>
      </c>
      <c r="P30" s="307">
        <f t="shared" si="9"/>
        <v>74.649465266261288</v>
      </c>
      <c r="Q30" s="307">
        <f>SUM(-tanks!AX31*tanks!$AU$36)</f>
        <v>0</v>
      </c>
      <c r="R30" s="307">
        <f t="shared" si="10"/>
        <v>74.649465266261288</v>
      </c>
      <c r="S30" s="309">
        <f>SUM(ELEC!N28)</f>
        <v>0</v>
      </c>
      <c r="T30" s="346">
        <f t="shared" si="12"/>
        <v>0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7">
        <f t="shared" si="18"/>
        <v>18112</v>
      </c>
      <c r="C31" s="271">
        <f t="shared" si="7"/>
        <v>0</v>
      </c>
      <c r="D31" s="318">
        <f t="shared" si="8"/>
        <v>0</v>
      </c>
      <c r="E31" s="318">
        <f t="shared" si="11"/>
        <v>18112</v>
      </c>
      <c r="F31" s="567">
        <f t="shared" si="13"/>
        <v>2978</v>
      </c>
      <c r="G31" s="161">
        <f t="shared" si="0"/>
        <v>0</v>
      </c>
      <c r="H31" s="567">
        <f t="shared" si="13"/>
        <v>8675</v>
      </c>
      <c r="I31" s="162">
        <f t="shared" si="1"/>
        <v>0</v>
      </c>
      <c r="J31" s="567">
        <f t="shared" si="13"/>
        <v>6459</v>
      </c>
      <c r="K31" s="163">
        <f t="shared" si="2"/>
        <v>0</v>
      </c>
      <c r="L31" s="306">
        <f t="shared" si="14"/>
        <v>0</v>
      </c>
      <c r="M31" s="306">
        <f t="shared" si="15"/>
        <v>0</v>
      </c>
      <c r="N31" s="306">
        <f t="shared" si="16"/>
        <v>0</v>
      </c>
      <c r="O31" s="306">
        <f t="shared" si="17"/>
        <v>74.649465266261288</v>
      </c>
      <c r="P31" s="307">
        <f t="shared" si="9"/>
        <v>74.649465266261288</v>
      </c>
      <c r="Q31" s="307">
        <f>SUM(-tanks!AX32*tanks!$AU$36)</f>
        <v>0</v>
      </c>
      <c r="R31" s="307">
        <f t="shared" si="10"/>
        <v>74.649465266261288</v>
      </c>
      <c r="S31" s="309">
        <f>SUM(ELEC!N29)</f>
        <v>0</v>
      </c>
      <c r="T31" s="346">
        <f t="shared" si="12"/>
        <v>0</v>
      </c>
      <c r="V31" s="220" t="s">
        <v>317</v>
      </c>
      <c r="W31" s="459">
        <f>'General information '!F36</f>
        <v>1.7964285714285714E-2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3376022.0666666664</v>
      </c>
    </row>
    <row r="32" spans="1:32">
      <c r="A32" s="164">
        <f>ELEC!C30</f>
        <v>44010</v>
      </c>
      <c r="B32" s="567">
        <f t="shared" si="18"/>
        <v>18112</v>
      </c>
      <c r="C32" s="271">
        <f t="shared" si="7"/>
        <v>0</v>
      </c>
      <c r="D32" s="318">
        <f t="shared" si="8"/>
        <v>0</v>
      </c>
      <c r="E32" s="318">
        <f t="shared" si="11"/>
        <v>18112</v>
      </c>
      <c r="F32" s="567">
        <f t="shared" si="13"/>
        <v>2978</v>
      </c>
      <c r="G32" s="161">
        <f t="shared" si="0"/>
        <v>0</v>
      </c>
      <c r="H32" s="567">
        <f t="shared" si="13"/>
        <v>8675</v>
      </c>
      <c r="I32" s="162">
        <f t="shared" si="1"/>
        <v>0</v>
      </c>
      <c r="J32" s="567">
        <f t="shared" si="13"/>
        <v>6459</v>
      </c>
      <c r="K32" s="163">
        <f t="shared" si="2"/>
        <v>0</v>
      </c>
      <c r="L32" s="306">
        <f t="shared" si="14"/>
        <v>0</v>
      </c>
      <c r="M32" s="306">
        <f t="shared" si="15"/>
        <v>0</v>
      </c>
      <c r="N32" s="306">
        <f t="shared" si="16"/>
        <v>0</v>
      </c>
      <c r="O32" s="306">
        <f t="shared" si="17"/>
        <v>74.649465266261288</v>
      </c>
      <c r="P32" s="307">
        <f t="shared" si="9"/>
        <v>74.649465266261288</v>
      </c>
      <c r="Q32" s="307">
        <f>SUM(-tanks!AX33*tanks!$AU$36)</f>
        <v>0</v>
      </c>
      <c r="R32" s="307">
        <f t="shared" si="10"/>
        <v>74.649465266261288</v>
      </c>
      <c r="S32" s="309">
        <f>SUM(ELEC!N30)</f>
        <v>0</v>
      </c>
      <c r="T32" s="346">
        <f t="shared" si="12"/>
        <v>0</v>
      </c>
      <c r="V32" s="220" t="s">
        <v>318</v>
      </c>
      <c r="W32" s="221">
        <f>SUM(GEN!U33)</f>
        <v>68</v>
      </c>
      <c r="X32" s="226">
        <f>SUM(W32/A37)</f>
        <v>4.8571428571428568</v>
      </c>
      <c r="Y32" s="267">
        <f>SUM(X32/2)</f>
        <v>2.4285714285714284</v>
      </c>
      <c r="Z32" s="3"/>
      <c r="AA32" s="3"/>
      <c r="AB32" s="594">
        <f>SUM(AB31+AC32)+AB56</f>
        <v>14343942.066666666</v>
      </c>
      <c r="AC32" s="255">
        <f>SUM(AC31)</f>
        <v>3376022.0666666664</v>
      </c>
    </row>
    <row r="33" spans="1:29">
      <c r="A33" s="164">
        <f>ELEC!C31</f>
        <v>44011</v>
      </c>
      <c r="B33" s="567">
        <f t="shared" si="18"/>
        <v>18112</v>
      </c>
      <c r="C33" s="271">
        <f t="shared" si="7"/>
        <v>0</v>
      </c>
      <c r="D33" s="318">
        <f t="shared" si="8"/>
        <v>0</v>
      </c>
      <c r="E33" s="318">
        <f t="shared" si="11"/>
        <v>18112</v>
      </c>
      <c r="F33" s="567">
        <f t="shared" si="13"/>
        <v>2978</v>
      </c>
      <c r="G33" s="161">
        <f t="shared" si="0"/>
        <v>0</v>
      </c>
      <c r="H33" s="567">
        <f t="shared" si="13"/>
        <v>8675</v>
      </c>
      <c r="I33" s="162">
        <f t="shared" si="1"/>
        <v>0</v>
      </c>
      <c r="J33" s="567">
        <f t="shared" si="13"/>
        <v>6459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74.649465266261288</v>
      </c>
      <c r="P33" s="307">
        <f t="shared" si="9"/>
        <v>74.649465266261288</v>
      </c>
      <c r="Q33" s="307">
        <f>SUM(-tanks!AX34*tanks!$AU$36)</f>
        <v>0</v>
      </c>
      <c r="R33" s="307">
        <f t="shared" si="10"/>
        <v>74.649465266261288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7">
        <f t="shared" si="18"/>
        <v>18112</v>
      </c>
      <c r="C34" s="271">
        <f t="shared" si="7"/>
        <v>0</v>
      </c>
      <c r="D34" s="318">
        <f t="shared" si="8"/>
        <v>0</v>
      </c>
      <c r="E34" s="318">
        <f t="shared" si="11"/>
        <v>18112</v>
      </c>
      <c r="F34" s="567">
        <f t="shared" si="13"/>
        <v>2978</v>
      </c>
      <c r="G34" s="161">
        <f>F34-F33</f>
        <v>0</v>
      </c>
      <c r="H34" s="567">
        <f t="shared" si="13"/>
        <v>8675</v>
      </c>
      <c r="I34" s="162">
        <f t="shared" si="1"/>
        <v>0</v>
      </c>
      <c r="J34" s="567">
        <f t="shared" si="13"/>
        <v>6459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74.649465266261288</v>
      </c>
      <c r="P34" s="307">
        <f>SUM(L34:O34)</f>
        <v>74.649465266261288</v>
      </c>
      <c r="Q34" s="307">
        <f>SUM(-tanks!AX35*tanks!$AU$36)</f>
        <v>0</v>
      </c>
      <c r="R34" s="307">
        <f>SUM(P34:Q34)</f>
        <v>74.649465266261288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70"/>
      <c r="B35" s="571"/>
      <c r="C35" s="572"/>
      <c r="D35" s="571"/>
      <c r="E35" s="571"/>
      <c r="F35" s="571"/>
      <c r="G35" s="571"/>
      <c r="H35" s="571"/>
      <c r="I35" s="571"/>
      <c r="J35" s="571"/>
      <c r="K35" s="571"/>
      <c r="L35" s="573"/>
      <c r="M35" s="573"/>
      <c r="N35" s="573"/>
      <c r="O35" s="573"/>
      <c r="P35" s="574"/>
      <c r="Q35" s="574"/>
      <c r="R35" s="574"/>
      <c r="S35" s="575"/>
      <c r="T35" s="576"/>
      <c r="V35" s="220"/>
      <c r="W35" s="221"/>
      <c r="X35" s="221"/>
      <c r="Y35" s="221"/>
      <c r="Z35" s="3"/>
      <c r="AA35" s="3"/>
      <c r="AB35" s="3"/>
      <c r="AC35" s="247"/>
    </row>
    <row r="36" spans="1:29">
      <c r="A36" s="570"/>
      <c r="B36" s="571"/>
      <c r="C36" s="572"/>
      <c r="D36" s="572"/>
      <c r="E36" s="572"/>
      <c r="F36" s="571"/>
      <c r="G36" s="571"/>
      <c r="H36" s="571"/>
      <c r="I36" s="571"/>
      <c r="J36" s="571"/>
      <c r="K36" s="577"/>
      <c r="L36" s="574"/>
      <c r="M36" s="574"/>
      <c r="N36" s="574"/>
      <c r="O36" s="574"/>
      <c r="P36" s="575"/>
      <c r="Q36" s="575"/>
      <c r="R36" s="575"/>
      <c r="S36" s="575"/>
      <c r="T36" s="576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1577833.6273333333</v>
      </c>
      <c r="AC36" s="288"/>
    </row>
    <row r="37" spans="1:29" ht="15.75" thickBot="1">
      <c r="A37" s="569">
        <f>A39-COUNTIF(C4:C35,0)</f>
        <v>14</v>
      </c>
      <c r="C37" s="177">
        <f>SUM(C4:C35)/A37</f>
        <v>6008.1428571428569</v>
      </c>
      <c r="D37" s="177"/>
      <c r="E37" s="177"/>
      <c r="G37" s="177">
        <f>SUM(G4:G35)/A37</f>
        <v>850.21428571428567</v>
      </c>
      <c r="I37" s="177">
        <f>SUM(I4:I35)/A37</f>
        <v>3084.6428571428573</v>
      </c>
      <c r="K37" s="177">
        <f>SUM(K4:K36)/A37</f>
        <v>2073.4285714285716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15921775.694</v>
      </c>
      <c r="AC37" s="288"/>
    </row>
    <row r="38" spans="1:29" ht="15.75" thickBot="1">
      <c r="A38" s="214"/>
      <c r="C38" s="216">
        <f>SUM(G38:K38)</f>
        <v>1.0000237772546783</v>
      </c>
      <c r="G38" s="229">
        <f>IF(C37&gt;0,G37/C37,0)</f>
        <v>0.14151033121715767</v>
      </c>
      <c r="H38" s="216"/>
      <c r="I38" s="229">
        <f>SUM(I37/C37)</f>
        <v>0.51341037163849068</v>
      </c>
      <c r="J38" s="216"/>
      <c r="K38" s="229">
        <f>SUM(K37/C37)</f>
        <v>0.34510307439902993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9515.052780541735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2239.4839579878385</v>
      </c>
      <c r="Z40" s="40"/>
      <c r="AA40" s="302" t="s">
        <v>215</v>
      </c>
      <c r="AB40" s="303">
        <f>SUM(AB38)</f>
        <v>9515.052780541735</v>
      </c>
    </row>
    <row r="41" spans="1:29">
      <c r="V41" s="221"/>
      <c r="W41" s="83">
        <f>(AB31+AB56)/1507.5</f>
        <v>7275.568822553897</v>
      </c>
      <c r="X41" s="595"/>
      <c r="Z41" s="304">
        <f>SUM(AB40)</f>
        <v>9515.052780541735</v>
      </c>
      <c r="AA41" s="303"/>
      <c r="AB41" s="303"/>
    </row>
    <row r="42" spans="1:29">
      <c r="V42" s="17"/>
      <c r="W42" s="83">
        <f>SUM(W40:W41)</f>
        <v>9515.052780541735</v>
      </c>
      <c r="X42" s="595"/>
      <c r="Y42" s="83"/>
      <c r="Z42" s="304">
        <f>SUM(-tanks!AX36)*tanks!AU36</f>
        <v>3054.6219354838722</v>
      </c>
      <c r="AA42" s="102">
        <f>SUM(AB32/A37)</f>
        <v>1024567.2904761905</v>
      </c>
      <c r="AB42" s="361">
        <f>SUM(AA42*A39)</f>
        <v>30737018.714285716</v>
      </c>
    </row>
    <row r="43" spans="1:29" ht="18.75">
      <c r="W43" s="83">
        <f>(AB31+AB56)/1507.5</f>
        <v>7275.568822553897</v>
      </c>
      <c r="Z43" s="284">
        <f>SUM(Z41:Z42)</f>
        <v>12569.674716025607</v>
      </c>
      <c r="AA43" s="303">
        <f>SUM(AA42/1507.5)</f>
        <v>679.64662718155262</v>
      </c>
      <c r="AB43" s="360">
        <f>SUM(AB42/1507.5)</f>
        <v>20389.398815446577</v>
      </c>
    </row>
    <row r="44" spans="1:29">
      <c r="D44" s="540"/>
      <c r="E44" s="540"/>
      <c r="F44" s="540"/>
      <c r="W44" s="83">
        <f>SUM(W42:W43)</f>
        <v>16790.621603095631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71"/>
      <c r="AC47" s="672"/>
    </row>
    <row r="48" spans="1:29">
      <c r="V48" s="677"/>
      <c r="W48" s="678"/>
      <c r="X48" s="678"/>
      <c r="Y48" s="679"/>
      <c r="Z48" s="26" t="s">
        <v>203</v>
      </c>
      <c r="AA48" s="26">
        <v>5000</v>
      </c>
      <c r="AB48" s="673"/>
      <c r="AC48" s="674"/>
    </row>
    <row r="49" spans="22:32">
      <c r="V49" s="680"/>
      <c r="W49" s="681"/>
      <c r="X49" s="681"/>
      <c r="Y49" s="682"/>
      <c r="Z49" s="683"/>
      <c r="AA49" s="684"/>
      <c r="AB49" s="673"/>
      <c r="AC49" s="674"/>
    </row>
    <row r="50" spans="22:32">
      <c r="V50" s="685" t="s">
        <v>204</v>
      </c>
      <c r="W50" s="686"/>
      <c r="X50" s="687" t="s">
        <v>205</v>
      </c>
      <c r="Y50" s="688"/>
      <c r="Z50" s="689"/>
      <c r="AA50" s="171"/>
      <c r="AB50" s="675"/>
      <c r="AC50" s="676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6459</v>
      </c>
      <c r="X52" s="173" t="s">
        <v>199</v>
      </c>
      <c r="Y52" s="173">
        <v>80</v>
      </c>
      <c r="Z52" s="173">
        <v>1</v>
      </c>
      <c r="AA52" s="348">
        <f>(W52-V52)*Z52</f>
        <v>6459</v>
      </c>
      <c r="AB52" s="348">
        <f>AA52*Y52</f>
        <v>516720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8675</v>
      </c>
      <c r="X53" s="173" t="s">
        <v>213</v>
      </c>
      <c r="Y53" s="173">
        <v>112</v>
      </c>
      <c r="Z53" s="173">
        <v>1</v>
      </c>
      <c r="AA53" s="348">
        <f>(W53-V53)*Z53</f>
        <v>8675</v>
      </c>
      <c r="AB53" s="348">
        <f>SUM(AA53*Y53)</f>
        <v>971600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2978</v>
      </c>
      <c r="X54" s="173" t="s">
        <v>197</v>
      </c>
      <c r="Y54" s="173">
        <v>320</v>
      </c>
      <c r="Z54" s="173">
        <v>1</v>
      </c>
      <c r="AA54" s="348">
        <f>(W54-V54)*Z54</f>
        <v>2978</v>
      </c>
      <c r="AB54" s="348">
        <f>SUM(AA54*Y54)</f>
        <v>952960</v>
      </c>
      <c r="AC54" s="255">
        <f t="shared" si="19"/>
        <v>1000</v>
      </c>
      <c r="AD54" s="216">
        <f>SUM(G63)</f>
        <v>0</v>
      </c>
      <c r="AE54" s="40">
        <f>SUM(AB54*5%)</f>
        <v>47648</v>
      </c>
      <c r="AF54" s="83">
        <f>SUM(AE54/7)*31</f>
        <v>211012.57142857145</v>
      </c>
    </row>
    <row r="55" spans="22:32">
      <c r="V55" s="217"/>
      <c r="W55" s="218"/>
      <c r="X55" s="218"/>
      <c r="Y55" s="219"/>
      <c r="Z55" s="3"/>
      <c r="AA55" s="348">
        <f>SUM(AA52:AA54)</f>
        <v>18112</v>
      </c>
      <c r="AB55" s="348"/>
      <c r="AC55" s="255"/>
    </row>
    <row r="56" spans="22:32">
      <c r="V56" s="220" t="s">
        <v>317</v>
      </c>
      <c r="W56" s="459">
        <f>'General information '!F36</f>
        <v>1.7964285714285714E-2</v>
      </c>
      <c r="X56" s="221"/>
      <c r="Y56" s="222" t="s">
        <v>333</v>
      </c>
      <c r="Z56" s="3"/>
      <c r="AA56" s="348"/>
      <c r="AB56" s="594">
        <f>SUM(AB52:AB55)</f>
        <v>2441280</v>
      </c>
      <c r="AC56" s="255">
        <f>SUM(AC52:AC55)/A39*A37</f>
        <v>3376022.0666666664</v>
      </c>
    </row>
    <row r="57" spans="22:32">
      <c r="V57" s="220" t="s">
        <v>318</v>
      </c>
      <c r="W57" s="221">
        <f>GEN!Z33</f>
        <v>68</v>
      </c>
      <c r="X57" s="226">
        <f>SUM(W57/A37)</f>
        <v>4.8571428571428568</v>
      </c>
      <c r="Y57" s="267">
        <f>SUM(X57/2)</f>
        <v>2.4285714285714284</v>
      </c>
      <c r="Z57" s="3"/>
      <c r="AA57" s="3"/>
      <c r="AB57" s="348">
        <f>SUM(AB56+AC57)</f>
        <v>5817302.0666666664</v>
      </c>
      <c r="AC57" s="255">
        <f>SUM(AC56)</f>
        <v>3376022.0666666664</v>
      </c>
    </row>
    <row r="58" spans="22:32">
      <c r="V58" s="220" t="s">
        <v>319</v>
      </c>
      <c r="W58" s="221">
        <f>'Degree Days 2020'!V43</f>
        <v>-311.10000000000008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65.800000000000011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639903.22733333334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6457205.2939999998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3858.9068435599779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2250.6813777777775</v>
      </c>
      <c r="Z65" s="40"/>
      <c r="AA65" s="370" t="s">
        <v>215</v>
      </c>
      <c r="AB65" s="303">
        <f>SUM(AB63)</f>
        <v>3858.9068435599779</v>
      </c>
    </row>
    <row r="66" spans="22:28">
      <c r="V66" s="221"/>
      <c r="W66" s="83">
        <f>AB56/1500</f>
        <v>1627.52</v>
      </c>
      <c r="Z66" s="304">
        <f>SUM(AB65)</f>
        <v>3858.9068435599779</v>
      </c>
      <c r="AA66" s="303"/>
      <c r="AB66" s="303"/>
    </row>
    <row r="67" spans="22:28">
      <c r="V67" s="17"/>
      <c r="W67" s="83">
        <f>SUM(W65:W66)</f>
        <v>3878.2013777777775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1627.52</v>
      </c>
      <c r="Z68" s="284">
        <f>SUM(Z66:Z67)</f>
        <v>3858.9068435599779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5505.7213777777779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G14:G15"/>
    <mergeCell ref="I14:I15"/>
    <mergeCell ref="K14:K15"/>
    <mergeCell ref="C14:C15"/>
    <mergeCell ref="A14:A15"/>
    <mergeCell ref="D14:D15"/>
    <mergeCell ref="E14:E15"/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4" activePane="bottomLeft" state="frozen"/>
      <selection pane="bottomLeft" activeCell="B19" sqref="B19:H1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321</v>
      </c>
      <c r="C1" s="703"/>
      <c r="D1" s="705"/>
      <c r="E1" s="702" t="s">
        <v>322</v>
      </c>
      <c r="F1" s="703"/>
      <c r="G1" s="704"/>
      <c r="H1" s="699" t="s">
        <v>327</v>
      </c>
      <c r="I1" s="696" t="s">
        <v>328</v>
      </c>
      <c r="J1" s="693" t="s">
        <v>43</v>
      </c>
    </row>
    <row r="2" spans="1:18" ht="38.25" thickBot="1">
      <c r="A2" s="691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0"/>
      <c r="I2" s="697"/>
      <c r="J2" s="694"/>
    </row>
    <row r="3" spans="1:18" ht="24" customHeight="1" thickBot="1">
      <c r="A3" s="692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1"/>
      <c r="I3" s="698"/>
      <c r="J3" s="695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80">
        <v>5.5</v>
      </c>
      <c r="C6" s="581">
        <v>7.84</v>
      </c>
      <c r="D6" s="582">
        <v>29</v>
      </c>
      <c r="E6" s="582">
        <v>4</v>
      </c>
      <c r="F6" s="582">
        <v>8</v>
      </c>
      <c r="G6" s="582">
        <v>35</v>
      </c>
      <c r="H6" s="582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9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8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8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9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8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8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8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90">
        <v>7.8</v>
      </c>
      <c r="D13" s="171">
        <v>28</v>
      </c>
      <c r="E13" s="171">
        <v>1.4</v>
      </c>
      <c r="F13" s="171">
        <v>8</v>
      </c>
      <c r="G13" s="171">
        <v>35</v>
      </c>
      <c r="H13" s="591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8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8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8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6">
        <v>7.8</v>
      </c>
      <c r="D17" s="528">
        <v>27</v>
      </c>
      <c r="E17" s="528">
        <v>1</v>
      </c>
      <c r="F17" s="528">
        <v>8</v>
      </c>
      <c r="G17" s="528">
        <v>37</v>
      </c>
      <c r="H17" s="578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8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7">
        <v>7.7</v>
      </c>
      <c r="D19" s="171">
        <v>29</v>
      </c>
      <c r="E19" s="171">
        <v>3</v>
      </c>
      <c r="F19" s="171">
        <v>8</v>
      </c>
      <c r="G19" s="171">
        <v>35</v>
      </c>
      <c r="H19" s="591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/>
      <c r="C20" s="528"/>
      <c r="D20" s="528"/>
      <c r="E20" s="528"/>
      <c r="F20" s="528"/>
      <c r="G20" s="528"/>
      <c r="H20" s="578">
        <f t="shared" si="4"/>
        <v>6278</v>
      </c>
      <c r="I20" s="528">
        <f t="shared" si="2"/>
        <v>0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28"/>
      <c r="C21" s="528"/>
      <c r="D21" s="528"/>
      <c r="E21" s="528"/>
      <c r="F21" s="528"/>
      <c r="G21" s="528"/>
      <c r="H21" s="578">
        <f t="shared" si="4"/>
        <v>6278</v>
      </c>
      <c r="I21" s="528">
        <f t="shared" si="2"/>
        <v>0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/>
      <c r="C22" s="565"/>
      <c r="D22" s="171"/>
      <c r="E22" s="171"/>
      <c r="F22" s="171"/>
      <c r="G22" s="171"/>
      <c r="H22" s="578">
        <f t="shared" si="4"/>
        <v>6278</v>
      </c>
      <c r="I22" s="528">
        <f t="shared" si="2"/>
        <v>0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/>
      <c r="C23" s="171"/>
      <c r="D23" s="171"/>
      <c r="E23" s="171"/>
      <c r="F23" s="171"/>
      <c r="G23" s="171"/>
      <c r="H23" s="578">
        <f t="shared" si="4"/>
        <v>6278</v>
      </c>
      <c r="I23" s="528">
        <f t="shared" si="2"/>
        <v>0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/>
      <c r="C24" s="528"/>
      <c r="D24" s="528"/>
      <c r="E24" s="528"/>
      <c r="F24" s="528"/>
      <c r="G24" s="528"/>
      <c r="H24" s="578">
        <f t="shared" si="4"/>
        <v>6278</v>
      </c>
      <c r="I24" s="528">
        <f t="shared" si="2"/>
        <v>0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/>
      <c r="C25" s="528"/>
      <c r="D25" s="528"/>
      <c r="E25" s="528"/>
      <c r="F25" s="528"/>
      <c r="G25" s="528"/>
      <c r="H25" s="578">
        <f t="shared" si="4"/>
        <v>6278</v>
      </c>
      <c r="I25" s="528">
        <f t="shared" si="2"/>
        <v>0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/>
      <c r="C26" s="528"/>
      <c r="D26" s="528"/>
      <c r="E26" s="528"/>
      <c r="F26" s="528"/>
      <c r="G26" s="528"/>
      <c r="H26" s="578">
        <f t="shared" si="4"/>
        <v>6278</v>
      </c>
      <c r="I26" s="528">
        <f t="shared" si="2"/>
        <v>0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/>
      <c r="C27" s="528"/>
      <c r="D27" s="528"/>
      <c r="E27" s="528"/>
      <c r="F27" s="528"/>
      <c r="G27" s="528"/>
      <c r="H27" s="578">
        <f t="shared" si="4"/>
        <v>6278</v>
      </c>
      <c r="I27" s="528">
        <f t="shared" si="2"/>
        <v>0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528"/>
      <c r="C28" s="528"/>
      <c r="D28" s="528"/>
      <c r="E28" s="528"/>
      <c r="F28" s="528"/>
      <c r="G28" s="528"/>
      <c r="H28" s="578">
        <f t="shared" si="4"/>
        <v>6278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8">
        <f t="shared" si="4"/>
        <v>6278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6"/>
      <c r="D30" s="171"/>
      <c r="E30" s="171"/>
      <c r="F30" s="171"/>
      <c r="G30" s="171"/>
      <c r="H30" s="578">
        <f t="shared" si="4"/>
        <v>6278</v>
      </c>
      <c r="I30" s="528">
        <f t="shared" si="2"/>
        <v>0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6"/>
      <c r="D31" s="171"/>
      <c r="E31" s="171"/>
      <c r="F31" s="171"/>
      <c r="G31" s="171"/>
      <c r="H31" s="578">
        <f t="shared" si="4"/>
        <v>6278</v>
      </c>
      <c r="I31" s="528">
        <f t="shared" si="2"/>
        <v>0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8">
        <f t="shared" si="4"/>
        <v>6278</v>
      </c>
      <c r="I32" s="528">
        <f t="shared" si="2"/>
        <v>0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8">
        <f t="shared" si="4"/>
        <v>6278</v>
      </c>
      <c r="I33" s="528">
        <f t="shared" si="2"/>
        <v>0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8">
        <f t="shared" si="4"/>
        <v>6278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8">
        <f t="shared" si="4"/>
        <v>6278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AB16" sqref="AB16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18" t="s">
        <v>412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F43</f>
        <v>-153.49999999999997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-311.10000000000008</v>
      </c>
      <c r="AB15" s="279">
        <f>W43</f>
        <v>65.800000000000011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-742.50000000000011</v>
      </c>
      <c r="AB23" s="135">
        <f>SUM(AB10:AB22)</f>
        <v>273.3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0</v>
      </c>
      <c r="W24" s="279">
        <f>'General information '!C20</f>
        <v>0</v>
      </c>
      <c r="X24" s="279">
        <f t="shared" si="5"/>
        <v>-18.3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0</v>
      </c>
      <c r="W25" s="279">
        <f>'General information '!C21</f>
        <v>0</v>
      </c>
      <c r="X25" s="279">
        <f t="shared" si="5"/>
        <v>-18.3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0</v>
      </c>
      <c r="W26" s="279">
        <f>'General information '!C22</f>
        <v>0</v>
      </c>
      <c r="X26" s="279">
        <f t="shared" si="5"/>
        <v>-18.3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0</v>
      </c>
      <c r="W27" s="279">
        <f>'General information '!C23</f>
        <v>0</v>
      </c>
      <c r="X27" s="279">
        <f t="shared" si="5"/>
        <v>-18.3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0</v>
      </c>
      <c r="W28" s="279">
        <f>'General information '!C24</f>
        <v>0</v>
      </c>
      <c r="X28" s="279">
        <f t="shared" si="5"/>
        <v>-18.3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0</v>
      </c>
      <c r="W29" s="279">
        <f>'General information '!C25</f>
        <v>0</v>
      </c>
      <c r="X29" s="279">
        <f t="shared" si="5"/>
        <v>-18.3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0</v>
      </c>
      <c r="W30" s="279">
        <f>'General information '!C26</f>
        <v>0</v>
      </c>
      <c r="X30" s="279">
        <f t="shared" si="5"/>
        <v>-18.3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0</v>
      </c>
      <c r="W31" s="279">
        <f>'General information '!C27</f>
        <v>0</v>
      </c>
      <c r="X31" s="279">
        <f t="shared" si="5"/>
        <v>-18.3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0</v>
      </c>
      <c r="W32" s="279">
        <f>'General information '!C28</f>
        <v>0</v>
      </c>
      <c r="X32" s="279">
        <f t="shared" si="5"/>
        <v>-18.3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0</v>
      </c>
      <c r="W33" s="279">
        <f>'General information '!C29</f>
        <v>0</v>
      </c>
      <c r="X33" s="279">
        <f t="shared" si="5"/>
        <v>-18.3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0</v>
      </c>
      <c r="W34" s="279">
        <f>'General information '!C30</f>
        <v>0</v>
      </c>
      <c r="X34" s="279">
        <f t="shared" si="5"/>
        <v>-18.3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0</v>
      </c>
      <c r="W35" s="279">
        <f>'General information '!C31</f>
        <v>0</v>
      </c>
      <c r="X35" s="279">
        <f t="shared" si="5"/>
        <v>-18.3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0</v>
      </c>
      <c r="W36" s="279">
        <f>'General information '!C32</f>
        <v>0</v>
      </c>
      <c r="X36" s="279">
        <f t="shared" si="5"/>
        <v>-18.3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0</v>
      </c>
      <c r="W37" s="279">
        <f>'General information '!C33</f>
        <v>0</v>
      </c>
      <c r="X37" s="279">
        <f t="shared" si="5"/>
        <v>-18.3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-311.10000000000008</v>
      </c>
      <c r="W43" s="120">
        <f>SUMIF(X10:X40,"&gt;0")</f>
        <v>65.800000000000011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0</v>
      </c>
      <c r="C62" s="279">
        <f>'General information '!C20</f>
        <v>0</v>
      </c>
      <c r="D62" s="120">
        <f t="shared" si="14"/>
        <v>-18.3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0</v>
      </c>
      <c r="C63" s="279">
        <f>'General information '!C21</f>
        <v>0</v>
      </c>
      <c r="D63" s="120">
        <f t="shared" si="14"/>
        <v>-18.3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0</v>
      </c>
      <c r="C64" s="279">
        <f>'General information '!C22</f>
        <v>0</v>
      </c>
      <c r="D64" s="120">
        <f t="shared" si="14"/>
        <v>-18.3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0</v>
      </c>
      <c r="C65" s="279">
        <f>'General information '!C23</f>
        <v>0</v>
      </c>
      <c r="D65" s="120">
        <f t="shared" si="14"/>
        <v>-18.3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0</v>
      </c>
      <c r="C66" s="279">
        <f>'General information '!C24</f>
        <v>0</v>
      </c>
      <c r="D66" s="120">
        <f t="shared" si="14"/>
        <v>-18.3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0</v>
      </c>
      <c r="C67" s="279">
        <f>'General information '!C25</f>
        <v>0</v>
      </c>
      <c r="D67" s="120">
        <f t="shared" si="14"/>
        <v>-18.3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0</v>
      </c>
      <c r="C68" s="279">
        <f>'General information '!C26</f>
        <v>0</v>
      </c>
      <c r="D68" s="120">
        <f t="shared" si="14"/>
        <v>-18.3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0</v>
      </c>
      <c r="C69" s="279">
        <f>'General information '!C27</f>
        <v>0</v>
      </c>
      <c r="D69" s="120">
        <f t="shared" si="14"/>
        <v>-18.3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0</v>
      </c>
      <c r="C70" s="279">
        <f>'General information '!C28</f>
        <v>0</v>
      </c>
      <c r="D70" s="120">
        <f t="shared" si="14"/>
        <v>-18.3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14"/>
        <v>-18.3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14"/>
        <v>-18.3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14"/>
        <v>-18.3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14"/>
        <v>-18.3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14"/>
        <v>-18.3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-311.10000000000008</v>
      </c>
      <c r="C81" s="120">
        <f>SUMIF(D48:D78,"&gt;0")</f>
        <v>65.800000000000011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12" t="s">
        <v>174</v>
      </c>
      <c r="O84" s="712" t="s">
        <v>175</v>
      </c>
      <c r="P84" s="135"/>
      <c r="T84" s="135"/>
      <c r="X84" s="135"/>
    </row>
    <row r="85" spans="1:24" ht="20.25" thickBot="1">
      <c r="D85" s="135"/>
      <c r="I85" s="714" t="s">
        <v>182</v>
      </c>
      <c r="J85" s="715"/>
      <c r="K85" s="715"/>
      <c r="L85" s="715"/>
      <c r="N85" s="713"/>
      <c r="O85" s="713"/>
      <c r="P85" s="135"/>
      <c r="R85" s="17"/>
      <c r="S85" s="17"/>
      <c r="T85" s="141"/>
      <c r="U85" s="142"/>
      <c r="X85" s="135"/>
    </row>
    <row r="86" spans="1:24" ht="18.75" thickBot="1">
      <c r="D86" s="135"/>
      <c r="I86" s="716" t="s">
        <v>183</v>
      </c>
      <c r="J86" s="716"/>
      <c r="K86" s="716"/>
      <c r="L86" s="716"/>
      <c r="N86" s="143">
        <f>B43+F43+J43+N43+R43+V43+B81+F81+J81+N81+R81+V81</f>
        <v>-3823.3</v>
      </c>
      <c r="O86" s="143">
        <f>C43+G43+K43+O43+S43+W43+C81+G81+K81+O81+S81+W81</f>
        <v>300.60000000000002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13" workbookViewId="0">
      <pane xSplit="1" topLeftCell="B1" activePane="topRight" state="frozen"/>
      <selection pane="topRight" activeCell="B14" sqref="B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216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14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775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3500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10353.1</v>
      </c>
      <c r="C8" s="512">
        <f>SUM(tanks!AU36)</f>
        <v>0.22000000000000003</v>
      </c>
      <c r="D8" s="195">
        <f>SUM(B8*C8)*D4</f>
        <v>3433605.6150000002</v>
      </c>
      <c r="E8" s="196">
        <f>SUM(D8/D4/F4)</f>
        <v>162.69157142857145</v>
      </c>
      <c r="F8" s="196">
        <f>SUM(E8*F4)</f>
        <v>2277.6820000000002</v>
      </c>
      <c r="G8" s="529">
        <f>E8*$G$4</f>
        <v>4880.7471428571434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1100</v>
      </c>
      <c r="C9" s="362">
        <v>0.7</v>
      </c>
      <c r="D9" s="192">
        <f>SUM(B9*C9)*D4</f>
        <v>1160775</v>
      </c>
      <c r="E9" s="193">
        <f>SUM(C9*B9)/F4</f>
        <v>55</v>
      </c>
      <c r="F9" s="193">
        <f>SUM(E9*F4)</f>
        <v>770</v>
      </c>
      <c r="G9" s="529">
        <f>E9*$G$4</f>
        <v>1650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14343942.066666666</v>
      </c>
      <c r="E10" s="186">
        <f>SUM(D10/D4/F4)</f>
        <v>679.6466271815525</v>
      </c>
      <c r="F10" s="186">
        <f>SUM(E10*F4)</f>
        <v>9515.052780541735</v>
      </c>
      <c r="G10" s="529">
        <f>E10*$G$4</f>
        <v>20389.398815446577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1147.338198610124</v>
      </c>
      <c r="F12" s="184">
        <f>SUM(F6:F10)</f>
        <v>16062.734780541736</v>
      </c>
      <c r="G12" s="183">
        <f>SUM(G6:G10)</f>
        <v>34420.145958303721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65.800000000000011</v>
      </c>
      <c r="C14" s="448">
        <f>'[8]Utility Cost '!C14</f>
        <v>151</v>
      </c>
      <c r="D14" s="171"/>
      <c r="E14" s="171">
        <f t="shared" ref="E14:E18" si="0">B14-C14</f>
        <v>-85.199999999999989</v>
      </c>
      <c r="F14" s="528">
        <v>0</v>
      </c>
      <c r="G14" s="436"/>
      <c r="H14" s="437">
        <f>SUM(G12-H12)</f>
        <v>-26515.361891696273</v>
      </c>
      <c r="I14" s="437">
        <f>SUM(G12-I12)</f>
        <v>-46079.854041696279</v>
      </c>
    </row>
    <row r="15" spans="1:11">
      <c r="A15" s="465" t="s">
        <v>304</v>
      </c>
      <c r="B15" s="98">
        <f>'Degree Days 2020'!AA15</f>
        <v>-311.10000000000008</v>
      </c>
      <c r="C15" s="448">
        <f>'[8]Utility Cost '!C15</f>
        <v>-18.3</v>
      </c>
      <c r="D15" s="171"/>
      <c r="E15" s="171">
        <f t="shared" si="0"/>
        <v>-292.80000000000007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23</v>
      </c>
      <c r="C16" s="448">
        <f>'[8]Utility Cost '!C16</f>
        <v>26.483333333333334</v>
      </c>
      <c r="D16" s="448"/>
      <c r="E16" s="449">
        <f t="shared" si="0"/>
        <v>-3.4833333333333343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1.7964285714285714E-2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-0.7682457142857142</v>
      </c>
      <c r="F17" s="548">
        <f>B17-D17</f>
        <v>-0.57563571428571425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68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-157</v>
      </c>
      <c r="F18" s="549">
        <f>B18-D18</f>
        <v>-149</v>
      </c>
    </row>
    <row r="19" spans="1:10">
      <c r="A19" s="543" t="s">
        <v>414</v>
      </c>
      <c r="B19" s="541">
        <f>SUM(B18/$F$4)</f>
        <v>4.8571428571428568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2020-06-15T03:20:07Z</dcterms:modified>
</cp:coreProperties>
</file>