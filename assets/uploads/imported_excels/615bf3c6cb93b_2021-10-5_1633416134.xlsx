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13_ncr:1_{44F4D639-7E58-402F-BDD9-F1F064A16B6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3" r:id="rId1"/>
    <sheet name="Submetering " sheetId="4" r:id="rId2"/>
    <sheet name="FS Seychelles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4" l="1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2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AC7" i="1" l="1"/>
  <c r="AC8" i="1"/>
  <c r="AB8" i="1"/>
  <c r="R32" i="1"/>
  <c r="R33" i="1"/>
  <c r="R31" i="1"/>
  <c r="R26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3" i="1"/>
  <c r="R25" i="1"/>
  <c r="R24" i="1"/>
  <c r="R30" i="1"/>
  <c r="R29" i="1"/>
  <c r="R28" i="1"/>
  <c r="R27" i="1"/>
  <c r="AC15" i="1"/>
  <c r="AC10" i="1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2" i="4"/>
  <c r="O3" i="4" l="1"/>
  <c r="P3" i="4"/>
  <c r="Q3" i="4"/>
  <c r="R3" i="4"/>
  <c r="S3" i="4"/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U31" i="4"/>
  <c r="V31" i="4"/>
  <c r="W31" i="4"/>
  <c r="X31" i="4"/>
  <c r="Y31" i="4"/>
  <c r="Z31" i="4"/>
  <c r="AA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U32" i="4"/>
  <c r="V32" i="4"/>
  <c r="W32" i="4"/>
  <c r="X32" i="4"/>
  <c r="Y32" i="4"/>
  <c r="Z32" i="4"/>
  <c r="K32" i="3" s="1"/>
  <c r="AA32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U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N3" i="4"/>
  <c r="U3" i="4"/>
  <c r="V3" i="4"/>
  <c r="W3" i="4"/>
  <c r="X3" i="4"/>
  <c r="Y3" i="4"/>
  <c r="Z3" i="4"/>
  <c r="K3" i="3" s="1"/>
  <c r="AA3" i="4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 s="1"/>
  <c r="AA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U6" i="4"/>
  <c r="V6" i="4"/>
  <c r="W6" i="4"/>
  <c r="X6" i="4"/>
  <c r="Y6" i="4"/>
  <c r="Z6" i="4"/>
  <c r="K6" i="3"/>
  <c r="AA6" i="4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U7" i="4"/>
  <c r="V7" i="4"/>
  <c r="W7" i="4"/>
  <c r="X7" i="4"/>
  <c r="Y7" i="4"/>
  <c r="Z7" i="4"/>
  <c r="K7" i="3" s="1"/>
  <c r="AA7" i="4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U8" i="4"/>
  <c r="V8" i="4"/>
  <c r="W8" i="4"/>
  <c r="X8" i="4"/>
  <c r="Y8" i="4"/>
  <c r="Z8" i="4"/>
  <c r="K8" i="3" s="1"/>
  <c r="AA8" i="4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U9" i="4"/>
  <c r="V9" i="4"/>
  <c r="W9" i="4"/>
  <c r="X9" i="4"/>
  <c r="Y9" i="4"/>
  <c r="Z9" i="4"/>
  <c r="K9" i="3" s="1"/>
  <c r="AA9" i="4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U10" i="4"/>
  <c r="V10" i="4"/>
  <c r="W10" i="4"/>
  <c r="X10" i="4"/>
  <c r="Y10" i="4"/>
  <c r="Z10" i="4"/>
  <c r="K10" i="3" s="1"/>
  <c r="AA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 s="1"/>
  <c r="AA11" i="4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U12" i="4"/>
  <c r="V12" i="4"/>
  <c r="W12" i="4"/>
  <c r="X12" i="4"/>
  <c r="Y12" i="4"/>
  <c r="Z12" i="4"/>
  <c r="K12" i="3" s="1"/>
  <c r="AA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 s="1"/>
  <c r="AA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 s="1"/>
  <c r="AA14" i="4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U15" i="4"/>
  <c r="V15" i="4"/>
  <c r="W15" i="4"/>
  <c r="X15" i="4"/>
  <c r="Y15" i="4"/>
  <c r="Z15" i="4"/>
  <c r="K15" i="3" s="1"/>
  <c r="AA15" i="4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U16" i="4"/>
  <c r="V16" i="4"/>
  <c r="W16" i="4"/>
  <c r="X16" i="4"/>
  <c r="Y16" i="4"/>
  <c r="Z16" i="4"/>
  <c r="K16" i="3" s="1"/>
  <c r="AA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U17" i="4"/>
  <c r="V17" i="4"/>
  <c r="W17" i="4"/>
  <c r="X17" i="4"/>
  <c r="Y17" i="4"/>
  <c r="Z17" i="4"/>
  <c r="K17" i="3" s="1"/>
  <c r="AA17" i="4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U18" i="4"/>
  <c r="V18" i="4"/>
  <c r="W18" i="4"/>
  <c r="X18" i="4"/>
  <c r="Y18" i="4"/>
  <c r="Z18" i="4"/>
  <c r="K18" i="3" s="1"/>
  <c r="AA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U19" i="4"/>
  <c r="V19" i="4"/>
  <c r="W19" i="4"/>
  <c r="X19" i="4"/>
  <c r="Y19" i="4"/>
  <c r="Z19" i="4"/>
  <c r="K19" i="3" s="1"/>
  <c r="AA19" i="4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K20" i="3" s="1"/>
  <c r="AA20" i="4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U21" i="4"/>
  <c r="V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 s="1"/>
  <c r="AA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U23" i="4"/>
  <c r="V23" i="4"/>
  <c r="W23" i="4"/>
  <c r="X23" i="4"/>
  <c r="Y23" i="4"/>
  <c r="Z23" i="4"/>
  <c r="K23" i="3" s="1"/>
  <c r="AA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W24" i="4"/>
  <c r="X24" i="4"/>
  <c r="Y24" i="4"/>
  <c r="Z24" i="4"/>
  <c r="K24" i="3" s="1"/>
  <c r="AA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U26" i="4"/>
  <c r="V26" i="4"/>
  <c r="W26" i="4"/>
  <c r="X26" i="4"/>
  <c r="Y26" i="4"/>
  <c r="Z26" i="4"/>
  <c r="K26" i="3" s="1"/>
  <c r="AA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 s="1"/>
  <c r="AA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 s="1"/>
  <c r="AA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 s="1"/>
  <c r="AA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 s="1"/>
  <c r="AA30" i="4"/>
  <c r="K31" i="3"/>
  <c r="I2" i="3"/>
  <c r="B3" i="3"/>
  <c r="H3" i="3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4" i="3" l="1"/>
  <c r="F4" i="3" s="1"/>
  <c r="E25" i="3"/>
  <c r="F25" i="3" s="1"/>
  <c r="Q33" i="4"/>
  <c r="P33" i="4"/>
  <c r="O33" i="4"/>
  <c r="R33" i="4"/>
  <c r="E26" i="3"/>
  <c r="F26" i="3" s="1"/>
  <c r="E19" i="3"/>
  <c r="F19" i="3" s="1"/>
  <c r="E18" i="3"/>
  <c r="F18" i="3" s="1"/>
  <c r="E17" i="3"/>
  <c r="F17" i="3" s="1"/>
  <c r="E16" i="3"/>
  <c r="F16" i="3" s="1"/>
  <c r="E15" i="3"/>
  <c r="F15" i="3" s="1"/>
  <c r="E11" i="3"/>
  <c r="F11" i="3" s="1"/>
  <c r="E9" i="3"/>
  <c r="F9" i="3" s="1"/>
  <c r="E7" i="3"/>
  <c r="F7" i="3" s="1"/>
  <c r="E6" i="3"/>
  <c r="F6" i="3" s="1"/>
  <c r="E3" i="3"/>
  <c r="F3" i="3" s="1"/>
  <c r="E2" i="3"/>
  <c r="F2" i="3" s="1"/>
  <c r="E32" i="3"/>
  <c r="F32" i="3" s="1"/>
  <c r="E28" i="3"/>
  <c r="F28" i="3" s="1"/>
  <c r="E24" i="3"/>
  <c r="F24" i="3" s="1"/>
  <c r="E22" i="3"/>
  <c r="F22" i="3" s="1"/>
  <c r="E8" i="3"/>
  <c r="F8" i="3" s="1"/>
  <c r="E20" i="3"/>
  <c r="F20" i="3" s="1"/>
  <c r="E12" i="3"/>
  <c r="F12" i="3" s="1"/>
  <c r="E5" i="3"/>
  <c r="F5" i="3" s="1"/>
  <c r="E29" i="3"/>
  <c r="F29" i="3" s="1"/>
  <c r="E13" i="3"/>
  <c r="F13" i="3" s="1"/>
  <c r="E31" i="3"/>
  <c r="F31" i="3" s="1"/>
  <c r="E27" i="3"/>
  <c r="F27" i="3" s="1"/>
  <c r="E21" i="3"/>
  <c r="F21" i="3" s="1"/>
  <c r="E30" i="3"/>
  <c r="F30" i="3" s="1"/>
  <c r="E23" i="3"/>
  <c r="F23" i="3" s="1"/>
  <c r="E14" i="3"/>
  <c r="F14" i="3" s="1"/>
  <c r="E10" i="3"/>
  <c r="F10" i="3" s="1"/>
  <c r="R35" i="4" l="1"/>
</calcChain>
</file>

<file path=xl/sharedStrings.xml><?xml version="1.0" encoding="utf-8"?>
<sst xmlns="http://schemas.openxmlformats.org/spreadsheetml/2006/main" count="140" uniqueCount="73">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</sst>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/>
    <xf numFmtId="3" fontId="12" fillId="0" borderId="2" xfId="0" applyNumberFormat="1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4" fillId="0" borderId="7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2" fontId="14" fillId="0" borderId="13" xfId="0" applyNumberFormat="1" applyFont="1" applyBorder="1"/>
    <xf numFmtId="2" fontId="14" fillId="0" borderId="11" xfId="0" applyNumberFormat="1" applyFont="1" applyBorder="1"/>
    <xf numFmtId="2" fontId="14" fillId="0" borderId="6" xfId="0" applyNumberFormat="1" applyFont="1" applyBorder="1"/>
    <xf numFmtId="2" fontId="14" fillId="0" borderId="9" xfId="0" applyNumberFormat="1" applyFont="1" applyBorder="1"/>
    <xf numFmtId="3" fontId="12" fillId="0" borderId="9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7" xfId="0" applyNumberFormat="1" applyFont="1" applyBorder="1" applyAlignment="1">
      <alignment horizontal="right"/>
    </xf>
    <xf numFmtId="0" fontId="13" fillId="3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4" fontId="14" fillId="0" borderId="11" xfId="0" applyNumberFormat="1" applyFont="1" applyBorder="1" applyAlignment="1">
      <alignment horizontal="right"/>
    </xf>
    <xf numFmtId="4" fontId="12" fillId="0" borderId="11" xfId="0" applyNumberFormat="1" applyFont="1" applyBorder="1"/>
    <xf numFmtId="2" fontId="12" fillId="0" borderId="15" xfId="0" applyNumberFormat="1" applyFont="1" applyBorder="1"/>
    <xf numFmtId="4" fontId="12" fillId="0" borderId="11" xfId="0" applyNumberFormat="1" applyFont="1" applyBorder="1" applyAlignment="1">
      <alignment vertical="center" wrapText="1"/>
    </xf>
    <xf numFmtId="2" fontId="12" fillId="0" borderId="17" xfId="0" applyNumberFormat="1" applyFont="1" applyBorder="1"/>
    <xf numFmtId="0" fontId="13" fillId="4" borderId="11" xfId="0" applyFont="1" applyFill="1" applyBorder="1" applyAlignment="1">
      <alignment horizontal="center" vertical="center" wrapText="1"/>
    </xf>
    <xf numFmtId="2" fontId="13" fillId="4" borderId="11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4" fontId="12" fillId="0" borderId="13" xfId="0" applyNumberFormat="1" applyFont="1" applyBorder="1" applyAlignment="1">
      <alignment horizontal="right"/>
    </xf>
    <xf numFmtId="0" fontId="13" fillId="9" borderId="2" xfId="0" applyFont="1" applyFill="1" applyBorder="1" applyAlignment="1">
      <alignment vertical="center"/>
    </xf>
    <xf numFmtId="2" fontId="15" fillId="0" borderId="17" xfId="0" applyNumberFormat="1" applyFont="1" applyBorder="1" applyAlignment="1">
      <alignment horizontal="right" wrapText="1"/>
    </xf>
    <xf numFmtId="0" fontId="16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3" fontId="12" fillId="0" borderId="2" xfId="0" applyNumberFormat="1" applyFont="1" applyFill="1" applyBorder="1"/>
    <xf numFmtId="0" fontId="12" fillId="0" borderId="1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Milliers_Classeur1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N22" sqref="N22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0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8" t="s">
        <v>10</v>
      </c>
      <c r="L1" s="6" t="s">
        <v>11</v>
      </c>
      <c r="M1" s="8" t="s">
        <v>12</v>
      </c>
    </row>
    <row r="2" spans="1:13" s="13" customFormat="1" x14ac:dyDescent="0.25">
      <c r="A2" s="1" t="s">
        <v>13</v>
      </c>
      <c r="B2" s="10">
        <v>1</v>
      </c>
      <c r="C2" s="11">
        <v>8</v>
      </c>
      <c r="D2" s="1">
        <v>2021</v>
      </c>
      <c r="E2" s="12">
        <f>'Submetering '!O2+'Submetering '!P2+'Submetering '!Q2+'Submetering '!R2+'Submetering '!S2</f>
        <v>24981</v>
      </c>
      <c r="F2" s="11">
        <f>('FS Seychelles'!R3*'FS Seychelles'!S3)/TOTAL!E2</f>
        <v>0.27327128617749491</v>
      </c>
      <c r="G2" s="12">
        <f>('FS Seychelles'!$AC$10+'FS Seychelles'!$AC$15)/31</f>
        <v>356.45161290322579</v>
      </c>
      <c r="H2" s="11">
        <v>17.5</v>
      </c>
      <c r="I2" s="12">
        <f>'FS Seychelles'!T3+'FS Seychelles'!V3+'FS Seychelles'!W3+'FS Seychelles'!X3</f>
        <v>456</v>
      </c>
      <c r="J2" s="11">
        <v>0</v>
      </c>
      <c r="K2" s="29">
        <f>'Submetering '!Z2</f>
        <v>118</v>
      </c>
      <c r="L2" s="11">
        <v>0</v>
      </c>
      <c r="M2" s="57">
        <f>'FS Seychelles'!B3</f>
        <v>49.35</v>
      </c>
    </row>
    <row r="3" spans="1:13" s="15" customFormat="1" x14ac:dyDescent="0.25">
      <c r="A3" s="1" t="s">
        <v>13</v>
      </c>
      <c r="B3" s="14">
        <f>B2+1</f>
        <v>2</v>
      </c>
      <c r="C3" s="11">
        <v>8</v>
      </c>
      <c r="D3" s="1">
        <v>2021</v>
      </c>
      <c r="E3" s="12">
        <f>'Submetering '!O3+'Submetering '!P3+'Submetering '!Q3+'Submetering '!R3+'Submetering '!S3</f>
        <v>24747</v>
      </c>
      <c r="F3" s="11">
        <f>('FS Seychelles'!R4*'FS Seychelles'!S4)/TOTAL!E3</f>
        <v>0.2675702105305694</v>
      </c>
      <c r="G3" s="12">
        <f>('FS Seychelles'!$AC$10+'FS Seychelles'!$AC$15)/31</f>
        <v>356.45161290322579</v>
      </c>
      <c r="H3" s="11">
        <f>H2</f>
        <v>17.5</v>
      </c>
      <c r="I3" s="12">
        <f>'FS Seychelles'!T4+'FS Seychelles'!V4+'FS Seychelles'!W4+'FS Seychelles'!X4</f>
        <v>366</v>
      </c>
      <c r="J3" s="11">
        <f>J2</f>
        <v>0</v>
      </c>
      <c r="K3" s="29">
        <f>'Submetering '!Z3</f>
        <v>121</v>
      </c>
      <c r="L3" s="11">
        <f>L2</f>
        <v>0</v>
      </c>
      <c r="M3" s="57">
        <f>'FS Seychelles'!B4</f>
        <v>48.05</v>
      </c>
    </row>
    <row r="4" spans="1:13" s="15" customFormat="1" x14ac:dyDescent="0.25">
      <c r="A4" s="1" t="s">
        <v>13</v>
      </c>
      <c r="B4" s="14">
        <f t="shared" ref="B4:B31" si="0">B3+1</f>
        <v>3</v>
      </c>
      <c r="C4" s="11">
        <v>8</v>
      </c>
      <c r="D4" s="1">
        <v>2021</v>
      </c>
      <c r="E4" s="12">
        <f>'Submetering '!O4+'Submetering '!P4+'Submetering '!Q4+'Submetering '!R4+'Submetering '!S4</f>
        <v>25699</v>
      </c>
      <c r="F4" s="11">
        <f>('FS Seychelles'!R5*'FS Seychelles'!S5)/TOTAL!E4</f>
        <v>0.2771123390015176</v>
      </c>
      <c r="G4" s="12">
        <f>('FS Seychelles'!$AC$10+'FS Seychelles'!$AC$15)/31</f>
        <v>356.45161290322579</v>
      </c>
      <c r="H4" s="11">
        <f t="shared" ref="H4:H32" si="1">H3</f>
        <v>17.5</v>
      </c>
      <c r="I4" s="12">
        <f>'FS Seychelles'!T5+'FS Seychelles'!V5+'FS Seychelles'!W5+'FS Seychelles'!X5</f>
        <v>373</v>
      </c>
      <c r="J4" s="11">
        <f t="shared" ref="J4:L32" si="2">J3</f>
        <v>0</v>
      </c>
      <c r="K4" s="29">
        <f>'Submetering '!Z4</f>
        <v>132</v>
      </c>
      <c r="L4" s="11">
        <f t="shared" si="2"/>
        <v>0</v>
      </c>
      <c r="M4" s="57">
        <f>'FS Seychelles'!B5</f>
        <v>55.84</v>
      </c>
    </row>
    <row r="5" spans="1:13" s="15" customFormat="1" x14ac:dyDescent="0.25">
      <c r="A5" s="1" t="s">
        <v>13</v>
      </c>
      <c r="B5" s="14">
        <f t="shared" si="0"/>
        <v>4</v>
      </c>
      <c r="C5" s="11">
        <v>8</v>
      </c>
      <c r="D5" s="1">
        <v>2021</v>
      </c>
      <c r="E5" s="12">
        <f>'Submetering '!O5+'Submetering '!P5+'Submetering '!Q5+'Submetering '!R5+'Submetering '!S5</f>
        <v>20727</v>
      </c>
      <c r="F5" s="11">
        <f>('FS Seychelles'!R6*'FS Seychelles'!S6)/TOTAL!E5</f>
        <v>0.25270709702320643</v>
      </c>
      <c r="G5" s="12">
        <f>('FS Seychelles'!$AC$10+'FS Seychelles'!$AC$15)/31</f>
        <v>356.45161290322579</v>
      </c>
      <c r="H5" s="11">
        <f t="shared" si="1"/>
        <v>17.5</v>
      </c>
      <c r="I5" s="12">
        <f>'FS Seychelles'!T6+'FS Seychelles'!V6+'FS Seychelles'!W6+'FS Seychelles'!X6</f>
        <v>371</v>
      </c>
      <c r="J5" s="11">
        <f t="shared" si="2"/>
        <v>0</v>
      </c>
      <c r="K5" s="29">
        <f>'Submetering '!Z5</f>
        <v>124</v>
      </c>
      <c r="L5" s="11">
        <f t="shared" si="2"/>
        <v>0</v>
      </c>
      <c r="M5" s="57">
        <f>'FS Seychelles'!B6</f>
        <v>49.35</v>
      </c>
    </row>
    <row r="6" spans="1:13" s="15" customFormat="1" x14ac:dyDescent="0.25">
      <c r="A6" s="1" t="s">
        <v>13</v>
      </c>
      <c r="B6" s="14">
        <f t="shared" si="0"/>
        <v>5</v>
      </c>
      <c r="C6" s="11">
        <v>8</v>
      </c>
      <c r="D6" s="1">
        <v>2021</v>
      </c>
      <c r="E6" s="12">
        <f>'Submetering '!O6+'Submetering '!P6+'Submetering '!Q6+'Submetering '!R6+'Submetering '!S6</f>
        <v>29984</v>
      </c>
      <c r="F6" s="11">
        <f>('FS Seychelles'!R7*'FS Seychelles'!S7)/TOTAL!E6</f>
        <v>0.30740594983991465</v>
      </c>
      <c r="G6" s="12">
        <f>('FS Seychelles'!$AC$10+'FS Seychelles'!$AC$15)/31</f>
        <v>356.45161290322579</v>
      </c>
      <c r="H6" s="11">
        <f t="shared" si="1"/>
        <v>17.5</v>
      </c>
      <c r="I6" s="12">
        <f>'FS Seychelles'!T7+'FS Seychelles'!V7+'FS Seychelles'!W7+'FS Seychelles'!X7</f>
        <v>471</v>
      </c>
      <c r="J6" s="11">
        <f t="shared" si="2"/>
        <v>0</v>
      </c>
      <c r="K6" s="29">
        <f>'Submetering '!Z6</f>
        <v>128</v>
      </c>
      <c r="L6" s="11">
        <f t="shared" si="2"/>
        <v>0</v>
      </c>
      <c r="M6" s="57">
        <f>'FS Seychelles'!B7</f>
        <v>53.25</v>
      </c>
    </row>
    <row r="7" spans="1:13" s="15" customFormat="1" x14ac:dyDescent="0.25">
      <c r="A7" s="1" t="s">
        <v>13</v>
      </c>
      <c r="B7" s="14">
        <f t="shared" si="0"/>
        <v>6</v>
      </c>
      <c r="C7" s="11">
        <v>8</v>
      </c>
      <c r="D7" s="1">
        <v>2021</v>
      </c>
      <c r="E7" s="12">
        <f>'Submetering '!O7+'Submetering '!P7+'Submetering '!Q7+'Submetering '!R7+'Submetering '!S7</f>
        <v>26202</v>
      </c>
      <c r="F7" s="11">
        <f>('FS Seychelles'!R8*'FS Seychelles'!S8)/TOTAL!E7</f>
        <v>0.27071330432791391</v>
      </c>
      <c r="G7" s="12">
        <f>('FS Seychelles'!$AC$10+'FS Seychelles'!$AC$15)/31</f>
        <v>356.45161290322579</v>
      </c>
      <c r="H7" s="11">
        <f t="shared" si="1"/>
        <v>17.5</v>
      </c>
      <c r="I7" s="12">
        <f>'FS Seychelles'!T8+'FS Seychelles'!V8+'FS Seychelles'!W8+'FS Seychelles'!X8</f>
        <v>481</v>
      </c>
      <c r="J7" s="11">
        <f t="shared" si="2"/>
        <v>0</v>
      </c>
      <c r="K7" s="29">
        <f>'Submetering '!Z7</f>
        <v>122</v>
      </c>
      <c r="L7" s="11">
        <f t="shared" si="2"/>
        <v>0</v>
      </c>
      <c r="M7" s="57">
        <f>'FS Seychelles'!B8</f>
        <v>53.25</v>
      </c>
    </row>
    <row r="8" spans="1:13" s="15" customFormat="1" x14ac:dyDescent="0.25">
      <c r="A8" s="1" t="s">
        <v>13</v>
      </c>
      <c r="B8" s="14">
        <f t="shared" si="0"/>
        <v>7</v>
      </c>
      <c r="C8" s="11">
        <v>8</v>
      </c>
      <c r="D8" s="1">
        <v>2021</v>
      </c>
      <c r="E8" s="12">
        <f>'Submetering '!O8+'Submetering '!P8+'Submetering '!Q8+'Submetering '!R8+'Submetering '!S8</f>
        <v>23473</v>
      </c>
      <c r="F8" s="11">
        <f>('FS Seychelles'!R9*'FS Seychelles'!S9)/TOTAL!E8</f>
        <v>0.28803050313125722</v>
      </c>
      <c r="G8" s="12">
        <f>('FS Seychelles'!$AC$10+'FS Seychelles'!$AC$15)/31</f>
        <v>356.45161290322579</v>
      </c>
      <c r="H8" s="11">
        <f t="shared" si="1"/>
        <v>17.5</v>
      </c>
      <c r="I8" s="12">
        <f>'FS Seychelles'!T9+'FS Seychelles'!V9+'FS Seychelles'!W9+'FS Seychelles'!X9</f>
        <v>433</v>
      </c>
      <c r="J8" s="11">
        <f t="shared" si="2"/>
        <v>0</v>
      </c>
      <c r="K8" s="29">
        <f>'Submetering '!Z8</f>
        <v>66</v>
      </c>
      <c r="L8" s="11">
        <f t="shared" si="2"/>
        <v>0</v>
      </c>
      <c r="M8" s="57">
        <f>'FS Seychelles'!B9</f>
        <v>42.5</v>
      </c>
    </row>
    <row r="9" spans="1:13" s="15" customFormat="1" x14ac:dyDescent="0.25">
      <c r="A9" s="1" t="s">
        <v>13</v>
      </c>
      <c r="B9" s="14">
        <f t="shared" si="0"/>
        <v>8</v>
      </c>
      <c r="C9" s="11">
        <v>8</v>
      </c>
      <c r="D9" s="1">
        <v>2021</v>
      </c>
      <c r="E9" s="12">
        <f>'Submetering '!O9+'Submetering '!P9+'Submetering '!Q9+'Submetering '!R9+'Submetering '!S9</f>
        <v>25319</v>
      </c>
      <c r="F9" s="11">
        <f>('FS Seychelles'!R10*'FS Seychelles'!S10)/TOTAL!E9</f>
        <v>0.27508827362850036</v>
      </c>
      <c r="G9" s="12">
        <f>('FS Seychelles'!$AC$10+'FS Seychelles'!$AC$15)/31</f>
        <v>356.45161290322579</v>
      </c>
      <c r="H9" s="11">
        <f t="shared" si="1"/>
        <v>17.5</v>
      </c>
      <c r="I9" s="12">
        <f>'FS Seychelles'!T10+'FS Seychelles'!V10+'FS Seychelles'!W10+'FS Seychelles'!X10</f>
        <v>495</v>
      </c>
      <c r="J9" s="11">
        <f t="shared" si="2"/>
        <v>0</v>
      </c>
      <c r="K9" s="29">
        <f>'Submetering '!Z9</f>
        <v>67</v>
      </c>
      <c r="L9" s="11">
        <f t="shared" si="2"/>
        <v>0</v>
      </c>
      <c r="M9" s="57">
        <f>'FS Seychelles'!B10</f>
        <v>51.85</v>
      </c>
    </row>
    <row r="10" spans="1:13" s="15" customFormat="1" x14ac:dyDescent="0.25">
      <c r="A10" s="1" t="s">
        <v>13</v>
      </c>
      <c r="B10" s="14">
        <f t="shared" si="0"/>
        <v>9</v>
      </c>
      <c r="C10" s="11">
        <v>8</v>
      </c>
      <c r="D10" s="1">
        <v>2021</v>
      </c>
      <c r="E10" s="12">
        <f>'Submetering '!O10+'Submetering '!P10+'Submetering '!Q10+'Submetering '!R10+'Submetering '!S10</f>
        <v>32967</v>
      </c>
      <c r="F10" s="11">
        <f>('FS Seychelles'!R11*'FS Seychelles'!S11)/TOTAL!E10</f>
        <v>0.31364091364091362</v>
      </c>
      <c r="G10" s="12">
        <f>('FS Seychelles'!$AC$10+'FS Seychelles'!$AC$15)/31</f>
        <v>356.45161290322579</v>
      </c>
      <c r="H10" s="11">
        <f t="shared" si="1"/>
        <v>17.5</v>
      </c>
      <c r="I10" s="12">
        <f>'FS Seychelles'!T11+'FS Seychelles'!V11+'FS Seychelles'!W11+'FS Seychelles'!X11</f>
        <v>529</v>
      </c>
      <c r="J10" s="11">
        <f t="shared" si="2"/>
        <v>0</v>
      </c>
      <c r="K10" s="29">
        <f>'Submetering '!Z10</f>
        <v>124</v>
      </c>
      <c r="L10" s="11">
        <f t="shared" si="2"/>
        <v>0</v>
      </c>
      <c r="M10" s="57">
        <f>'FS Seychelles'!B11</f>
        <v>54.32</v>
      </c>
    </row>
    <row r="11" spans="1:13" s="15" customFormat="1" x14ac:dyDescent="0.25">
      <c r="A11" s="1" t="s">
        <v>13</v>
      </c>
      <c r="B11" s="14">
        <f t="shared" si="0"/>
        <v>10</v>
      </c>
      <c r="C11" s="11">
        <v>8</v>
      </c>
      <c r="D11" s="1">
        <v>2021</v>
      </c>
      <c r="E11" s="12">
        <f>'Submetering '!O11+'Submetering '!P11+'Submetering '!Q11+'Submetering '!R11+'Submetering '!S11</f>
        <v>25695</v>
      </c>
      <c r="F11" s="11">
        <f>('FS Seychelles'!R12*'FS Seychelles'!S12)/TOTAL!E11</f>
        <v>0.32272270869819025</v>
      </c>
      <c r="G11" s="12">
        <f>('FS Seychelles'!$AC$10+'FS Seychelles'!$AC$15)/31</f>
        <v>356.45161290322579</v>
      </c>
      <c r="H11" s="11">
        <f t="shared" si="1"/>
        <v>17.5</v>
      </c>
      <c r="I11" s="12">
        <f>'FS Seychelles'!T12+'FS Seychelles'!V12+'FS Seychelles'!W12+'FS Seychelles'!X12</f>
        <v>512</v>
      </c>
      <c r="J11" s="11">
        <f t="shared" si="2"/>
        <v>0</v>
      </c>
      <c r="K11" s="29">
        <f>'Submetering '!Z11</f>
        <v>111</v>
      </c>
      <c r="L11" s="11">
        <f t="shared" si="2"/>
        <v>0</v>
      </c>
      <c r="M11" s="57">
        <f>'FS Seychelles'!B12</f>
        <v>54.32</v>
      </c>
    </row>
    <row r="12" spans="1:13" s="15" customFormat="1" x14ac:dyDescent="0.25">
      <c r="A12" s="1" t="s">
        <v>13</v>
      </c>
      <c r="B12" s="14">
        <f t="shared" si="0"/>
        <v>11</v>
      </c>
      <c r="C12" s="11">
        <v>8</v>
      </c>
      <c r="D12" s="1">
        <v>2021</v>
      </c>
      <c r="E12" s="12">
        <f>'Submetering '!O12+'Submetering '!P12+'Submetering '!Q12+'Submetering '!R12+'Submetering '!S12</f>
        <v>25310</v>
      </c>
      <c r="F12" s="11">
        <f>('FS Seychelles'!R13*'FS Seychelles'!S13)/TOTAL!E12</f>
        <v>0.30880442512840772</v>
      </c>
      <c r="G12" s="12">
        <f>('FS Seychelles'!$AC$10+'FS Seychelles'!$AC$15)/31</f>
        <v>356.45161290322579</v>
      </c>
      <c r="H12" s="11">
        <f t="shared" si="1"/>
        <v>17.5</v>
      </c>
      <c r="I12" s="12">
        <f>'FS Seychelles'!T13+'FS Seychelles'!V13+'FS Seychelles'!W13+'FS Seychelles'!X13</f>
        <v>489</v>
      </c>
      <c r="J12" s="11">
        <f t="shared" si="2"/>
        <v>0</v>
      </c>
      <c r="K12" s="29">
        <f>'Submetering '!Z12</f>
        <v>97</v>
      </c>
      <c r="L12" s="11">
        <f t="shared" si="2"/>
        <v>0</v>
      </c>
      <c r="M12" s="57">
        <f>'FS Seychelles'!B13</f>
        <v>82.54</v>
      </c>
    </row>
    <row r="13" spans="1:13" s="15" customFormat="1" x14ac:dyDescent="0.25">
      <c r="A13" s="1" t="s">
        <v>13</v>
      </c>
      <c r="B13" s="14">
        <f t="shared" si="0"/>
        <v>12</v>
      </c>
      <c r="C13" s="11">
        <v>8</v>
      </c>
      <c r="D13" s="1">
        <v>2021</v>
      </c>
      <c r="E13" s="12">
        <f>'Submetering '!O13+'Submetering '!P13+'Submetering '!Q13+'Submetering '!R13+'Submetering '!S13</f>
        <v>27303</v>
      </c>
      <c r="F13" s="11">
        <f>('FS Seychelles'!R14*'FS Seychelles'!S14)/TOTAL!E13</f>
        <v>0.3015866388308977</v>
      </c>
      <c r="G13" s="12">
        <f>('FS Seychelles'!$AC$10+'FS Seychelles'!$AC$15)/31</f>
        <v>356.45161290322579</v>
      </c>
      <c r="H13" s="11">
        <f t="shared" si="1"/>
        <v>17.5</v>
      </c>
      <c r="I13" s="12">
        <f>'FS Seychelles'!T14+'FS Seychelles'!V14+'FS Seychelles'!W14+'FS Seychelles'!X14</f>
        <v>400</v>
      </c>
      <c r="J13" s="11">
        <f t="shared" si="2"/>
        <v>0</v>
      </c>
      <c r="K13" s="29">
        <f>'Submetering '!Z13</f>
        <v>95</v>
      </c>
      <c r="L13" s="11">
        <f t="shared" si="2"/>
        <v>0</v>
      </c>
      <c r="M13" s="57">
        <f>'FS Seychelles'!B14</f>
        <v>88.71</v>
      </c>
    </row>
    <row r="14" spans="1:13" s="15" customFormat="1" x14ac:dyDescent="0.25">
      <c r="A14" s="1" t="s">
        <v>13</v>
      </c>
      <c r="B14" s="14">
        <f t="shared" si="0"/>
        <v>13</v>
      </c>
      <c r="C14" s="11">
        <v>8</v>
      </c>
      <c r="D14" s="1">
        <v>2021</v>
      </c>
      <c r="E14" s="12">
        <f>'Submetering '!O14+'Submetering '!P14+'Submetering '!Q14+'Submetering '!R14+'Submetering '!S14</f>
        <v>28332</v>
      </c>
      <c r="F14" s="11">
        <f>('FS Seychelles'!R15*'FS Seychelles'!S15)/TOTAL!E14</f>
        <v>0.32036848792884365</v>
      </c>
      <c r="G14" s="12">
        <f>('FS Seychelles'!$AC$10+'FS Seychelles'!$AC$15)/31</f>
        <v>356.45161290322579</v>
      </c>
      <c r="H14" s="11">
        <f t="shared" si="1"/>
        <v>17.5</v>
      </c>
      <c r="I14" s="12">
        <f>'FS Seychelles'!T15+'FS Seychelles'!V15+'FS Seychelles'!W15+'FS Seychelles'!X15</f>
        <v>403</v>
      </c>
      <c r="J14" s="11">
        <f t="shared" si="2"/>
        <v>0</v>
      </c>
      <c r="K14" s="29">
        <f>'Submetering '!Z14</f>
        <v>101</v>
      </c>
      <c r="L14" s="11">
        <f t="shared" si="2"/>
        <v>0</v>
      </c>
      <c r="M14" s="57">
        <f>'FS Seychelles'!B15</f>
        <v>78.13</v>
      </c>
    </row>
    <row r="15" spans="1:13" s="15" customFormat="1" x14ac:dyDescent="0.25">
      <c r="A15" s="1" t="s">
        <v>13</v>
      </c>
      <c r="B15" s="14">
        <f t="shared" si="0"/>
        <v>14</v>
      </c>
      <c r="C15" s="11">
        <v>8</v>
      </c>
      <c r="D15" s="1">
        <v>2021</v>
      </c>
      <c r="E15" s="12">
        <f>'Submetering '!O15+'Submetering '!P15+'Submetering '!Q15+'Submetering '!R15+'Submetering '!S15</f>
        <v>26893</v>
      </c>
      <c r="F15" s="11">
        <f>('FS Seychelles'!R16*'FS Seychelles'!S16)/TOTAL!E15</f>
        <v>0.31936786524374366</v>
      </c>
      <c r="G15" s="12">
        <f>('FS Seychelles'!$AC$10+'FS Seychelles'!$AC$15)/31</f>
        <v>356.45161290322579</v>
      </c>
      <c r="H15" s="11">
        <f t="shared" si="1"/>
        <v>17.5</v>
      </c>
      <c r="I15" s="12">
        <f>'FS Seychelles'!T16+'FS Seychelles'!V16+'FS Seychelles'!W16+'FS Seychelles'!X16</f>
        <v>467</v>
      </c>
      <c r="J15" s="11">
        <f t="shared" si="2"/>
        <v>0</v>
      </c>
      <c r="K15" s="29">
        <f>'Submetering '!Z15</f>
        <v>86</v>
      </c>
      <c r="L15" s="11">
        <f t="shared" si="2"/>
        <v>0</v>
      </c>
      <c r="M15" s="57">
        <f>'FS Seychelles'!B16</f>
        <v>71.64</v>
      </c>
    </row>
    <row r="16" spans="1:13" s="15" customFormat="1" x14ac:dyDescent="0.25">
      <c r="A16" s="1" t="s">
        <v>13</v>
      </c>
      <c r="B16" s="14">
        <f t="shared" si="0"/>
        <v>15</v>
      </c>
      <c r="C16" s="11">
        <v>8</v>
      </c>
      <c r="D16" s="1">
        <v>2021</v>
      </c>
      <c r="E16" s="12">
        <f>'Submetering '!O16+'Submetering '!P16+'Submetering '!Q16+'Submetering '!R16+'Submetering '!S16</f>
        <v>24757</v>
      </c>
      <c r="F16" s="11">
        <f>('FS Seychelles'!R17*'FS Seychelles'!S17)/TOTAL!E16</f>
        <v>0.30745970836531084</v>
      </c>
      <c r="G16" s="12">
        <f>('FS Seychelles'!$AC$10+'FS Seychelles'!$AC$15)/31</f>
        <v>356.45161290322579</v>
      </c>
      <c r="H16" s="11">
        <f t="shared" si="1"/>
        <v>17.5</v>
      </c>
      <c r="I16" s="12">
        <f>'FS Seychelles'!T17+'FS Seychelles'!V17+'FS Seychelles'!W17+'FS Seychelles'!X17</f>
        <v>370</v>
      </c>
      <c r="J16" s="11">
        <f t="shared" si="2"/>
        <v>0</v>
      </c>
      <c r="K16" s="29">
        <f>'Submetering '!Z16</f>
        <v>97</v>
      </c>
      <c r="L16" s="11">
        <f t="shared" si="2"/>
        <v>0</v>
      </c>
      <c r="M16" s="57">
        <f>'FS Seychelles'!B17</f>
        <v>73.02</v>
      </c>
    </row>
    <row r="17" spans="1:13" s="15" customFormat="1" x14ac:dyDescent="0.25">
      <c r="A17" s="1" t="s">
        <v>13</v>
      </c>
      <c r="B17" s="14">
        <f t="shared" si="0"/>
        <v>16</v>
      </c>
      <c r="C17" s="11">
        <v>8</v>
      </c>
      <c r="D17" s="1">
        <v>2021</v>
      </c>
      <c r="E17" s="12">
        <f>'Submetering '!O17+'Submetering '!P17+'Submetering '!Q17+'Submetering '!R17+'Submetering '!S17</f>
        <v>22527</v>
      </c>
      <c r="F17" s="11">
        <f>('FS Seychelles'!R18*'FS Seychelles'!S18)/TOTAL!E17</f>
        <v>0.33146890398188839</v>
      </c>
      <c r="G17" s="12">
        <f>('FS Seychelles'!$AC$10+'FS Seychelles'!$AC$15)/31</f>
        <v>356.45161290322579</v>
      </c>
      <c r="H17" s="11">
        <f t="shared" si="1"/>
        <v>17.5</v>
      </c>
      <c r="I17" s="12">
        <f>'FS Seychelles'!T18+'FS Seychelles'!V18+'FS Seychelles'!W18+'FS Seychelles'!X18</f>
        <v>411</v>
      </c>
      <c r="J17" s="11">
        <f t="shared" si="2"/>
        <v>0</v>
      </c>
      <c r="K17" s="29">
        <f>'Submetering '!Z17</f>
        <v>99</v>
      </c>
      <c r="L17" s="11">
        <f t="shared" si="2"/>
        <v>0</v>
      </c>
      <c r="M17" s="57">
        <f>'FS Seychelles'!B18</f>
        <v>58.44</v>
      </c>
    </row>
    <row r="18" spans="1:13" s="15" customFormat="1" x14ac:dyDescent="0.25">
      <c r="A18" s="1" t="s">
        <v>13</v>
      </c>
      <c r="B18" s="14">
        <f t="shared" si="0"/>
        <v>17</v>
      </c>
      <c r="C18" s="11">
        <v>8</v>
      </c>
      <c r="D18" s="1">
        <v>2021</v>
      </c>
      <c r="E18" s="12">
        <f>'Submetering '!O18+'Submetering '!P18+'Submetering '!Q18+'Submetering '!R18+'Submetering '!S18</f>
        <v>28897</v>
      </c>
      <c r="F18" s="11">
        <f>('FS Seychelles'!R19*'FS Seychelles'!S19)/TOTAL!E18</f>
        <v>0.30061252033083019</v>
      </c>
      <c r="G18" s="12">
        <f>('FS Seychelles'!$AC$10+'FS Seychelles'!$AC$15)/31</f>
        <v>356.45161290322579</v>
      </c>
      <c r="H18" s="11">
        <f t="shared" si="1"/>
        <v>17.5</v>
      </c>
      <c r="I18" s="12">
        <f>'FS Seychelles'!T19+'FS Seychelles'!V19+'FS Seychelles'!W19+'FS Seychelles'!X19</f>
        <v>397</v>
      </c>
      <c r="J18" s="11">
        <f t="shared" si="2"/>
        <v>0</v>
      </c>
      <c r="K18" s="29">
        <f>'Submetering '!Z18</f>
        <v>97</v>
      </c>
      <c r="L18" s="11">
        <f t="shared" si="2"/>
        <v>0</v>
      </c>
      <c r="M18" s="57">
        <f>'FS Seychelles'!B19</f>
        <v>58.44</v>
      </c>
    </row>
    <row r="19" spans="1:13" s="15" customFormat="1" x14ac:dyDescent="0.25">
      <c r="A19" s="1" t="s">
        <v>13</v>
      </c>
      <c r="B19" s="14">
        <f t="shared" si="0"/>
        <v>18</v>
      </c>
      <c r="C19" s="11">
        <v>8</v>
      </c>
      <c r="D19" s="1">
        <v>2021</v>
      </c>
      <c r="E19" s="12">
        <f>'Submetering '!O19+'Submetering '!P19+'Submetering '!Q19+'Submetering '!R19+'Submetering '!S19</f>
        <v>24749</v>
      </c>
      <c r="F19" s="11">
        <f>('FS Seychelles'!R20*'FS Seychelles'!S20)/TOTAL!E19</f>
        <v>0.31032284132692228</v>
      </c>
      <c r="G19" s="12">
        <f>('FS Seychelles'!$AC$10+'FS Seychelles'!$AC$15)/31</f>
        <v>356.45161290322579</v>
      </c>
      <c r="H19" s="11">
        <f t="shared" si="1"/>
        <v>17.5</v>
      </c>
      <c r="I19" s="12">
        <f>'FS Seychelles'!T20+'FS Seychelles'!V20+'FS Seychelles'!W20+'FS Seychelles'!X20</f>
        <v>327</v>
      </c>
      <c r="J19" s="11">
        <f t="shared" si="2"/>
        <v>0</v>
      </c>
      <c r="K19" s="29">
        <f>'Submetering '!Z19</f>
        <v>100</v>
      </c>
      <c r="L19" s="11">
        <f t="shared" si="2"/>
        <v>0</v>
      </c>
      <c r="M19" s="57">
        <f>'FS Seychelles'!B20</f>
        <v>51.94</v>
      </c>
    </row>
    <row r="20" spans="1:13" s="15" customFormat="1" x14ac:dyDescent="0.25">
      <c r="A20" s="1" t="s">
        <v>13</v>
      </c>
      <c r="B20" s="14">
        <f t="shared" si="0"/>
        <v>19</v>
      </c>
      <c r="C20" s="11">
        <v>8</v>
      </c>
      <c r="D20" s="1">
        <v>2021</v>
      </c>
      <c r="E20" s="12">
        <f>'Submetering '!O20+'Submetering '!P20+'Submetering '!Q20+'Submetering '!R20+'Submetering '!S20</f>
        <v>22368</v>
      </c>
      <c r="F20" s="11">
        <f>('FS Seychelles'!R21*'FS Seychelles'!S21)/TOTAL!E20</f>
        <v>0.34269313304721027</v>
      </c>
      <c r="G20" s="12">
        <f>('FS Seychelles'!$AC$10+'FS Seychelles'!$AC$15)/31</f>
        <v>356.45161290322579</v>
      </c>
      <c r="H20" s="11">
        <f t="shared" si="1"/>
        <v>17.5</v>
      </c>
      <c r="I20" s="12">
        <f>'FS Seychelles'!T21+'FS Seychelles'!V21+'FS Seychelles'!W21+'FS Seychelles'!X21</f>
        <v>264</v>
      </c>
      <c r="J20" s="11">
        <f t="shared" si="2"/>
        <v>0</v>
      </c>
      <c r="K20" s="29">
        <f>'Submetering '!Z20</f>
        <v>102</v>
      </c>
      <c r="L20" s="11">
        <f t="shared" si="2"/>
        <v>0</v>
      </c>
      <c r="M20" s="57">
        <f>'FS Seychelles'!B21</f>
        <v>53.25</v>
      </c>
    </row>
    <row r="21" spans="1:13" s="15" customFormat="1" x14ac:dyDescent="0.25">
      <c r="A21" s="1" t="s">
        <v>13</v>
      </c>
      <c r="B21" s="14">
        <f t="shared" si="0"/>
        <v>20</v>
      </c>
      <c r="C21" s="11">
        <v>8</v>
      </c>
      <c r="D21" s="1">
        <v>2021</v>
      </c>
      <c r="E21" s="12">
        <f>'Submetering '!O21+'Submetering '!P21+'Submetering '!Q21+'Submetering '!R21+'Submetering '!S21</f>
        <v>27348</v>
      </c>
      <c r="F21" s="11">
        <f>('FS Seychelles'!R22*'FS Seychelles'!S22)/TOTAL!E21</f>
        <v>0.31163668275559453</v>
      </c>
      <c r="G21" s="12">
        <f>('FS Seychelles'!$AC$10+'FS Seychelles'!$AC$15)/31</f>
        <v>356.45161290322579</v>
      </c>
      <c r="H21" s="11">
        <f t="shared" si="1"/>
        <v>17.5</v>
      </c>
      <c r="I21" s="12">
        <f>'FS Seychelles'!T22+'FS Seychelles'!V22+'FS Seychelles'!W22+'FS Seychelles'!X22</f>
        <v>436</v>
      </c>
      <c r="J21" s="11">
        <f t="shared" si="2"/>
        <v>0</v>
      </c>
      <c r="K21" s="29">
        <f>'Submetering '!Z21</f>
        <v>103</v>
      </c>
      <c r="L21" s="11">
        <f t="shared" si="2"/>
        <v>0</v>
      </c>
      <c r="M21" s="57">
        <f>'FS Seychelles'!B22</f>
        <v>45.45</v>
      </c>
    </row>
    <row r="22" spans="1:13" s="15" customFormat="1" x14ac:dyDescent="0.25">
      <c r="A22" s="1" t="s">
        <v>13</v>
      </c>
      <c r="B22" s="14">
        <f t="shared" si="0"/>
        <v>21</v>
      </c>
      <c r="C22" s="11">
        <v>8</v>
      </c>
      <c r="D22" s="1">
        <v>2021</v>
      </c>
      <c r="E22" s="12">
        <f>'Submetering '!O22+'Submetering '!P22+'Submetering '!Q22+'Submetering '!R22+'Submetering '!S22</f>
        <v>21472</v>
      </c>
      <c r="F22" s="11">
        <f>('FS Seychelles'!R23*'FS Seychelles'!S23)/TOTAL!E22</f>
        <v>0.37727459016393439</v>
      </c>
      <c r="G22" s="12">
        <f>('FS Seychelles'!$AC$10+'FS Seychelles'!$AC$15)/31</f>
        <v>356.45161290322579</v>
      </c>
      <c r="H22" s="11">
        <f t="shared" si="1"/>
        <v>17.5</v>
      </c>
      <c r="I22" s="12">
        <f>'FS Seychelles'!T23+'FS Seychelles'!V23+'FS Seychelles'!W23+'FS Seychelles'!X23</f>
        <v>439</v>
      </c>
      <c r="J22" s="11">
        <f t="shared" si="2"/>
        <v>0</v>
      </c>
      <c r="K22" s="29">
        <f>'Submetering '!Z22</f>
        <v>104</v>
      </c>
      <c r="L22" s="11">
        <f t="shared" si="2"/>
        <v>0</v>
      </c>
      <c r="M22" s="57">
        <f>'FS Seychelles'!B23</f>
        <v>41.56</v>
      </c>
    </row>
    <row r="23" spans="1:13" s="15" customFormat="1" x14ac:dyDescent="0.25">
      <c r="A23" s="1" t="s">
        <v>13</v>
      </c>
      <c r="B23" s="14">
        <f t="shared" si="0"/>
        <v>22</v>
      </c>
      <c r="C23" s="11">
        <v>8</v>
      </c>
      <c r="D23" s="1">
        <v>2021</v>
      </c>
      <c r="E23" s="12">
        <f>'Submetering '!O23+'Submetering '!P23+'Submetering '!Q23+'Submetering '!R23+'Submetering '!S23</f>
        <v>22766</v>
      </c>
      <c r="F23" s="11">
        <f>('FS Seychelles'!R24*'FS Seychelles'!S24)/TOTAL!E23</f>
        <v>0.34105859615215667</v>
      </c>
      <c r="G23" s="12">
        <f>('FS Seychelles'!$AC$10+'FS Seychelles'!$AC$15)/31</f>
        <v>356.45161290322579</v>
      </c>
      <c r="H23" s="11">
        <f t="shared" si="1"/>
        <v>17.5</v>
      </c>
      <c r="I23" s="12">
        <f>'FS Seychelles'!T24+'FS Seychelles'!V24+'FS Seychelles'!W24+'FS Seychelles'!X24</f>
        <v>363</v>
      </c>
      <c r="J23" s="11">
        <f t="shared" si="2"/>
        <v>0</v>
      </c>
      <c r="K23" s="29">
        <f>'Submetering '!Z23</f>
        <v>101</v>
      </c>
      <c r="L23" s="11">
        <f t="shared" si="2"/>
        <v>0</v>
      </c>
      <c r="M23" s="57">
        <f>'FS Seychelles'!B24</f>
        <v>48.05</v>
      </c>
    </row>
    <row r="24" spans="1:13" s="15" customFormat="1" x14ac:dyDescent="0.25">
      <c r="A24" s="1" t="s">
        <v>13</v>
      </c>
      <c r="B24" s="14">
        <f t="shared" si="0"/>
        <v>23</v>
      </c>
      <c r="C24" s="11">
        <v>8</v>
      </c>
      <c r="D24" s="1">
        <v>2021</v>
      </c>
      <c r="E24" s="12">
        <f>'Submetering '!O24+'Submetering '!P24+'Submetering '!Q24+'Submetering '!R24+'Submetering '!S24</f>
        <v>21800</v>
      </c>
      <c r="F24" s="11">
        <f>('FS Seychelles'!R25*'FS Seychelles'!S25)/TOTAL!E24</f>
        <v>0.31433669724770635</v>
      </c>
      <c r="G24" s="12">
        <f>('FS Seychelles'!$AC$10+'FS Seychelles'!$AC$15)/31</f>
        <v>356.45161290322579</v>
      </c>
      <c r="H24" s="11">
        <f t="shared" si="1"/>
        <v>17.5</v>
      </c>
      <c r="I24" s="12">
        <f>'FS Seychelles'!T25+'FS Seychelles'!V25+'FS Seychelles'!W25+'FS Seychelles'!X25</f>
        <v>357</v>
      </c>
      <c r="J24" s="11">
        <f t="shared" si="2"/>
        <v>0</v>
      </c>
      <c r="K24" s="29">
        <f>'Submetering '!Z24</f>
        <v>97</v>
      </c>
      <c r="L24" s="11">
        <f t="shared" si="2"/>
        <v>0</v>
      </c>
      <c r="M24" s="57">
        <f>'FS Seychelles'!B25</f>
        <v>48.05</v>
      </c>
    </row>
    <row r="25" spans="1:13" s="15" customFormat="1" x14ac:dyDescent="0.25">
      <c r="A25" s="1" t="s">
        <v>13</v>
      </c>
      <c r="B25" s="14">
        <f t="shared" si="0"/>
        <v>24</v>
      </c>
      <c r="C25" s="11">
        <v>8</v>
      </c>
      <c r="D25" s="1">
        <v>2021</v>
      </c>
      <c r="E25" s="12">
        <f>'Submetering '!O25+'Submetering '!P25+'Submetering '!Q25+'Submetering '!R25+'Submetering '!S25</f>
        <v>25777</v>
      </c>
      <c r="F25" s="11">
        <f>('FS Seychelles'!R26*'FS Seychelles'!S26)/TOTAL!E25</f>
        <v>0.30661519959653949</v>
      </c>
      <c r="G25" s="12">
        <f>('FS Seychelles'!$AC$10+'FS Seychelles'!$AC$15)/31</f>
        <v>356.45161290322579</v>
      </c>
      <c r="H25" s="11">
        <f t="shared" si="1"/>
        <v>17.5</v>
      </c>
      <c r="I25" s="12">
        <f>'FS Seychelles'!T26+'FS Seychelles'!V26+'FS Seychelles'!W26+'FS Seychelles'!X26</f>
        <v>419</v>
      </c>
      <c r="J25" s="11">
        <f t="shared" si="2"/>
        <v>0</v>
      </c>
      <c r="K25" s="29">
        <f>'Submetering '!Z25</f>
        <v>112</v>
      </c>
      <c r="L25" s="11">
        <f t="shared" si="2"/>
        <v>0</v>
      </c>
      <c r="M25" s="57">
        <f>'FS Seychelles'!B26</f>
        <v>40.26</v>
      </c>
    </row>
    <row r="26" spans="1:13" s="15" customFormat="1" x14ac:dyDescent="0.25">
      <c r="A26" s="1" t="s">
        <v>13</v>
      </c>
      <c r="B26" s="14">
        <f>B25+1</f>
        <v>25</v>
      </c>
      <c r="C26" s="11">
        <v>8</v>
      </c>
      <c r="D26" s="1">
        <v>2021</v>
      </c>
      <c r="E26" s="12">
        <f>'Submetering '!O26+'Submetering '!P26+'Submetering '!Q26+'Submetering '!R26+'Submetering '!S26</f>
        <v>26148</v>
      </c>
      <c r="F26" s="11">
        <f>('FS Seychelles'!R27*'FS Seychelles'!S27)/TOTAL!E26</f>
        <v>0.31176916016521339</v>
      </c>
      <c r="G26" s="12">
        <f>('FS Seychelles'!$AC$10+'FS Seychelles'!$AC$15)/31</f>
        <v>356.45161290322579</v>
      </c>
      <c r="H26" s="11">
        <f t="shared" si="1"/>
        <v>17.5</v>
      </c>
      <c r="I26" s="12">
        <f>'FS Seychelles'!T27+'FS Seychelles'!V27+'FS Seychelles'!W27+'FS Seychelles'!X27</f>
        <v>415</v>
      </c>
      <c r="J26" s="11">
        <f t="shared" si="2"/>
        <v>0</v>
      </c>
      <c r="K26" s="29">
        <f>'Submetering '!Z26</f>
        <v>151</v>
      </c>
      <c r="L26" s="11">
        <f t="shared" si="2"/>
        <v>0</v>
      </c>
      <c r="M26" s="57">
        <f>'FS Seychelles'!B27</f>
        <v>49.35</v>
      </c>
    </row>
    <row r="27" spans="1:13" s="15" customFormat="1" x14ac:dyDescent="0.25">
      <c r="A27" s="1" t="s">
        <v>13</v>
      </c>
      <c r="B27" s="14">
        <f t="shared" si="0"/>
        <v>26</v>
      </c>
      <c r="C27" s="11">
        <v>8</v>
      </c>
      <c r="D27" s="1">
        <v>2021</v>
      </c>
      <c r="E27" s="12">
        <f>'Submetering '!O27+'Submetering '!P27+'Submetering '!Q27+'Submetering '!R27+'Submetering '!S27</f>
        <v>24996</v>
      </c>
      <c r="F27" s="11">
        <f>('FS Seychelles'!R28*'FS Seychelles'!S28)/TOTAL!E27</f>
        <v>0.30657225156024959</v>
      </c>
      <c r="G27" s="12">
        <f>('FS Seychelles'!$AC$10+'FS Seychelles'!$AC$15)/31</f>
        <v>356.45161290322579</v>
      </c>
      <c r="H27" s="11">
        <f t="shared" si="1"/>
        <v>17.5</v>
      </c>
      <c r="I27" s="12">
        <f>'FS Seychelles'!T28+'FS Seychelles'!V28+'FS Seychelles'!W28+'FS Seychelles'!X28</f>
        <v>435</v>
      </c>
      <c r="J27" s="11">
        <f t="shared" si="2"/>
        <v>0</v>
      </c>
      <c r="K27" s="29">
        <f>'Submetering '!Z27</f>
        <v>89</v>
      </c>
      <c r="L27" s="11">
        <f t="shared" si="2"/>
        <v>0</v>
      </c>
      <c r="M27" s="57">
        <f>'FS Seychelles'!B28</f>
        <v>49.37</v>
      </c>
    </row>
    <row r="28" spans="1:13" s="15" customFormat="1" x14ac:dyDescent="0.25">
      <c r="A28" s="1" t="s">
        <v>13</v>
      </c>
      <c r="B28" s="14">
        <f t="shared" si="0"/>
        <v>27</v>
      </c>
      <c r="C28" s="11">
        <v>8</v>
      </c>
      <c r="D28" s="1">
        <v>2021</v>
      </c>
      <c r="E28" s="12">
        <f>'Submetering '!O28+'Submetering '!P28+'Submetering '!Q28+'Submetering '!R28+'Submetering '!S28</f>
        <v>25737</v>
      </c>
      <c r="F28" s="11">
        <f>('FS Seychelles'!R29*'FS Seychelles'!S29)/TOTAL!E28</f>
        <v>0.31382445506469286</v>
      </c>
      <c r="G28" s="12">
        <f>('FS Seychelles'!$AC$10+'FS Seychelles'!$AC$15)/31</f>
        <v>356.45161290322579</v>
      </c>
      <c r="H28" s="11">
        <f t="shared" si="1"/>
        <v>17.5</v>
      </c>
      <c r="I28" s="12">
        <f>'FS Seychelles'!T29+'FS Seychelles'!V29+'FS Seychelles'!W29+'FS Seychelles'!X29</f>
        <v>417</v>
      </c>
      <c r="J28" s="11">
        <f t="shared" si="2"/>
        <v>0</v>
      </c>
      <c r="K28" s="29">
        <f>'Submetering '!Z28</f>
        <v>144</v>
      </c>
      <c r="L28" s="11">
        <f t="shared" si="2"/>
        <v>0</v>
      </c>
      <c r="M28" s="57">
        <f>'FS Seychelles'!B29</f>
        <v>45.57</v>
      </c>
    </row>
    <row r="29" spans="1:13" s="15" customFormat="1" x14ac:dyDescent="0.25">
      <c r="A29" s="1" t="s">
        <v>13</v>
      </c>
      <c r="B29" s="14">
        <f t="shared" si="0"/>
        <v>28</v>
      </c>
      <c r="C29" s="11">
        <v>8</v>
      </c>
      <c r="D29" s="1">
        <v>2021</v>
      </c>
      <c r="E29" s="12">
        <f>'Submetering '!O29+'Submetering '!P29+'Submetering '!Q29+'Submetering '!R29+'Submetering '!S29</f>
        <v>24564</v>
      </c>
      <c r="F29" s="11">
        <f>('FS Seychelles'!R30*'FS Seychelles'!S30)/TOTAL!E29</f>
        <v>0.31071079628724962</v>
      </c>
      <c r="G29" s="12">
        <f>('FS Seychelles'!$AC$10+'FS Seychelles'!$AC$15)/31</f>
        <v>356.45161290322579</v>
      </c>
      <c r="H29" s="11">
        <f t="shared" si="1"/>
        <v>17.5</v>
      </c>
      <c r="I29" s="12">
        <f>'FS Seychelles'!T30+'FS Seychelles'!V30+'FS Seychelles'!W30+'FS Seychelles'!X30</f>
        <v>465</v>
      </c>
      <c r="J29" s="11">
        <f t="shared" si="2"/>
        <v>0</v>
      </c>
      <c r="K29" s="29">
        <f>'Submetering '!Z29</f>
        <v>151</v>
      </c>
      <c r="L29" s="11">
        <f t="shared" si="2"/>
        <v>0</v>
      </c>
      <c r="M29" s="57">
        <f>'FS Seychelles'!B30</f>
        <v>36.71</v>
      </c>
    </row>
    <row r="30" spans="1:13" s="15" customFormat="1" x14ac:dyDescent="0.25">
      <c r="A30" s="1" t="s">
        <v>13</v>
      </c>
      <c r="B30" s="14">
        <f t="shared" si="0"/>
        <v>29</v>
      </c>
      <c r="C30" s="11">
        <v>8</v>
      </c>
      <c r="D30" s="1">
        <v>2021</v>
      </c>
      <c r="E30" s="12">
        <f>'Submetering '!O30+'Submetering '!P30+'Submetering '!Q30+'Submetering '!R30+'Submetering '!S30</f>
        <v>26560</v>
      </c>
      <c r="F30" s="11">
        <f>('FS Seychelles'!R31*'FS Seychelles'!S31)/TOTAL!E30</f>
        <v>0.30367093373493975</v>
      </c>
      <c r="G30" s="12">
        <f>('FS Seychelles'!$AC$10+'FS Seychelles'!$AC$15)/31</f>
        <v>356.45161290322579</v>
      </c>
      <c r="H30" s="11">
        <f t="shared" si="1"/>
        <v>17.5</v>
      </c>
      <c r="I30" s="12">
        <f>'FS Seychelles'!T31+'FS Seychelles'!V31+'FS Seychelles'!W31+'FS Seychelles'!X31</f>
        <v>414</v>
      </c>
      <c r="J30" s="11">
        <f t="shared" si="2"/>
        <v>0</v>
      </c>
      <c r="K30" s="29">
        <f>'Submetering '!Z30</f>
        <v>158</v>
      </c>
      <c r="L30" s="11">
        <f t="shared" si="2"/>
        <v>0</v>
      </c>
      <c r="M30" s="57">
        <f>'FS Seychelles'!B31</f>
        <v>32.47</v>
      </c>
    </row>
    <row r="31" spans="1:13" s="13" customFormat="1" x14ac:dyDescent="0.25">
      <c r="A31" s="1" t="s">
        <v>13</v>
      </c>
      <c r="B31" s="14">
        <f t="shared" si="0"/>
        <v>30</v>
      </c>
      <c r="C31" s="11">
        <v>8</v>
      </c>
      <c r="D31" s="1">
        <v>2021</v>
      </c>
      <c r="E31" s="12">
        <f>'Submetering '!O31+'Submetering '!P31+'Submetering '!Q31+'Submetering '!R31+'Submetering '!S31</f>
        <v>26374</v>
      </c>
      <c r="F31" s="11">
        <f>('FS Seychelles'!R32*'FS Seychelles'!S32)/TOTAL!E31</f>
        <v>0.29389171153408661</v>
      </c>
      <c r="G31" s="12">
        <f>('FS Seychelles'!$AC$10+'FS Seychelles'!$AC$15)/31</f>
        <v>356.45161290322579</v>
      </c>
      <c r="H31" s="11">
        <f t="shared" si="1"/>
        <v>17.5</v>
      </c>
      <c r="I31" s="12">
        <f>'FS Seychelles'!T32+'FS Seychelles'!V32+'FS Seychelles'!W32+'FS Seychelles'!X32</f>
        <v>429</v>
      </c>
      <c r="J31" s="11">
        <f t="shared" si="2"/>
        <v>0</v>
      </c>
      <c r="K31" s="29">
        <f>'Submetering '!Z31</f>
        <v>102</v>
      </c>
      <c r="L31" s="11">
        <f t="shared" si="2"/>
        <v>0</v>
      </c>
      <c r="M31" s="57">
        <f>'FS Seychelles'!B32</f>
        <v>34.92</v>
      </c>
    </row>
    <row r="32" spans="1:13" x14ac:dyDescent="0.25">
      <c r="A32" s="1" t="s">
        <v>13</v>
      </c>
      <c r="B32" s="14">
        <v>31</v>
      </c>
      <c r="C32" s="11">
        <v>8</v>
      </c>
      <c r="D32" s="1">
        <v>2021</v>
      </c>
      <c r="E32" s="12">
        <f>'Submetering '!O32+'Submetering '!P32+'Submetering '!Q32+'Submetering '!R32+'Submetering '!S32</f>
        <v>28063</v>
      </c>
      <c r="F32" s="11">
        <f>('FS Seychelles'!R33*'FS Seychelles'!S33)/TOTAL!E32</f>
        <v>0.27953354951359444</v>
      </c>
      <c r="G32" s="12">
        <f>('FS Seychelles'!$AC$10+'FS Seychelles'!$AC$15)/31</f>
        <v>356.45161290322579</v>
      </c>
      <c r="H32" s="11">
        <f t="shared" si="1"/>
        <v>17.5</v>
      </c>
      <c r="I32" s="12">
        <f>'FS Seychelles'!T33+'FS Seychelles'!V33+'FS Seychelles'!W33+'FS Seychelles'!X33</f>
        <v>416</v>
      </c>
      <c r="J32" s="11">
        <f t="shared" si="2"/>
        <v>0</v>
      </c>
      <c r="K32" s="29">
        <f>'Submetering '!Z32</f>
        <v>105</v>
      </c>
      <c r="L32" s="11">
        <f t="shared" si="2"/>
        <v>0</v>
      </c>
      <c r="M32" s="57">
        <f>'FS Seychelles'!B33</f>
        <v>37.93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5"/>
  <sheetViews>
    <sheetView tabSelected="1" topLeftCell="J1" workbookViewId="0">
      <selection activeCell="AB2" sqref="AB2:AB32"/>
    </sheetView>
  </sheetViews>
  <sheetFormatPr defaultColWidth="11.5703125" defaultRowHeight="15" x14ac:dyDescent="0.25"/>
  <cols>
    <col min="1" max="1" width="22.28515625" style="26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7" t="s">
        <v>0</v>
      </c>
      <c r="B1" s="24" t="s">
        <v>1</v>
      </c>
      <c r="C1" s="24" t="s">
        <v>2</v>
      </c>
      <c r="D1" s="24" t="s">
        <v>3</v>
      </c>
      <c r="E1" s="25" t="s">
        <v>14</v>
      </c>
      <c r="F1" s="25" t="s">
        <v>15</v>
      </c>
      <c r="G1" s="25" t="s">
        <v>16</v>
      </c>
      <c r="H1" s="25" t="s">
        <v>17</v>
      </c>
      <c r="I1" s="25" t="s">
        <v>18</v>
      </c>
      <c r="J1" s="25" t="s">
        <v>19</v>
      </c>
      <c r="K1" s="25" t="s">
        <v>20</v>
      </c>
      <c r="L1" s="25" t="s">
        <v>21</v>
      </c>
      <c r="M1" s="25" t="s">
        <v>22</v>
      </c>
      <c r="N1" s="25" t="s">
        <v>23</v>
      </c>
      <c r="O1" s="25" t="s">
        <v>24</v>
      </c>
      <c r="P1" s="25" t="s">
        <v>25</v>
      </c>
      <c r="Q1" s="25" t="s">
        <v>26</v>
      </c>
      <c r="R1" s="25" t="s">
        <v>27</v>
      </c>
      <c r="S1" s="25" t="s">
        <v>28</v>
      </c>
      <c r="T1" s="25" t="s">
        <v>29</v>
      </c>
      <c r="U1" s="25" t="s">
        <v>30</v>
      </c>
      <c r="V1" s="25" t="s">
        <v>31</v>
      </c>
      <c r="W1" s="25" t="s">
        <v>32</v>
      </c>
      <c r="X1" s="25" t="s">
        <v>33</v>
      </c>
      <c r="Y1" s="25" t="s">
        <v>34</v>
      </c>
      <c r="Z1" s="25" t="s">
        <v>35</v>
      </c>
      <c r="AA1" s="25" t="s">
        <v>36</v>
      </c>
      <c r="AB1" s="25" t="s">
        <v>37</v>
      </c>
    </row>
    <row r="2" spans="1:28" x14ac:dyDescent="0.25">
      <c r="A2" s="1" t="s">
        <v>13</v>
      </c>
      <c r="B2" s="11">
        <v>1</v>
      </c>
      <c r="C2" s="11">
        <v>8</v>
      </c>
      <c r="D2" s="11">
        <v>2021</v>
      </c>
      <c r="E2" s="18">
        <f>'FS Seychelles'!B3</f>
        <v>49.35</v>
      </c>
      <c r="F2" s="18">
        <f>'FS Seychelles'!D3*1000</f>
        <v>2448.8960000000002</v>
      </c>
      <c r="G2" s="18">
        <f>'FS Seychelles'!E3*1000</f>
        <v>4168.7039999999997</v>
      </c>
      <c r="H2" s="18">
        <f>'FS Seychelles'!F3*1000</f>
        <v>4451.3280000000004</v>
      </c>
      <c r="I2" s="18">
        <f>'FS Seychelles'!G3*1000</f>
        <v>1776.896</v>
      </c>
      <c r="J2" s="18">
        <f>'FS Seychelles'!H3*1000</f>
        <v>2410.4960000000001</v>
      </c>
      <c r="K2" s="18">
        <f>'FS Seychelles'!I3*1000</f>
        <v>2530.8160000000003</v>
      </c>
      <c r="L2" s="18">
        <f>'FS Seychelles'!J3*1000</f>
        <v>1394.3040000000001</v>
      </c>
      <c r="M2" s="18">
        <f>'FS Seychelles'!K3*1000</f>
        <v>1529.088</v>
      </c>
      <c r="N2" s="18">
        <f>'FS Seychelles'!L3*1000</f>
        <v>3382.7840000000001</v>
      </c>
      <c r="O2" s="18">
        <f>'FS Seychelles'!M3</f>
        <v>0</v>
      </c>
      <c r="P2" s="18">
        <f>'FS Seychelles'!N3</f>
        <v>8856</v>
      </c>
      <c r="Q2" s="18">
        <f>'FS Seychelles'!O3</f>
        <v>7521</v>
      </c>
      <c r="R2" s="18">
        <f>'FS Seychelles'!P3</f>
        <v>0</v>
      </c>
      <c r="S2" s="18">
        <f>'FS Seychelles'!Q3</f>
        <v>8604</v>
      </c>
      <c r="T2" s="18">
        <f>'FS Seychelles'!R3</f>
        <v>6759</v>
      </c>
      <c r="U2" s="18">
        <f>'FS Seychelles'!T3</f>
        <v>60</v>
      </c>
      <c r="V2" s="18">
        <f>'FS Seychelles'!U3</f>
        <v>0</v>
      </c>
      <c r="W2" s="18">
        <f>'FS Seychelles'!V3</f>
        <v>108</v>
      </c>
      <c r="X2" s="18">
        <f>'FS Seychelles'!W3</f>
        <v>147</v>
      </c>
      <c r="Y2" s="18">
        <f>'FS Seychelles'!X3</f>
        <v>141</v>
      </c>
      <c r="Z2" s="18">
        <f>'FS Seychelles'!Y3</f>
        <v>118</v>
      </c>
      <c r="AA2" s="18">
        <f>'FS Seychelles'!Z3</f>
        <v>0</v>
      </c>
      <c r="AB2" s="18">
        <f>TOTAL!G2</f>
        <v>356.45161290322579</v>
      </c>
    </row>
    <row r="3" spans="1:28" x14ac:dyDescent="0.25">
      <c r="A3" s="1" t="s">
        <v>13</v>
      </c>
      <c r="B3" s="11">
        <f>B2+1</f>
        <v>2</v>
      </c>
      <c r="C3" s="11">
        <v>8</v>
      </c>
      <c r="D3" s="11">
        <v>2021</v>
      </c>
      <c r="E3" s="18">
        <f>'FS Seychelles'!B4</f>
        <v>48.05</v>
      </c>
      <c r="F3" s="18">
        <f>'FS Seychelles'!D4*1000</f>
        <v>2316.288</v>
      </c>
      <c r="G3" s="18">
        <f>'FS Seychelles'!E4*1000</f>
        <v>4007.4240000000004</v>
      </c>
      <c r="H3" s="18">
        <f>'FS Seychelles'!F4*1000</f>
        <v>4404.2240000000002</v>
      </c>
      <c r="I3" s="18">
        <f>'FS Seychelles'!G4*1000</f>
        <v>1491.9679999999998</v>
      </c>
      <c r="J3" s="18">
        <f>'FS Seychelles'!H4*1000</f>
        <v>2611.712</v>
      </c>
      <c r="K3" s="18">
        <f>'FS Seychelles'!I4*1000</f>
        <v>2318.848</v>
      </c>
      <c r="L3" s="18">
        <f>'FS Seychelles'!J4*1000</f>
        <v>1391.7440000000001</v>
      </c>
      <c r="M3" s="18">
        <f>'FS Seychelles'!K4*1000</f>
        <v>1753.088</v>
      </c>
      <c r="N3" s="18">
        <f>'FS Seychelles'!L4*1000</f>
        <v>3534.3360000000002</v>
      </c>
      <c r="O3" s="18">
        <f>'FS Seychelles'!M4</f>
        <v>0</v>
      </c>
      <c r="P3" s="18">
        <f>'FS Seychelles'!N4</f>
        <v>8067</v>
      </c>
      <c r="Q3" s="18">
        <f>'FS Seychelles'!O4</f>
        <v>7703</v>
      </c>
      <c r="R3" s="18">
        <f>'FS Seychelles'!P4</f>
        <v>0</v>
      </c>
      <c r="S3" s="18">
        <f>'FS Seychelles'!Q4</f>
        <v>8977</v>
      </c>
      <c r="T3" s="18">
        <f>'FS Seychelles'!R4</f>
        <v>6556</v>
      </c>
      <c r="U3" s="18">
        <f>'FS Seychelles'!T4</f>
        <v>64</v>
      </c>
      <c r="V3" s="18">
        <f>'FS Seychelles'!U4</f>
        <v>0</v>
      </c>
      <c r="W3" s="18">
        <f>'FS Seychelles'!V4</f>
        <v>72</v>
      </c>
      <c r="X3" s="18">
        <f>'FS Seychelles'!W4</f>
        <v>129</v>
      </c>
      <c r="Y3" s="18">
        <f>'FS Seychelles'!X4</f>
        <v>101</v>
      </c>
      <c r="Z3" s="18">
        <f>'FS Seychelles'!Y4</f>
        <v>121</v>
      </c>
      <c r="AA3" s="18">
        <f>'FS Seychelles'!Z4</f>
        <v>0</v>
      </c>
      <c r="AB3" s="18">
        <f>TOTAL!G3</f>
        <v>356.45161290322579</v>
      </c>
    </row>
    <row r="4" spans="1:28" x14ac:dyDescent="0.25">
      <c r="A4" s="1" t="s">
        <v>13</v>
      </c>
      <c r="B4" s="11">
        <f t="shared" ref="B4:B31" si="0">B3+1</f>
        <v>3</v>
      </c>
      <c r="C4" s="11">
        <v>8</v>
      </c>
      <c r="D4" s="11">
        <v>2021</v>
      </c>
      <c r="E4" s="18">
        <f>'FS Seychelles'!B5</f>
        <v>55.84</v>
      </c>
      <c r="F4" s="18">
        <f>'FS Seychelles'!D5*1000</f>
        <v>2399.4879999999998</v>
      </c>
      <c r="G4" s="18">
        <f>'FS Seychelles'!E5*1000</f>
        <v>4098.0480000000007</v>
      </c>
      <c r="H4" s="18">
        <f>'FS Seychelles'!F5*1000</f>
        <v>4425.2159999999994</v>
      </c>
      <c r="I4" s="18">
        <f>'FS Seychelles'!G5*1000</f>
        <v>1618.1760000000002</v>
      </c>
      <c r="J4" s="18">
        <f>'FS Seychelles'!H5*1000</f>
        <v>2579.712</v>
      </c>
      <c r="K4" s="18">
        <f>'FS Seychelles'!I5*1000</f>
        <v>2470.1439999999998</v>
      </c>
      <c r="L4" s="18">
        <f>'FS Seychelles'!J5*1000</f>
        <v>1432.4479999999999</v>
      </c>
      <c r="M4" s="18">
        <f>'FS Seychelles'!K5*1000</f>
        <v>1751.5519999999999</v>
      </c>
      <c r="N4" s="18">
        <f>'FS Seychelles'!L5*1000</f>
        <v>3648</v>
      </c>
      <c r="O4" s="18">
        <f>'FS Seychelles'!M5</f>
        <v>0</v>
      </c>
      <c r="P4" s="18">
        <f>'FS Seychelles'!N5</f>
        <v>5537</v>
      </c>
      <c r="Q4" s="18">
        <f>'FS Seychelles'!O5</f>
        <v>10851</v>
      </c>
      <c r="R4" s="18">
        <f>'FS Seychelles'!P5</f>
        <v>0</v>
      </c>
      <c r="S4" s="18">
        <f>'FS Seychelles'!Q5</f>
        <v>9311</v>
      </c>
      <c r="T4" s="18">
        <f>'FS Seychelles'!R5</f>
        <v>7051</v>
      </c>
      <c r="U4" s="18">
        <f>'FS Seychelles'!T5</f>
        <v>67</v>
      </c>
      <c r="V4" s="18">
        <f>'FS Seychelles'!U5</f>
        <v>38</v>
      </c>
      <c r="W4" s="18">
        <f>'FS Seychelles'!V5</f>
        <v>70</v>
      </c>
      <c r="X4" s="18">
        <f>'FS Seychelles'!W5</f>
        <v>118</v>
      </c>
      <c r="Y4" s="18">
        <f>'FS Seychelles'!X5</f>
        <v>118</v>
      </c>
      <c r="Z4" s="18">
        <f>'FS Seychelles'!Y5</f>
        <v>132</v>
      </c>
      <c r="AA4" s="18">
        <f>'FS Seychelles'!Z5</f>
        <v>0</v>
      </c>
      <c r="AB4" s="18">
        <f>TOTAL!G4</f>
        <v>356.45161290322579</v>
      </c>
    </row>
    <row r="5" spans="1:28" x14ac:dyDescent="0.25">
      <c r="A5" s="1" t="s">
        <v>13</v>
      </c>
      <c r="B5" s="11">
        <f t="shared" si="0"/>
        <v>4</v>
      </c>
      <c r="C5" s="11">
        <v>8</v>
      </c>
      <c r="D5" s="11">
        <v>2021</v>
      </c>
      <c r="E5" s="18">
        <f>'FS Seychelles'!B6</f>
        <v>49.35</v>
      </c>
      <c r="F5" s="18">
        <f>'FS Seychelles'!D6*1000</f>
        <v>2292.2240000000002</v>
      </c>
      <c r="G5" s="18">
        <f>'FS Seychelles'!E6*1000</f>
        <v>3842.5600000000004</v>
      </c>
      <c r="H5" s="18">
        <f>'FS Seychelles'!F6*1000</f>
        <v>4375.04</v>
      </c>
      <c r="I5" s="18">
        <f>'FS Seychelles'!G6*1000</f>
        <v>1527.296</v>
      </c>
      <c r="J5" s="18">
        <f>'FS Seychelles'!H6*1000</f>
        <v>2568.7039999999997</v>
      </c>
      <c r="K5" s="18">
        <f>'FS Seychelles'!I6*1000</f>
        <v>2503.424</v>
      </c>
      <c r="L5" s="18">
        <f>'FS Seychelles'!J6*1000</f>
        <v>1448.0640000000001</v>
      </c>
      <c r="M5" s="18">
        <f>'FS Seychelles'!K6*1000</f>
        <v>1599.232</v>
      </c>
      <c r="N5" s="18">
        <f>'FS Seychelles'!L6*1000</f>
        <v>3626.4960000000001</v>
      </c>
      <c r="O5" s="18">
        <f>'FS Seychelles'!M6</f>
        <v>0</v>
      </c>
      <c r="P5" s="18">
        <f>'FS Seychelles'!N6</f>
        <v>4027</v>
      </c>
      <c r="Q5" s="18">
        <f>'FS Seychelles'!O6</f>
        <v>7561</v>
      </c>
      <c r="R5" s="18">
        <f>'FS Seychelles'!P6</f>
        <v>0</v>
      </c>
      <c r="S5" s="18">
        <f>'FS Seychelles'!Q6</f>
        <v>9139</v>
      </c>
      <c r="T5" s="18">
        <f>'FS Seychelles'!R6</f>
        <v>5186</v>
      </c>
      <c r="U5" s="18">
        <f>'FS Seychelles'!T6</f>
        <v>60</v>
      </c>
      <c r="V5" s="18">
        <f>'FS Seychelles'!U6</f>
        <v>63</v>
      </c>
      <c r="W5" s="18">
        <f>'FS Seychelles'!V6</f>
        <v>71</v>
      </c>
      <c r="X5" s="18">
        <f>'FS Seychelles'!W6</f>
        <v>136</v>
      </c>
      <c r="Y5" s="18">
        <f>'FS Seychelles'!X6</f>
        <v>104</v>
      </c>
      <c r="Z5" s="18">
        <f>'FS Seychelles'!Y6</f>
        <v>124</v>
      </c>
      <c r="AA5" s="18">
        <f>'FS Seychelles'!Z6</f>
        <v>0</v>
      </c>
      <c r="AB5" s="18">
        <f>TOTAL!G5</f>
        <v>356.45161290322579</v>
      </c>
    </row>
    <row r="6" spans="1:28" x14ac:dyDescent="0.25">
      <c r="A6" s="1" t="s">
        <v>13</v>
      </c>
      <c r="B6" s="11">
        <f t="shared" si="0"/>
        <v>5</v>
      </c>
      <c r="C6" s="11">
        <v>8</v>
      </c>
      <c r="D6" s="11">
        <v>2021</v>
      </c>
      <c r="E6" s="18">
        <f>'FS Seychelles'!B7</f>
        <v>53.25</v>
      </c>
      <c r="F6" s="18">
        <f>'FS Seychelles'!D7*1000</f>
        <v>2317.5680000000002</v>
      </c>
      <c r="G6" s="18">
        <f>'FS Seychelles'!E7*1000</f>
        <v>3897.8559999999998</v>
      </c>
      <c r="H6" s="18">
        <f>'FS Seychelles'!F7*1000</f>
        <v>4505.0879999999997</v>
      </c>
      <c r="I6" s="18">
        <f>'FS Seychelles'!G7*1000</f>
        <v>1676.8000000000002</v>
      </c>
      <c r="J6" s="18">
        <f>'FS Seychelles'!H7*1000</f>
        <v>2494.7200000000003</v>
      </c>
      <c r="K6" s="18">
        <f>'FS Seychelles'!I7*1000</f>
        <v>2452.48</v>
      </c>
      <c r="L6" s="18">
        <f>'FS Seychelles'!J7*1000</f>
        <v>1351.68</v>
      </c>
      <c r="M6" s="18">
        <f>'FS Seychelles'!K7*1000</f>
        <v>1596.4160000000002</v>
      </c>
      <c r="N6" s="18">
        <f>'FS Seychelles'!L7*1000</f>
        <v>3458.56</v>
      </c>
      <c r="O6" s="18">
        <f>'FS Seychelles'!M7</f>
        <v>0</v>
      </c>
      <c r="P6" s="18">
        <f>'FS Seychelles'!N7</f>
        <v>3640</v>
      </c>
      <c r="Q6" s="18">
        <f>'FS Seychelles'!O7</f>
        <v>5351</v>
      </c>
      <c r="R6" s="18">
        <f>'FS Seychelles'!P7</f>
        <v>13172</v>
      </c>
      <c r="S6" s="18">
        <f>'FS Seychelles'!Q7</f>
        <v>7821</v>
      </c>
      <c r="T6" s="18">
        <f>'FS Seychelles'!R7</f>
        <v>9126</v>
      </c>
      <c r="U6" s="18">
        <f>'FS Seychelles'!T7</f>
        <v>64</v>
      </c>
      <c r="V6" s="18">
        <f>'FS Seychelles'!U7</f>
        <v>36</v>
      </c>
      <c r="W6" s="18">
        <f>'FS Seychelles'!V7</f>
        <v>108</v>
      </c>
      <c r="X6" s="18">
        <f>'FS Seychelles'!W7</f>
        <v>164</v>
      </c>
      <c r="Y6" s="18">
        <f>'FS Seychelles'!X7</f>
        <v>135</v>
      </c>
      <c r="Z6" s="18">
        <f>'FS Seychelles'!Y7</f>
        <v>128</v>
      </c>
      <c r="AA6" s="18">
        <f>'FS Seychelles'!Z7</f>
        <v>0</v>
      </c>
      <c r="AB6" s="18">
        <f>TOTAL!G6</f>
        <v>356.45161290322579</v>
      </c>
    </row>
    <row r="7" spans="1:28" x14ac:dyDescent="0.25">
      <c r="A7" s="1" t="s">
        <v>13</v>
      </c>
      <c r="B7" s="11">
        <f t="shared" si="0"/>
        <v>6</v>
      </c>
      <c r="C7" s="11">
        <v>8</v>
      </c>
      <c r="D7" s="11">
        <v>2021</v>
      </c>
      <c r="E7" s="18">
        <f>'FS Seychelles'!B8</f>
        <v>53.25</v>
      </c>
      <c r="F7" s="18">
        <f>'FS Seychelles'!D8*1000</f>
        <v>2276.6080000000002</v>
      </c>
      <c r="G7" s="18">
        <f>'FS Seychelles'!E8*1000</f>
        <v>4020.2239999999997</v>
      </c>
      <c r="H7" s="18">
        <f>'FS Seychelles'!F8*1000</f>
        <v>4461.0560000000005</v>
      </c>
      <c r="I7" s="18">
        <f>'FS Seychelles'!G8*1000</f>
        <v>2018.3040000000001</v>
      </c>
      <c r="J7" s="18">
        <f>'FS Seychelles'!H8*1000</f>
        <v>2457.3440000000001</v>
      </c>
      <c r="K7" s="18">
        <f>'FS Seychelles'!I8*1000</f>
        <v>2500.6080000000002</v>
      </c>
      <c r="L7" s="18">
        <f>'FS Seychelles'!J8*1000</f>
        <v>1411.2</v>
      </c>
      <c r="M7" s="18">
        <f>'FS Seychelles'!K8*1000</f>
        <v>1624.8320000000001</v>
      </c>
      <c r="N7" s="18">
        <f>'FS Seychelles'!L8*1000</f>
        <v>3550.7200000000003</v>
      </c>
      <c r="O7" s="18">
        <f>'FS Seychelles'!M8</f>
        <v>0</v>
      </c>
      <c r="P7" s="18">
        <f>'FS Seychelles'!N8</f>
        <v>3858</v>
      </c>
      <c r="Q7" s="18">
        <f>'FS Seychelles'!O8</f>
        <v>5446</v>
      </c>
      <c r="R7" s="18">
        <f>'FS Seychelles'!P8</f>
        <v>8379</v>
      </c>
      <c r="S7" s="18">
        <f>'FS Seychelles'!Q8</f>
        <v>8519</v>
      </c>
      <c r="T7" s="18">
        <f>'FS Seychelles'!R8</f>
        <v>7023</v>
      </c>
      <c r="U7" s="18">
        <f>'FS Seychelles'!T8</f>
        <v>65</v>
      </c>
      <c r="V7" s="18">
        <f>'FS Seychelles'!U8</f>
        <v>0</v>
      </c>
      <c r="W7" s="18">
        <f>'FS Seychelles'!V8</f>
        <v>92</v>
      </c>
      <c r="X7" s="18">
        <f>'FS Seychelles'!W8</f>
        <v>201</v>
      </c>
      <c r="Y7" s="18">
        <f>'FS Seychelles'!X8</f>
        <v>123</v>
      </c>
      <c r="Z7" s="18">
        <f>'FS Seychelles'!Y8</f>
        <v>122</v>
      </c>
      <c r="AA7" s="18">
        <f>'FS Seychelles'!Z8</f>
        <v>0</v>
      </c>
      <c r="AB7" s="18">
        <f>TOTAL!G7</f>
        <v>356.45161290322579</v>
      </c>
    </row>
    <row r="8" spans="1:28" x14ac:dyDescent="0.25">
      <c r="A8" s="1" t="s">
        <v>13</v>
      </c>
      <c r="B8" s="11">
        <f t="shared" si="0"/>
        <v>7</v>
      </c>
      <c r="C8" s="11">
        <v>8</v>
      </c>
      <c r="D8" s="11">
        <v>2021</v>
      </c>
      <c r="E8" s="18">
        <f>'FS Seychelles'!B9</f>
        <v>42.5</v>
      </c>
      <c r="F8" s="18">
        <f>'FS Seychelles'!D9*1000</f>
        <v>2156.8000000000002</v>
      </c>
      <c r="G8" s="18">
        <f>'FS Seychelles'!E9*1000</f>
        <v>3817.9839999999999</v>
      </c>
      <c r="H8" s="18">
        <f>'FS Seychelles'!F9*1000</f>
        <v>4482.0479999999998</v>
      </c>
      <c r="I8" s="18">
        <f>'FS Seychelles'!G9*1000</f>
        <v>1743.3600000000001</v>
      </c>
      <c r="J8" s="18">
        <f>'FS Seychelles'!H9*1000</f>
        <v>2150.9119999999998</v>
      </c>
      <c r="K8" s="18">
        <f>'FS Seychelles'!I9*1000</f>
        <v>2312.192</v>
      </c>
      <c r="L8" s="18">
        <f>'FS Seychelles'!J9*1000</f>
        <v>1350.9119999999998</v>
      </c>
      <c r="M8" s="18">
        <f>'FS Seychelles'!K9*1000</f>
        <v>1619.2</v>
      </c>
      <c r="N8" s="18">
        <f>'FS Seychelles'!L9*1000</f>
        <v>3442.1759999999999</v>
      </c>
      <c r="O8" s="18">
        <f>'FS Seychelles'!M9</f>
        <v>0</v>
      </c>
      <c r="P8" s="18">
        <f>'FS Seychelles'!N9</f>
        <v>3191</v>
      </c>
      <c r="Q8" s="18">
        <f>'FS Seychelles'!O9</f>
        <v>3434</v>
      </c>
      <c r="R8" s="18">
        <f>'FS Seychelles'!P9</f>
        <v>9180</v>
      </c>
      <c r="S8" s="18">
        <f>'FS Seychelles'!Q9</f>
        <v>7668</v>
      </c>
      <c r="T8" s="18">
        <f>'FS Seychelles'!R9</f>
        <v>6694</v>
      </c>
      <c r="U8" s="18">
        <f>'FS Seychelles'!T9</f>
        <v>64</v>
      </c>
      <c r="V8" s="18">
        <f>'FS Seychelles'!U9</f>
        <v>42</v>
      </c>
      <c r="W8" s="18">
        <f>'FS Seychelles'!V9</f>
        <v>88</v>
      </c>
      <c r="X8" s="18">
        <f>'FS Seychelles'!W9</f>
        <v>125</v>
      </c>
      <c r="Y8" s="18">
        <f>'FS Seychelles'!X9</f>
        <v>156</v>
      </c>
      <c r="Z8" s="18">
        <f>'FS Seychelles'!Y9</f>
        <v>66</v>
      </c>
      <c r="AA8" s="18">
        <f>'FS Seychelles'!Z9</f>
        <v>0</v>
      </c>
      <c r="AB8" s="18">
        <f>TOTAL!G8</f>
        <v>356.45161290322579</v>
      </c>
    </row>
    <row r="9" spans="1:28" x14ac:dyDescent="0.25">
      <c r="A9" s="1" t="s">
        <v>13</v>
      </c>
      <c r="B9" s="11">
        <f t="shared" si="0"/>
        <v>8</v>
      </c>
      <c r="C9" s="11">
        <v>8</v>
      </c>
      <c r="D9" s="11">
        <v>2021</v>
      </c>
      <c r="E9" s="18">
        <f>'FS Seychelles'!B10</f>
        <v>51.85</v>
      </c>
      <c r="F9" s="18">
        <f>'FS Seychelles'!D10*1000</f>
        <v>2299.136</v>
      </c>
      <c r="G9" s="18">
        <f>'FS Seychelles'!E10*1000</f>
        <v>3855.36</v>
      </c>
      <c r="H9" s="18">
        <f>'FS Seychelles'!F10*1000</f>
        <v>4490.7519999999995</v>
      </c>
      <c r="I9" s="18">
        <f>'FS Seychelles'!G10*1000</f>
        <v>1769.7280000000001</v>
      </c>
      <c r="J9" s="18">
        <f>'FS Seychelles'!H10*1000</f>
        <v>2594.0479999999998</v>
      </c>
      <c r="K9" s="18">
        <f>'FS Seychelles'!I10*1000</f>
        <v>2470.4</v>
      </c>
      <c r="L9" s="18">
        <f>'FS Seychelles'!J10*1000</f>
        <v>1411.2</v>
      </c>
      <c r="M9" s="18">
        <f>'FS Seychelles'!K10*1000</f>
        <v>1638.6559999999999</v>
      </c>
      <c r="N9" s="18">
        <f>'FS Seychelles'!L10*1000</f>
        <v>3521.0240000000003</v>
      </c>
      <c r="O9" s="18">
        <f>'FS Seychelles'!M10</f>
        <v>0</v>
      </c>
      <c r="P9" s="18">
        <f>'FS Seychelles'!N10</f>
        <v>3530</v>
      </c>
      <c r="Q9" s="18">
        <f>'FS Seychelles'!O10</f>
        <v>8993</v>
      </c>
      <c r="R9" s="18">
        <f>'FS Seychelles'!P10</f>
        <v>5666</v>
      </c>
      <c r="S9" s="18">
        <f>'FS Seychelles'!Q10</f>
        <v>7130</v>
      </c>
      <c r="T9" s="18">
        <f>'FS Seychelles'!R10</f>
        <v>6896</v>
      </c>
      <c r="U9" s="18">
        <f>'FS Seychelles'!T10</f>
        <v>62</v>
      </c>
      <c r="V9" s="18">
        <f>'FS Seychelles'!U10</f>
        <v>70</v>
      </c>
      <c r="W9" s="18">
        <f>'FS Seychelles'!V10</f>
        <v>112</v>
      </c>
      <c r="X9" s="18">
        <f>'FS Seychelles'!W10</f>
        <v>141</v>
      </c>
      <c r="Y9" s="18">
        <f>'FS Seychelles'!X10</f>
        <v>180</v>
      </c>
      <c r="Z9" s="18">
        <f>'FS Seychelles'!Y10</f>
        <v>67</v>
      </c>
      <c r="AA9" s="18">
        <f>'FS Seychelles'!Z10</f>
        <v>0</v>
      </c>
      <c r="AB9" s="18">
        <f>TOTAL!G9</f>
        <v>356.45161290322579</v>
      </c>
    </row>
    <row r="10" spans="1:28" x14ac:dyDescent="0.25">
      <c r="A10" s="1" t="s">
        <v>13</v>
      </c>
      <c r="B10" s="11">
        <f t="shared" si="0"/>
        <v>9</v>
      </c>
      <c r="C10" s="11">
        <v>8</v>
      </c>
      <c r="D10" s="11">
        <v>2021</v>
      </c>
      <c r="E10" s="18">
        <f>'FS Seychelles'!B11</f>
        <v>54.32</v>
      </c>
      <c r="F10" s="18">
        <f>'FS Seychelles'!D11*1000</f>
        <v>2100.48</v>
      </c>
      <c r="G10" s="18">
        <f>'FS Seychelles'!E11*1000</f>
        <v>3728.384</v>
      </c>
      <c r="H10" s="18">
        <f>'FS Seychelles'!F11*1000</f>
        <v>4510.72</v>
      </c>
      <c r="I10" s="18">
        <f>'FS Seychelles'!G11*1000</f>
        <v>1875.4559999999999</v>
      </c>
      <c r="J10" s="18">
        <f>'FS Seychelles'!H11*1000</f>
        <v>2813.44</v>
      </c>
      <c r="K10" s="18">
        <f>'FS Seychelles'!I11*1000</f>
        <v>2495.7440000000001</v>
      </c>
      <c r="L10" s="18">
        <f>'FS Seychelles'!J11*1000</f>
        <v>1424</v>
      </c>
      <c r="M10" s="18">
        <f>'FS Seychelles'!K11*1000</f>
        <v>1545.7280000000001</v>
      </c>
      <c r="N10" s="18">
        <f>'FS Seychelles'!L11*1000</f>
        <v>3671.04</v>
      </c>
      <c r="O10" s="18">
        <f>'FS Seychelles'!M11</f>
        <v>0</v>
      </c>
      <c r="P10" s="18">
        <f>'FS Seychelles'!N11</f>
        <v>7901</v>
      </c>
      <c r="Q10" s="18">
        <f>'FS Seychelles'!O11</f>
        <v>3414</v>
      </c>
      <c r="R10" s="18">
        <f>'FS Seychelles'!P11</f>
        <v>14522</v>
      </c>
      <c r="S10" s="18">
        <f>'FS Seychelles'!Q11</f>
        <v>7130</v>
      </c>
      <c r="T10" s="18">
        <f>'FS Seychelles'!R11</f>
        <v>9070</v>
      </c>
      <c r="U10" s="18">
        <f>'FS Seychelles'!T11</f>
        <v>66</v>
      </c>
      <c r="V10" s="18">
        <f>'FS Seychelles'!U11</f>
        <v>25</v>
      </c>
      <c r="W10" s="18">
        <f>'FS Seychelles'!V11</f>
        <v>98</v>
      </c>
      <c r="X10" s="18">
        <f>'FS Seychelles'!W11</f>
        <v>176</v>
      </c>
      <c r="Y10" s="18">
        <f>'FS Seychelles'!X11</f>
        <v>189</v>
      </c>
      <c r="Z10" s="18">
        <f>'FS Seychelles'!Y11</f>
        <v>124</v>
      </c>
      <c r="AA10" s="18">
        <f>'FS Seychelles'!Z11</f>
        <v>0</v>
      </c>
      <c r="AB10" s="18">
        <f>TOTAL!G10</f>
        <v>356.45161290322579</v>
      </c>
    </row>
    <row r="11" spans="1:28" x14ac:dyDescent="0.25">
      <c r="A11" s="1" t="s">
        <v>13</v>
      </c>
      <c r="B11" s="11">
        <f t="shared" si="0"/>
        <v>10</v>
      </c>
      <c r="C11" s="11">
        <v>8</v>
      </c>
      <c r="D11" s="11">
        <v>2021</v>
      </c>
      <c r="E11" s="18">
        <f>'FS Seychelles'!B12</f>
        <v>54.32</v>
      </c>
      <c r="F11" s="18">
        <f>'FS Seychelles'!D12*1000</f>
        <v>2476.7999999999997</v>
      </c>
      <c r="G11" s="18">
        <f>'FS Seychelles'!E12*1000</f>
        <v>4237.3119999999999</v>
      </c>
      <c r="H11" s="18">
        <f>'FS Seychelles'!F12*1000</f>
        <v>4552.192</v>
      </c>
      <c r="I11" s="18">
        <f>'FS Seychelles'!G12*1000</f>
        <v>1982.2080000000001</v>
      </c>
      <c r="J11" s="18">
        <f>'FS Seychelles'!H12*1000</f>
        <v>2946.56</v>
      </c>
      <c r="K11" s="18">
        <f>'FS Seychelles'!I12*1000</f>
        <v>2567.9360000000001</v>
      </c>
      <c r="L11" s="18">
        <f>'FS Seychelles'!J12*1000</f>
        <v>1456.768</v>
      </c>
      <c r="M11" s="18">
        <f>'FS Seychelles'!K12*1000</f>
        <v>1566.4640000000002</v>
      </c>
      <c r="N11" s="18">
        <f>'FS Seychelles'!L12*1000</f>
        <v>3686.9119999999998</v>
      </c>
      <c r="O11" s="18">
        <f>'FS Seychelles'!M12</f>
        <v>0</v>
      </c>
      <c r="P11" s="18">
        <f>'FS Seychelles'!N12</f>
        <v>7762</v>
      </c>
      <c r="Q11" s="18">
        <f>'FS Seychelles'!O12</f>
        <v>7718</v>
      </c>
      <c r="R11" s="18">
        <f>'FS Seychelles'!P12</f>
        <v>7931</v>
      </c>
      <c r="S11" s="18">
        <f>'FS Seychelles'!Q12</f>
        <v>2284</v>
      </c>
      <c r="T11" s="18">
        <f>'FS Seychelles'!R12</f>
        <v>7274</v>
      </c>
      <c r="U11" s="18">
        <f>'FS Seychelles'!T12</f>
        <v>69</v>
      </c>
      <c r="V11" s="18">
        <f>'FS Seychelles'!U12</f>
        <v>76</v>
      </c>
      <c r="W11" s="18">
        <f>'FS Seychelles'!V12</f>
        <v>109</v>
      </c>
      <c r="X11" s="18">
        <f>'FS Seychelles'!W12</f>
        <v>168</v>
      </c>
      <c r="Y11" s="18">
        <f>'FS Seychelles'!X12</f>
        <v>166</v>
      </c>
      <c r="Z11" s="18">
        <f>'FS Seychelles'!Y12</f>
        <v>111</v>
      </c>
      <c r="AA11" s="18">
        <f>'FS Seychelles'!Z12</f>
        <v>0</v>
      </c>
      <c r="AB11" s="18">
        <f>TOTAL!G11</f>
        <v>356.45161290322579</v>
      </c>
    </row>
    <row r="12" spans="1:28" x14ac:dyDescent="0.25">
      <c r="A12" s="1" t="s">
        <v>13</v>
      </c>
      <c r="B12" s="11">
        <f t="shared" si="0"/>
        <v>11</v>
      </c>
      <c r="C12" s="11">
        <v>8</v>
      </c>
      <c r="D12" s="11">
        <v>2021</v>
      </c>
      <c r="E12" s="18">
        <f>'FS Seychelles'!B13</f>
        <v>82.54</v>
      </c>
      <c r="F12" s="18">
        <f>'FS Seychelles'!D13*1000</f>
        <v>2453.5039999999999</v>
      </c>
      <c r="G12" s="18">
        <f>'FS Seychelles'!E13*1000</f>
        <v>4407.808</v>
      </c>
      <c r="H12" s="18">
        <f>'FS Seychelles'!F13*1000</f>
        <v>4451.84</v>
      </c>
      <c r="I12" s="18">
        <f>'FS Seychelles'!G13*1000</f>
        <v>1770.24</v>
      </c>
      <c r="J12" s="18">
        <f>'FS Seychelles'!H13*1000</f>
        <v>2872.0639999999999</v>
      </c>
      <c r="K12" s="18">
        <f>'FS Seychelles'!I13*1000</f>
        <v>2496.5120000000002</v>
      </c>
      <c r="L12" s="18">
        <f>'FS Seychelles'!J13*1000</f>
        <v>1414.2719999999999</v>
      </c>
      <c r="M12" s="18">
        <f>'FS Seychelles'!K13*1000</f>
        <v>1550.5919999999999</v>
      </c>
      <c r="N12" s="18">
        <f>'FS Seychelles'!L13*1000</f>
        <v>3507.712</v>
      </c>
      <c r="O12" s="18">
        <f>'FS Seychelles'!M13</f>
        <v>0</v>
      </c>
      <c r="P12" s="18">
        <f>'FS Seychelles'!N13</f>
        <v>8982</v>
      </c>
      <c r="Q12" s="18">
        <f>'FS Seychelles'!O13</f>
        <v>9004</v>
      </c>
      <c r="R12" s="18">
        <f>'FS Seychelles'!P13</f>
        <v>5759</v>
      </c>
      <c r="S12" s="18">
        <f>'FS Seychelles'!Q13</f>
        <v>1565</v>
      </c>
      <c r="T12" s="18">
        <f>'FS Seychelles'!R13</f>
        <v>6856</v>
      </c>
      <c r="U12" s="18">
        <f>'FS Seychelles'!T13</f>
        <v>68</v>
      </c>
      <c r="V12" s="18">
        <f>'FS Seychelles'!U13</f>
        <v>37</v>
      </c>
      <c r="W12" s="18">
        <f>'FS Seychelles'!V13</f>
        <v>92</v>
      </c>
      <c r="X12" s="18">
        <f>'FS Seychelles'!W13</f>
        <v>188</v>
      </c>
      <c r="Y12" s="18">
        <f>'FS Seychelles'!X13</f>
        <v>141</v>
      </c>
      <c r="Z12" s="18">
        <f>'FS Seychelles'!Y13</f>
        <v>97</v>
      </c>
      <c r="AA12" s="18">
        <f>'FS Seychelles'!Z13</f>
        <v>0</v>
      </c>
      <c r="AB12" s="18">
        <f>TOTAL!G12</f>
        <v>356.45161290322579</v>
      </c>
    </row>
    <row r="13" spans="1:28" x14ac:dyDescent="0.25">
      <c r="A13" s="1" t="s">
        <v>13</v>
      </c>
      <c r="B13" s="11">
        <f t="shared" si="0"/>
        <v>12</v>
      </c>
      <c r="C13" s="11">
        <v>8</v>
      </c>
      <c r="D13" s="11">
        <v>2021</v>
      </c>
      <c r="E13" s="18">
        <f>'FS Seychelles'!B14</f>
        <v>88.71</v>
      </c>
      <c r="F13" s="18">
        <f>'FS Seychelles'!D14*1000</f>
        <v>2361.0880000000002</v>
      </c>
      <c r="G13" s="18">
        <f>'FS Seychelles'!E14*1000</f>
        <v>3915.7760000000003</v>
      </c>
      <c r="H13" s="18">
        <f>'FS Seychelles'!F14*1000</f>
        <v>4664.8319999999994</v>
      </c>
      <c r="I13" s="18">
        <f>'FS Seychelles'!G14*1000</f>
        <v>2095.3599999999997</v>
      </c>
      <c r="J13" s="18">
        <f>'FS Seychelles'!H14*1000</f>
        <v>2939.3919999999998</v>
      </c>
      <c r="K13" s="18">
        <f>'FS Seychelles'!I14*1000</f>
        <v>2487.5520000000001</v>
      </c>
      <c r="L13" s="18">
        <f>'FS Seychelles'!J14*1000</f>
        <v>1435.6480000000001</v>
      </c>
      <c r="M13" s="18">
        <f>'FS Seychelles'!K14*1000</f>
        <v>1548.5439999999999</v>
      </c>
      <c r="N13" s="18">
        <f>'FS Seychelles'!L14*1000</f>
        <v>3516.9279999999999</v>
      </c>
      <c r="O13" s="18">
        <f>'FS Seychelles'!M14</f>
        <v>0</v>
      </c>
      <c r="P13" s="18">
        <f>'FS Seychelles'!N14</f>
        <v>9106</v>
      </c>
      <c r="Q13" s="18">
        <f>'FS Seychelles'!O14</f>
        <v>6102</v>
      </c>
      <c r="R13" s="18">
        <f>'FS Seychelles'!P14</f>
        <v>8306</v>
      </c>
      <c r="S13" s="18">
        <f>'FS Seychelles'!Q14</f>
        <v>3789</v>
      </c>
      <c r="T13" s="18">
        <f>'FS Seychelles'!R14</f>
        <v>7223</v>
      </c>
      <c r="U13" s="18">
        <f>'FS Seychelles'!T14</f>
        <v>56</v>
      </c>
      <c r="V13" s="18">
        <f>'FS Seychelles'!U14</f>
        <v>38</v>
      </c>
      <c r="W13" s="18">
        <f>'FS Seychelles'!V14</f>
        <v>84</v>
      </c>
      <c r="X13" s="18">
        <f>'FS Seychelles'!W14</f>
        <v>157</v>
      </c>
      <c r="Y13" s="18">
        <f>'FS Seychelles'!X14</f>
        <v>103</v>
      </c>
      <c r="Z13" s="18">
        <f>'FS Seychelles'!Y14</f>
        <v>95</v>
      </c>
      <c r="AA13" s="18">
        <f>'FS Seychelles'!Z14</f>
        <v>0</v>
      </c>
      <c r="AB13" s="18">
        <f>TOTAL!G13</f>
        <v>356.45161290322579</v>
      </c>
    </row>
    <row r="14" spans="1:28" x14ac:dyDescent="0.25">
      <c r="A14" s="1" t="s">
        <v>13</v>
      </c>
      <c r="B14" s="11">
        <f t="shared" si="0"/>
        <v>13</v>
      </c>
      <c r="C14" s="11">
        <v>8</v>
      </c>
      <c r="D14" s="11">
        <v>2021</v>
      </c>
      <c r="E14" s="18">
        <f>'FS Seychelles'!B15</f>
        <v>78.13</v>
      </c>
      <c r="F14" s="18">
        <f>'FS Seychelles'!D15*1000</f>
        <v>2613.5039999999999</v>
      </c>
      <c r="G14" s="18">
        <f>'FS Seychelles'!E15*1000</f>
        <v>4240.384</v>
      </c>
      <c r="H14" s="18">
        <f>'FS Seychelles'!F15*1000</f>
        <v>4858.3679999999995</v>
      </c>
      <c r="I14" s="18">
        <f>'FS Seychelles'!G15*1000</f>
        <v>2161.152</v>
      </c>
      <c r="J14" s="18">
        <f>'FS Seychelles'!H15*1000</f>
        <v>3119.1040000000003</v>
      </c>
      <c r="K14" s="18">
        <f>'FS Seychelles'!I15*1000</f>
        <v>2674.6880000000001</v>
      </c>
      <c r="L14" s="18">
        <f>'FS Seychelles'!J15*1000</f>
        <v>1455.7439999999999</v>
      </c>
      <c r="M14" s="18">
        <f>'FS Seychelles'!K15*1000</f>
        <v>1680.896</v>
      </c>
      <c r="N14" s="18">
        <f>'FS Seychelles'!L15*1000</f>
        <v>3488.768</v>
      </c>
      <c r="O14" s="18">
        <f>'FS Seychelles'!M15</f>
        <v>0</v>
      </c>
      <c r="P14" s="18">
        <f>'FS Seychelles'!N15</f>
        <v>10615</v>
      </c>
      <c r="Q14" s="18">
        <f>'FS Seychelles'!O15</f>
        <v>3846</v>
      </c>
      <c r="R14" s="18">
        <f>'FS Seychelles'!P15</f>
        <v>10928</v>
      </c>
      <c r="S14" s="18">
        <f>'FS Seychelles'!Q15</f>
        <v>2943</v>
      </c>
      <c r="T14" s="18">
        <f>'FS Seychelles'!R15</f>
        <v>7962</v>
      </c>
      <c r="U14" s="18">
        <f>'FS Seychelles'!T15</f>
        <v>64</v>
      </c>
      <c r="V14" s="18">
        <f>'FS Seychelles'!U15</f>
        <v>20</v>
      </c>
      <c r="W14" s="18">
        <f>'FS Seychelles'!V15</f>
        <v>97</v>
      </c>
      <c r="X14" s="18">
        <f>'FS Seychelles'!W15</f>
        <v>171</v>
      </c>
      <c r="Y14" s="18">
        <f>'FS Seychelles'!X15</f>
        <v>71</v>
      </c>
      <c r="Z14" s="18">
        <f>'FS Seychelles'!Y15</f>
        <v>101</v>
      </c>
      <c r="AA14" s="18">
        <f>'FS Seychelles'!Z15</f>
        <v>0</v>
      </c>
      <c r="AB14" s="18">
        <f>TOTAL!G14</f>
        <v>356.45161290322579</v>
      </c>
    </row>
    <row r="15" spans="1:28" x14ac:dyDescent="0.25">
      <c r="A15" s="1" t="s">
        <v>13</v>
      </c>
      <c r="B15" s="11">
        <f t="shared" si="0"/>
        <v>14</v>
      </c>
      <c r="C15" s="11">
        <v>8</v>
      </c>
      <c r="D15" s="11">
        <v>2021</v>
      </c>
      <c r="E15" s="18">
        <f>'FS Seychelles'!B16</f>
        <v>71.64</v>
      </c>
      <c r="F15" s="18">
        <f>'FS Seychelles'!D16*1000</f>
        <v>2450.4320000000002</v>
      </c>
      <c r="G15" s="18">
        <f>'FS Seychelles'!E16*1000</f>
        <v>4288.5119999999997</v>
      </c>
      <c r="H15" s="18">
        <f>'FS Seychelles'!F16*1000</f>
        <v>4730.3680000000004</v>
      </c>
      <c r="I15" s="18">
        <f>'FS Seychelles'!G16*1000</f>
        <v>2059.0079999999998</v>
      </c>
      <c r="J15" s="18">
        <f>'FS Seychelles'!H16*1000</f>
        <v>3057.152</v>
      </c>
      <c r="K15" s="18">
        <f>'FS Seychelles'!I16*1000</f>
        <v>2602.4960000000001</v>
      </c>
      <c r="L15" s="18">
        <f>'FS Seychelles'!J16*1000</f>
        <v>1444.2239999999999</v>
      </c>
      <c r="M15" s="18">
        <f>'FS Seychelles'!K16*1000</f>
        <v>1619.4559999999999</v>
      </c>
      <c r="N15" s="18">
        <f>'FS Seychelles'!L16*1000</f>
        <v>3510.7840000000001</v>
      </c>
      <c r="O15" s="18">
        <f>'FS Seychelles'!M16</f>
        <v>0</v>
      </c>
      <c r="P15" s="18">
        <f>'FS Seychelles'!N16</f>
        <v>3214</v>
      </c>
      <c r="Q15" s="18">
        <f>'FS Seychelles'!O16</f>
        <v>8689</v>
      </c>
      <c r="R15" s="18">
        <f>'FS Seychelles'!P16</f>
        <v>9436</v>
      </c>
      <c r="S15" s="18">
        <f>'FS Seychelles'!Q16</f>
        <v>5554</v>
      </c>
      <c r="T15" s="18">
        <f>'FS Seychelles'!R16</f>
        <v>7534</v>
      </c>
      <c r="U15" s="18">
        <f>'FS Seychelles'!T16</f>
        <v>62</v>
      </c>
      <c r="V15" s="18">
        <f>'FS Seychelles'!U16</f>
        <v>0</v>
      </c>
      <c r="W15" s="18">
        <f>'FS Seychelles'!V16</f>
        <v>152</v>
      </c>
      <c r="X15" s="18">
        <f>'FS Seychelles'!W16</f>
        <v>165</v>
      </c>
      <c r="Y15" s="18">
        <f>'FS Seychelles'!X16</f>
        <v>88</v>
      </c>
      <c r="Z15" s="18">
        <f>'FS Seychelles'!Y16</f>
        <v>86</v>
      </c>
      <c r="AA15" s="18">
        <f>'FS Seychelles'!Z16</f>
        <v>0</v>
      </c>
      <c r="AB15" s="18">
        <f>TOTAL!G15</f>
        <v>356.45161290322579</v>
      </c>
    </row>
    <row r="16" spans="1:28" x14ac:dyDescent="0.25">
      <c r="A16" s="1" t="s">
        <v>13</v>
      </c>
      <c r="B16" s="11">
        <f t="shared" si="0"/>
        <v>15</v>
      </c>
      <c r="C16" s="11">
        <v>8</v>
      </c>
      <c r="D16" s="11">
        <v>2021</v>
      </c>
      <c r="E16" s="18">
        <f>'FS Seychelles'!B17</f>
        <v>73.02</v>
      </c>
      <c r="F16" s="18">
        <f>'FS Seychelles'!D17*1000</f>
        <v>2370.3040000000001</v>
      </c>
      <c r="G16" s="18">
        <f>'FS Seychelles'!E17*1000</f>
        <v>4085.7599999999998</v>
      </c>
      <c r="H16" s="18">
        <f>'FS Seychelles'!F17*1000</f>
        <v>4562.4320000000007</v>
      </c>
      <c r="I16" s="18">
        <f>'FS Seychelles'!G17*1000</f>
        <v>1719.2959999999998</v>
      </c>
      <c r="J16" s="18">
        <f>'FS Seychelles'!H17*1000</f>
        <v>2716.9279999999999</v>
      </c>
      <c r="K16" s="18">
        <f>'FS Seychelles'!I17*1000</f>
        <v>2580.2239999999997</v>
      </c>
      <c r="L16" s="18">
        <f>'FS Seychelles'!J17*1000</f>
        <v>1424.5119999999999</v>
      </c>
      <c r="M16" s="18">
        <f>'FS Seychelles'!K17*1000</f>
        <v>1587.712</v>
      </c>
      <c r="N16" s="18">
        <f>'FS Seychelles'!L17*1000</f>
        <v>3474.4320000000002</v>
      </c>
      <c r="O16" s="18">
        <f>'FS Seychelles'!M17</f>
        <v>0</v>
      </c>
      <c r="P16" s="18">
        <f>'FS Seychelles'!N17</f>
        <v>7500</v>
      </c>
      <c r="Q16" s="18">
        <f>'FS Seychelles'!O17</f>
        <v>3561</v>
      </c>
      <c r="R16" s="18">
        <f>'FS Seychelles'!P17</f>
        <v>8942</v>
      </c>
      <c r="S16" s="18">
        <f>'FS Seychelles'!Q17</f>
        <v>4754</v>
      </c>
      <c r="T16" s="18">
        <f>'FS Seychelles'!R17</f>
        <v>6677</v>
      </c>
      <c r="U16" s="18">
        <f>'FS Seychelles'!T17</f>
        <v>66</v>
      </c>
      <c r="V16" s="18">
        <f>'FS Seychelles'!U17</f>
        <v>44</v>
      </c>
      <c r="W16" s="18">
        <f>'FS Seychelles'!V17</f>
        <v>81</v>
      </c>
      <c r="X16" s="18">
        <f>'FS Seychelles'!W17</f>
        <v>129</v>
      </c>
      <c r="Y16" s="18">
        <f>'FS Seychelles'!X17</f>
        <v>94</v>
      </c>
      <c r="Z16" s="18">
        <f>'FS Seychelles'!Y17</f>
        <v>97</v>
      </c>
      <c r="AA16" s="18">
        <f>'FS Seychelles'!Z17</f>
        <v>0</v>
      </c>
      <c r="AB16" s="18">
        <f>TOTAL!G16</f>
        <v>356.45161290322579</v>
      </c>
    </row>
    <row r="17" spans="1:28" x14ac:dyDescent="0.25">
      <c r="A17" s="1" t="s">
        <v>13</v>
      </c>
      <c r="B17" s="11">
        <f t="shared" si="0"/>
        <v>16</v>
      </c>
      <c r="C17" s="11">
        <v>8</v>
      </c>
      <c r="D17" s="11">
        <v>2021</v>
      </c>
      <c r="E17" s="18">
        <f>'FS Seychelles'!B18</f>
        <v>58.44</v>
      </c>
      <c r="F17" s="18">
        <f>'FS Seychelles'!D18*1000</f>
        <v>2366.9760000000001</v>
      </c>
      <c r="G17" s="18">
        <f>'FS Seychelles'!E18*1000</f>
        <v>4220.9279999999999</v>
      </c>
      <c r="H17" s="18">
        <f>'FS Seychelles'!F18*1000</f>
        <v>4713.4720000000007</v>
      </c>
      <c r="I17" s="18">
        <f>'FS Seychelles'!G18*1000</f>
        <v>1540.096</v>
      </c>
      <c r="J17" s="18">
        <f>'FS Seychelles'!H18*1000</f>
        <v>2541.8240000000001</v>
      </c>
      <c r="K17" s="18">
        <f>'FS Seychelles'!I18*1000</f>
        <v>2872.32</v>
      </c>
      <c r="L17" s="18">
        <f>'FS Seychelles'!J18*1000</f>
        <v>1157.248</v>
      </c>
      <c r="M17" s="18">
        <f>'FS Seychelles'!K18*1000</f>
        <v>1584.384</v>
      </c>
      <c r="N17" s="18">
        <f>'FS Seychelles'!L18*1000</f>
        <v>3298.3040000000001</v>
      </c>
      <c r="O17" s="18">
        <f>'FS Seychelles'!M18</f>
        <v>0</v>
      </c>
      <c r="P17" s="18">
        <f>'FS Seychelles'!N18</f>
        <v>6260</v>
      </c>
      <c r="Q17" s="18">
        <f>'FS Seychelles'!O18</f>
        <v>5073</v>
      </c>
      <c r="R17" s="18">
        <f>'FS Seychelles'!P18</f>
        <v>7103</v>
      </c>
      <c r="S17" s="18">
        <f>'FS Seychelles'!Q18</f>
        <v>4091</v>
      </c>
      <c r="T17" s="18">
        <f>'FS Seychelles'!R18</f>
        <v>6550</v>
      </c>
      <c r="U17" s="18">
        <f>'FS Seychelles'!T18</f>
        <v>70</v>
      </c>
      <c r="V17" s="18">
        <f>'FS Seychelles'!U18</f>
        <v>84</v>
      </c>
      <c r="W17" s="18">
        <f>'FS Seychelles'!V18</f>
        <v>100</v>
      </c>
      <c r="X17" s="18">
        <f>'FS Seychelles'!W18</f>
        <v>158</v>
      </c>
      <c r="Y17" s="18">
        <f>'FS Seychelles'!X18</f>
        <v>83</v>
      </c>
      <c r="Z17" s="18">
        <f>'FS Seychelles'!Y18</f>
        <v>99</v>
      </c>
      <c r="AA17" s="18">
        <f>'FS Seychelles'!Z18</f>
        <v>0</v>
      </c>
      <c r="AB17" s="18">
        <f>TOTAL!G17</f>
        <v>356.45161290322579</v>
      </c>
    </row>
    <row r="18" spans="1:28" x14ac:dyDescent="0.25">
      <c r="A18" s="1" t="s">
        <v>13</v>
      </c>
      <c r="B18" s="11">
        <f t="shared" si="0"/>
        <v>17</v>
      </c>
      <c r="C18" s="11">
        <v>8</v>
      </c>
      <c r="D18" s="11">
        <v>2021</v>
      </c>
      <c r="E18" s="18">
        <f>'FS Seychelles'!B19</f>
        <v>58.44</v>
      </c>
      <c r="F18" s="18">
        <f>'FS Seychelles'!D19*1000</f>
        <v>2436.3519999999999</v>
      </c>
      <c r="G18" s="18">
        <f>'FS Seychelles'!E19*1000</f>
        <v>4345.3440000000001</v>
      </c>
      <c r="H18" s="18">
        <f>'FS Seychelles'!F19*1000</f>
        <v>4786.6880000000001</v>
      </c>
      <c r="I18" s="18">
        <f>'FS Seychelles'!G19*1000</f>
        <v>1491.2</v>
      </c>
      <c r="J18" s="18">
        <f>'FS Seychelles'!H19*1000</f>
        <v>2674.6880000000001</v>
      </c>
      <c r="K18" s="18">
        <f>'FS Seychelles'!I19*1000</f>
        <v>2898.6880000000001</v>
      </c>
      <c r="L18" s="18">
        <f>'FS Seychelles'!J19*1000</f>
        <v>1340.9279999999999</v>
      </c>
      <c r="M18" s="18">
        <f>'FS Seychelles'!K19*1000</f>
        <v>1641.2159999999999</v>
      </c>
      <c r="N18" s="18">
        <f>'FS Seychelles'!L19*1000</f>
        <v>3482.6239999999998</v>
      </c>
      <c r="O18" s="18">
        <f>'FS Seychelles'!M19</f>
        <v>0</v>
      </c>
      <c r="P18" s="18">
        <f>'FS Seychelles'!N19</f>
        <v>8019</v>
      </c>
      <c r="Q18" s="18">
        <f>'FS Seychelles'!O19</f>
        <v>4964</v>
      </c>
      <c r="R18" s="18">
        <f>'FS Seychelles'!P19</f>
        <v>10780</v>
      </c>
      <c r="S18" s="18">
        <f>'FS Seychelles'!Q19</f>
        <v>5134</v>
      </c>
      <c r="T18" s="18">
        <f>'FS Seychelles'!R19</f>
        <v>7620</v>
      </c>
      <c r="U18" s="18">
        <f>'FS Seychelles'!T19</f>
        <v>66</v>
      </c>
      <c r="V18" s="18">
        <f>'FS Seychelles'!U19</f>
        <v>16</v>
      </c>
      <c r="W18" s="18">
        <f>'FS Seychelles'!V19</f>
        <v>110</v>
      </c>
      <c r="X18" s="18">
        <f>'FS Seychelles'!W19</f>
        <v>174</v>
      </c>
      <c r="Y18" s="18">
        <f>'FS Seychelles'!X19</f>
        <v>47</v>
      </c>
      <c r="Z18" s="18">
        <f>'FS Seychelles'!Y19</f>
        <v>97</v>
      </c>
      <c r="AA18" s="18">
        <f>'FS Seychelles'!Z19</f>
        <v>0</v>
      </c>
      <c r="AB18" s="18">
        <f>TOTAL!G18</f>
        <v>356.45161290322579</v>
      </c>
    </row>
    <row r="19" spans="1:28" x14ac:dyDescent="0.25">
      <c r="A19" s="1" t="s">
        <v>13</v>
      </c>
      <c r="B19" s="11">
        <f t="shared" si="0"/>
        <v>18</v>
      </c>
      <c r="C19" s="11">
        <v>8</v>
      </c>
      <c r="D19" s="11">
        <v>2021</v>
      </c>
      <c r="E19" s="18">
        <f>'FS Seychelles'!B20</f>
        <v>51.94</v>
      </c>
      <c r="F19" s="18">
        <f>'FS Seychelles'!D20*1000</f>
        <v>2484.2240000000002</v>
      </c>
      <c r="G19" s="18">
        <f>'FS Seychelles'!E20*1000</f>
        <v>4317.1840000000002</v>
      </c>
      <c r="H19" s="18">
        <f>'FS Seychelles'!F20*1000</f>
        <v>4782.08</v>
      </c>
      <c r="I19" s="18">
        <f>'FS Seychelles'!G20*1000</f>
        <v>1475.8400000000001</v>
      </c>
      <c r="J19" s="18">
        <f>'FS Seychelles'!H20*1000</f>
        <v>2568.192</v>
      </c>
      <c r="K19" s="18">
        <f>'FS Seychelles'!I20*1000</f>
        <v>2885.6320000000001</v>
      </c>
      <c r="L19" s="18">
        <f>'FS Seychelles'!J20*1000</f>
        <v>1382.2719999999999</v>
      </c>
      <c r="M19" s="18">
        <f>'FS Seychelles'!K20*1000</f>
        <v>1641.2159999999999</v>
      </c>
      <c r="N19" s="18">
        <f>'FS Seychelles'!L20*1000</f>
        <v>3681.28</v>
      </c>
      <c r="O19" s="18">
        <f>'FS Seychelles'!M20</f>
        <v>0</v>
      </c>
      <c r="P19" s="18">
        <f>'FS Seychelles'!N20</f>
        <v>8416</v>
      </c>
      <c r="Q19" s="18">
        <f>'FS Seychelles'!O20</f>
        <v>3946</v>
      </c>
      <c r="R19" s="18">
        <f>'FS Seychelles'!P20</f>
        <v>8429</v>
      </c>
      <c r="S19" s="18">
        <f>'FS Seychelles'!Q20</f>
        <v>3958</v>
      </c>
      <c r="T19" s="18">
        <f>'FS Seychelles'!R20</f>
        <v>6737</v>
      </c>
      <c r="U19" s="18">
        <f>'FS Seychelles'!T20</f>
        <v>66</v>
      </c>
      <c r="V19" s="18">
        <f>'FS Seychelles'!U20</f>
        <v>34</v>
      </c>
      <c r="W19" s="18">
        <f>'FS Seychelles'!V20</f>
        <v>87</v>
      </c>
      <c r="X19" s="18">
        <f>'FS Seychelles'!W20</f>
        <v>170</v>
      </c>
      <c r="Y19" s="18">
        <f>'FS Seychelles'!X20</f>
        <v>4</v>
      </c>
      <c r="Z19" s="18">
        <f>'FS Seychelles'!Y20</f>
        <v>100</v>
      </c>
      <c r="AA19" s="18">
        <f>'FS Seychelles'!Z20</f>
        <v>0</v>
      </c>
      <c r="AB19" s="18">
        <f>TOTAL!G19</f>
        <v>356.45161290322579</v>
      </c>
    </row>
    <row r="20" spans="1:28" x14ac:dyDescent="0.25">
      <c r="A20" s="1" t="s">
        <v>13</v>
      </c>
      <c r="B20" s="11">
        <f t="shared" si="0"/>
        <v>19</v>
      </c>
      <c r="C20" s="11">
        <v>8</v>
      </c>
      <c r="D20" s="11">
        <v>2021</v>
      </c>
      <c r="E20" s="18">
        <f>'FS Seychelles'!B21</f>
        <v>53.25</v>
      </c>
      <c r="F20" s="18">
        <f>'FS Seychelles'!D21*1000</f>
        <v>1926.6559999999999</v>
      </c>
      <c r="G20" s="18">
        <f>'FS Seychelles'!E21*1000</f>
        <v>3589.12</v>
      </c>
      <c r="H20" s="18">
        <f>'FS Seychelles'!F21*1000</f>
        <v>4761.0879999999997</v>
      </c>
      <c r="I20" s="18">
        <f>'FS Seychelles'!G21*1000</f>
        <v>1254.912</v>
      </c>
      <c r="J20" s="18">
        <f>'FS Seychelles'!H21*1000</f>
        <v>2260.9919999999997</v>
      </c>
      <c r="K20" s="18">
        <f>'FS Seychelles'!I21*1000</f>
        <v>2537.4720000000002</v>
      </c>
      <c r="L20" s="18">
        <f>'FS Seychelles'!J21*1000</f>
        <v>1217.0240000000001</v>
      </c>
      <c r="M20" s="18">
        <f>'FS Seychelles'!K21*1000</f>
        <v>1555.712</v>
      </c>
      <c r="N20" s="18">
        <f>'FS Seychelles'!L21*1000</f>
        <v>3489.2799999999997</v>
      </c>
      <c r="O20" s="18">
        <f>'FS Seychelles'!M21</f>
        <v>0</v>
      </c>
      <c r="P20" s="18">
        <f>'FS Seychelles'!N21</f>
        <v>0</v>
      </c>
      <c r="Q20" s="18">
        <f>'FS Seychelles'!O21</f>
        <v>4737</v>
      </c>
      <c r="R20" s="18">
        <f>'FS Seychelles'!P21</f>
        <v>17175</v>
      </c>
      <c r="S20" s="18">
        <f>'FS Seychelles'!Q21</f>
        <v>456</v>
      </c>
      <c r="T20" s="18">
        <f>'FS Seychelles'!R21</f>
        <v>6724</v>
      </c>
      <c r="U20" s="18">
        <f>'FS Seychelles'!T21</f>
        <v>61</v>
      </c>
      <c r="V20" s="18">
        <f>'FS Seychelles'!U21</f>
        <v>54</v>
      </c>
      <c r="W20" s="18">
        <f>'FS Seychelles'!V21</f>
        <v>88</v>
      </c>
      <c r="X20" s="18">
        <f>'FS Seychelles'!W21</f>
        <v>112</v>
      </c>
      <c r="Y20" s="18">
        <f>'FS Seychelles'!X21</f>
        <v>3</v>
      </c>
      <c r="Z20" s="18">
        <f>'FS Seychelles'!Y21</f>
        <v>102</v>
      </c>
      <c r="AA20" s="18">
        <f>'FS Seychelles'!Z21</f>
        <v>0</v>
      </c>
      <c r="AB20" s="18">
        <f>TOTAL!G20</f>
        <v>356.45161290322579</v>
      </c>
    </row>
    <row r="21" spans="1:28" x14ac:dyDescent="0.25">
      <c r="A21" s="1" t="s">
        <v>13</v>
      </c>
      <c r="B21" s="11">
        <f t="shared" si="0"/>
        <v>20</v>
      </c>
      <c r="C21" s="11">
        <v>8</v>
      </c>
      <c r="D21" s="11">
        <v>2021</v>
      </c>
      <c r="E21" s="18">
        <f>'FS Seychelles'!B22</f>
        <v>45.45</v>
      </c>
      <c r="F21" s="18">
        <f>'FS Seychelles'!D22*1000</f>
        <v>2095.8719999999998</v>
      </c>
      <c r="G21" s="18">
        <f>'FS Seychelles'!E22*1000</f>
        <v>3832.8319999999999</v>
      </c>
      <c r="H21" s="18">
        <f>'FS Seychelles'!F22*1000</f>
        <v>4922.3679999999995</v>
      </c>
      <c r="I21" s="18">
        <f>'FS Seychelles'!G22*1000</f>
        <v>1187.5840000000001</v>
      </c>
      <c r="J21" s="18">
        <f>'FS Seychelles'!H22*1000</f>
        <v>2051.0720000000001</v>
      </c>
      <c r="K21" s="18">
        <f>'FS Seychelles'!I22*1000</f>
        <v>2552.8319999999999</v>
      </c>
      <c r="L21" s="18">
        <f>'FS Seychelles'!J22*1000</f>
        <v>1433.472</v>
      </c>
      <c r="M21" s="18">
        <f>'FS Seychelles'!K22*1000</f>
        <v>1648.896</v>
      </c>
      <c r="N21" s="18">
        <f>'FS Seychelles'!L22*1000</f>
        <v>3516.4160000000002</v>
      </c>
      <c r="O21" s="18">
        <f>'FS Seychelles'!M22</f>
        <v>0</v>
      </c>
      <c r="P21" s="18">
        <f>'FS Seychelles'!N22</f>
        <v>0</v>
      </c>
      <c r="Q21" s="18">
        <f>'FS Seychelles'!O22</f>
        <v>6210</v>
      </c>
      <c r="R21" s="18">
        <f>'FS Seychelles'!P22</f>
        <v>10241</v>
      </c>
      <c r="S21" s="18">
        <f>'FS Seychelles'!Q23</f>
        <v>10897</v>
      </c>
      <c r="T21" s="18">
        <f>'FS Seychelles'!R22</f>
        <v>7476</v>
      </c>
      <c r="U21" s="18">
        <f>'FS Seychelles'!T22</f>
        <v>68</v>
      </c>
      <c r="V21" s="18">
        <f>'FS Seychelles'!U22</f>
        <v>35</v>
      </c>
      <c r="W21" s="18">
        <f>'FS Seychelles'!V22</f>
        <v>85</v>
      </c>
      <c r="X21" s="18">
        <f>'FS Seychelles'!W22</f>
        <v>162</v>
      </c>
      <c r="Y21" s="18">
        <f>'FS Seychelles'!X22</f>
        <v>121</v>
      </c>
      <c r="Z21" s="18">
        <f>'FS Seychelles'!Y22</f>
        <v>103</v>
      </c>
      <c r="AA21" s="18">
        <f>'FS Seychelles'!Z22</f>
        <v>0</v>
      </c>
      <c r="AB21" s="18">
        <f>TOTAL!G21</f>
        <v>356.45161290322579</v>
      </c>
    </row>
    <row r="22" spans="1:28" x14ac:dyDescent="0.25">
      <c r="A22" s="1" t="s">
        <v>13</v>
      </c>
      <c r="B22" s="11">
        <f t="shared" si="0"/>
        <v>21</v>
      </c>
      <c r="C22" s="11">
        <v>8</v>
      </c>
      <c r="D22" s="11">
        <v>2021</v>
      </c>
      <c r="E22" s="18">
        <f>'FS Seychelles'!B23</f>
        <v>41.56</v>
      </c>
      <c r="F22" s="18">
        <f>'FS Seychelles'!D23*1000</f>
        <v>2191.8719999999998</v>
      </c>
      <c r="G22" s="18">
        <f>'FS Seychelles'!E23*1000</f>
        <v>3545.0879999999997</v>
      </c>
      <c r="H22" s="18">
        <f>'FS Seychelles'!F23*1000</f>
        <v>4715.5199999999995</v>
      </c>
      <c r="I22" s="18">
        <f>'FS Seychelles'!G23*1000</f>
        <v>1478.144</v>
      </c>
      <c r="J22" s="18">
        <f>'FS Seychelles'!H23*1000</f>
        <v>2246.4</v>
      </c>
      <c r="K22" s="18">
        <f>'FS Seychelles'!I23*1000</f>
        <v>2698.752</v>
      </c>
      <c r="L22" s="18">
        <f>'FS Seychelles'!J23*1000</f>
        <v>1352.192</v>
      </c>
      <c r="M22" s="18">
        <f>'FS Seychelles'!K23*1000</f>
        <v>1640.704</v>
      </c>
      <c r="N22" s="18">
        <f>'FS Seychelles'!L23*1000</f>
        <v>3506.6880000000001</v>
      </c>
      <c r="O22" s="18">
        <f>'FS Seychelles'!M23</f>
        <v>0</v>
      </c>
      <c r="P22" s="18">
        <f>'FS Seychelles'!N23</f>
        <v>0</v>
      </c>
      <c r="Q22" s="18">
        <f>'FS Seychelles'!O23</f>
        <v>5308</v>
      </c>
      <c r="R22" s="18">
        <f>'FS Seychelles'!P23</f>
        <v>8685</v>
      </c>
      <c r="S22" s="18">
        <f>'FS Seychelles'!Q24</f>
        <v>7479</v>
      </c>
      <c r="T22" s="18">
        <f>'FS Seychelles'!R23</f>
        <v>7106</v>
      </c>
      <c r="U22" s="18">
        <f>'FS Seychelles'!T23</f>
        <v>59</v>
      </c>
      <c r="V22" s="18">
        <f>'FS Seychelles'!U23</f>
        <v>0</v>
      </c>
      <c r="W22" s="18">
        <f>'FS Seychelles'!V23</f>
        <v>77</v>
      </c>
      <c r="X22" s="18">
        <f>'FS Seychelles'!W23</f>
        <v>201</v>
      </c>
      <c r="Y22" s="18">
        <f>'FS Seychelles'!X23</f>
        <v>102</v>
      </c>
      <c r="Z22" s="18">
        <f>'FS Seychelles'!Y23</f>
        <v>104</v>
      </c>
      <c r="AA22" s="18">
        <f>'FS Seychelles'!Z23</f>
        <v>0</v>
      </c>
      <c r="AB22" s="18">
        <f>TOTAL!G22</f>
        <v>356.45161290322579</v>
      </c>
    </row>
    <row r="23" spans="1:28" x14ac:dyDescent="0.25">
      <c r="A23" s="1" t="s">
        <v>13</v>
      </c>
      <c r="B23" s="11">
        <f t="shared" si="0"/>
        <v>22</v>
      </c>
      <c r="C23" s="11">
        <v>8</v>
      </c>
      <c r="D23" s="11">
        <v>2021</v>
      </c>
      <c r="E23" s="18">
        <f>'FS Seychelles'!B24</f>
        <v>48.05</v>
      </c>
      <c r="F23" s="18">
        <f>'FS Seychelles'!D24*1000</f>
        <v>2249.4719999999998</v>
      </c>
      <c r="G23" s="18">
        <f>'FS Seychelles'!E24*1000</f>
        <v>3620.3519999999999</v>
      </c>
      <c r="H23" s="18">
        <f>'FS Seychelles'!F24*1000</f>
        <v>4888.576</v>
      </c>
      <c r="I23" s="18">
        <f>'FS Seychelles'!G24*1000</f>
        <v>1371.6479999999999</v>
      </c>
      <c r="J23" s="18">
        <f>'FS Seychelles'!H24*1000</f>
        <v>2043.136</v>
      </c>
      <c r="K23" s="18">
        <f>'FS Seychelles'!I24*1000</f>
        <v>2862.848</v>
      </c>
      <c r="L23" s="18">
        <f>'FS Seychelles'!J24*1000</f>
        <v>1345.664</v>
      </c>
      <c r="M23" s="18">
        <f>'FS Seychelles'!K24*1000</f>
        <v>1614.08</v>
      </c>
      <c r="N23" s="18">
        <f>'FS Seychelles'!L24*1000</f>
        <v>3298.8159999999998</v>
      </c>
      <c r="O23" s="18">
        <f>'FS Seychelles'!M24</f>
        <v>0</v>
      </c>
      <c r="P23" s="18">
        <f>'FS Seychelles'!N24</f>
        <v>0</v>
      </c>
      <c r="Q23" s="18">
        <f>'FS Seychelles'!O24</f>
        <v>6287</v>
      </c>
      <c r="R23" s="18">
        <f>'FS Seychelles'!P24</f>
        <v>11203</v>
      </c>
      <c r="S23" s="18">
        <f>'FS Seychelles'!Q25</f>
        <v>5276</v>
      </c>
      <c r="T23" s="18">
        <f>'FS Seychelles'!R24</f>
        <v>6811</v>
      </c>
      <c r="U23" s="18">
        <f>'FS Seychelles'!T24</f>
        <v>57</v>
      </c>
      <c r="V23" s="18">
        <f>'FS Seychelles'!U24</f>
        <v>66</v>
      </c>
      <c r="W23" s="18">
        <f>'FS Seychelles'!V24</f>
        <v>70</v>
      </c>
      <c r="X23" s="18">
        <f>'FS Seychelles'!W24</f>
        <v>127</v>
      </c>
      <c r="Y23" s="18">
        <f>'FS Seychelles'!X24</f>
        <v>109</v>
      </c>
      <c r="Z23" s="18">
        <f>'FS Seychelles'!Y24</f>
        <v>101</v>
      </c>
      <c r="AA23" s="18">
        <f>'FS Seychelles'!Z24</f>
        <v>0</v>
      </c>
      <c r="AB23" s="18">
        <f>TOTAL!G23</f>
        <v>356.45161290322579</v>
      </c>
    </row>
    <row r="24" spans="1:28" x14ac:dyDescent="0.25">
      <c r="A24" s="1" t="s">
        <v>13</v>
      </c>
      <c r="B24" s="11">
        <f t="shared" si="0"/>
        <v>23</v>
      </c>
      <c r="C24" s="11">
        <v>8</v>
      </c>
      <c r="D24" s="11">
        <v>2021</v>
      </c>
      <c r="E24" s="18">
        <f>'FS Seychelles'!B25</f>
        <v>48.05</v>
      </c>
      <c r="F24" s="18">
        <f>'FS Seychelles'!D25*1000</f>
        <v>2085.12</v>
      </c>
      <c r="G24" s="18">
        <f>'FS Seychelles'!E25*1000</f>
        <v>3647.4880000000003</v>
      </c>
      <c r="H24" s="18">
        <f>'FS Seychelles'!F25*1000</f>
        <v>4755.9679999999998</v>
      </c>
      <c r="I24" s="18">
        <f>'FS Seychelles'!G25*1000</f>
        <v>1411.0720000000001</v>
      </c>
      <c r="J24" s="18">
        <f>'FS Seychelles'!H25*1000</f>
        <v>2051.5840000000003</v>
      </c>
      <c r="K24" s="18">
        <f>'FS Seychelles'!I25*1000</f>
        <v>2736.1279999999997</v>
      </c>
      <c r="L24" s="18">
        <f>'FS Seychelles'!J25*1000</f>
        <v>1390.9759999999999</v>
      </c>
      <c r="M24" s="18">
        <f>'FS Seychelles'!K25*1000</f>
        <v>1576.7040000000002</v>
      </c>
      <c r="N24" s="18">
        <f>'FS Seychelles'!L25*1000</f>
        <v>3474.944</v>
      </c>
      <c r="O24" s="18">
        <f>'FS Seychelles'!M25</f>
        <v>0</v>
      </c>
      <c r="P24" s="18">
        <f>'FS Seychelles'!N25</f>
        <v>0</v>
      </c>
      <c r="Q24" s="18">
        <f>'FS Seychelles'!O25</f>
        <v>4930</v>
      </c>
      <c r="R24" s="18">
        <f>'FS Seychelles'!P25</f>
        <v>11594</v>
      </c>
      <c r="S24" s="18">
        <f>'FS Seychelles'!Q25</f>
        <v>5276</v>
      </c>
      <c r="T24" s="18">
        <f>'FS Seychelles'!R25</f>
        <v>6011</v>
      </c>
      <c r="U24" s="18">
        <f>'FS Seychelles'!T25</f>
        <v>62</v>
      </c>
      <c r="V24" s="18">
        <f>'FS Seychelles'!U25</f>
        <v>0</v>
      </c>
      <c r="W24" s="18">
        <f>'FS Seychelles'!V25</f>
        <v>81</v>
      </c>
      <c r="X24" s="18">
        <f>'FS Seychelles'!W25</f>
        <v>126</v>
      </c>
      <c r="Y24" s="18">
        <f>'FS Seychelles'!X25</f>
        <v>88</v>
      </c>
      <c r="Z24" s="18">
        <f>'FS Seychelles'!Y25</f>
        <v>97</v>
      </c>
      <c r="AA24" s="18">
        <f>'FS Seychelles'!Z25</f>
        <v>0</v>
      </c>
      <c r="AB24" s="18">
        <f>TOTAL!G24</f>
        <v>356.45161290322579</v>
      </c>
    </row>
    <row r="25" spans="1:28" x14ac:dyDescent="0.25">
      <c r="A25" s="1" t="s">
        <v>13</v>
      </c>
      <c r="B25" s="11">
        <f t="shared" si="0"/>
        <v>24</v>
      </c>
      <c r="C25" s="11">
        <v>8</v>
      </c>
      <c r="D25" s="11">
        <v>2021</v>
      </c>
      <c r="E25" s="18">
        <f>'FS Seychelles'!B26</f>
        <v>40.26</v>
      </c>
      <c r="F25" s="18">
        <f>'FS Seychelles'!D26*1000</f>
        <v>2288.384</v>
      </c>
      <c r="G25" s="18">
        <f>'FS Seychelles'!E26*1000</f>
        <v>3742.2080000000001</v>
      </c>
      <c r="H25" s="18">
        <f>'FS Seychelles'!F26*1000</f>
        <v>4659.2</v>
      </c>
      <c r="I25" s="18">
        <f>'FS Seychelles'!G26*1000</f>
        <v>1374.9759999999999</v>
      </c>
      <c r="J25" s="18">
        <f>'FS Seychelles'!H26*1000</f>
        <v>1995.2639999999999</v>
      </c>
      <c r="K25" s="18">
        <f>'FS Seychelles'!I26*1000</f>
        <v>2828.5439999999999</v>
      </c>
      <c r="L25" s="18">
        <f>'FS Seychelles'!J26*1000</f>
        <v>1047.808</v>
      </c>
      <c r="M25" s="18">
        <f>'FS Seychelles'!K26*1000</f>
        <v>1586.6880000000001</v>
      </c>
      <c r="N25" s="18">
        <f>'FS Seychelles'!L26*1000</f>
        <v>3192.32</v>
      </c>
      <c r="O25" s="18">
        <f>'FS Seychelles'!M26</f>
        <v>0</v>
      </c>
      <c r="P25" s="18">
        <f>'FS Seychelles'!N26</f>
        <v>0</v>
      </c>
      <c r="Q25" s="18">
        <f>'FS Seychelles'!O26</f>
        <v>8026</v>
      </c>
      <c r="R25" s="18">
        <f>'FS Seychelles'!P26</f>
        <v>9179</v>
      </c>
      <c r="S25" s="18">
        <f>'FS Seychelles'!Q26</f>
        <v>8572</v>
      </c>
      <c r="T25" s="18">
        <f>'FS Seychelles'!R26</f>
        <v>6933</v>
      </c>
      <c r="U25" s="18">
        <f>'FS Seychelles'!T26</f>
        <v>65</v>
      </c>
      <c r="V25" s="18">
        <f>'FS Seychelles'!U26</f>
        <v>28</v>
      </c>
      <c r="W25" s="18">
        <f>'FS Seychelles'!V26</f>
        <v>87</v>
      </c>
      <c r="X25" s="18">
        <f>'FS Seychelles'!W26</f>
        <v>161</v>
      </c>
      <c r="Y25" s="18">
        <f>'FS Seychelles'!X26</f>
        <v>106</v>
      </c>
      <c r="Z25" s="18">
        <f>'FS Seychelles'!Y26</f>
        <v>112</v>
      </c>
      <c r="AA25" s="18">
        <f>'FS Seychelles'!Z26</f>
        <v>0</v>
      </c>
      <c r="AB25" s="18">
        <f>TOTAL!G25</f>
        <v>356.45161290322579</v>
      </c>
    </row>
    <row r="26" spans="1:28" x14ac:dyDescent="0.25">
      <c r="A26" s="1" t="s">
        <v>13</v>
      </c>
      <c r="B26" s="11">
        <f>B25+1</f>
        <v>25</v>
      </c>
      <c r="C26" s="11">
        <v>8</v>
      </c>
      <c r="D26" s="11">
        <v>2021</v>
      </c>
      <c r="E26" s="18">
        <f>'FS Seychelles'!B27</f>
        <v>49.35</v>
      </c>
      <c r="F26" s="18">
        <f>'FS Seychelles'!D27*1000</f>
        <v>2370.8160000000003</v>
      </c>
      <c r="G26" s="18">
        <f>'FS Seychelles'!E27*1000</f>
        <v>4115.9679999999998</v>
      </c>
      <c r="H26" s="18">
        <f>'FS Seychelles'!F27*1000</f>
        <v>4892.6720000000005</v>
      </c>
      <c r="I26" s="18">
        <f>'FS Seychelles'!G27*1000</f>
        <v>1340.9279999999999</v>
      </c>
      <c r="J26" s="18">
        <f>'FS Seychelles'!H27*1000</f>
        <v>2082.3040000000001</v>
      </c>
      <c r="K26" s="18">
        <f>'FS Seychelles'!I27*1000</f>
        <v>2993.6639999999998</v>
      </c>
      <c r="L26" s="18">
        <f>'FS Seychelles'!J27*1000</f>
        <v>1428.096</v>
      </c>
      <c r="M26" s="18">
        <f>'FS Seychelles'!K27*1000</f>
        <v>1557.5039999999999</v>
      </c>
      <c r="N26" s="18">
        <f>'FS Seychelles'!L27*1000</f>
        <v>3639.2959999999998</v>
      </c>
      <c r="O26" s="18">
        <f>'FS Seychelles'!M27</f>
        <v>0</v>
      </c>
      <c r="P26" s="18">
        <f>'FS Seychelles'!N27</f>
        <v>0</v>
      </c>
      <c r="Q26" s="18">
        <f>'FS Seychelles'!O27</f>
        <v>8407</v>
      </c>
      <c r="R26" s="18">
        <f>'FS Seychelles'!P27</f>
        <v>9308</v>
      </c>
      <c r="S26" s="18">
        <f>'FS Seychelles'!Q27</f>
        <v>8433</v>
      </c>
      <c r="T26" s="18">
        <f>'FS Seychelles'!R27</f>
        <v>7151</v>
      </c>
      <c r="U26" s="18">
        <f>'FS Seychelles'!T27</f>
        <v>69</v>
      </c>
      <c r="V26" s="18">
        <f>'FS Seychelles'!U27</f>
        <v>29</v>
      </c>
      <c r="W26" s="18">
        <f>'FS Seychelles'!V27</f>
        <v>83</v>
      </c>
      <c r="X26" s="18">
        <f>'FS Seychelles'!W27</f>
        <v>161</v>
      </c>
      <c r="Y26" s="18">
        <f>'FS Seychelles'!X27</f>
        <v>102</v>
      </c>
      <c r="Z26" s="18">
        <f>'FS Seychelles'!Y27</f>
        <v>151</v>
      </c>
      <c r="AA26" s="18">
        <f>'FS Seychelles'!Z27</f>
        <v>0</v>
      </c>
      <c r="AB26" s="18">
        <f>TOTAL!G26</f>
        <v>356.45161290322579</v>
      </c>
    </row>
    <row r="27" spans="1:28" x14ac:dyDescent="0.25">
      <c r="A27" s="1" t="s">
        <v>13</v>
      </c>
      <c r="B27" s="11">
        <f t="shared" si="0"/>
        <v>26</v>
      </c>
      <c r="C27" s="11">
        <v>8</v>
      </c>
      <c r="D27" s="11">
        <v>2021</v>
      </c>
      <c r="E27" s="18">
        <f>'FS Seychelles'!B28</f>
        <v>49.37</v>
      </c>
      <c r="F27" s="18">
        <f>'FS Seychelles'!D28*1000</f>
        <v>2345.2160000000003</v>
      </c>
      <c r="G27" s="18">
        <f>'FS Seychelles'!E28*1000</f>
        <v>3851.7760000000003</v>
      </c>
      <c r="H27" s="18">
        <f>'FS Seychelles'!F28*1000</f>
        <v>4704.768</v>
      </c>
      <c r="I27" s="18">
        <f>'FS Seychelles'!G28*1000</f>
        <v>1361.92</v>
      </c>
      <c r="J27" s="18">
        <f>'FS Seychelles'!H28*1000</f>
        <v>2131.9680000000003</v>
      </c>
      <c r="K27" s="18">
        <f>'FS Seychelles'!I28*1000</f>
        <v>3067.904</v>
      </c>
      <c r="L27" s="18">
        <f>'FS Seychelles'!J28*1000</f>
        <v>1426.1760000000002</v>
      </c>
      <c r="M27" s="18">
        <f>'FS Seychelles'!K28*1000</f>
        <v>1539.328</v>
      </c>
      <c r="N27" s="18">
        <f>'FS Seychelles'!L28*1000</f>
        <v>3655.68</v>
      </c>
      <c r="O27" s="18">
        <f>'FS Seychelles'!M28</f>
        <v>0</v>
      </c>
      <c r="P27" s="18">
        <f>'FS Seychelles'!N28</f>
        <v>0</v>
      </c>
      <c r="Q27" s="18">
        <f>'FS Seychelles'!O28</f>
        <v>9480</v>
      </c>
      <c r="R27" s="18">
        <f>'FS Seychelles'!P28</f>
        <v>9401</v>
      </c>
      <c r="S27" s="18">
        <f>'FS Seychelles'!Q28</f>
        <v>6115</v>
      </c>
      <c r="T27" s="18">
        <f>'FS Seychelles'!R28</f>
        <v>6722</v>
      </c>
      <c r="U27" s="18">
        <f>'FS Seychelles'!T28</f>
        <v>63</v>
      </c>
      <c r="V27" s="18">
        <f>'FS Seychelles'!U28</f>
        <v>38</v>
      </c>
      <c r="W27" s="18">
        <f>'FS Seychelles'!V28</f>
        <v>100</v>
      </c>
      <c r="X27" s="18">
        <f>'FS Seychelles'!W28</f>
        <v>169</v>
      </c>
      <c r="Y27" s="18">
        <f>'FS Seychelles'!X28</f>
        <v>103</v>
      </c>
      <c r="Z27" s="18">
        <f>'FS Seychelles'!Y28</f>
        <v>89</v>
      </c>
      <c r="AA27" s="18">
        <f>'FS Seychelles'!Z28</f>
        <v>0</v>
      </c>
      <c r="AB27" s="18">
        <f>TOTAL!G27</f>
        <v>356.45161290322579</v>
      </c>
    </row>
    <row r="28" spans="1:28" x14ac:dyDescent="0.25">
      <c r="A28" s="1" t="s">
        <v>13</v>
      </c>
      <c r="B28" s="11">
        <f t="shared" si="0"/>
        <v>27</v>
      </c>
      <c r="C28" s="11">
        <v>8</v>
      </c>
      <c r="D28" s="11">
        <v>2021</v>
      </c>
      <c r="E28" s="18">
        <f>'FS Seychelles'!B29</f>
        <v>45.57</v>
      </c>
      <c r="F28" s="18">
        <f>'FS Seychelles'!D29*1000</f>
        <v>2414.5919999999996</v>
      </c>
      <c r="G28" s="18">
        <f>'FS Seychelles'!E29*1000</f>
        <v>3674.6240000000003</v>
      </c>
      <c r="H28" s="18">
        <f>'FS Seychelles'!F29*1000</f>
        <v>4417.0239999999994</v>
      </c>
      <c r="I28" s="18">
        <f>'FS Seychelles'!G29*1000</f>
        <v>1401.856</v>
      </c>
      <c r="J28" s="18">
        <f>'FS Seychelles'!H29*1000</f>
        <v>2236.9279999999999</v>
      </c>
      <c r="K28" s="18">
        <f>'FS Seychelles'!I29*1000</f>
        <v>3072.2559999999999</v>
      </c>
      <c r="L28" s="18">
        <f>'FS Seychelles'!J29*1000</f>
        <v>1396.6080000000002</v>
      </c>
      <c r="M28" s="18">
        <f>'FS Seychelles'!K29*1000</f>
        <v>1530.3679999999999</v>
      </c>
      <c r="N28" s="18">
        <f>'FS Seychelles'!L29*1000</f>
        <v>3578.8799999999997</v>
      </c>
      <c r="O28" s="18">
        <f>'FS Seychelles'!M29</f>
        <v>0</v>
      </c>
      <c r="P28" s="18">
        <f>'FS Seychelles'!N29</f>
        <v>4561</v>
      </c>
      <c r="Q28" s="18">
        <f>'FS Seychelles'!O29</f>
        <v>9119</v>
      </c>
      <c r="R28" s="18">
        <f>'FS Seychelles'!P29</f>
        <v>5963</v>
      </c>
      <c r="S28" s="18">
        <f>'FS Seychelles'!Q29</f>
        <v>6094</v>
      </c>
      <c r="T28" s="18">
        <f>'FS Seychelles'!R29</f>
        <v>7085</v>
      </c>
      <c r="U28" s="18">
        <f>'FS Seychelles'!T29</f>
        <v>69</v>
      </c>
      <c r="V28" s="18">
        <f>'FS Seychelles'!U29</f>
        <v>9</v>
      </c>
      <c r="W28" s="18">
        <f>'FS Seychelles'!V29</f>
        <v>104</v>
      </c>
      <c r="X28" s="18">
        <f>'FS Seychelles'!W29</f>
        <v>128</v>
      </c>
      <c r="Y28" s="18">
        <f>'FS Seychelles'!X29</f>
        <v>116</v>
      </c>
      <c r="Z28" s="18">
        <f>'FS Seychelles'!Y29</f>
        <v>144</v>
      </c>
      <c r="AA28" s="18">
        <f>'FS Seychelles'!Z29</f>
        <v>0</v>
      </c>
      <c r="AB28" s="18">
        <f>TOTAL!G28</f>
        <v>356.45161290322579</v>
      </c>
    </row>
    <row r="29" spans="1:28" x14ac:dyDescent="0.25">
      <c r="A29" s="1" t="s">
        <v>13</v>
      </c>
      <c r="B29" s="11">
        <f t="shared" si="0"/>
        <v>28</v>
      </c>
      <c r="C29" s="11">
        <v>8</v>
      </c>
      <c r="D29" s="11">
        <v>2021</v>
      </c>
      <c r="E29" s="18">
        <f>'FS Seychelles'!B30</f>
        <v>36.71</v>
      </c>
      <c r="F29" s="18">
        <f>'FS Seychelles'!D30*1000</f>
        <v>2323.712</v>
      </c>
      <c r="G29" s="18">
        <f>'FS Seychelles'!E30*1000</f>
        <v>3817.4719999999998</v>
      </c>
      <c r="H29" s="18">
        <f>'FS Seychelles'!F30*1000</f>
        <v>4582.9120000000003</v>
      </c>
      <c r="I29" s="18">
        <f>'FS Seychelles'!G30*1000</f>
        <v>1362.944</v>
      </c>
      <c r="J29" s="18">
        <f>'FS Seychelles'!H30*1000</f>
        <v>2092.288</v>
      </c>
      <c r="K29" s="18">
        <f>'FS Seychelles'!I30*1000</f>
        <v>2737.152</v>
      </c>
      <c r="L29" s="18">
        <f>'FS Seychelles'!J30*1000</f>
        <v>1475.8400000000001</v>
      </c>
      <c r="M29" s="18">
        <f>'FS Seychelles'!K30*1000</f>
        <v>1486.5919999999999</v>
      </c>
      <c r="N29" s="18">
        <f>'FS Seychelles'!L30*1000</f>
        <v>3512.3199999999997</v>
      </c>
      <c r="O29" s="18">
        <f>'FS Seychelles'!M30</f>
        <v>0</v>
      </c>
      <c r="P29" s="18">
        <f>'FS Seychelles'!N30</f>
        <v>0</v>
      </c>
      <c r="Q29" s="18">
        <f>'FS Seychelles'!O30</f>
        <v>10859</v>
      </c>
      <c r="R29" s="18">
        <f>'FS Seychelles'!P30</f>
        <v>6455</v>
      </c>
      <c r="S29" s="18">
        <f>'FS Seychelles'!Q30</f>
        <v>7250</v>
      </c>
      <c r="T29" s="18">
        <f>'FS Seychelles'!R30</f>
        <v>6695</v>
      </c>
      <c r="U29" s="18">
        <f>'FS Seychelles'!T30</f>
        <v>57</v>
      </c>
      <c r="V29" s="18">
        <f>'FS Seychelles'!U30</f>
        <v>34</v>
      </c>
      <c r="W29" s="18">
        <f>'FS Seychelles'!V30</f>
        <v>107</v>
      </c>
      <c r="X29" s="18">
        <f>'FS Seychelles'!W30</f>
        <v>161</v>
      </c>
      <c r="Y29" s="18">
        <f>'FS Seychelles'!X30</f>
        <v>140</v>
      </c>
      <c r="Z29" s="18">
        <f>'FS Seychelles'!Y30</f>
        <v>151</v>
      </c>
      <c r="AA29" s="18">
        <f>'FS Seychelles'!Z30</f>
        <v>0</v>
      </c>
      <c r="AB29" s="18">
        <f>TOTAL!G29</f>
        <v>356.45161290322579</v>
      </c>
    </row>
    <row r="30" spans="1:28" x14ac:dyDescent="0.25">
      <c r="A30" s="1" t="s">
        <v>13</v>
      </c>
      <c r="B30" s="11">
        <f t="shared" si="0"/>
        <v>29</v>
      </c>
      <c r="C30" s="11">
        <v>8</v>
      </c>
      <c r="D30" s="11">
        <v>2021</v>
      </c>
      <c r="E30" s="18">
        <f>'FS Seychelles'!B31</f>
        <v>32.47</v>
      </c>
      <c r="F30" s="18">
        <f>'FS Seychelles'!D31*1000</f>
        <v>2552.3199999999997</v>
      </c>
      <c r="G30" s="18">
        <f>'FS Seychelles'!E31*1000</f>
        <v>4037.12</v>
      </c>
      <c r="H30" s="18">
        <f>'FS Seychelles'!F31*1000</f>
        <v>4619.7759999999998</v>
      </c>
      <c r="I30" s="18">
        <f>'FS Seychelles'!G31*1000</f>
        <v>1469.184</v>
      </c>
      <c r="J30" s="18">
        <f>'FS Seychelles'!H31*1000</f>
        <v>2159.36</v>
      </c>
      <c r="K30" s="18">
        <f>'FS Seychelles'!I31*1000</f>
        <v>3472.1280000000002</v>
      </c>
      <c r="L30" s="18">
        <f>'FS Seychelles'!J31*1000</f>
        <v>1487.3600000000001</v>
      </c>
      <c r="M30" s="18">
        <f>'FS Seychelles'!K31*1000</f>
        <v>1552.384</v>
      </c>
      <c r="N30" s="18">
        <f>'FS Seychelles'!L31*1000</f>
        <v>3486.2080000000001</v>
      </c>
      <c r="O30" s="18">
        <f>'FS Seychelles'!M31</f>
        <v>0</v>
      </c>
      <c r="P30" s="18">
        <f>'FS Seychelles'!N31</f>
        <v>0</v>
      </c>
      <c r="Q30" s="18">
        <f>'FS Seychelles'!O31</f>
        <v>10870</v>
      </c>
      <c r="R30" s="18">
        <f>'FS Seychelles'!P31</f>
        <v>8033</v>
      </c>
      <c r="S30" s="18">
        <f>'FS Seychelles'!Q31</f>
        <v>7657</v>
      </c>
      <c r="T30" s="18">
        <f>'FS Seychelles'!R31</f>
        <v>7075</v>
      </c>
      <c r="U30" s="18">
        <f>'FS Seychelles'!T31</f>
        <v>60</v>
      </c>
      <c r="V30" s="18">
        <f>'FS Seychelles'!U31</f>
        <v>42</v>
      </c>
      <c r="W30" s="18">
        <f>'FS Seychelles'!V31</f>
        <v>87</v>
      </c>
      <c r="X30" s="18">
        <f>'FS Seychelles'!W31</f>
        <v>162</v>
      </c>
      <c r="Y30" s="18">
        <f>'FS Seychelles'!X31</f>
        <v>105</v>
      </c>
      <c r="Z30" s="18">
        <f>'FS Seychelles'!Y31</f>
        <v>158</v>
      </c>
      <c r="AA30" s="18">
        <f>'FS Seychelles'!Z31</f>
        <v>0</v>
      </c>
      <c r="AB30" s="18">
        <f>TOTAL!G30</f>
        <v>356.45161290322579</v>
      </c>
    </row>
    <row r="31" spans="1:28" x14ac:dyDescent="0.25">
      <c r="A31" s="1" t="s">
        <v>13</v>
      </c>
      <c r="B31" s="11">
        <f t="shared" si="0"/>
        <v>30</v>
      </c>
      <c r="C31" s="11">
        <v>8</v>
      </c>
      <c r="D31" s="11">
        <v>2021</v>
      </c>
      <c r="E31" s="18">
        <f>'FS Seychelles'!B32</f>
        <v>34.92</v>
      </c>
      <c r="F31" s="18">
        <f>'FS Seychelles'!D32*1000</f>
        <v>2791.68</v>
      </c>
      <c r="G31" s="18">
        <f>'FS Seychelles'!E32*1000</f>
        <v>3721.7280000000001</v>
      </c>
      <c r="H31" s="18">
        <f>'FS Seychelles'!F32*1000</f>
        <v>4605.4399999999996</v>
      </c>
      <c r="I31" s="18">
        <f>'FS Seychelles'!G32*1000</f>
        <v>1630.4639999999999</v>
      </c>
      <c r="J31" s="18">
        <f>'FS Seychelles'!H32*1000</f>
        <v>2826.4960000000001</v>
      </c>
      <c r="K31" s="18">
        <f>'FS Seychelles'!I32*1000</f>
        <v>3422.72</v>
      </c>
      <c r="L31" s="18">
        <f>'FS Seychelles'!J32*1000</f>
        <v>1430.6559999999999</v>
      </c>
      <c r="M31" s="18">
        <f>'FS Seychelles'!K32*1000</f>
        <v>1924.8639999999998</v>
      </c>
      <c r="N31" s="18">
        <f>'FS Seychelles'!L32*1000</f>
        <v>3562.4960000000001</v>
      </c>
      <c r="O31" s="18">
        <f>'FS Seychelles'!M32</f>
        <v>0</v>
      </c>
      <c r="P31" s="18">
        <f>'FS Seychelles'!N32</f>
        <v>1153</v>
      </c>
      <c r="Q31" s="18">
        <f>'FS Seychelles'!O32</f>
        <v>6145</v>
      </c>
      <c r="R31" s="18">
        <f>'FS Seychelles'!P32</f>
        <v>7552</v>
      </c>
      <c r="S31" s="18">
        <f>'FS Seychelles'!Q32</f>
        <v>11524</v>
      </c>
      <c r="T31" s="18">
        <f>'FS Seychelles'!R32</f>
        <v>7382</v>
      </c>
      <c r="U31" s="18">
        <f>'FS Seychelles'!T32</f>
        <v>59</v>
      </c>
      <c r="V31" s="18">
        <f>'FS Seychelles'!U32</f>
        <v>24</v>
      </c>
      <c r="W31" s="18">
        <f>'FS Seychelles'!V32</f>
        <v>67</v>
      </c>
      <c r="X31" s="18">
        <f>'FS Seychelles'!W32</f>
        <v>179</v>
      </c>
      <c r="Y31" s="18">
        <f>'FS Seychelles'!X32</f>
        <v>124</v>
      </c>
      <c r="Z31" s="18">
        <f>'FS Seychelles'!Y32</f>
        <v>102</v>
      </c>
      <c r="AA31" s="18">
        <f>'FS Seychelles'!Z32</f>
        <v>0</v>
      </c>
      <c r="AB31" s="18">
        <f>TOTAL!G31</f>
        <v>356.45161290322579</v>
      </c>
    </row>
    <row r="32" spans="1:28" x14ac:dyDescent="0.25">
      <c r="A32" s="1" t="s">
        <v>13</v>
      </c>
      <c r="B32" s="11">
        <v>31</v>
      </c>
      <c r="C32" s="11">
        <v>8</v>
      </c>
      <c r="D32" s="11">
        <v>2021</v>
      </c>
      <c r="E32" s="18">
        <f>'FS Seychelles'!B33</f>
        <v>37.93</v>
      </c>
      <c r="F32" s="18">
        <f>'FS Seychelles'!D33*1000</f>
        <v>2608.8960000000002</v>
      </c>
      <c r="G32" s="18">
        <f>'FS Seychelles'!E33*1000</f>
        <v>3971.5839999999998</v>
      </c>
      <c r="H32" s="18">
        <f>'FS Seychelles'!F33*1000</f>
        <v>4597.2479999999996</v>
      </c>
      <c r="I32" s="18">
        <f>'FS Seychelles'!G33*1000</f>
        <v>1638.4</v>
      </c>
      <c r="J32" s="18">
        <f>'FS Seychelles'!H33*1000</f>
        <v>2982.4</v>
      </c>
      <c r="K32" s="18">
        <f>'FS Seychelles'!I33*1000</f>
        <v>3620.3519999999999</v>
      </c>
      <c r="L32" s="18">
        <f>'FS Seychelles'!J33*1000</f>
        <v>1527.296</v>
      </c>
      <c r="M32" s="18">
        <f>'FS Seychelles'!K33*1000</f>
        <v>2188.8000000000002</v>
      </c>
      <c r="N32" s="18">
        <f>'FS Seychelles'!L33*1000</f>
        <v>3675.6479999999997</v>
      </c>
      <c r="O32" s="18">
        <f>'FS Seychelles'!M33</f>
        <v>0</v>
      </c>
      <c r="P32" s="18">
        <f>'FS Seychelles'!N33</f>
        <v>7406</v>
      </c>
      <c r="Q32" s="18">
        <f>'FS Seychelles'!O33</f>
        <v>6447</v>
      </c>
      <c r="R32" s="18">
        <f>'FS Seychelles'!P33</f>
        <v>9785</v>
      </c>
      <c r="S32" s="18">
        <f>'FS Seychelles'!Q33</f>
        <v>4425</v>
      </c>
      <c r="T32" s="18">
        <f>'FS Seychelles'!R33</f>
        <v>7471</v>
      </c>
      <c r="U32" s="18">
        <f>'FS Seychelles'!T33</f>
        <v>63</v>
      </c>
      <c r="V32" s="18">
        <f>'FS Seychelles'!U33</f>
        <v>47</v>
      </c>
      <c r="W32" s="18">
        <f>'FS Seychelles'!V33</f>
        <v>91</v>
      </c>
      <c r="X32" s="18">
        <f>'FS Seychelles'!W33</f>
        <v>153</v>
      </c>
      <c r="Y32" s="18">
        <f>'FS Seychelles'!X33</f>
        <v>109</v>
      </c>
      <c r="Z32" s="18">
        <f>'FS Seychelles'!Y33</f>
        <v>105</v>
      </c>
      <c r="AA32" s="18">
        <f>'FS Seychelles'!Z33</f>
        <v>0</v>
      </c>
      <c r="AB32" s="18">
        <f>TOTAL!G32</f>
        <v>356.45161290322579</v>
      </c>
    </row>
    <row r="33" spans="15:18" x14ac:dyDescent="0.25">
      <c r="O33" s="18">
        <f>SUM(O2:O32)</f>
        <v>0</v>
      </c>
      <c r="P33" s="18">
        <f>SUM(P2:P32)</f>
        <v>131601</v>
      </c>
      <c r="Q33" s="18">
        <f>SUM(Q2:Q32)</f>
        <v>210002</v>
      </c>
      <c r="R33" s="18">
        <f>SUM(R2:R32)</f>
        <v>253107</v>
      </c>
    </row>
    <row r="35" spans="15:18" x14ac:dyDescent="0.25">
      <c r="R35" s="18">
        <f>SUM(O33:R33)</f>
        <v>594710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9"/>
  <sheetViews>
    <sheetView zoomScaleNormal="100" workbookViewId="0">
      <pane xSplit="1" topLeftCell="G1" activePane="topRight" state="frozen"/>
      <selection pane="topRight" activeCell="C34" sqref="C34"/>
    </sheetView>
  </sheetViews>
  <sheetFormatPr defaultRowHeight="12.75" x14ac:dyDescent="0.2"/>
  <cols>
    <col min="1" max="1" width="10.5703125" style="19" bestFit="1" customWidth="1"/>
    <col min="2" max="3" width="12.7109375" style="19" customWidth="1"/>
    <col min="4" max="4" width="9.140625" style="19"/>
    <col min="5" max="9" width="9.140625" style="39"/>
    <col min="10" max="10" width="10.28515625" style="39" customWidth="1"/>
    <col min="11" max="11" width="9.140625" style="39"/>
    <col min="12" max="12" width="10.7109375" style="39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19" width="12" style="19" customWidth="1"/>
    <col min="20" max="21" width="10.7109375" style="19" customWidth="1"/>
    <col min="22" max="22" width="9.42578125" style="19" bestFit="1" customWidth="1"/>
    <col min="23" max="23" width="9.140625" style="19"/>
    <col min="24" max="24" width="8.140625" style="19" customWidth="1"/>
    <col min="25" max="25" width="9.140625" style="19"/>
    <col min="26" max="26" width="11.85546875" style="19" customWidth="1"/>
    <col min="27" max="27" width="13.5703125" style="36" customWidth="1"/>
    <col min="28" max="29" width="9.140625" style="36"/>
    <col min="30" max="16384" width="9.140625" style="19"/>
  </cols>
  <sheetData>
    <row r="1" spans="1:29" x14ac:dyDescent="0.2">
      <c r="D1" s="86"/>
      <c r="E1" s="86"/>
      <c r="F1" s="86"/>
      <c r="G1" s="86"/>
      <c r="H1" s="86"/>
      <c r="I1" s="86"/>
      <c r="J1" s="86"/>
      <c r="K1" s="86"/>
      <c r="L1" s="86"/>
      <c r="AA1" s="83"/>
      <c r="AB1" s="83"/>
      <c r="AC1" s="83"/>
    </row>
    <row r="2" spans="1:29" s="23" customFormat="1" ht="31.5" customHeight="1" x14ac:dyDescent="0.2">
      <c r="A2" s="75" t="s">
        <v>38</v>
      </c>
      <c r="B2" s="60" t="s">
        <v>39</v>
      </c>
      <c r="C2" s="72" t="s">
        <v>40</v>
      </c>
      <c r="D2" s="70" t="s">
        <v>41</v>
      </c>
      <c r="E2" s="71" t="s">
        <v>42</v>
      </c>
      <c r="F2" s="71" t="s">
        <v>43</v>
      </c>
      <c r="G2" s="71" t="s">
        <v>44</v>
      </c>
      <c r="H2" s="71" t="s">
        <v>45</v>
      </c>
      <c r="I2" s="71" t="s">
        <v>46</v>
      </c>
      <c r="J2" s="71" t="s">
        <v>47</v>
      </c>
      <c r="K2" s="71" t="s">
        <v>48</v>
      </c>
      <c r="L2" s="71" t="s">
        <v>49</v>
      </c>
      <c r="M2" s="73" t="s">
        <v>50</v>
      </c>
      <c r="N2" s="41" t="s">
        <v>51</v>
      </c>
      <c r="O2" s="41" t="s">
        <v>52</v>
      </c>
      <c r="P2" s="41" t="s">
        <v>53</v>
      </c>
      <c r="Q2" s="41" t="s">
        <v>54</v>
      </c>
      <c r="R2" s="42" t="s">
        <v>55</v>
      </c>
      <c r="S2" s="42" t="s">
        <v>56</v>
      </c>
      <c r="T2" s="40" t="s">
        <v>57</v>
      </c>
      <c r="U2" s="40" t="s">
        <v>58</v>
      </c>
      <c r="V2" s="40" t="s">
        <v>59</v>
      </c>
      <c r="W2" s="40" t="s">
        <v>60</v>
      </c>
      <c r="X2" s="40" t="s">
        <v>61</v>
      </c>
      <c r="Y2" s="40" t="s">
        <v>62</v>
      </c>
      <c r="Z2" s="43" t="s">
        <v>63</v>
      </c>
      <c r="AA2" s="94" t="s">
        <v>37</v>
      </c>
      <c r="AB2" s="94"/>
      <c r="AC2" s="94"/>
    </row>
    <row r="3" spans="1:29" ht="15" customHeight="1" x14ac:dyDescent="0.2">
      <c r="A3" s="58">
        <v>44409</v>
      </c>
      <c r="B3" s="67">
        <v>49.35</v>
      </c>
      <c r="C3" s="67">
        <v>379</v>
      </c>
      <c r="D3" s="68">
        <v>2.448896</v>
      </c>
      <c r="E3" s="66">
        <v>4.168704</v>
      </c>
      <c r="F3" s="66">
        <v>4.4513280000000002</v>
      </c>
      <c r="G3" s="66">
        <v>1.776896</v>
      </c>
      <c r="H3" s="66">
        <v>2.4104960000000002</v>
      </c>
      <c r="I3" s="66">
        <v>2.5308160000000002</v>
      </c>
      <c r="J3" s="66">
        <v>1.394304</v>
      </c>
      <c r="K3" s="66">
        <v>1.529088</v>
      </c>
      <c r="L3" s="66">
        <v>3.382784</v>
      </c>
      <c r="M3" s="74">
        <v>0</v>
      </c>
      <c r="N3" s="59">
        <v>8856</v>
      </c>
      <c r="O3" s="32">
        <v>7521</v>
      </c>
      <c r="P3" s="32">
        <v>0</v>
      </c>
      <c r="Q3" s="32">
        <v>8604</v>
      </c>
      <c r="R3" s="21">
        <f>2347+2080+2332</f>
        <v>6759</v>
      </c>
      <c r="S3" s="21">
        <v>1.01</v>
      </c>
      <c r="T3" s="31">
        <v>60</v>
      </c>
      <c r="U3" s="20">
        <v>0</v>
      </c>
      <c r="V3" s="20">
        <v>108</v>
      </c>
      <c r="W3" s="20">
        <v>147</v>
      </c>
      <c r="X3" s="20">
        <v>141</v>
      </c>
      <c r="Y3" s="31">
        <v>118</v>
      </c>
      <c r="Z3" s="35">
        <v>0</v>
      </c>
      <c r="AA3" s="95" t="s">
        <v>64</v>
      </c>
      <c r="AB3" s="95"/>
      <c r="AC3" s="95"/>
    </row>
    <row r="4" spans="1:29" ht="15" customHeight="1" x14ac:dyDescent="0.2">
      <c r="A4" s="58">
        <v>44410</v>
      </c>
      <c r="B4" s="67">
        <v>48.05</v>
      </c>
      <c r="C4" s="67">
        <v>317</v>
      </c>
      <c r="D4" s="68">
        <v>2.3162880000000001</v>
      </c>
      <c r="E4" s="66">
        <v>4.0074240000000003</v>
      </c>
      <c r="F4" s="66">
        <v>4.4042240000000001</v>
      </c>
      <c r="G4" s="66">
        <v>1.491968</v>
      </c>
      <c r="H4" s="66">
        <v>2.6117119999999998</v>
      </c>
      <c r="I4" s="66">
        <v>2.318848</v>
      </c>
      <c r="J4" s="66">
        <v>1.3917440000000001</v>
      </c>
      <c r="K4" s="66">
        <v>1.753088</v>
      </c>
      <c r="L4" s="66">
        <v>3.5343360000000001</v>
      </c>
      <c r="M4" s="65">
        <v>0</v>
      </c>
      <c r="N4" s="59">
        <v>8067</v>
      </c>
      <c r="O4" s="32">
        <v>7703</v>
      </c>
      <c r="P4" s="32">
        <v>0</v>
      </c>
      <c r="Q4" s="32">
        <v>8977</v>
      </c>
      <c r="R4" s="21">
        <f>2089+1995+2472</f>
        <v>6556</v>
      </c>
      <c r="S4" s="21">
        <v>1.01</v>
      </c>
      <c r="T4" s="31">
        <v>64</v>
      </c>
      <c r="U4" s="20">
        <v>0</v>
      </c>
      <c r="V4" s="20">
        <v>72</v>
      </c>
      <c r="W4" s="20">
        <v>129</v>
      </c>
      <c r="X4" s="20">
        <v>101</v>
      </c>
      <c r="Y4" s="31">
        <v>121</v>
      </c>
      <c r="Z4" s="35">
        <v>0</v>
      </c>
      <c r="AA4" s="33" t="s">
        <v>65</v>
      </c>
      <c r="AB4" s="38" t="s">
        <v>66</v>
      </c>
      <c r="AC4" s="33" t="s">
        <v>67</v>
      </c>
    </row>
    <row r="5" spans="1:29" ht="15" customHeight="1" x14ac:dyDescent="0.2">
      <c r="A5" s="58">
        <v>44411</v>
      </c>
      <c r="B5" s="67">
        <v>55.84</v>
      </c>
      <c r="C5" s="67">
        <v>394</v>
      </c>
      <c r="D5" s="68">
        <v>2.3994879999999998</v>
      </c>
      <c r="E5" s="66">
        <v>4.0980480000000004</v>
      </c>
      <c r="F5" s="66">
        <v>4.4252159999999998</v>
      </c>
      <c r="G5" s="66">
        <v>1.6181760000000001</v>
      </c>
      <c r="H5" s="66">
        <v>2.5797119999999998</v>
      </c>
      <c r="I5" s="66">
        <v>2.4701439999999999</v>
      </c>
      <c r="J5" s="66">
        <v>1.4324479999999999</v>
      </c>
      <c r="K5" s="66">
        <v>1.751552</v>
      </c>
      <c r="L5" s="66">
        <v>3.6480000000000001</v>
      </c>
      <c r="M5" s="65">
        <v>0</v>
      </c>
      <c r="N5" s="47">
        <v>5537</v>
      </c>
      <c r="O5" s="47">
        <v>10851</v>
      </c>
      <c r="P5" s="47">
        <v>0</v>
      </c>
      <c r="Q5" s="47">
        <v>9311</v>
      </c>
      <c r="R5" s="47">
        <f>2609+2982+1460</f>
        <v>7051</v>
      </c>
      <c r="S5" s="21">
        <v>1.01</v>
      </c>
      <c r="T5" s="31">
        <v>67</v>
      </c>
      <c r="U5" s="31">
        <v>38</v>
      </c>
      <c r="V5" s="31">
        <v>70</v>
      </c>
      <c r="W5" s="31">
        <v>118</v>
      </c>
      <c r="X5" s="31">
        <v>118</v>
      </c>
      <c r="Y5" s="31">
        <v>132</v>
      </c>
      <c r="Z5" s="35">
        <v>0</v>
      </c>
      <c r="AA5" s="34"/>
      <c r="AB5" s="81"/>
      <c r="AC5" s="34"/>
    </row>
    <row r="6" spans="1:29" ht="15" customHeight="1" x14ac:dyDescent="0.2">
      <c r="A6" s="58">
        <v>44412</v>
      </c>
      <c r="B6" s="67">
        <v>49.35</v>
      </c>
      <c r="C6" s="67">
        <v>364</v>
      </c>
      <c r="D6" s="68">
        <v>2.292224</v>
      </c>
      <c r="E6" s="66">
        <v>3.8425600000000002</v>
      </c>
      <c r="F6" s="66">
        <v>4.3750400000000003</v>
      </c>
      <c r="G6" s="66">
        <v>1.527296</v>
      </c>
      <c r="H6" s="66">
        <v>2.5687039999999999</v>
      </c>
      <c r="I6" s="66">
        <v>2.5034239999999999</v>
      </c>
      <c r="J6" s="66">
        <v>1.448064</v>
      </c>
      <c r="K6" s="66">
        <v>1.599232</v>
      </c>
      <c r="L6" s="66">
        <v>3.6264959999999999</v>
      </c>
      <c r="M6" s="65">
        <v>0</v>
      </c>
      <c r="N6" s="47">
        <v>4027</v>
      </c>
      <c r="O6" s="47">
        <v>7561</v>
      </c>
      <c r="P6" s="47">
        <v>0</v>
      </c>
      <c r="Q6" s="47">
        <v>9139</v>
      </c>
      <c r="R6" s="47">
        <f>2071+2046+1069</f>
        <v>5186</v>
      </c>
      <c r="S6" s="21">
        <v>1.01</v>
      </c>
      <c r="T6" s="31">
        <v>60</v>
      </c>
      <c r="U6" s="31">
        <v>63</v>
      </c>
      <c r="V6" s="31">
        <v>71</v>
      </c>
      <c r="W6" s="31">
        <v>136</v>
      </c>
      <c r="X6" s="31">
        <v>104</v>
      </c>
      <c r="Y6" s="31">
        <v>124</v>
      </c>
      <c r="Z6" s="35">
        <v>0</v>
      </c>
      <c r="AA6" s="34"/>
      <c r="AB6" s="81"/>
      <c r="AC6" s="34"/>
    </row>
    <row r="7" spans="1:29" ht="15" customHeight="1" x14ac:dyDescent="0.2">
      <c r="A7" s="58">
        <v>44413</v>
      </c>
      <c r="B7" s="67">
        <v>53.25</v>
      </c>
      <c r="C7" s="67">
        <v>382</v>
      </c>
      <c r="D7" s="68">
        <v>2.3175680000000001</v>
      </c>
      <c r="E7" s="66">
        <v>3.897856</v>
      </c>
      <c r="F7" s="66">
        <v>4.5050879999999998</v>
      </c>
      <c r="G7" s="66">
        <v>1.6768000000000001</v>
      </c>
      <c r="H7" s="66">
        <v>2.49472</v>
      </c>
      <c r="I7" s="66">
        <v>2.45248</v>
      </c>
      <c r="J7" s="66">
        <v>1.35168</v>
      </c>
      <c r="K7" s="66">
        <v>1.5964160000000001</v>
      </c>
      <c r="L7" s="66">
        <v>3.4585599999999999</v>
      </c>
      <c r="M7" s="65">
        <v>0</v>
      </c>
      <c r="N7" s="59">
        <v>3640</v>
      </c>
      <c r="O7" s="32">
        <v>5351</v>
      </c>
      <c r="P7" s="32">
        <v>13172</v>
      </c>
      <c r="Q7" s="32">
        <v>7821</v>
      </c>
      <c r="R7" s="21">
        <f>2572+957+1379+4218</f>
        <v>9126</v>
      </c>
      <c r="S7" s="21">
        <v>1.01</v>
      </c>
      <c r="T7" s="31">
        <v>64</v>
      </c>
      <c r="U7" s="31">
        <v>36</v>
      </c>
      <c r="V7" s="31">
        <v>108</v>
      </c>
      <c r="W7" s="31">
        <v>164</v>
      </c>
      <c r="X7" s="31">
        <v>135</v>
      </c>
      <c r="Y7" s="31">
        <v>128</v>
      </c>
      <c r="Z7" s="35">
        <v>0</v>
      </c>
      <c r="AA7" s="34">
        <v>10</v>
      </c>
      <c r="AB7" s="82">
        <v>13</v>
      </c>
      <c r="AC7" s="34">
        <f>10*13</f>
        <v>130</v>
      </c>
    </row>
    <row r="8" spans="1:29" ht="15" customHeight="1" x14ac:dyDescent="0.2">
      <c r="A8" s="58">
        <v>44414</v>
      </c>
      <c r="B8" s="67">
        <v>53.25</v>
      </c>
      <c r="C8" s="67">
        <v>354</v>
      </c>
      <c r="D8" s="68">
        <v>2.276608</v>
      </c>
      <c r="E8" s="66">
        <v>4.0202239999999998</v>
      </c>
      <c r="F8" s="66">
        <v>4.4610560000000001</v>
      </c>
      <c r="G8" s="66">
        <v>2.0183040000000001</v>
      </c>
      <c r="H8" s="66">
        <v>2.457344</v>
      </c>
      <c r="I8" s="66">
        <v>2.5006080000000002</v>
      </c>
      <c r="J8" s="66">
        <v>1.4112</v>
      </c>
      <c r="K8" s="66">
        <v>1.6248320000000001</v>
      </c>
      <c r="L8" s="66">
        <v>3.5507200000000001</v>
      </c>
      <c r="M8" s="65">
        <v>0</v>
      </c>
      <c r="N8" s="59">
        <v>3858</v>
      </c>
      <c r="O8" s="32">
        <v>5446</v>
      </c>
      <c r="P8" s="32">
        <v>8379</v>
      </c>
      <c r="Q8" s="32">
        <v>8519</v>
      </c>
      <c r="R8" s="21">
        <f>1453+2251+2296+1023</f>
        <v>7023</v>
      </c>
      <c r="S8" s="21">
        <v>1.01</v>
      </c>
      <c r="T8" s="46">
        <v>65</v>
      </c>
      <c r="U8" s="46">
        <v>0</v>
      </c>
      <c r="V8" s="46">
        <v>92</v>
      </c>
      <c r="W8" s="46">
        <v>201</v>
      </c>
      <c r="X8" s="46">
        <v>123</v>
      </c>
      <c r="Y8" s="46">
        <v>122</v>
      </c>
      <c r="Z8" s="35">
        <v>0</v>
      </c>
      <c r="AA8" s="63">
        <v>20</v>
      </c>
      <c r="AB8" s="80">
        <f>24+24+28</f>
        <v>76</v>
      </c>
      <c r="AC8" s="34">
        <f>76*20</f>
        <v>1520</v>
      </c>
    </row>
    <row r="9" spans="1:29" ht="15" customHeight="1" x14ac:dyDescent="0.2">
      <c r="A9" s="58">
        <v>44415</v>
      </c>
      <c r="B9" s="67">
        <v>42.5</v>
      </c>
      <c r="C9" s="67">
        <v>347</v>
      </c>
      <c r="D9" s="68">
        <v>2.1568000000000001</v>
      </c>
      <c r="E9" s="66">
        <v>3.817984</v>
      </c>
      <c r="F9" s="66">
        <v>4.4820479999999998</v>
      </c>
      <c r="G9" s="66">
        <v>1.74336</v>
      </c>
      <c r="H9" s="66">
        <v>2.1509119999999999</v>
      </c>
      <c r="I9" s="66">
        <v>2.312192</v>
      </c>
      <c r="J9" s="66">
        <v>1.3509119999999999</v>
      </c>
      <c r="K9" s="66">
        <v>1.6192</v>
      </c>
      <c r="L9" s="66">
        <v>3.4421759999999999</v>
      </c>
      <c r="M9" s="65">
        <v>0</v>
      </c>
      <c r="N9" s="59">
        <v>3191</v>
      </c>
      <c r="O9" s="32">
        <v>3434</v>
      </c>
      <c r="P9" s="32">
        <v>9180</v>
      </c>
      <c r="Q9" s="32">
        <v>7668</v>
      </c>
      <c r="R9" s="21">
        <f>811+2777+2165+941</f>
        <v>6694</v>
      </c>
      <c r="S9" s="21">
        <v>1.01</v>
      </c>
      <c r="T9" s="31">
        <v>64</v>
      </c>
      <c r="U9" s="20">
        <v>42</v>
      </c>
      <c r="V9" s="20">
        <v>88</v>
      </c>
      <c r="W9" s="20">
        <v>125</v>
      </c>
      <c r="X9" s="20">
        <v>156</v>
      </c>
      <c r="Y9" s="31">
        <v>66</v>
      </c>
      <c r="Z9" s="35">
        <v>0</v>
      </c>
      <c r="AA9" s="64"/>
      <c r="AB9" s="80"/>
      <c r="AC9" s="34"/>
    </row>
    <row r="10" spans="1:29" ht="15.75" customHeight="1" x14ac:dyDescent="0.2">
      <c r="A10" s="58">
        <v>44416</v>
      </c>
      <c r="B10" s="67">
        <v>51.85</v>
      </c>
      <c r="C10" s="67">
        <v>338</v>
      </c>
      <c r="D10" s="68">
        <v>2.2991359999999998</v>
      </c>
      <c r="E10" s="66">
        <v>3.8553600000000001</v>
      </c>
      <c r="F10" s="66">
        <v>4.4907519999999996</v>
      </c>
      <c r="G10" s="66">
        <v>1.769728</v>
      </c>
      <c r="H10" s="66">
        <v>2.5940479999999999</v>
      </c>
      <c r="I10" s="66">
        <v>2.4704000000000002</v>
      </c>
      <c r="J10" s="66">
        <v>1.4112</v>
      </c>
      <c r="K10" s="66">
        <v>1.6386559999999999</v>
      </c>
      <c r="L10" s="66">
        <v>3.5210240000000002</v>
      </c>
      <c r="M10" s="65">
        <v>0</v>
      </c>
      <c r="N10" s="59">
        <v>3530</v>
      </c>
      <c r="O10" s="32">
        <v>8993</v>
      </c>
      <c r="P10" s="32">
        <v>5666</v>
      </c>
      <c r="Q10" s="32">
        <v>7130</v>
      </c>
      <c r="R10" s="21">
        <f>959+2403+1647+1887</f>
        <v>6896</v>
      </c>
      <c r="S10" s="21">
        <v>1.01</v>
      </c>
      <c r="T10" s="31">
        <v>62</v>
      </c>
      <c r="U10" s="31">
        <v>70</v>
      </c>
      <c r="V10" s="31">
        <v>112</v>
      </c>
      <c r="W10" s="31">
        <v>141</v>
      </c>
      <c r="X10" s="31">
        <v>180</v>
      </c>
      <c r="Y10" s="31">
        <v>67</v>
      </c>
      <c r="Z10" s="35">
        <v>0</v>
      </c>
      <c r="AA10" s="45"/>
      <c r="AB10" s="61" t="s">
        <v>68</v>
      </c>
      <c r="AC10" s="62">
        <f>SUM(AC6:AC9)</f>
        <v>1650</v>
      </c>
    </row>
    <row r="11" spans="1:29" ht="15" customHeight="1" x14ac:dyDescent="0.2">
      <c r="A11" s="58">
        <v>44417</v>
      </c>
      <c r="B11" s="67">
        <v>54.32</v>
      </c>
      <c r="C11" s="67">
        <v>418</v>
      </c>
      <c r="D11" s="68">
        <v>2.1004800000000001</v>
      </c>
      <c r="E11" s="66">
        <v>3.7283840000000001</v>
      </c>
      <c r="F11" s="66">
        <v>4.5107200000000001</v>
      </c>
      <c r="G11" s="66">
        <v>1.875456</v>
      </c>
      <c r="H11" s="66">
        <v>2.8134399999999999</v>
      </c>
      <c r="I11" s="66">
        <v>2.4957440000000002</v>
      </c>
      <c r="J11" s="66">
        <v>1.4239999999999999</v>
      </c>
      <c r="K11" s="66">
        <v>1.545728</v>
      </c>
      <c r="L11" s="66">
        <v>3.6710400000000001</v>
      </c>
      <c r="M11" s="65">
        <v>0</v>
      </c>
      <c r="N11" s="74">
        <v>7901</v>
      </c>
      <c r="O11" s="74">
        <v>3414</v>
      </c>
      <c r="P11" s="74">
        <v>14522</v>
      </c>
      <c r="Q11" s="74">
        <v>7130</v>
      </c>
      <c r="R11" s="74">
        <f>2092+930+4161+1887</f>
        <v>9070</v>
      </c>
      <c r="S11" s="21">
        <v>1.1399999999999999</v>
      </c>
      <c r="T11" s="31">
        <v>66</v>
      </c>
      <c r="U11" s="20">
        <v>25</v>
      </c>
      <c r="V11" s="20">
        <v>98</v>
      </c>
      <c r="W11" s="20">
        <v>176</v>
      </c>
      <c r="X11" s="20">
        <v>189</v>
      </c>
      <c r="Y11" s="31">
        <v>124</v>
      </c>
      <c r="Z11" s="35">
        <v>0</v>
      </c>
      <c r="AA11" s="96" t="s">
        <v>69</v>
      </c>
      <c r="AB11" s="97"/>
      <c r="AC11" s="97"/>
    </row>
    <row r="12" spans="1:29" ht="15" customHeight="1" x14ac:dyDescent="0.2">
      <c r="A12" s="58">
        <v>44418</v>
      </c>
      <c r="B12" s="67">
        <v>54.32</v>
      </c>
      <c r="C12" s="67">
        <v>435</v>
      </c>
      <c r="D12" s="68">
        <v>2.4767999999999999</v>
      </c>
      <c r="E12" s="66">
        <v>4.2373120000000002</v>
      </c>
      <c r="F12" s="66">
        <v>4.5521919999999998</v>
      </c>
      <c r="G12" s="66">
        <v>1.982208</v>
      </c>
      <c r="H12" s="66">
        <v>2.9465599999999998</v>
      </c>
      <c r="I12" s="66">
        <v>2.567936</v>
      </c>
      <c r="J12" s="66">
        <v>1.4567680000000001</v>
      </c>
      <c r="K12" s="66">
        <v>1.5664640000000001</v>
      </c>
      <c r="L12" s="66">
        <v>3.686912</v>
      </c>
      <c r="M12" s="65">
        <v>0</v>
      </c>
      <c r="N12" s="59">
        <v>7762</v>
      </c>
      <c r="O12" s="32">
        <v>7718</v>
      </c>
      <c r="P12" s="32">
        <v>7931</v>
      </c>
      <c r="Q12" s="32">
        <v>2284</v>
      </c>
      <c r="R12" s="21">
        <f>2084+2073+2251+866</f>
        <v>7274</v>
      </c>
      <c r="S12" s="21">
        <v>1.1399999999999999</v>
      </c>
      <c r="T12" s="31">
        <v>69</v>
      </c>
      <c r="U12" s="31">
        <v>76</v>
      </c>
      <c r="V12" s="31">
        <v>109</v>
      </c>
      <c r="W12" s="31">
        <v>168</v>
      </c>
      <c r="X12" s="31">
        <v>166</v>
      </c>
      <c r="Y12" s="31">
        <v>111</v>
      </c>
      <c r="Z12" s="35">
        <v>0</v>
      </c>
      <c r="AA12" s="84"/>
      <c r="AB12" s="98" t="s">
        <v>70</v>
      </c>
      <c r="AC12" s="99"/>
    </row>
    <row r="13" spans="1:29" ht="15" customHeight="1" x14ac:dyDescent="0.2">
      <c r="A13" s="58">
        <v>44419</v>
      </c>
      <c r="B13" s="67">
        <v>82.54</v>
      </c>
      <c r="C13" s="67">
        <v>448</v>
      </c>
      <c r="D13" s="68">
        <v>2.4535040000000001</v>
      </c>
      <c r="E13" s="66">
        <v>4.4078080000000002</v>
      </c>
      <c r="F13" s="66">
        <v>4.4518399999999998</v>
      </c>
      <c r="G13" s="66">
        <v>1.77024</v>
      </c>
      <c r="H13" s="66">
        <v>2.872064</v>
      </c>
      <c r="I13" s="66">
        <v>2.4965120000000001</v>
      </c>
      <c r="J13" s="66">
        <v>1.414272</v>
      </c>
      <c r="K13" s="66">
        <v>1.550592</v>
      </c>
      <c r="L13" s="66">
        <v>3.5077120000000002</v>
      </c>
      <c r="M13" s="65">
        <v>0</v>
      </c>
      <c r="N13" s="59">
        <v>8982</v>
      </c>
      <c r="O13" s="59">
        <v>9004</v>
      </c>
      <c r="P13" s="32">
        <v>5759</v>
      </c>
      <c r="Q13" s="32">
        <v>1565</v>
      </c>
      <c r="R13" s="21">
        <f>2347+2417+435+1657</f>
        <v>6856</v>
      </c>
      <c r="S13" s="21">
        <v>1.1399999999999999</v>
      </c>
      <c r="T13" s="31">
        <v>68</v>
      </c>
      <c r="U13" s="31">
        <v>37</v>
      </c>
      <c r="V13" s="31">
        <v>92</v>
      </c>
      <c r="W13" s="31">
        <v>188</v>
      </c>
      <c r="X13" s="31">
        <v>141</v>
      </c>
      <c r="Y13" s="31">
        <v>97</v>
      </c>
      <c r="Z13" s="35">
        <v>0</v>
      </c>
      <c r="AA13" s="44" t="s">
        <v>71</v>
      </c>
      <c r="AB13" s="87">
        <v>6700</v>
      </c>
      <c r="AC13" s="88"/>
    </row>
    <row r="14" spans="1:29" ht="15" customHeight="1" x14ac:dyDescent="0.2">
      <c r="A14" s="58">
        <v>44420</v>
      </c>
      <c r="B14" s="67">
        <v>88.71</v>
      </c>
      <c r="C14" s="67">
        <v>849</v>
      </c>
      <c r="D14" s="68">
        <v>2.3610880000000001</v>
      </c>
      <c r="E14" s="66">
        <v>3.9157760000000001</v>
      </c>
      <c r="F14" s="66">
        <v>4.6648319999999996</v>
      </c>
      <c r="G14" s="66">
        <v>2.0953599999999999</v>
      </c>
      <c r="H14" s="66">
        <v>2.9393919999999998</v>
      </c>
      <c r="I14" s="66">
        <v>2.487552</v>
      </c>
      <c r="J14" s="66">
        <v>1.435648</v>
      </c>
      <c r="K14" s="66">
        <v>1.5485439999999999</v>
      </c>
      <c r="L14" s="66">
        <v>3.5169280000000001</v>
      </c>
      <c r="M14" s="65">
        <v>0</v>
      </c>
      <c r="N14" s="49">
        <v>9106</v>
      </c>
      <c r="O14" s="47">
        <v>6102</v>
      </c>
      <c r="P14" s="47">
        <v>8306</v>
      </c>
      <c r="Q14" s="47">
        <v>3789</v>
      </c>
      <c r="R14" s="21">
        <f>2412+1652+2137+1022</f>
        <v>7223</v>
      </c>
      <c r="S14" s="21">
        <v>1.1399999999999999</v>
      </c>
      <c r="T14" s="31">
        <v>56</v>
      </c>
      <c r="U14" s="20">
        <v>38</v>
      </c>
      <c r="V14" s="20">
        <v>84</v>
      </c>
      <c r="W14" s="20">
        <v>157</v>
      </c>
      <c r="X14" s="20">
        <v>103</v>
      </c>
      <c r="Y14" s="20">
        <v>95</v>
      </c>
      <c r="Z14" s="35">
        <v>0</v>
      </c>
      <c r="AA14" s="44" t="s">
        <v>72</v>
      </c>
      <c r="AB14" s="87">
        <v>2700</v>
      </c>
      <c r="AC14" s="88"/>
    </row>
    <row r="15" spans="1:29" ht="15" x14ac:dyDescent="0.2">
      <c r="A15" s="58">
        <v>44421</v>
      </c>
      <c r="B15" s="67">
        <v>78.13</v>
      </c>
      <c r="C15" s="67">
        <v>462</v>
      </c>
      <c r="D15" s="68">
        <v>2.6135039999999998</v>
      </c>
      <c r="E15" s="66">
        <v>4.2403839999999997</v>
      </c>
      <c r="F15" s="66">
        <v>4.8583679999999996</v>
      </c>
      <c r="G15" s="66">
        <v>2.161152</v>
      </c>
      <c r="H15" s="66">
        <v>3.1191040000000001</v>
      </c>
      <c r="I15" s="66">
        <v>2.6746880000000002</v>
      </c>
      <c r="J15" s="66">
        <v>1.4557439999999999</v>
      </c>
      <c r="K15" s="66">
        <v>1.6808959999999999</v>
      </c>
      <c r="L15" s="66">
        <v>3.4887679999999999</v>
      </c>
      <c r="M15" s="65">
        <v>0</v>
      </c>
      <c r="N15" s="49">
        <v>10615</v>
      </c>
      <c r="O15" s="47">
        <v>3846</v>
      </c>
      <c r="P15" s="47">
        <v>10928</v>
      </c>
      <c r="Q15" s="47">
        <v>2943</v>
      </c>
      <c r="R15" s="21">
        <f>2786+3312+1030+834</f>
        <v>7962</v>
      </c>
      <c r="S15" s="21">
        <v>1.1399999999999999</v>
      </c>
      <c r="T15" s="31">
        <v>64</v>
      </c>
      <c r="U15" s="31">
        <v>20</v>
      </c>
      <c r="V15" s="20">
        <v>97</v>
      </c>
      <c r="W15" s="20">
        <v>171</v>
      </c>
      <c r="X15" s="20">
        <v>71</v>
      </c>
      <c r="Y15" s="20">
        <v>101</v>
      </c>
      <c r="Z15" s="35">
        <v>0</v>
      </c>
      <c r="AA15" s="85"/>
      <c r="AB15" s="37" t="s">
        <v>68</v>
      </c>
      <c r="AC15" s="34">
        <f>SUM(AB13:AC14)</f>
        <v>9400</v>
      </c>
    </row>
    <row r="16" spans="1:29" ht="15" customHeight="1" x14ac:dyDescent="0.2">
      <c r="A16" s="58">
        <v>44422</v>
      </c>
      <c r="B16" s="67">
        <v>71.64</v>
      </c>
      <c r="C16" s="67">
        <v>528</v>
      </c>
      <c r="D16" s="68">
        <v>2.4504320000000002</v>
      </c>
      <c r="E16" s="66">
        <v>4.2885119999999999</v>
      </c>
      <c r="F16" s="66">
        <v>4.7303680000000004</v>
      </c>
      <c r="G16" s="66">
        <v>2.0590079999999999</v>
      </c>
      <c r="H16" s="66">
        <v>3.0571519999999999</v>
      </c>
      <c r="I16" s="66">
        <v>2.6024959999999999</v>
      </c>
      <c r="J16" s="66">
        <v>1.444224</v>
      </c>
      <c r="K16" s="66">
        <v>1.619456</v>
      </c>
      <c r="L16" s="66">
        <v>3.5107840000000001</v>
      </c>
      <c r="M16" s="65">
        <v>0</v>
      </c>
      <c r="N16" s="47">
        <v>3214</v>
      </c>
      <c r="O16" s="47">
        <v>8689</v>
      </c>
      <c r="P16" s="47">
        <v>9436</v>
      </c>
      <c r="Q16" s="47">
        <v>5554</v>
      </c>
      <c r="R16" s="47">
        <f>873+2383+2723+1555</f>
        <v>7534</v>
      </c>
      <c r="S16" s="21">
        <v>1.1399999999999999</v>
      </c>
      <c r="T16" s="31">
        <v>62</v>
      </c>
      <c r="U16" s="31">
        <v>0</v>
      </c>
      <c r="V16" s="31">
        <v>152</v>
      </c>
      <c r="W16" s="31">
        <v>165</v>
      </c>
      <c r="X16" s="31">
        <v>88</v>
      </c>
      <c r="Y16" s="31">
        <v>86</v>
      </c>
      <c r="Z16" s="35">
        <v>0</v>
      </c>
      <c r="AA16" s="89"/>
      <c r="AB16" s="86"/>
      <c r="AC16" s="90"/>
    </row>
    <row r="17" spans="1:30" ht="15" customHeight="1" x14ac:dyDescent="0.2">
      <c r="A17" s="58">
        <v>44423</v>
      </c>
      <c r="B17" s="67">
        <v>73.02</v>
      </c>
      <c r="C17" s="67">
        <v>448</v>
      </c>
      <c r="D17" s="68">
        <v>2.370304</v>
      </c>
      <c r="E17" s="66">
        <v>4.0857599999999996</v>
      </c>
      <c r="F17" s="66">
        <v>4.5624320000000003</v>
      </c>
      <c r="G17" s="66">
        <v>1.7192959999999999</v>
      </c>
      <c r="H17" s="66">
        <v>2.7169279999999998</v>
      </c>
      <c r="I17" s="66">
        <v>2.5802239999999999</v>
      </c>
      <c r="J17" s="66">
        <v>1.424512</v>
      </c>
      <c r="K17" s="66">
        <v>1.587712</v>
      </c>
      <c r="L17" s="66">
        <v>3.4744320000000002</v>
      </c>
      <c r="M17" s="65">
        <v>0</v>
      </c>
      <c r="N17" s="49">
        <v>7500</v>
      </c>
      <c r="O17" s="47">
        <v>3561</v>
      </c>
      <c r="P17" s="47">
        <v>8942</v>
      </c>
      <c r="Q17" s="47">
        <v>4754</v>
      </c>
      <c r="R17" s="21">
        <f>1197+944+2007+2529</f>
        <v>6677</v>
      </c>
      <c r="S17" s="21">
        <v>1.1399999999999999</v>
      </c>
      <c r="T17" s="31">
        <v>66</v>
      </c>
      <c r="U17" s="31">
        <v>44</v>
      </c>
      <c r="V17" s="31">
        <v>81</v>
      </c>
      <c r="W17" s="31">
        <v>129</v>
      </c>
      <c r="X17" s="31">
        <v>94</v>
      </c>
      <c r="Y17" s="31">
        <v>97</v>
      </c>
      <c r="Z17" s="35">
        <v>0</v>
      </c>
      <c r="AA17" s="89"/>
      <c r="AB17" s="86"/>
      <c r="AC17" s="90"/>
    </row>
    <row r="18" spans="1:30" ht="15" customHeight="1" x14ac:dyDescent="0.2">
      <c r="A18" s="58">
        <v>44424</v>
      </c>
      <c r="B18" s="67">
        <v>58.44</v>
      </c>
      <c r="C18" s="67">
        <v>406</v>
      </c>
      <c r="D18" s="68">
        <v>2.3669760000000002</v>
      </c>
      <c r="E18" s="66">
        <v>4.2209279999999998</v>
      </c>
      <c r="F18" s="66">
        <v>4.7134720000000003</v>
      </c>
      <c r="G18" s="66">
        <v>1.5400959999999999</v>
      </c>
      <c r="H18" s="66">
        <v>2.5418240000000001</v>
      </c>
      <c r="I18" s="66">
        <v>2.8723200000000002</v>
      </c>
      <c r="J18" s="66">
        <v>1.1572480000000001</v>
      </c>
      <c r="K18" s="66">
        <v>1.584384</v>
      </c>
      <c r="L18" s="66">
        <v>3.2983039999999999</v>
      </c>
      <c r="M18" s="65">
        <v>0</v>
      </c>
      <c r="N18" s="47">
        <v>6260</v>
      </c>
      <c r="O18" s="47">
        <v>5073</v>
      </c>
      <c r="P18" s="47">
        <v>7103</v>
      </c>
      <c r="Q18" s="47">
        <v>4091</v>
      </c>
      <c r="R18" s="21">
        <f>1921+1405+1921+1303</f>
        <v>6550</v>
      </c>
      <c r="S18" s="21">
        <v>1.1399999999999999</v>
      </c>
      <c r="T18" s="31">
        <v>70</v>
      </c>
      <c r="U18" s="31">
        <v>84</v>
      </c>
      <c r="V18" s="31">
        <v>100</v>
      </c>
      <c r="W18" s="31">
        <v>158</v>
      </c>
      <c r="X18" s="31">
        <v>83</v>
      </c>
      <c r="Y18" s="31">
        <v>99</v>
      </c>
      <c r="Z18" s="35">
        <v>0</v>
      </c>
      <c r="AA18" s="89"/>
      <c r="AB18" s="86"/>
      <c r="AC18" s="90"/>
    </row>
    <row r="19" spans="1:30" ht="15" customHeight="1" x14ac:dyDescent="0.2">
      <c r="A19" s="58">
        <v>44425</v>
      </c>
      <c r="B19" s="67">
        <v>58.44</v>
      </c>
      <c r="C19" s="67">
        <v>408</v>
      </c>
      <c r="D19" s="68">
        <v>2.4363519999999999</v>
      </c>
      <c r="E19" s="66">
        <v>4.3453439999999999</v>
      </c>
      <c r="F19" s="66">
        <v>4.7866879999999998</v>
      </c>
      <c r="G19" s="66">
        <v>1.4912000000000001</v>
      </c>
      <c r="H19" s="66">
        <v>2.6746880000000002</v>
      </c>
      <c r="I19" s="66">
        <v>2.8986879999999999</v>
      </c>
      <c r="J19" s="66">
        <v>1.3409279999999999</v>
      </c>
      <c r="K19" s="66">
        <v>1.641216</v>
      </c>
      <c r="L19" s="66">
        <v>3.4826239999999999</v>
      </c>
      <c r="M19" s="65">
        <v>0</v>
      </c>
      <c r="N19" s="47">
        <v>8019</v>
      </c>
      <c r="O19" s="47">
        <v>4964</v>
      </c>
      <c r="P19" s="47">
        <v>10780</v>
      </c>
      <c r="Q19" s="47">
        <v>5134</v>
      </c>
      <c r="R19" s="21">
        <f>1858+1331+3022+1409</f>
        <v>7620</v>
      </c>
      <c r="S19" s="21">
        <v>1.1399999999999999</v>
      </c>
      <c r="T19" s="31">
        <v>66</v>
      </c>
      <c r="U19" s="31">
        <v>16</v>
      </c>
      <c r="V19" s="31">
        <v>110</v>
      </c>
      <c r="W19" s="31">
        <v>174</v>
      </c>
      <c r="X19" s="31">
        <v>47</v>
      </c>
      <c r="Y19" s="31">
        <v>97</v>
      </c>
      <c r="Z19" s="35">
        <v>0</v>
      </c>
      <c r="AA19" s="89"/>
      <c r="AB19" s="86"/>
      <c r="AC19" s="90"/>
    </row>
    <row r="20" spans="1:30" ht="15" customHeight="1" x14ac:dyDescent="0.2">
      <c r="A20" s="58">
        <v>44426</v>
      </c>
      <c r="B20" s="67">
        <v>51.94</v>
      </c>
      <c r="C20" s="67">
        <v>383</v>
      </c>
      <c r="D20" s="68">
        <v>2.4842240000000002</v>
      </c>
      <c r="E20" s="66">
        <v>4.3171840000000001</v>
      </c>
      <c r="F20" s="66">
        <v>4.7820799999999997</v>
      </c>
      <c r="G20" s="66">
        <v>1.47584</v>
      </c>
      <c r="H20" s="66">
        <v>2.5681919999999998</v>
      </c>
      <c r="I20" s="66">
        <v>2.8856320000000002</v>
      </c>
      <c r="J20" s="66">
        <v>1.3822719999999999</v>
      </c>
      <c r="K20" s="66">
        <v>1.641216</v>
      </c>
      <c r="L20" s="66">
        <v>3.6812800000000001</v>
      </c>
      <c r="M20" s="65">
        <v>0</v>
      </c>
      <c r="N20" s="47">
        <v>8416</v>
      </c>
      <c r="O20" s="47">
        <v>3946</v>
      </c>
      <c r="P20" s="47">
        <v>8429</v>
      </c>
      <c r="Q20" s="47">
        <v>3958</v>
      </c>
      <c r="R20" s="21">
        <f>2204+1092+1014+2427</f>
        <v>6737</v>
      </c>
      <c r="S20" s="21">
        <v>1.1399999999999999</v>
      </c>
      <c r="T20" s="31">
        <v>66</v>
      </c>
      <c r="U20" s="31">
        <v>34</v>
      </c>
      <c r="V20" s="31">
        <v>87</v>
      </c>
      <c r="W20" s="31">
        <v>170</v>
      </c>
      <c r="X20" s="31">
        <v>4</v>
      </c>
      <c r="Y20" s="31">
        <v>100</v>
      </c>
      <c r="Z20" s="35">
        <v>0</v>
      </c>
      <c r="AA20" s="89"/>
      <c r="AB20" s="86"/>
      <c r="AC20" s="90"/>
    </row>
    <row r="21" spans="1:30" ht="15" customHeight="1" x14ac:dyDescent="0.2">
      <c r="A21" s="58">
        <v>44427</v>
      </c>
      <c r="B21" s="67">
        <v>53.25</v>
      </c>
      <c r="C21" s="67">
        <v>346</v>
      </c>
      <c r="D21" s="68">
        <v>1.9266559999999999</v>
      </c>
      <c r="E21" s="66">
        <v>3.5891199999999999</v>
      </c>
      <c r="F21" s="66">
        <v>4.761088</v>
      </c>
      <c r="G21" s="66">
        <v>1.254912</v>
      </c>
      <c r="H21" s="66">
        <v>2.2609919999999999</v>
      </c>
      <c r="I21" s="66">
        <v>2.5374720000000002</v>
      </c>
      <c r="J21" s="66">
        <v>1.2170240000000001</v>
      </c>
      <c r="K21" s="66">
        <v>1.555712</v>
      </c>
      <c r="L21" s="66">
        <v>3.4892799999999999</v>
      </c>
      <c r="M21" s="65">
        <v>0</v>
      </c>
      <c r="N21" s="47">
        <v>0</v>
      </c>
      <c r="O21" s="47">
        <v>4737</v>
      </c>
      <c r="P21" s="47">
        <v>17175</v>
      </c>
      <c r="Q21" s="47">
        <v>456</v>
      </c>
      <c r="R21" s="21">
        <f>1303+5243+178</f>
        <v>6724</v>
      </c>
      <c r="S21" s="21">
        <v>1.1399999999999999</v>
      </c>
      <c r="T21" s="31">
        <v>61</v>
      </c>
      <c r="U21" s="31">
        <v>54</v>
      </c>
      <c r="V21" s="31">
        <v>88</v>
      </c>
      <c r="W21" s="31">
        <v>112</v>
      </c>
      <c r="X21" s="31">
        <v>3</v>
      </c>
      <c r="Y21" s="31">
        <v>102</v>
      </c>
      <c r="Z21" s="35">
        <v>0</v>
      </c>
      <c r="AA21" s="89"/>
      <c r="AB21" s="86"/>
      <c r="AC21" s="90"/>
      <c r="AD21" s="22"/>
    </row>
    <row r="22" spans="1:30" ht="15" customHeight="1" x14ac:dyDescent="0.2">
      <c r="A22" s="58">
        <v>44428</v>
      </c>
      <c r="B22" s="67">
        <v>45.45</v>
      </c>
      <c r="C22" s="67">
        <v>335</v>
      </c>
      <c r="D22" s="68">
        <v>2.095872</v>
      </c>
      <c r="E22" s="66">
        <v>3.8328319999999998</v>
      </c>
      <c r="F22" s="66">
        <v>4.9223679999999996</v>
      </c>
      <c r="G22" s="66">
        <v>1.187584</v>
      </c>
      <c r="H22" s="66">
        <v>2.051072</v>
      </c>
      <c r="I22" s="66">
        <v>2.552832</v>
      </c>
      <c r="J22" s="66">
        <v>1.4334720000000001</v>
      </c>
      <c r="K22" s="66">
        <v>1.6488959999999999</v>
      </c>
      <c r="L22" s="66">
        <v>3.516416</v>
      </c>
      <c r="M22" s="65">
        <v>0</v>
      </c>
      <c r="N22" s="49">
        <v>0</v>
      </c>
      <c r="O22" s="47">
        <v>6210</v>
      </c>
      <c r="P22" s="47">
        <v>10241</v>
      </c>
      <c r="Q22" s="47">
        <v>9609</v>
      </c>
      <c r="R22" s="21">
        <f>1526+2666+3284</f>
        <v>7476</v>
      </c>
      <c r="S22" s="21">
        <v>1.1399999999999999</v>
      </c>
      <c r="T22" s="31">
        <v>68</v>
      </c>
      <c r="U22" s="31">
        <v>35</v>
      </c>
      <c r="V22" s="31">
        <v>85</v>
      </c>
      <c r="W22" s="31">
        <v>162</v>
      </c>
      <c r="X22" s="31">
        <v>121</v>
      </c>
      <c r="Y22" s="31">
        <v>103</v>
      </c>
      <c r="Z22" s="35">
        <v>0</v>
      </c>
      <c r="AA22" s="89"/>
      <c r="AB22" s="86"/>
      <c r="AC22" s="90"/>
      <c r="AD22" s="22"/>
    </row>
    <row r="23" spans="1:30" ht="15" customHeight="1" x14ac:dyDescent="0.2">
      <c r="A23" s="58">
        <v>44429</v>
      </c>
      <c r="B23" s="67">
        <v>41.56</v>
      </c>
      <c r="C23" s="67">
        <v>288</v>
      </c>
      <c r="D23" s="68">
        <v>2.191872</v>
      </c>
      <c r="E23" s="66">
        <v>3.5450879999999998</v>
      </c>
      <c r="F23" s="66">
        <v>4.7155199999999997</v>
      </c>
      <c r="G23" s="66">
        <v>1.4781439999999999</v>
      </c>
      <c r="H23" s="66">
        <v>2.2464</v>
      </c>
      <c r="I23" s="66">
        <v>2.6987519999999998</v>
      </c>
      <c r="J23" s="66">
        <v>1.3521920000000001</v>
      </c>
      <c r="K23" s="66">
        <v>1.6407039999999999</v>
      </c>
      <c r="L23" s="66">
        <v>3.506688</v>
      </c>
      <c r="M23" s="65">
        <v>0</v>
      </c>
      <c r="N23" s="49">
        <v>0</v>
      </c>
      <c r="O23" s="47">
        <v>5308</v>
      </c>
      <c r="P23" s="47">
        <v>8685</v>
      </c>
      <c r="Q23" s="47">
        <v>10897</v>
      </c>
      <c r="R23" s="21">
        <f>2966+1641+2499</f>
        <v>7106</v>
      </c>
      <c r="S23" s="21">
        <v>1.1399999999999999</v>
      </c>
      <c r="T23" s="31">
        <v>59</v>
      </c>
      <c r="U23" s="31">
        <v>0</v>
      </c>
      <c r="V23" s="31">
        <v>77</v>
      </c>
      <c r="W23" s="31">
        <v>201</v>
      </c>
      <c r="X23" s="31">
        <v>102</v>
      </c>
      <c r="Y23" s="31">
        <v>104</v>
      </c>
      <c r="Z23" s="35">
        <v>0</v>
      </c>
      <c r="AA23" s="89"/>
      <c r="AB23" s="86"/>
      <c r="AC23" s="90"/>
      <c r="AD23" s="22"/>
    </row>
    <row r="24" spans="1:30" ht="15" customHeight="1" x14ac:dyDescent="0.2">
      <c r="A24" s="58">
        <v>44430</v>
      </c>
      <c r="B24" s="67">
        <v>48.05</v>
      </c>
      <c r="C24" s="67">
        <v>331</v>
      </c>
      <c r="D24" s="68">
        <v>2.2494719999999999</v>
      </c>
      <c r="E24" s="66">
        <v>3.620352</v>
      </c>
      <c r="F24" s="66">
        <v>4.8885759999999996</v>
      </c>
      <c r="G24" s="66">
        <v>1.371648</v>
      </c>
      <c r="H24" s="66">
        <v>2.0431360000000001</v>
      </c>
      <c r="I24" s="66">
        <v>2.8628480000000001</v>
      </c>
      <c r="J24" s="66">
        <v>1.345664</v>
      </c>
      <c r="K24" s="66">
        <v>1.61408</v>
      </c>
      <c r="L24" s="66">
        <v>3.298816</v>
      </c>
      <c r="M24" s="65">
        <v>0</v>
      </c>
      <c r="N24" s="49">
        <v>0</v>
      </c>
      <c r="O24" s="47">
        <v>6287</v>
      </c>
      <c r="P24" s="47">
        <v>11203</v>
      </c>
      <c r="Q24" s="47">
        <v>7479</v>
      </c>
      <c r="R24" s="21">
        <f>1634+3198+1979</f>
        <v>6811</v>
      </c>
      <c r="S24" s="21">
        <v>1.1399999999999999</v>
      </c>
      <c r="T24" s="31">
        <v>57</v>
      </c>
      <c r="U24" s="31">
        <v>66</v>
      </c>
      <c r="V24" s="20">
        <v>70</v>
      </c>
      <c r="W24" s="20">
        <v>127</v>
      </c>
      <c r="X24" s="20">
        <v>109</v>
      </c>
      <c r="Y24" s="20">
        <v>101</v>
      </c>
      <c r="Z24" s="35">
        <v>0</v>
      </c>
      <c r="AA24" s="89"/>
      <c r="AB24" s="86"/>
      <c r="AC24" s="90"/>
      <c r="AD24" s="22"/>
    </row>
    <row r="25" spans="1:30" ht="15" customHeight="1" x14ac:dyDescent="0.2">
      <c r="A25" s="58">
        <v>44431</v>
      </c>
      <c r="B25" s="67">
        <v>48.05</v>
      </c>
      <c r="C25" s="67">
        <v>278</v>
      </c>
      <c r="D25" s="68">
        <v>2.0851199999999999</v>
      </c>
      <c r="E25" s="66">
        <v>3.6474880000000001</v>
      </c>
      <c r="F25" s="66">
        <v>4.7559680000000002</v>
      </c>
      <c r="G25" s="66">
        <v>1.4110720000000001</v>
      </c>
      <c r="H25" s="66">
        <v>2.0515840000000001</v>
      </c>
      <c r="I25" s="66">
        <v>2.7361279999999999</v>
      </c>
      <c r="J25" s="66">
        <v>1.390976</v>
      </c>
      <c r="K25" s="66">
        <v>1.5767040000000001</v>
      </c>
      <c r="L25" s="66">
        <v>3.4749439999999998</v>
      </c>
      <c r="M25" s="65">
        <v>0</v>
      </c>
      <c r="N25" s="49">
        <v>0</v>
      </c>
      <c r="O25" s="47">
        <v>4930</v>
      </c>
      <c r="P25" s="47">
        <v>11594</v>
      </c>
      <c r="Q25" s="47">
        <v>5276</v>
      </c>
      <c r="R25" s="21">
        <f>1340+3216+1455</f>
        <v>6011</v>
      </c>
      <c r="S25" s="21">
        <v>1.1399999999999999</v>
      </c>
      <c r="T25" s="31">
        <v>62</v>
      </c>
      <c r="U25" s="31">
        <v>0</v>
      </c>
      <c r="V25" s="20">
        <v>81</v>
      </c>
      <c r="W25" s="20">
        <v>126</v>
      </c>
      <c r="X25" s="20">
        <v>88</v>
      </c>
      <c r="Y25" s="20">
        <v>97</v>
      </c>
      <c r="Z25" s="35">
        <v>0</v>
      </c>
      <c r="AA25" s="89"/>
      <c r="AB25" s="86"/>
      <c r="AC25" s="90"/>
      <c r="AD25" s="22"/>
    </row>
    <row r="26" spans="1:30" ht="15" customHeight="1" x14ac:dyDescent="0.2">
      <c r="A26" s="58">
        <v>44432</v>
      </c>
      <c r="B26" s="67">
        <v>40.26</v>
      </c>
      <c r="C26" s="67">
        <v>304</v>
      </c>
      <c r="D26" s="68">
        <v>2.2883840000000002</v>
      </c>
      <c r="E26" s="66">
        <v>3.7422080000000002</v>
      </c>
      <c r="F26" s="66">
        <v>4.6592000000000002</v>
      </c>
      <c r="G26" s="66">
        <v>1.374976</v>
      </c>
      <c r="H26" s="66">
        <v>1.9952639999999999</v>
      </c>
      <c r="I26" s="66">
        <v>2.8285439999999999</v>
      </c>
      <c r="J26" s="66">
        <v>1.0478080000000001</v>
      </c>
      <c r="K26" s="66">
        <v>1.5866880000000001</v>
      </c>
      <c r="L26" s="66">
        <v>3.19232</v>
      </c>
      <c r="M26" s="65">
        <v>0</v>
      </c>
      <c r="N26" s="49">
        <v>0</v>
      </c>
      <c r="O26" s="47">
        <v>8026</v>
      </c>
      <c r="P26" s="47">
        <v>9179</v>
      </c>
      <c r="Q26" s="47">
        <v>8572</v>
      </c>
      <c r="R26" s="21">
        <f>2152+2594+2187</f>
        <v>6933</v>
      </c>
      <c r="S26" s="21">
        <v>1.1399999999999999</v>
      </c>
      <c r="T26" s="79">
        <v>65</v>
      </c>
      <c r="U26" s="31">
        <v>28</v>
      </c>
      <c r="V26" s="20">
        <v>87</v>
      </c>
      <c r="W26" s="20">
        <v>161</v>
      </c>
      <c r="X26" s="20">
        <v>106</v>
      </c>
      <c r="Y26" s="20">
        <v>112</v>
      </c>
      <c r="Z26" s="35">
        <v>0</v>
      </c>
      <c r="AA26" s="89"/>
      <c r="AB26" s="86"/>
      <c r="AC26" s="90"/>
      <c r="AD26" s="22"/>
    </row>
    <row r="27" spans="1:30" ht="15" customHeight="1" x14ac:dyDescent="0.2">
      <c r="A27" s="58">
        <v>44433</v>
      </c>
      <c r="B27" s="67">
        <v>49.35</v>
      </c>
      <c r="C27" s="67">
        <v>338</v>
      </c>
      <c r="D27" s="68">
        <v>2.370816</v>
      </c>
      <c r="E27" s="66">
        <v>4.1159679999999996</v>
      </c>
      <c r="F27" s="66">
        <v>4.8926720000000001</v>
      </c>
      <c r="G27" s="66">
        <v>1.3409279999999999</v>
      </c>
      <c r="H27" s="66">
        <v>2.0823040000000002</v>
      </c>
      <c r="I27" s="66">
        <v>2.9936639999999999</v>
      </c>
      <c r="J27" s="66">
        <v>1.428096</v>
      </c>
      <c r="K27" s="66">
        <v>1.557504</v>
      </c>
      <c r="L27" s="66">
        <v>3.6392959999999999</v>
      </c>
      <c r="M27" s="65">
        <v>0</v>
      </c>
      <c r="N27" s="49">
        <v>0</v>
      </c>
      <c r="O27" s="47">
        <v>8407</v>
      </c>
      <c r="P27" s="47">
        <v>9308</v>
      </c>
      <c r="Q27" s="47">
        <v>8433</v>
      </c>
      <c r="R27" s="21">
        <f>2266+2559+2326</f>
        <v>7151</v>
      </c>
      <c r="S27" s="21">
        <v>1.1399999999999999</v>
      </c>
      <c r="T27" s="31">
        <v>69</v>
      </c>
      <c r="U27" s="31">
        <v>29</v>
      </c>
      <c r="V27" s="20">
        <v>83</v>
      </c>
      <c r="W27" s="20">
        <v>161</v>
      </c>
      <c r="X27" s="20">
        <v>102</v>
      </c>
      <c r="Y27" s="20">
        <v>151</v>
      </c>
      <c r="Z27" s="35">
        <v>0</v>
      </c>
      <c r="AA27" s="89"/>
      <c r="AB27" s="86"/>
      <c r="AC27" s="90"/>
      <c r="AD27" s="22"/>
    </row>
    <row r="28" spans="1:30" ht="15" customHeight="1" x14ac:dyDescent="0.2">
      <c r="A28" s="58">
        <v>44434</v>
      </c>
      <c r="B28" s="67">
        <v>49.37</v>
      </c>
      <c r="C28" s="67">
        <v>332</v>
      </c>
      <c r="D28" s="68">
        <v>2.3452160000000002</v>
      </c>
      <c r="E28" s="66">
        <v>3.8517760000000001</v>
      </c>
      <c r="F28" s="66">
        <v>4.7047679999999996</v>
      </c>
      <c r="G28" s="66">
        <v>1.36192</v>
      </c>
      <c r="H28" s="66">
        <v>2.1319680000000001</v>
      </c>
      <c r="I28" s="66">
        <v>3.067904</v>
      </c>
      <c r="J28" s="66">
        <v>1.4261760000000001</v>
      </c>
      <c r="K28" s="66">
        <v>1.539328</v>
      </c>
      <c r="L28" s="66">
        <v>3.6556799999999998</v>
      </c>
      <c r="M28" s="65">
        <v>0</v>
      </c>
      <c r="N28" s="49">
        <v>0</v>
      </c>
      <c r="O28" s="47">
        <v>9480</v>
      </c>
      <c r="P28" s="47">
        <v>9401</v>
      </c>
      <c r="Q28" s="47">
        <v>6115</v>
      </c>
      <c r="R28" s="21">
        <f>2531+2627+1564</f>
        <v>6722</v>
      </c>
      <c r="S28" s="21">
        <v>1.1399999999999999</v>
      </c>
      <c r="T28" s="31">
        <v>63</v>
      </c>
      <c r="U28" s="31">
        <v>38</v>
      </c>
      <c r="V28" s="20">
        <v>100</v>
      </c>
      <c r="W28" s="20">
        <v>169</v>
      </c>
      <c r="X28" s="20">
        <v>103</v>
      </c>
      <c r="Y28" s="20">
        <v>89</v>
      </c>
      <c r="Z28" s="35">
        <v>0</v>
      </c>
      <c r="AA28" s="89"/>
      <c r="AB28" s="86"/>
      <c r="AC28" s="90"/>
      <c r="AD28" s="22"/>
    </row>
    <row r="29" spans="1:30" ht="15" customHeight="1" x14ac:dyDescent="0.2">
      <c r="A29" s="58">
        <v>44435</v>
      </c>
      <c r="B29" s="67">
        <v>45.57</v>
      </c>
      <c r="C29" s="67">
        <v>279</v>
      </c>
      <c r="D29" s="68">
        <v>2.4145919999999998</v>
      </c>
      <c r="E29" s="66">
        <v>3.6746240000000001</v>
      </c>
      <c r="F29" s="66">
        <v>4.4170239999999996</v>
      </c>
      <c r="G29" s="66">
        <v>1.401856</v>
      </c>
      <c r="H29" s="66">
        <v>2.2369279999999998</v>
      </c>
      <c r="I29" s="66">
        <v>3.0722559999999999</v>
      </c>
      <c r="J29" s="66">
        <v>1.3966080000000001</v>
      </c>
      <c r="K29" s="66">
        <v>1.530368</v>
      </c>
      <c r="L29" s="66">
        <v>3.5788799999999998</v>
      </c>
      <c r="M29" s="65">
        <v>0</v>
      </c>
      <c r="N29" s="49">
        <v>4561</v>
      </c>
      <c r="O29" s="47">
        <v>9119</v>
      </c>
      <c r="P29" s="47">
        <v>5963</v>
      </c>
      <c r="Q29" s="47">
        <v>6094</v>
      </c>
      <c r="R29" s="21">
        <f>1269+2447+1643+1726</f>
        <v>7085</v>
      </c>
      <c r="S29" s="21">
        <v>1.1399999999999999</v>
      </c>
      <c r="T29" s="31">
        <v>69</v>
      </c>
      <c r="U29" s="31">
        <v>9</v>
      </c>
      <c r="V29" s="20">
        <v>104</v>
      </c>
      <c r="W29" s="20">
        <v>128</v>
      </c>
      <c r="X29" s="20">
        <v>116</v>
      </c>
      <c r="Y29" s="20">
        <v>144</v>
      </c>
      <c r="Z29" s="35">
        <v>0</v>
      </c>
      <c r="AA29" s="89"/>
      <c r="AB29" s="86"/>
      <c r="AC29" s="90"/>
      <c r="AD29" s="22"/>
    </row>
    <row r="30" spans="1:30" ht="15" customHeight="1" x14ac:dyDescent="0.2">
      <c r="A30" s="58">
        <v>44436</v>
      </c>
      <c r="B30" s="67">
        <v>36.71</v>
      </c>
      <c r="C30" s="67">
        <v>297</v>
      </c>
      <c r="D30" s="68">
        <v>2.323712</v>
      </c>
      <c r="E30" s="66">
        <v>3.817472</v>
      </c>
      <c r="F30" s="66">
        <v>4.5829120000000003</v>
      </c>
      <c r="G30" s="66">
        <v>1.3629439999999999</v>
      </c>
      <c r="H30" s="66">
        <v>2.0922879999999999</v>
      </c>
      <c r="I30" s="66">
        <v>2.737152</v>
      </c>
      <c r="J30" s="66">
        <v>1.47584</v>
      </c>
      <c r="K30" s="66">
        <v>1.4865919999999999</v>
      </c>
      <c r="L30" s="66">
        <v>3.5123199999999999</v>
      </c>
      <c r="M30" s="65">
        <v>0</v>
      </c>
      <c r="N30" s="49">
        <v>0</v>
      </c>
      <c r="O30" s="47">
        <v>10859</v>
      </c>
      <c r="P30" s="47">
        <v>6455</v>
      </c>
      <c r="Q30" s="47">
        <v>7250</v>
      </c>
      <c r="R30" s="21">
        <f>2957+1759+1979</f>
        <v>6695</v>
      </c>
      <c r="S30" s="21">
        <v>1.1399999999999999</v>
      </c>
      <c r="T30" s="31">
        <v>57</v>
      </c>
      <c r="U30" s="31">
        <v>34</v>
      </c>
      <c r="V30" s="31">
        <v>107</v>
      </c>
      <c r="W30" s="31">
        <v>161</v>
      </c>
      <c r="X30" s="31">
        <v>140</v>
      </c>
      <c r="Y30" s="31">
        <v>151</v>
      </c>
      <c r="Z30" s="35">
        <v>0</v>
      </c>
      <c r="AA30" s="89"/>
      <c r="AB30" s="86"/>
      <c r="AC30" s="90"/>
      <c r="AD30" s="22"/>
    </row>
    <row r="31" spans="1:30" ht="15" customHeight="1" x14ac:dyDescent="0.2">
      <c r="A31" s="58">
        <v>44437</v>
      </c>
      <c r="B31" s="67">
        <v>32.47</v>
      </c>
      <c r="C31" s="67">
        <v>244</v>
      </c>
      <c r="D31" s="68">
        <v>2.5523199999999999</v>
      </c>
      <c r="E31" s="66">
        <v>4.0371199999999998</v>
      </c>
      <c r="F31" s="66">
        <v>4.6197759999999999</v>
      </c>
      <c r="G31" s="66">
        <v>1.469184</v>
      </c>
      <c r="H31" s="66">
        <v>2.1593599999999999</v>
      </c>
      <c r="I31" s="66">
        <v>3.4721280000000001</v>
      </c>
      <c r="J31" s="66">
        <v>1.48736</v>
      </c>
      <c r="K31" s="66">
        <v>1.552384</v>
      </c>
      <c r="L31" s="66">
        <v>3.486208</v>
      </c>
      <c r="M31" s="65">
        <v>0</v>
      </c>
      <c r="N31" s="50">
        <v>0</v>
      </c>
      <c r="O31" s="51">
        <v>10870</v>
      </c>
      <c r="P31" s="47">
        <v>8033</v>
      </c>
      <c r="Q31" s="47">
        <v>7657</v>
      </c>
      <c r="R31" s="21">
        <f>2903+2257+1915</f>
        <v>7075</v>
      </c>
      <c r="S31" s="21">
        <v>1.1399999999999999</v>
      </c>
      <c r="T31" s="31">
        <v>60</v>
      </c>
      <c r="U31" s="31">
        <v>42</v>
      </c>
      <c r="V31" s="31">
        <v>87</v>
      </c>
      <c r="W31" s="31">
        <v>162</v>
      </c>
      <c r="X31" s="31">
        <v>105</v>
      </c>
      <c r="Y31" s="31">
        <v>158</v>
      </c>
      <c r="Z31" s="35">
        <v>0</v>
      </c>
      <c r="AA31" s="89"/>
      <c r="AB31" s="86"/>
      <c r="AC31" s="90"/>
      <c r="AD31" s="22"/>
    </row>
    <row r="32" spans="1:30" ht="15" customHeight="1" x14ac:dyDescent="0.2">
      <c r="A32" s="58">
        <v>44438</v>
      </c>
      <c r="B32" s="67">
        <v>34.92</v>
      </c>
      <c r="C32" s="67">
        <v>346</v>
      </c>
      <c r="D32" s="68">
        <v>2.7916799999999999</v>
      </c>
      <c r="E32" s="66">
        <v>3.7217280000000001</v>
      </c>
      <c r="F32" s="66">
        <v>4.6054399999999998</v>
      </c>
      <c r="G32" s="66">
        <v>1.6304639999999999</v>
      </c>
      <c r="H32" s="66">
        <v>2.8264960000000001</v>
      </c>
      <c r="I32" s="66">
        <v>3.42272</v>
      </c>
      <c r="J32" s="66">
        <v>1.4306559999999999</v>
      </c>
      <c r="K32" s="66">
        <v>1.9248639999999999</v>
      </c>
      <c r="L32" s="66">
        <v>3.5624959999999999</v>
      </c>
      <c r="M32" s="65">
        <v>0</v>
      </c>
      <c r="N32" s="52">
        <v>1153</v>
      </c>
      <c r="O32" s="53">
        <v>6145</v>
      </c>
      <c r="P32" s="53">
        <v>7552</v>
      </c>
      <c r="Q32" s="53">
        <v>11524</v>
      </c>
      <c r="R32" s="21">
        <f>416+1666+2100+3200</f>
        <v>7382</v>
      </c>
      <c r="S32" s="21">
        <v>1.05</v>
      </c>
      <c r="T32" s="31">
        <v>59</v>
      </c>
      <c r="U32" s="31">
        <v>24</v>
      </c>
      <c r="V32" s="31">
        <v>67</v>
      </c>
      <c r="W32" s="31">
        <v>179</v>
      </c>
      <c r="X32" s="31">
        <v>124</v>
      </c>
      <c r="Y32" s="31">
        <v>102</v>
      </c>
      <c r="Z32" s="35">
        <v>0</v>
      </c>
      <c r="AA32" s="89"/>
      <c r="AB32" s="86"/>
      <c r="AC32" s="90"/>
      <c r="AD32" s="22"/>
    </row>
    <row r="33" spans="1:29" ht="15" customHeight="1" x14ac:dyDescent="0.2">
      <c r="A33" s="58">
        <v>44439</v>
      </c>
      <c r="B33" s="48">
        <v>37.93</v>
      </c>
      <c r="C33" s="69">
        <v>170</v>
      </c>
      <c r="D33" s="76">
        <v>2.6088960000000001</v>
      </c>
      <c r="E33" s="76">
        <v>3.971584</v>
      </c>
      <c r="F33" s="76">
        <v>4.5972479999999996</v>
      </c>
      <c r="G33" s="76">
        <v>1.6384000000000001</v>
      </c>
      <c r="H33" s="76">
        <v>2.9824000000000002</v>
      </c>
      <c r="I33" s="76">
        <v>3.620352</v>
      </c>
      <c r="J33" s="76">
        <v>1.527296</v>
      </c>
      <c r="K33" s="76">
        <v>2.1888000000000001</v>
      </c>
      <c r="L33" s="76">
        <v>3.6756479999999998</v>
      </c>
      <c r="M33" s="65">
        <v>0</v>
      </c>
      <c r="N33" s="53">
        <v>7406</v>
      </c>
      <c r="O33" s="53">
        <v>6447</v>
      </c>
      <c r="P33" s="54">
        <v>9785</v>
      </c>
      <c r="Q33" s="55">
        <v>4425</v>
      </c>
      <c r="R33" s="21">
        <f>1971+1745+2622+1133</f>
        <v>7471</v>
      </c>
      <c r="S33" s="21">
        <v>1.05</v>
      </c>
      <c r="T33" s="56">
        <v>63</v>
      </c>
      <c r="U33" s="56">
        <v>47</v>
      </c>
      <c r="V33" s="56">
        <v>91</v>
      </c>
      <c r="W33" s="56">
        <v>153</v>
      </c>
      <c r="X33" s="56">
        <v>109</v>
      </c>
      <c r="Y33" s="56">
        <v>105</v>
      </c>
      <c r="Z33" s="35">
        <v>0</v>
      </c>
      <c r="AA33" s="91"/>
      <c r="AB33" s="92"/>
      <c r="AC33" s="93"/>
    </row>
    <row r="34" spans="1:29" x14ac:dyDescent="0.2">
      <c r="W34" s="78"/>
      <c r="X34" s="78"/>
      <c r="AA34" s="83"/>
      <c r="AB34" s="83"/>
      <c r="AC34" s="83"/>
    </row>
    <row r="35" spans="1:29" x14ac:dyDescent="0.2">
      <c r="T35" s="86"/>
      <c r="U35" s="86"/>
      <c r="V35" s="86"/>
      <c r="AA35" s="83"/>
      <c r="AB35" s="83"/>
      <c r="AC35" s="83"/>
    </row>
    <row r="36" spans="1:29" x14ac:dyDescent="0.2">
      <c r="AA36" s="83"/>
      <c r="AB36" s="83"/>
      <c r="AC36" s="83"/>
    </row>
    <row r="37" spans="1:29" x14ac:dyDescent="0.2">
      <c r="AA37" s="83"/>
      <c r="AB37" s="83"/>
      <c r="AC37" s="83"/>
    </row>
    <row r="38" spans="1:29" ht="15" x14ac:dyDescent="0.25">
      <c r="P38" s="77"/>
      <c r="AA38" s="83"/>
      <c r="AB38" s="83"/>
      <c r="AC38" s="83"/>
    </row>
    <row r="39" spans="1:29" ht="15" x14ac:dyDescent="0.25">
      <c r="P39" s="77"/>
      <c r="AA39" s="83"/>
      <c r="AB39" s="83"/>
      <c r="AC39" s="83"/>
    </row>
  </sheetData>
  <mergeCells count="9">
    <mergeCell ref="T35:V35"/>
    <mergeCell ref="AB13:AC13"/>
    <mergeCell ref="AB14:AC14"/>
    <mergeCell ref="AA16:AC33"/>
    <mergeCell ref="D1:L1"/>
    <mergeCell ref="AA2:AC2"/>
    <mergeCell ref="AA3:AC3"/>
    <mergeCell ref="AA11:AC11"/>
    <mergeCell ref="AB12:AC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9" max="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2" ma:contentTypeDescription="Create a new document." ma:contentTypeScope="" ma:versionID="0eaf907d2f6070ca37dafb69c50b4233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61189f769c577b9c04ae4f18061de57f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C1FFEE-54E3-4891-B98C-21C3BE451C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0F5833-E3D5-4465-B836-0DEADAE27D4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99E6936-EF7E-451B-BDFB-80F884242F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b2215-5bf3-43e0-9dce-b3effc6cb50f"/>
    <ds:schemaRef ds:uri="8c44e1e5-30d2-450a-b924-ac87e029a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Joe El Khoury</cp:lastModifiedBy>
  <cp:revision/>
  <dcterms:created xsi:type="dcterms:W3CDTF">2019-08-14T08:16:24Z</dcterms:created>
  <dcterms:modified xsi:type="dcterms:W3CDTF">2021-10-05T06:32:38Z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