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20\"/>
    </mc:Choice>
  </mc:AlternateContent>
  <xr:revisionPtr revIDLastSave="1" documentId="11_00FEC6E55B463A4ED0FA0487CF7DF78A7D1301A2" xr6:coauthVersionLast="47" xr6:coauthVersionMax="47" xr10:uidLastSave="{94BA5D69-7E02-42DA-B369-A277D19FEE73}"/>
  <bookViews>
    <workbookView xWindow="0" yWindow="0" windowWidth="28800" windowHeight="12435" tabRatio="762" firstSheet="1" xr2:uid="{00000000-000D-0000-FFFF-FFFF00000000}"/>
  </bookViews>
  <sheets>
    <sheet name="TOTAL" sheetId="11" r:id="rId1"/>
    <sheet name="FS Jimbaran April 2020" sheetId="14" r:id="rId2"/>
    <sheet name="RNs &amp; Covers April 2020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3" i="14" l="1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12" i="14"/>
  <c r="Q47" i="14" l="1"/>
  <c r="R47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B38" i="10"/>
  <c r="AJ40" i="14"/>
  <c r="AM40" i="14"/>
  <c r="AM41" i="14"/>
  <c r="AJ41" i="14"/>
  <c r="AB40" i="14"/>
  <c r="AC40" i="14" s="1"/>
  <c r="AB41" i="14"/>
  <c r="AC41" i="14" s="1"/>
  <c r="W40" i="14"/>
  <c r="W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W33" i="14" l="1"/>
  <c r="W34" i="14"/>
  <c r="W35" i="14"/>
  <c r="W36" i="14"/>
  <c r="W37" i="14"/>
  <c r="W38" i="14"/>
  <c r="W39" i="14"/>
  <c r="W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M31" i="14" l="1"/>
  <c r="AM32" i="14"/>
  <c r="AM33" i="14"/>
  <c r="AM34" i="14"/>
  <c r="AM35" i="14"/>
  <c r="AM36" i="14"/>
  <c r="AM37" i="14"/>
  <c r="AM38" i="14"/>
  <c r="AM39" i="14"/>
  <c r="AJ31" i="14"/>
  <c r="AJ32" i="14"/>
  <c r="AJ33" i="14"/>
  <c r="AJ34" i="14"/>
  <c r="AJ35" i="14"/>
  <c r="AJ36" i="14"/>
  <c r="AJ37" i="14"/>
  <c r="AJ38" i="14"/>
  <c r="AJ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B31" i="14"/>
  <c r="AB32" i="14"/>
  <c r="AB33" i="14"/>
  <c r="AB34" i="14"/>
  <c r="AB35" i="14"/>
  <c r="AB36" i="14"/>
  <c r="AB37" i="14"/>
  <c r="AB38" i="14"/>
  <c r="AB39" i="14"/>
  <c r="W31" i="14"/>
  <c r="K21" i="11" s="1"/>
  <c r="W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C39" i="14"/>
  <c r="L27" i="11"/>
  <c r="AC37" i="14"/>
  <c r="L25" i="11"/>
  <c r="AC35" i="14"/>
  <c r="L23" i="11"/>
  <c r="AC33" i="14"/>
  <c r="L21" i="11"/>
  <c r="AC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C38" i="14"/>
  <c r="L26" i="11"/>
  <c r="AC36" i="14"/>
  <c r="L24" i="11"/>
  <c r="AC34" i="14"/>
  <c r="L22" i="11"/>
  <c r="AC32" i="14"/>
  <c r="E21" i="11" l="1"/>
  <c r="E22" i="11"/>
  <c r="F28" i="11"/>
  <c r="F26" i="11"/>
  <c r="F24" i="11"/>
  <c r="F22" i="11"/>
  <c r="F29" i="11"/>
  <c r="F27" i="11"/>
  <c r="F25" i="11"/>
  <c r="F23" i="11"/>
  <c r="F21" i="11"/>
  <c r="W30" i="14" l="1"/>
  <c r="W29" i="14"/>
  <c r="W28" i="14"/>
  <c r="W27" i="14"/>
  <c r="W26" i="14"/>
  <c r="W25" i="14"/>
  <c r="W23" i="14"/>
  <c r="W22" i="14"/>
  <c r="W21" i="14"/>
  <c r="W20" i="14"/>
  <c r="W19" i="14"/>
  <c r="W18" i="14"/>
  <c r="W17" i="14"/>
  <c r="W16" i="14"/>
  <c r="W15" i="14"/>
  <c r="W14" i="14"/>
  <c r="W13" i="14"/>
  <c r="W12" i="14"/>
  <c r="AK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E47" i="14"/>
  <c r="D47" i="14"/>
  <c r="C47" i="14"/>
  <c r="AF47" i="14"/>
  <c r="J20" i="11"/>
  <c r="I30" i="14"/>
  <c r="AM29" i="14"/>
  <c r="I29" i="14"/>
  <c r="AM28" i="14"/>
  <c r="I28" i="14"/>
  <c r="I27" i="14"/>
  <c r="AM26" i="14"/>
  <c r="AJ26" i="14"/>
  <c r="I26" i="14"/>
  <c r="AM25" i="14"/>
  <c r="I15" i="11"/>
  <c r="P25" i="14"/>
  <c r="AM24" i="14"/>
  <c r="K14" i="11"/>
  <c r="I24" i="14"/>
  <c r="AM23" i="14"/>
  <c r="P23" i="14"/>
  <c r="I22" i="14"/>
  <c r="P21" i="14"/>
  <c r="AM20" i="14"/>
  <c r="AB20" i="14"/>
  <c r="AC20" i="14" s="1"/>
  <c r="I20" i="14"/>
  <c r="I9" i="11"/>
  <c r="AB19" i="14"/>
  <c r="AC19" i="14" s="1"/>
  <c r="AM18" i="14"/>
  <c r="P18" i="14"/>
  <c r="I18" i="14"/>
  <c r="AM17" i="14"/>
  <c r="I7" i="11"/>
  <c r="P17" i="14"/>
  <c r="AM16" i="14"/>
  <c r="K6" i="11"/>
  <c r="I16" i="14"/>
  <c r="AM15" i="14"/>
  <c r="P15" i="14"/>
  <c r="AM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J22" i="14"/>
  <c r="H12" i="11"/>
  <c r="AJ24" i="14"/>
  <c r="H14" i="11"/>
  <c r="AJ25" i="14"/>
  <c r="H15" i="11"/>
  <c r="G16" i="11"/>
  <c r="H16" i="11"/>
  <c r="AJ28" i="14"/>
  <c r="H18" i="11"/>
  <c r="AJ29" i="14"/>
  <c r="H19" i="11"/>
  <c r="AJ30" i="14"/>
  <c r="H20" i="11"/>
  <c r="AJ14" i="14"/>
  <c r="H4" i="11"/>
  <c r="AJ16" i="14"/>
  <c r="H6" i="11"/>
  <c r="AJ20" i="14"/>
  <c r="H10" i="11"/>
  <c r="AJ27" i="14"/>
  <c r="H17" i="11"/>
  <c r="O29" i="14"/>
  <c r="O27" i="14"/>
  <c r="G20" i="11"/>
  <c r="O20" i="14"/>
  <c r="O30" i="14"/>
  <c r="G15" i="11"/>
  <c r="G14" i="11"/>
  <c r="O28" i="14"/>
  <c r="J13" i="11"/>
  <c r="J14" i="11"/>
  <c r="AM30" i="14"/>
  <c r="J6" i="11"/>
  <c r="J5" i="11"/>
  <c r="G7" i="11"/>
  <c r="G11" i="11"/>
  <c r="AM27" i="14"/>
  <c r="J17" i="11"/>
  <c r="G13" i="11"/>
  <c r="J4" i="11"/>
  <c r="AM14" i="14"/>
  <c r="G5" i="11"/>
  <c r="G3" i="11"/>
  <c r="AM21" i="14"/>
  <c r="J11" i="11"/>
  <c r="J12" i="11"/>
  <c r="AM22" i="14"/>
  <c r="J47" i="14"/>
  <c r="G47" i="14"/>
  <c r="X47" i="14"/>
  <c r="AB13" i="14"/>
  <c r="AB15" i="14"/>
  <c r="AB17" i="14"/>
  <c r="AB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B29" i="14"/>
  <c r="G19" i="11"/>
  <c r="I17" i="11"/>
  <c r="K15" i="11"/>
  <c r="K7" i="11"/>
  <c r="L10" i="11"/>
  <c r="P13" i="14"/>
  <c r="AG47" i="14"/>
  <c r="I10" i="11"/>
  <c r="M47" i="14"/>
  <c r="P16" i="14"/>
  <c r="I17" i="14"/>
  <c r="O18" i="14"/>
  <c r="I21" i="14"/>
  <c r="O21" i="14" s="1"/>
  <c r="AB27" i="14"/>
  <c r="G18" i="11"/>
  <c r="G10" i="11"/>
  <c r="I16" i="11"/>
  <c r="I8" i="11"/>
  <c r="J19" i="11"/>
  <c r="J3" i="11"/>
  <c r="L9" i="11"/>
  <c r="K47" i="14"/>
  <c r="O22" i="14"/>
  <c r="AB24" i="14"/>
  <c r="P26" i="14"/>
  <c r="E47" i="14"/>
  <c r="I13" i="14"/>
  <c r="O13" i="14" s="1"/>
  <c r="I15" i="14"/>
  <c r="O15" i="14" s="1"/>
  <c r="O16" i="14"/>
  <c r="P19" i="14"/>
  <c r="AB21" i="14"/>
  <c r="I23" i="14"/>
  <c r="O23" i="14" s="1"/>
  <c r="P28" i="14"/>
  <c r="G17" i="11"/>
  <c r="J18" i="11"/>
  <c r="J10" i="11"/>
  <c r="K13" i="11"/>
  <c r="K5" i="11"/>
  <c r="AB25" i="14"/>
  <c r="F47" i="14"/>
  <c r="W47" i="14"/>
  <c r="I14" i="14"/>
  <c r="O14" i="14" s="1"/>
  <c r="AB14" i="14"/>
  <c r="P24" i="14"/>
  <c r="I25" i="14"/>
  <c r="O25" i="14" s="1"/>
  <c r="O26" i="14"/>
  <c r="I14" i="11"/>
  <c r="I6" i="11"/>
  <c r="K12" i="11"/>
  <c r="K4" i="11"/>
  <c r="AB12" i="14"/>
  <c r="L2" i="11" s="1"/>
  <c r="H2" i="11"/>
  <c r="AB18" i="14"/>
  <c r="AB26" i="14"/>
  <c r="AB22" i="14"/>
  <c r="AB30" i="14"/>
  <c r="H47" i="14"/>
  <c r="P12" i="14"/>
  <c r="AB28" i="14"/>
  <c r="J2" i="11"/>
  <c r="AD47" i="14"/>
  <c r="X51" i="14" l="1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J18" i="14"/>
  <c r="AJ19" i="14"/>
  <c r="AC24" i="14"/>
  <c r="L14" i="11"/>
  <c r="AC22" i="14"/>
  <c r="L12" i="11"/>
  <c r="AJ13" i="14"/>
  <c r="AJ15" i="14"/>
  <c r="O17" i="14"/>
  <c r="AC28" i="14"/>
  <c r="L18" i="11"/>
  <c r="AC14" i="14"/>
  <c r="L4" i="11"/>
  <c r="AC30" i="14"/>
  <c r="L20" i="11"/>
  <c r="AC29" i="14"/>
  <c r="L19" i="11"/>
  <c r="Y47" i="14"/>
  <c r="AC18" i="14"/>
  <c r="L8" i="11"/>
  <c r="AC25" i="14"/>
  <c r="L15" i="11"/>
  <c r="AC23" i="14"/>
  <c r="L13" i="11"/>
  <c r="AJ21" i="14"/>
  <c r="AC26" i="14"/>
  <c r="L16" i="11"/>
  <c r="AC17" i="14"/>
  <c r="L7" i="11"/>
  <c r="Z47" i="14"/>
  <c r="AC27" i="14"/>
  <c r="L17" i="11"/>
  <c r="AC15" i="14"/>
  <c r="L5" i="11"/>
  <c r="AJ23" i="14"/>
  <c r="AJ17" i="14"/>
  <c r="AC21" i="14"/>
  <c r="L11" i="11"/>
  <c r="AH47" i="14"/>
  <c r="AM19" i="14"/>
  <c r="J9" i="11"/>
  <c r="AC13" i="14"/>
  <c r="L3" i="11"/>
  <c r="AL47" i="14"/>
  <c r="AM47" i="14" s="1"/>
  <c r="AM12" i="14"/>
  <c r="AB16" i="14"/>
  <c r="AB47" i="14" s="1"/>
  <c r="AI47" i="14"/>
  <c r="AJ47" i="14" s="1"/>
  <c r="AJ12" i="14"/>
  <c r="N47" i="14"/>
  <c r="O12" i="14"/>
  <c r="P47" i="14"/>
  <c r="T47" i="14" s="1"/>
  <c r="AA47" i="14"/>
  <c r="AC12" i="14"/>
  <c r="AC47" i="14" l="1"/>
  <c r="AB49" i="14"/>
  <c r="F7" i="11"/>
  <c r="F2" i="11"/>
  <c r="AC16" i="14"/>
  <c r="L6" i="11"/>
  <c r="O47" i="14"/>
  <c r="U47" i="14" s="1"/>
  <c r="V47" i="14" l="1"/>
  <c r="V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<sst xmlns="http://schemas.openxmlformats.org/spreadsheetml/2006/main" count="100" uniqueCount="55">
  <si>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</si>
  <si>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</si>
  <si>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</si>
  <si>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</si>
  <si>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</si>
  <si>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</si>
  <si>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</si>
  <si>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</si>
  <si>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</si>
  <si>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</si>
  <si>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</si>
  <si>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</si>
  <si>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</si>
  <si>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</si>
  <si>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</si>
  <si>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</si>
  <si>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</si>
  <si>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APRIL 2020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</si>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</sst>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7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7" xfId="2" applyNumberFormat="1" applyFont="1" applyFill="1" applyBorder="1" applyProtection="1">
      <protection locked="0"/>
    </xf>
    <xf numFmtId="166" fontId="0" fillId="0" borderId="56" xfId="2" applyNumberFormat="1" applyFont="1" applyBorder="1"/>
    <xf numFmtId="165" fontId="14" fillId="3" borderId="46" xfId="2" applyNumberFormat="1" applyFont="1" applyFill="1" applyBorder="1" applyProtection="1">
      <protection locked="0"/>
    </xf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4" xfId="2" applyNumberFormat="1" applyFont="1" applyFill="1" applyBorder="1" applyProtection="1">
      <protection locked="0"/>
    </xf>
    <xf numFmtId="165" fontId="14" fillId="3" borderId="47" xfId="2" applyNumberFormat="1" applyFont="1" applyFill="1" applyBorder="1" applyProtection="1">
      <protection locked="0"/>
    </xf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Font="1" applyFill="1" applyBorder="1"/>
    <xf numFmtId="164" fontId="0" fillId="3" borderId="39" xfId="2" applyFont="1" applyFill="1" applyBorder="1"/>
    <xf numFmtId="164" fontId="0" fillId="3" borderId="40" xfId="2" applyFont="1" applyFill="1" applyBorder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64" fontId="0" fillId="3" borderId="70" xfId="2" applyFont="1" applyFill="1" applyBorder="1"/>
    <xf numFmtId="164" fontId="0" fillId="3" borderId="7" xfId="2" applyFont="1" applyFill="1" applyBorder="1"/>
    <xf numFmtId="164" fontId="0" fillId="3" borderId="71" xfId="2" applyFont="1" applyFill="1" applyBorder="1"/>
    <xf numFmtId="164" fontId="0" fillId="3" borderId="11" xfId="2" applyFont="1" applyFill="1" applyBorder="1"/>
    <xf numFmtId="164" fontId="0" fillId="3" borderId="72" xfId="2" applyFont="1" applyFill="1" applyBorder="1"/>
    <xf numFmtId="164" fontId="0" fillId="3" borderId="47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8" fontId="1" fillId="0" borderId="37" xfId="2" applyNumberFormat="1" applyFont="1" applyBorder="1" applyAlignment="1">
      <alignment horizontal="center" vertical="center" wrapText="1"/>
    </xf>
    <xf numFmtId="168" fontId="1" fillId="0" borderId="23" xfId="2" applyNumberFormat="1" applyFont="1" applyBorder="1" applyAlignment="1">
      <alignment horizontal="center" vertical="center" wrapText="1"/>
    </xf>
    <xf numFmtId="168" fontId="0" fillId="0" borderId="37" xfId="2" applyNumberFormat="1" applyFont="1" applyBorder="1" applyAlignment="1">
      <alignment horizontal="center" vertical="center" wrapText="1"/>
    </xf>
    <xf numFmtId="9" fontId="17" fillId="0" borderId="0" xfId="5" applyFont="1"/>
    <xf numFmtId="0" fontId="0" fillId="3" borderId="64" xfId="0" applyFill="1" applyBorder="1" applyAlignment="1">
      <alignment wrapText="1"/>
    </xf>
    <xf numFmtId="0" fontId="7" fillId="0" borderId="6" xfId="4" quotePrefix="1" applyBorder="1"/>
    <xf numFmtId="0" fontId="0" fillId="3" borderId="39" xfId="0" applyFill="1" applyBorder="1" applyAlignment="1">
      <alignment wrapText="1"/>
    </xf>
    <xf numFmtId="0" fontId="7" fillId="3" borderId="39" xfId="4" quotePrefix="1" applyFill="1" applyBorder="1" applyAlignment="1"/>
    <xf numFmtId="168" fontId="0" fillId="0" borderId="47" xfId="2" applyNumberFormat="1" applyFont="1" applyBorder="1"/>
    <xf numFmtId="168" fontId="0" fillId="0" borderId="39" xfId="2" applyNumberFormat="1" applyFont="1" applyBorder="1"/>
    <xf numFmtId="168" fontId="7" fillId="3" borderId="39" xfId="2" applyNumberFormat="1" applyFont="1" applyFill="1" applyBorder="1" applyAlignment="1">
      <alignment vertical="top" wrapText="1"/>
    </xf>
    <xf numFmtId="168" fontId="17" fillId="3" borderId="39" xfId="2" applyNumberFormat="1" applyFont="1" applyFill="1" applyBorder="1" applyAlignment="1">
      <alignment vertical="top" wrapText="1"/>
    </xf>
    <xf numFmtId="168" fontId="7" fillId="3" borderId="39" xfId="4" quotePrefix="1" applyNumberFormat="1" applyFill="1" applyBorder="1" applyAlignment="1">
      <alignment vertical="top"/>
    </xf>
    <xf numFmtId="0" fontId="7" fillId="3" borderId="39" xfId="4" applyFill="1" applyBorder="1" applyAlignment="1">
      <alignment vertical="top" wrapText="1"/>
    </xf>
    <xf numFmtId="0" fontId="7" fillId="0" borderId="40" xfId="4" quotePrefix="1" applyBorder="1"/>
    <xf numFmtId="1" fontId="20" fillId="14" borderId="46" xfId="0" applyNumberFormat="1" applyFont="1" applyFill="1" applyBorder="1"/>
    <xf numFmtId="1" fontId="20" fillId="14" borderId="73" xfId="0" applyNumberFormat="1" applyFont="1" applyFill="1" applyBorder="1"/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tabSelected="1" workbookViewId="0">
      <selection activeCell="I2" sqref="I2"/>
    </sheetView>
  </sheetViews>
  <sheetFormatPr defaultColWidth="11.5703125" defaultRowHeight="15"/>
  <cols>
    <col min="1" max="1" width="18.42578125" style="166" customWidth="1"/>
    <col min="2" max="2" width="11.5703125" style="167"/>
    <col min="3" max="3" width="11.5703125" style="168"/>
    <col min="4" max="4" width="13.42578125" style="167" customWidth="1"/>
    <col min="5" max="5" width="12.5703125" style="165" customWidth="1"/>
    <col min="6" max="6" width="12.5703125" style="169" customWidth="1"/>
    <col min="7" max="7" width="11.5703125" style="165"/>
    <col min="8" max="8" width="11.5703125" style="169"/>
    <col min="9" max="9" width="11.5703125" style="170"/>
    <col min="10" max="10" width="11.5703125" style="171"/>
    <col min="11" max="11" width="11.5703125" style="165"/>
    <col min="12" max="12" width="11.5703125" style="171"/>
    <col min="13" max="26" width="11.5703125" style="165"/>
  </cols>
  <sheetData>
    <row r="1" spans="1:15" s="159" customFormat="1" ht="60.75">
      <c r="A1" s="155" t="s">
        <v>0</v>
      </c>
      <c r="B1" s="155" t="s">
        <v>1</v>
      </c>
      <c r="C1" s="156" t="s">
        <v>2</v>
      </c>
      <c r="D1" s="155" t="s">
        <v>3</v>
      </c>
      <c r="E1" s="154" t="s">
        <v>4</v>
      </c>
      <c r="F1" s="157" t="s">
        <v>5</v>
      </c>
      <c r="G1" s="154" t="s">
        <v>6</v>
      </c>
      <c r="H1" s="157" t="s">
        <v>7</v>
      </c>
      <c r="I1" s="154" t="s">
        <v>8</v>
      </c>
      <c r="J1" s="157" t="s">
        <v>9</v>
      </c>
      <c r="K1" s="154" t="s">
        <v>10</v>
      </c>
      <c r="L1" s="158" t="s">
        <v>11</v>
      </c>
      <c r="M1" s="154" t="s">
        <v>12</v>
      </c>
      <c r="N1" s="154" t="s">
        <v>13</v>
      </c>
    </row>
    <row r="2" spans="1:15">
      <c r="A2" s="160" t="s">
        <v>14</v>
      </c>
      <c r="B2" s="161">
        <v>1</v>
      </c>
      <c r="C2" s="162">
        <v>4</v>
      </c>
      <c r="D2" s="161">
        <v>2020</v>
      </c>
      <c r="E2" s="163">
        <f>'FS Jimbaran April 2020'!P12</f>
        <v>20119.999999998981</v>
      </c>
      <c r="F2" s="172">
        <f>'FS Jimbaran April 2020'!O12/'FS Jimbaran April 2020'!P12</f>
        <v>1089.3193240556668</v>
      </c>
      <c r="G2" s="163">
        <f>'FS Jimbaran April 2020'!AH12</f>
        <v>75.041640000018745</v>
      </c>
      <c r="H2" s="172">
        <f>'FS Jimbaran April 2020'!AI12/'FS Jimbaran April 2020'!AH12</f>
        <v>9196</v>
      </c>
      <c r="I2" s="163">
        <f>'FS Jimbaran April 2020'!AK12</f>
        <v>0</v>
      </c>
      <c r="J2" s="164" t="e">
        <f>'FS Jimbaran April 2020'!AL12/'FS Jimbaran April 2020'!AK12</f>
        <v>#DIV/0!</v>
      </c>
      <c r="K2" s="163">
        <f>'FS Jimbaran April 2020'!W12</f>
        <v>381.81</v>
      </c>
      <c r="L2" s="172">
        <f>'FS Jimbaran April 2020'!AB12/'FS Jimbaran April 2020'!W12</f>
        <v>0</v>
      </c>
      <c r="M2" s="163">
        <v>0</v>
      </c>
      <c r="N2" s="163">
        <v>0</v>
      </c>
    </row>
    <row r="3" spans="1:15">
      <c r="A3" s="160" t="s">
        <v>14</v>
      </c>
      <c r="B3" s="161">
        <f>B2+1</f>
        <v>2</v>
      </c>
      <c r="C3" s="162">
        <v>4</v>
      </c>
      <c r="D3" s="161">
        <v>2020</v>
      </c>
      <c r="E3" s="163">
        <f>'FS Jimbaran April 2020'!P13</f>
        <v>8879.9999999996544</v>
      </c>
      <c r="F3" s="172">
        <f>'FS Jimbaran April 2020'!O13/'FS Jimbaran April 2020'!P13</f>
        <v>1122.0950000000043</v>
      </c>
      <c r="G3" s="163">
        <f>'FS Jimbaran April 2020'!AH13</f>
        <v>76.894519999985931</v>
      </c>
      <c r="H3" s="172">
        <f>'FS Jimbaran April 2020'!AI13/'FS Jimbaran April 2020'!AH13</f>
        <v>9196</v>
      </c>
      <c r="I3" s="163">
        <f>'FS Jimbaran April 2020'!AK13</f>
        <v>209.54000000000087</v>
      </c>
      <c r="J3" s="164">
        <f>'FS Jimbaran April 2020'!AL13/'FS Jimbaran April 2020'!AK13</f>
        <v>7599.9999999999991</v>
      </c>
      <c r="K3" s="163">
        <f>'FS Jimbaran April 2020'!W13</f>
        <v>367.57</v>
      </c>
      <c r="L3" s="172">
        <f>'FS Jimbaran April 2020'!AB13/'FS Jimbaran April 2020'!W13</f>
        <v>0</v>
      </c>
      <c r="M3" s="163">
        <v>0</v>
      </c>
      <c r="N3" s="163">
        <v>0</v>
      </c>
    </row>
    <row r="4" spans="1:15">
      <c r="A4" s="160" t="s">
        <v>14</v>
      </c>
      <c r="B4" s="161">
        <f t="shared" ref="B4:B31" si="0">B3+1</f>
        <v>3</v>
      </c>
      <c r="C4" s="162">
        <v>4</v>
      </c>
      <c r="D4" s="161">
        <v>2020</v>
      </c>
      <c r="E4" s="163">
        <f>'FS Jimbaran April 2020'!P14</f>
        <v>8240.0000000002365</v>
      </c>
      <c r="F4" s="172">
        <f>'FS Jimbaran April 2020'!O14/'FS Jimbaran April 2020'!P14</f>
        <v>1109.9438592232887</v>
      </c>
      <c r="G4" s="163">
        <f>'FS Jimbaran April 2020'!AH14</f>
        <v>85.752679999990619</v>
      </c>
      <c r="H4" s="172">
        <f>'FS Jimbaran April 2020'!AI14/'FS Jimbaran April 2020'!AH14</f>
        <v>9535.9077439912453</v>
      </c>
      <c r="I4" s="163">
        <f>'FS Jimbaran April 2020'!AK14</f>
        <v>99.94999999999709</v>
      </c>
      <c r="J4" s="164">
        <f>'FS Jimbaran April 2020'!AL14/'FS Jimbaran April 2020'!AK14</f>
        <v>7600</v>
      </c>
      <c r="K4" s="163">
        <f>'FS Jimbaran April 2020'!W14</f>
        <v>412.96</v>
      </c>
      <c r="L4" s="172">
        <f>'FS Jimbaran April 2020'!AB14/'FS Jimbaran April 2020'!W14</f>
        <v>0</v>
      </c>
      <c r="M4" s="163">
        <v>0</v>
      </c>
      <c r="N4" s="163">
        <v>0</v>
      </c>
    </row>
    <row r="5" spans="1:15">
      <c r="A5" s="160" t="s">
        <v>14</v>
      </c>
      <c r="B5" s="161">
        <f t="shared" si="0"/>
        <v>4</v>
      </c>
      <c r="C5" s="162">
        <v>4</v>
      </c>
      <c r="D5" s="161">
        <v>2020</v>
      </c>
      <c r="E5" s="163">
        <f>'FS Jimbaran April 2020'!P15</f>
        <v>7399.9999999987267</v>
      </c>
      <c r="F5" s="172">
        <f>'FS Jimbaran April 2020'!O15/'FS Jimbaran April 2020'!P15</f>
        <v>1114.1633513513571</v>
      </c>
      <c r="G5" s="163">
        <f>'FS Jimbaran April 2020'!AH15</f>
        <v>0</v>
      </c>
      <c r="H5" s="172" t="e">
        <f>'FS Jimbaran April 2020'!AI15/'FS Jimbaran April 2020'!AH15</f>
        <v>#DIV/0!</v>
      </c>
      <c r="I5" s="163">
        <f>'FS Jimbaran April 2020'!AK15</f>
        <v>107.02000000000407</v>
      </c>
      <c r="J5" s="164">
        <f>'FS Jimbaran April 2020'!AL15/'FS Jimbaran April 2020'!AK15</f>
        <v>7600</v>
      </c>
      <c r="K5" s="163">
        <f>'FS Jimbaran April 2020'!W15</f>
        <v>407.62</v>
      </c>
      <c r="L5" s="172">
        <f>'FS Jimbaran April 2020'!AB15/'FS Jimbaran April 2020'!W15</f>
        <v>0</v>
      </c>
      <c r="M5" s="163">
        <v>0</v>
      </c>
      <c r="N5" s="163">
        <v>0</v>
      </c>
    </row>
    <row r="6" spans="1:15">
      <c r="A6" s="160" t="s">
        <v>14</v>
      </c>
      <c r="B6" s="161">
        <f t="shared" si="0"/>
        <v>5</v>
      </c>
      <c r="C6" s="162">
        <v>4</v>
      </c>
      <c r="D6" s="161">
        <v>2020</v>
      </c>
      <c r="E6" s="163">
        <f>'FS Jimbaran April 2020'!P16</f>
        <v>5500.0000000013642</v>
      </c>
      <c r="F6" s="172">
        <f>'FS Jimbaran April 2020'!O16/'FS Jimbaran April 2020'!P16</f>
        <v>1120.525636363624</v>
      </c>
      <c r="G6" s="163">
        <f>'FS Jimbaran April 2020'!AH16</f>
        <v>57.560119999974205</v>
      </c>
      <c r="H6" s="172">
        <f>'FS Jimbaran April 2020'!AI16/'FS Jimbaran April 2020'!AH16</f>
        <v>9196</v>
      </c>
      <c r="I6" s="163">
        <f>'FS Jimbaran April 2020'!AK16</f>
        <v>14.860000000000582</v>
      </c>
      <c r="J6" s="164">
        <f>'FS Jimbaran April 2020'!AL16/'FS Jimbaran April 2020'!AK16</f>
        <v>7600</v>
      </c>
      <c r="K6" s="163">
        <f>'FS Jimbaran April 2020'!W16</f>
        <v>304.38</v>
      </c>
      <c r="L6" s="172">
        <f>'FS Jimbaran April 2020'!AB16/'FS Jimbaran April 2020'!W16</f>
        <v>0</v>
      </c>
      <c r="M6" s="163">
        <v>0</v>
      </c>
      <c r="N6" s="163">
        <v>0</v>
      </c>
    </row>
    <row r="7" spans="1:15">
      <c r="A7" s="160" t="s">
        <v>14</v>
      </c>
      <c r="B7" s="161">
        <f t="shared" si="0"/>
        <v>6</v>
      </c>
      <c r="C7" s="162">
        <v>4</v>
      </c>
      <c r="D7" s="161">
        <v>2020</v>
      </c>
      <c r="E7" s="163">
        <f>'FS Jimbaran April 2020'!P17</f>
        <v>5279.9999999988358</v>
      </c>
      <c r="F7" s="172">
        <f>'FS Jimbaran April 2020'!O17/'FS Jimbaran April 2020'!P17</f>
        <v>1114.2481818182171</v>
      </c>
      <c r="G7" s="163">
        <f>'FS Jimbaran April 2020'!AH17</f>
        <v>60.138040000030472</v>
      </c>
      <c r="H7" s="172">
        <f>'FS Jimbaran April 2020'!AI17/'FS Jimbaran April 2020'!AH17</f>
        <v>9196</v>
      </c>
      <c r="I7" s="163">
        <f>'FS Jimbaran April 2020'!AK17</f>
        <v>2.4099999999962165</v>
      </c>
      <c r="J7" s="164">
        <f>'FS Jimbaran April 2020'!AL17/'FS Jimbaran April 2020'!AK17</f>
        <v>7600</v>
      </c>
      <c r="K7" s="163">
        <f>'FS Jimbaran April 2020'!W17</f>
        <v>216.27</v>
      </c>
      <c r="L7" s="172">
        <f>'FS Jimbaran April 2020'!AB17/'FS Jimbaran April 2020'!W17</f>
        <v>0</v>
      </c>
      <c r="M7" s="163">
        <v>0</v>
      </c>
      <c r="N7" s="163">
        <v>0</v>
      </c>
    </row>
    <row r="8" spans="1:15">
      <c r="A8" s="160" t="s">
        <v>14</v>
      </c>
      <c r="B8" s="161">
        <f t="shared" si="0"/>
        <v>7</v>
      </c>
      <c r="C8" s="162">
        <v>4</v>
      </c>
      <c r="D8" s="161">
        <v>2020</v>
      </c>
      <c r="E8" s="163">
        <f>'FS Jimbaran April 2020'!P18</f>
        <v>5520.0000000015734</v>
      </c>
      <c r="F8" s="172">
        <f>'FS Jimbaran April 2020'!O18/'FS Jimbaran April 2020'!P18</f>
        <v>1112.7129347825808</v>
      </c>
      <c r="G8" s="163">
        <f>'FS Jimbaran April 2020'!AH18</f>
        <v>59.654679999990613</v>
      </c>
      <c r="H8" s="172">
        <f>'FS Jimbaran April 2020'!AI18/'FS Jimbaran April 2020'!AH18</f>
        <v>9196</v>
      </c>
      <c r="I8" s="163">
        <f>'FS Jimbaran April 2020'!AK18</f>
        <v>125.22000000000116</v>
      </c>
      <c r="J8" s="164">
        <f>'FS Jimbaran April 2020'!AL18/'FS Jimbaran April 2020'!AK18</f>
        <v>7600</v>
      </c>
      <c r="K8" s="163">
        <f>'FS Jimbaran April 2020'!W18</f>
        <v>285.69</v>
      </c>
      <c r="L8" s="172">
        <f>'FS Jimbaran April 2020'!AB18/'FS Jimbaran April 2020'!W18</f>
        <v>0</v>
      </c>
      <c r="M8" s="163">
        <v>0</v>
      </c>
      <c r="N8" s="163">
        <v>0</v>
      </c>
    </row>
    <row r="9" spans="1:15">
      <c r="A9" s="160" t="s">
        <v>14</v>
      </c>
      <c r="B9" s="161">
        <f t="shared" si="0"/>
        <v>8</v>
      </c>
      <c r="C9" s="162">
        <v>4</v>
      </c>
      <c r="D9" s="161">
        <v>2020</v>
      </c>
      <c r="E9" s="163">
        <f>'FS Jimbaran April 2020'!P19</f>
        <v>6139.9999999985084</v>
      </c>
      <c r="F9" s="172">
        <f>'FS Jimbaran April 2020'!O19/'FS Jimbaran April 2020'!P19</f>
        <v>1110.0052768729913</v>
      </c>
      <c r="G9" s="163">
        <f>'FS Jimbaran April 2020'!AH19</f>
        <v>56.593400000011719</v>
      </c>
      <c r="H9" s="172">
        <f>'FS Jimbaran April 2020'!AI19/'FS Jimbaran April 2020'!AH19</f>
        <v>9196</v>
      </c>
      <c r="I9" s="163">
        <f>'FS Jimbaran April 2020'!AK19</f>
        <v>0.5</v>
      </c>
      <c r="J9" s="164">
        <f>'FS Jimbaran April 2020'!AL19/'FS Jimbaran April 2020'!AK19</f>
        <v>7600</v>
      </c>
      <c r="K9" s="163">
        <f>'FS Jimbaran April 2020'!W19</f>
        <v>645.25</v>
      </c>
      <c r="L9" s="172">
        <f>'FS Jimbaran April 2020'!AB19/'FS Jimbaran April 2020'!W19</f>
        <v>2096.240606896552</v>
      </c>
      <c r="M9" s="163">
        <v>0</v>
      </c>
      <c r="N9" s="163">
        <v>0</v>
      </c>
      <c r="O9" s="165" t="s">
        <v>15</v>
      </c>
    </row>
    <row r="10" spans="1:15">
      <c r="A10" s="160" t="s">
        <v>14</v>
      </c>
      <c r="B10" s="161">
        <f t="shared" si="0"/>
        <v>9</v>
      </c>
      <c r="C10" s="162">
        <v>4</v>
      </c>
      <c r="D10" s="161">
        <v>2020</v>
      </c>
      <c r="E10" s="163">
        <f>'FS Jimbaran April 2020'!P20</f>
        <v>5540.0000000004184</v>
      </c>
      <c r="F10" s="172">
        <f>'FS Jimbaran April 2020'!O20/'FS Jimbaran April 2020'!P20</f>
        <v>1119.9137545126375</v>
      </c>
      <c r="G10" s="163">
        <f>'FS Jimbaran April 2020'!AH20</f>
        <v>59.533839999995301</v>
      </c>
      <c r="H10" s="172">
        <f>'FS Jimbaran April 2020'!AI20/'FS Jimbaran April 2020'!AH20</f>
        <v>9196</v>
      </c>
      <c r="I10" s="163">
        <f>'FS Jimbaran April 2020'!AK20</f>
        <v>76.819999999999709</v>
      </c>
      <c r="J10" s="164">
        <f>'FS Jimbaran April 2020'!AL20/'FS Jimbaran April 2020'!AK20</f>
        <v>7600</v>
      </c>
      <c r="K10" s="163">
        <f>'FS Jimbaran April 2020'!W20</f>
        <v>385.37</v>
      </c>
      <c r="L10" s="172">
        <f>'FS Jimbaran April 2020'!AB20/'FS Jimbaran April 2020'!W20</f>
        <v>0</v>
      </c>
      <c r="M10" s="163">
        <v>0</v>
      </c>
      <c r="N10" s="163">
        <v>0</v>
      </c>
    </row>
    <row r="11" spans="1:15">
      <c r="A11" s="160" t="s">
        <v>14</v>
      </c>
      <c r="B11" s="161">
        <f t="shared" si="0"/>
        <v>10</v>
      </c>
      <c r="C11" s="162">
        <v>4</v>
      </c>
      <c r="D11" s="161">
        <v>2020</v>
      </c>
      <c r="E11" s="163">
        <f>'FS Jimbaran April 2020'!P21</f>
        <v>5979.9999999991087</v>
      </c>
      <c r="F11" s="172">
        <f>'FS Jimbaran April 2020'!O21/'FS Jimbaran April 2020'!P21</f>
        <v>1124.1157525083727</v>
      </c>
      <c r="G11" s="163">
        <f>'FS Jimbaran April 2020'!AH21</f>
        <v>13.936879999967173</v>
      </c>
      <c r="H11" s="172">
        <f>'FS Jimbaran April 2020'!AI21/'FS Jimbaran April 2020'!AH21</f>
        <v>9196</v>
      </c>
      <c r="I11" s="163">
        <f>'FS Jimbaran April 2020'!AK21</f>
        <v>0</v>
      </c>
      <c r="J11" s="164" t="e">
        <f>'FS Jimbaran April 2020'!AL21/'FS Jimbaran April 2020'!AK21</f>
        <v>#DIV/0!</v>
      </c>
      <c r="K11" s="163">
        <f>'FS Jimbaran April 2020'!W21</f>
        <v>366.68</v>
      </c>
      <c r="L11" s="172">
        <f>'FS Jimbaran April 2020'!AB21/'FS Jimbaran April 2020'!W21</f>
        <v>0</v>
      </c>
      <c r="M11" s="163">
        <v>0</v>
      </c>
      <c r="N11" s="163">
        <v>0</v>
      </c>
    </row>
    <row r="12" spans="1:15">
      <c r="A12" s="160" t="s">
        <v>14</v>
      </c>
      <c r="B12" s="161">
        <f t="shared" si="0"/>
        <v>11</v>
      </c>
      <c r="C12" s="162">
        <v>4</v>
      </c>
      <c r="D12" s="161">
        <v>2020</v>
      </c>
      <c r="E12" s="163">
        <f>'FS Jimbaran April 2020'!P22</f>
        <v>5380.0000000005639</v>
      </c>
      <c r="F12" s="172">
        <f>'FS Jimbaran April 2020'!O22/'FS Jimbaran April 2020'!P22</f>
        <v>1116.6401486988466</v>
      </c>
      <c r="G12" s="163">
        <f>'FS Jimbaran April 2020'!AH22</f>
        <v>0</v>
      </c>
      <c r="H12" s="172" t="e">
        <f>'FS Jimbaran April 2020'!AI22/'FS Jimbaran April 2020'!AH22</f>
        <v>#DIV/0!</v>
      </c>
      <c r="I12" s="163">
        <f>'FS Jimbaran April 2020'!AK22</f>
        <v>123.01000000001477</v>
      </c>
      <c r="J12" s="164">
        <f>'FS Jimbaran April 2020'!AL22/'FS Jimbaran April 2020'!AK22</f>
        <v>7600</v>
      </c>
      <c r="K12" s="163">
        <f>'FS Jimbaran April 2020'!W22</f>
        <v>324.85000000000002</v>
      </c>
      <c r="L12" s="172">
        <f>'FS Jimbaran April 2020'!AB22/'FS Jimbaran April 2020'!W22</f>
        <v>0</v>
      </c>
      <c r="M12" s="163">
        <v>0</v>
      </c>
      <c r="N12" s="163">
        <v>0</v>
      </c>
    </row>
    <row r="13" spans="1:15">
      <c r="A13" s="160" t="s">
        <v>14</v>
      </c>
      <c r="B13" s="161">
        <f t="shared" si="0"/>
        <v>12</v>
      </c>
      <c r="C13" s="162">
        <v>4</v>
      </c>
      <c r="D13" s="161">
        <v>2020</v>
      </c>
      <c r="E13" s="163">
        <f>'FS Jimbaran April 2020'!P23</f>
        <v>5480.0000000009277</v>
      </c>
      <c r="F13" s="172">
        <f>'FS Jimbaran April 2020'!O23/'FS Jimbaran April 2020'!P23</f>
        <v>1109.4942700729991</v>
      </c>
      <c r="G13" s="163">
        <f>'FS Jimbaran April 2020'!AH23</f>
        <v>0</v>
      </c>
      <c r="H13" s="172" t="e">
        <f>'FS Jimbaran April 2020'!AI23/'FS Jimbaran April 2020'!AH23</f>
        <v>#DIV/0!</v>
      </c>
      <c r="I13" s="163">
        <f>'FS Jimbaran April 2020'!AK23</f>
        <v>6.2899999999881402</v>
      </c>
      <c r="J13" s="164">
        <f>'FS Jimbaran April 2020'!AL23/'FS Jimbaran April 2020'!AK23</f>
        <v>7600</v>
      </c>
      <c r="K13" s="163">
        <f>'FS Jimbaran April 2020'!W23</f>
        <v>260.77</v>
      </c>
      <c r="L13" s="172">
        <f>'FS Jimbaran April 2020'!AB23/'FS Jimbaran April 2020'!W23</f>
        <v>0</v>
      </c>
      <c r="M13" s="163">
        <v>0</v>
      </c>
      <c r="N13" s="163">
        <v>0</v>
      </c>
    </row>
    <row r="14" spans="1:15">
      <c r="A14" s="160" t="s">
        <v>14</v>
      </c>
      <c r="B14" s="161">
        <f t="shared" si="0"/>
        <v>13</v>
      </c>
      <c r="C14" s="162">
        <v>4</v>
      </c>
      <c r="D14" s="161">
        <v>2020</v>
      </c>
      <c r="E14" s="163">
        <f>'FS Jimbaran April 2020'!P24</f>
        <v>5600.0000000003638</v>
      </c>
      <c r="F14" s="172">
        <f>'FS Jimbaran April 2020'!O24/'FS Jimbaran April 2020'!P24</f>
        <v>1117.1627142857192</v>
      </c>
      <c r="G14" s="163">
        <f>'FS Jimbaran April 2020'!AH24</f>
        <v>0</v>
      </c>
      <c r="H14" s="172" t="e">
        <f>'FS Jimbaran April 2020'!AI24/'FS Jimbaran April 2020'!AH24</f>
        <v>#DIV/0!</v>
      </c>
      <c r="I14" s="163">
        <f>'FS Jimbaran April 2020'!AK24</f>
        <v>0</v>
      </c>
      <c r="J14" s="164" t="e">
        <f>'FS Jimbaran April 2020'!AL24/'FS Jimbaran April 2020'!AK24</f>
        <v>#DIV/0!</v>
      </c>
      <c r="K14" s="163">
        <f>'FS Jimbaran April 2020'!W24</f>
        <v>238.52</v>
      </c>
      <c r="L14" s="172">
        <f>'FS Jimbaran April 2020'!AB24/'FS Jimbaran April 2020'!W24</f>
        <v>0</v>
      </c>
      <c r="M14" s="163">
        <v>0</v>
      </c>
      <c r="N14" s="163">
        <v>0</v>
      </c>
    </row>
    <row r="15" spans="1:15">
      <c r="A15" s="160" t="s">
        <v>14</v>
      </c>
      <c r="B15" s="161">
        <f t="shared" si="0"/>
        <v>14</v>
      </c>
      <c r="C15" s="162">
        <v>4</v>
      </c>
      <c r="D15" s="161">
        <v>2020</v>
      </c>
      <c r="E15" s="163">
        <f>'FS Jimbaran April 2020'!P25</f>
        <v>5299.9999999983629</v>
      </c>
      <c r="F15" s="172">
        <f>'FS Jimbaran April 2020'!O25/'FS Jimbaran April 2020'!P25</f>
        <v>1127.6321886792348</v>
      </c>
      <c r="G15" s="163">
        <f>'FS Jimbaran April 2020'!AH25</f>
        <v>0</v>
      </c>
      <c r="H15" s="172" t="e">
        <f>'FS Jimbaran April 2020'!AI25/'FS Jimbaran April 2020'!AH25</f>
        <v>#DIV/0!</v>
      </c>
      <c r="I15" s="163">
        <f>'FS Jimbaran April 2020'!AK25</f>
        <v>139.61999999999534</v>
      </c>
      <c r="J15" s="164">
        <f>'FS Jimbaran April 2020'!AL25/'FS Jimbaran April 2020'!AK25</f>
        <v>7600</v>
      </c>
      <c r="K15" s="163">
        <f>'FS Jimbaran April 2020'!W25</f>
        <v>310.61</v>
      </c>
      <c r="L15" s="172">
        <f>'FS Jimbaran April 2020'!AB25/'FS Jimbaran April 2020'!W25</f>
        <v>0</v>
      </c>
      <c r="M15" s="163">
        <v>0</v>
      </c>
      <c r="N15" s="163">
        <v>0</v>
      </c>
    </row>
    <row r="16" spans="1:15">
      <c r="A16" s="160" t="s">
        <v>14</v>
      </c>
      <c r="B16" s="161">
        <f t="shared" si="0"/>
        <v>15</v>
      </c>
      <c r="C16" s="162">
        <v>4</v>
      </c>
      <c r="D16" s="161">
        <v>2020</v>
      </c>
      <c r="E16" s="163">
        <f>'FS Jimbaran April 2020'!P26</f>
        <v>5600.0000000012733</v>
      </c>
      <c r="F16" s="172">
        <f>'FS Jimbaran April 2020'!O26/'FS Jimbaran April 2020'!P26</f>
        <v>1102.3658571428655</v>
      </c>
      <c r="G16" s="163">
        <f>'FS Jimbaran April 2020'!AH26</f>
        <v>0</v>
      </c>
      <c r="H16" s="172" t="e">
        <f>'FS Jimbaran April 2020'!AI26/'FS Jimbaran April 2020'!AH26</f>
        <v>#DIV/0!</v>
      </c>
      <c r="I16" s="163">
        <f>'FS Jimbaran April 2020'!AK26</f>
        <v>0</v>
      </c>
      <c r="J16" s="164" t="e">
        <f>'FS Jimbaran April 2020'!AL26/'FS Jimbaran April 2020'!AK26</f>
        <v>#DIV/0!</v>
      </c>
      <c r="K16" s="163">
        <f>'FS Jimbaran April 2020'!W26</f>
        <v>354.22</v>
      </c>
      <c r="L16" s="172">
        <f>'FS Jimbaran April 2020'!AB26/'FS Jimbaran April 2020'!W26</f>
        <v>0</v>
      </c>
      <c r="M16" s="163">
        <v>0</v>
      </c>
      <c r="N16" s="163">
        <v>0</v>
      </c>
    </row>
    <row r="17" spans="1:14">
      <c r="A17" s="160" t="s">
        <v>14</v>
      </c>
      <c r="B17" s="161">
        <f t="shared" si="0"/>
        <v>16</v>
      </c>
      <c r="C17" s="162">
        <v>4</v>
      </c>
      <c r="D17" s="161">
        <v>2020</v>
      </c>
      <c r="E17" s="163">
        <f>'FS Jimbaran April 2020'!P27</f>
        <v>6320.0000000001637</v>
      </c>
      <c r="F17" s="172">
        <f>'FS Jimbaran April 2020'!O27/'FS Jimbaran April 2020'!P27</f>
        <v>1116.0857278481008</v>
      </c>
      <c r="G17" s="163">
        <f>'FS Jimbaran April 2020'!AH27</f>
        <v>0</v>
      </c>
      <c r="H17" s="172" t="e">
        <f>'FS Jimbaran April 2020'!AI27/'FS Jimbaran April 2020'!AH27</f>
        <v>#DIV/0!</v>
      </c>
      <c r="I17" s="163">
        <f>'FS Jimbaran April 2020'!AK27</f>
        <v>80.069999999999709</v>
      </c>
      <c r="J17" s="164">
        <f>'FS Jimbaran April 2020'!AL27/'FS Jimbaran April 2020'!AK27</f>
        <v>7600</v>
      </c>
      <c r="K17" s="163">
        <f>'FS Jimbaran April 2020'!W27</f>
        <v>329.3</v>
      </c>
      <c r="L17" s="172">
        <f>'FS Jimbaran April 2020'!AB27/'FS Jimbaran April 2020'!W27</f>
        <v>0</v>
      </c>
      <c r="M17" s="163">
        <v>0</v>
      </c>
      <c r="N17" s="163">
        <v>0</v>
      </c>
    </row>
    <row r="18" spans="1:14">
      <c r="A18" s="160" t="s">
        <v>14</v>
      </c>
      <c r="B18" s="161">
        <f t="shared" si="0"/>
        <v>17</v>
      </c>
      <c r="C18" s="162">
        <v>4</v>
      </c>
      <c r="D18" s="161">
        <v>2020</v>
      </c>
      <c r="E18" s="163">
        <f>'FS Jimbaran April 2020'!P28</f>
        <v>5139.9999999985084</v>
      </c>
      <c r="F18" s="172">
        <f>'FS Jimbaran April 2020'!O28/'FS Jimbaran April 2020'!P28</f>
        <v>1114.3703112840437</v>
      </c>
      <c r="G18" s="163">
        <f>'FS Jimbaran April 2020'!AH28</f>
        <v>0</v>
      </c>
      <c r="H18" s="172" t="e">
        <f>'FS Jimbaran April 2020'!AI28/'FS Jimbaran April 2020'!AH28</f>
        <v>#DIV/0!</v>
      </c>
      <c r="I18" s="163">
        <f>'FS Jimbaran April 2020'!AK28</f>
        <v>0</v>
      </c>
      <c r="J18" s="164" t="e">
        <f>'FS Jimbaran April 2020'!AL28/'FS Jimbaran April 2020'!AK28</f>
        <v>#DIV/0!</v>
      </c>
      <c r="K18" s="163">
        <f>'FS Jimbaran April 2020'!W28</f>
        <v>328.41</v>
      </c>
      <c r="L18" s="172">
        <f>'FS Jimbaran April 2020'!AB28/'FS Jimbaran April 2020'!W28</f>
        <v>0</v>
      </c>
      <c r="M18" s="163">
        <v>0</v>
      </c>
      <c r="N18" s="163">
        <v>0</v>
      </c>
    </row>
    <row r="19" spans="1:14">
      <c r="A19" s="160" t="s">
        <v>14</v>
      </c>
      <c r="B19" s="161">
        <f t="shared" si="0"/>
        <v>18</v>
      </c>
      <c r="C19" s="162">
        <v>4</v>
      </c>
      <c r="D19" s="161">
        <v>2020</v>
      </c>
      <c r="E19" s="163">
        <f>'FS Jimbaran April 2020'!P29</f>
        <v>4700.0000000011823</v>
      </c>
      <c r="F19" s="172">
        <f>'FS Jimbaran April 2020'!O29/'FS Jimbaran April 2020'!P29</f>
        <v>1126.1352765957399</v>
      </c>
      <c r="G19" s="163">
        <f>'FS Jimbaran April 2020'!AH29</f>
        <v>0</v>
      </c>
      <c r="H19" s="172" t="e">
        <f>'FS Jimbaran April 2020'!AI29/'FS Jimbaran April 2020'!AH29</f>
        <v>#DIV/0!</v>
      </c>
      <c r="I19" s="163">
        <f>'FS Jimbaran April 2020'!AK29</f>
        <v>87.959999999999127</v>
      </c>
      <c r="J19" s="164">
        <f>'FS Jimbaran April 2020'!AL29/'FS Jimbaran April 2020'!AK29</f>
        <v>7600</v>
      </c>
      <c r="K19" s="163">
        <f>'FS Jimbaran April 2020'!W29</f>
        <v>383.59000000000003</v>
      </c>
      <c r="L19" s="172">
        <f>'FS Jimbaran April 2020'!AB29/'FS Jimbaran April 2020'!W29</f>
        <v>0</v>
      </c>
      <c r="M19" s="163">
        <v>0</v>
      </c>
      <c r="N19" s="163">
        <v>0</v>
      </c>
    </row>
    <row r="20" spans="1:14">
      <c r="A20" s="160" t="s">
        <v>14</v>
      </c>
      <c r="B20" s="161">
        <f t="shared" si="0"/>
        <v>19</v>
      </c>
      <c r="C20" s="162">
        <v>4</v>
      </c>
      <c r="D20" s="161">
        <v>2020</v>
      </c>
      <c r="E20" s="163">
        <f>'FS Jimbaran April 2020'!P30</f>
        <v>4619.9999999992087</v>
      </c>
      <c r="F20" s="172">
        <f>'FS Jimbaran April 2020'!O30/'FS Jimbaran April 2020'!P30</f>
        <v>1114.2481818182005</v>
      </c>
      <c r="G20" s="163">
        <f>'FS Jimbaran April 2020'!AH30</f>
        <v>0</v>
      </c>
      <c r="H20" s="172" t="e">
        <f>'FS Jimbaran April 2020'!AI30/'FS Jimbaran April 2020'!AH30</f>
        <v>#DIV/0!</v>
      </c>
      <c r="I20" s="163">
        <f>'FS Jimbaran April 2020'!AK30</f>
        <v>0</v>
      </c>
      <c r="J20" s="164" t="e">
        <f>'FS Jimbaran April 2020'!AL30/'FS Jimbaran April 2020'!AK30</f>
        <v>#DIV/0!</v>
      </c>
      <c r="K20" s="163">
        <f>'FS Jimbaran April 2020'!W30</f>
        <v>398.72</v>
      </c>
      <c r="L20" s="172">
        <f>'FS Jimbaran April 2020'!AB30/'FS Jimbaran April 2020'!W30</f>
        <v>0</v>
      </c>
      <c r="M20" s="163">
        <v>0</v>
      </c>
      <c r="N20" s="163">
        <v>0</v>
      </c>
    </row>
    <row r="21" spans="1:14">
      <c r="A21" s="160" t="s">
        <v>14</v>
      </c>
      <c r="B21" s="161">
        <f t="shared" si="0"/>
        <v>20</v>
      </c>
      <c r="C21" s="162">
        <v>4</v>
      </c>
      <c r="D21" s="161">
        <v>2020</v>
      </c>
      <c r="E21" s="163">
        <f>'FS Jimbaran April 2020'!P31</f>
        <v>4680.000000000291</v>
      </c>
      <c r="F21" s="172">
        <f>'FS Jimbaran April 2020'!O31/'FS Jimbaran April 2020'!P31</f>
        <v>1119.881794871814</v>
      </c>
      <c r="G21" s="163">
        <f>'FS Jimbaran April 2020'!AH31</f>
        <v>0</v>
      </c>
      <c r="H21" s="172" t="e">
        <f>'FS Jimbaran April 2020'!AI31/'FS Jimbaran April 2020'!AH31</f>
        <v>#DIV/0!</v>
      </c>
      <c r="I21" s="163">
        <f>'FS Jimbaran April 2020'!AK31</f>
        <v>0</v>
      </c>
      <c r="J21" s="164" t="e">
        <f>'FS Jimbaran April 2020'!AL31/'FS Jimbaran April 2020'!AK31</f>
        <v>#DIV/0!</v>
      </c>
      <c r="K21" s="163">
        <f>'FS Jimbaran April 2020'!W31</f>
        <v>415.63</v>
      </c>
      <c r="L21" s="172">
        <f>'FS Jimbaran April 2020'!AB31/'FS Jimbaran April 2020'!W31</f>
        <v>0</v>
      </c>
      <c r="M21" s="163">
        <v>0</v>
      </c>
      <c r="N21" s="163">
        <v>0</v>
      </c>
    </row>
    <row r="22" spans="1:14">
      <c r="A22" s="160" t="s">
        <v>14</v>
      </c>
      <c r="B22" s="161">
        <f t="shared" si="0"/>
        <v>21</v>
      </c>
      <c r="C22" s="162">
        <v>4</v>
      </c>
      <c r="D22" s="161">
        <v>2020</v>
      </c>
      <c r="E22" s="163">
        <f>'FS Jimbaran April 2020'!P32</f>
        <v>4760.0000000002183</v>
      </c>
      <c r="F22" s="172">
        <f>'FS Jimbaran April 2020'!O32/'FS Jimbaran April 2020'!P32</f>
        <v>1116.2923109243422</v>
      </c>
      <c r="G22" s="163">
        <f>'FS Jimbaran April 2020'!AH32</f>
        <v>0</v>
      </c>
      <c r="H22" s="172" t="e">
        <f>'FS Jimbaran April 2020'!AI32/'FS Jimbaran April 2020'!AH32</f>
        <v>#DIV/0!</v>
      </c>
      <c r="I22" s="163">
        <f>'FS Jimbaran April 2020'!AK32</f>
        <v>107.16000000000349</v>
      </c>
      <c r="J22" s="164">
        <f>'FS Jimbaran April 2020'!AL32/'FS Jimbaran April 2020'!AK32</f>
        <v>7600</v>
      </c>
      <c r="K22" s="163">
        <f>'FS Jimbaran April 2020'!W32</f>
        <v>381.81</v>
      </c>
      <c r="L22" s="172">
        <f>'FS Jimbaran April 2020'!AB32/'FS Jimbaran April 2020'!W32</f>
        <v>0</v>
      </c>
      <c r="M22" s="163">
        <v>0</v>
      </c>
      <c r="N22" s="163">
        <v>0</v>
      </c>
    </row>
    <row r="23" spans="1:14">
      <c r="A23" s="160" t="s">
        <v>14</v>
      </c>
      <c r="B23" s="161">
        <f t="shared" si="0"/>
        <v>22</v>
      </c>
      <c r="C23" s="162">
        <v>4</v>
      </c>
      <c r="D23" s="161">
        <v>2020</v>
      </c>
      <c r="E23" s="163">
        <f>'FS Jimbaran April 2020'!P33</f>
        <v>4619.9999999994361</v>
      </c>
      <c r="F23" s="172">
        <f>'FS Jimbaran April 2020'!O33/'FS Jimbaran April 2020'!P33</f>
        <v>1123.2159740260072</v>
      </c>
      <c r="G23" s="163">
        <f>'FS Jimbaran April 2020'!AH33</f>
        <v>0</v>
      </c>
      <c r="H23" s="172" t="e">
        <f>'FS Jimbaran April 2020'!AI33/'FS Jimbaran April 2020'!AH33</f>
        <v>#DIV/0!</v>
      </c>
      <c r="I23" s="163">
        <f>'FS Jimbaran April 2020'!AK33</f>
        <v>2.0100000000020373</v>
      </c>
      <c r="J23" s="164">
        <f>'FS Jimbaran April 2020'!AL33/'FS Jimbaran April 2020'!AK33</f>
        <v>7600</v>
      </c>
      <c r="K23" s="163">
        <f>'FS Jimbaran April 2020'!W33</f>
        <v>380.03000000000003</v>
      </c>
      <c r="L23" s="172">
        <f>'FS Jimbaran April 2020'!AB33/'FS Jimbaran April 2020'!W33</f>
        <v>0</v>
      </c>
      <c r="M23" s="163">
        <v>0</v>
      </c>
      <c r="N23" s="163">
        <v>0</v>
      </c>
    </row>
    <row r="24" spans="1:14">
      <c r="A24" s="160" t="s">
        <v>14</v>
      </c>
      <c r="B24" s="161">
        <f t="shared" si="0"/>
        <v>23</v>
      </c>
      <c r="C24" s="162">
        <v>4</v>
      </c>
      <c r="D24" s="161">
        <v>2020</v>
      </c>
      <c r="E24" s="163">
        <f>'FS Jimbaran April 2020'!P34</f>
        <v>4699.9999999998181</v>
      </c>
      <c r="F24" s="172">
        <f>'FS Jimbaran April 2020'!O34/'FS Jimbaran April 2020'!P34</f>
        <v>1112.9125531914722</v>
      </c>
      <c r="G24" s="163">
        <f>'FS Jimbaran April 2020'!AH34</f>
        <v>0</v>
      </c>
      <c r="H24" s="172" t="e">
        <f>'FS Jimbaran April 2020'!AI34/'FS Jimbaran April 2020'!AH34</f>
        <v>#DIV/0!</v>
      </c>
      <c r="I24" s="163">
        <f>'FS Jimbaran April 2020'!AK34</f>
        <v>60.069999999999709</v>
      </c>
      <c r="J24" s="164">
        <f>'FS Jimbaran April 2020'!AL34/'FS Jimbaran April 2020'!AK34</f>
        <v>7600</v>
      </c>
      <c r="K24" s="163">
        <f>'FS Jimbaran April 2020'!W34</f>
        <v>370.24</v>
      </c>
      <c r="L24" s="172">
        <f>'FS Jimbaran April 2020'!AB34/'FS Jimbaran April 2020'!W34</f>
        <v>0</v>
      </c>
      <c r="M24" s="163">
        <v>0</v>
      </c>
      <c r="N24" s="163">
        <v>0</v>
      </c>
    </row>
    <row r="25" spans="1:14">
      <c r="A25" s="160" t="s">
        <v>14</v>
      </c>
      <c r="B25" s="161">
        <f t="shared" si="0"/>
        <v>24</v>
      </c>
      <c r="C25" s="162">
        <v>4</v>
      </c>
      <c r="D25" s="161">
        <v>2020</v>
      </c>
      <c r="E25" s="163">
        <f>'FS Jimbaran April 2020'!P35</f>
        <v>4999.9999999995453</v>
      </c>
      <c r="F25" s="172">
        <f>'FS Jimbaran April 2020'!O35/'FS Jimbaran April 2020'!P35</f>
        <v>1120.7139600000246</v>
      </c>
      <c r="G25" s="163">
        <f>'FS Jimbaran April 2020'!AH35</f>
        <v>0</v>
      </c>
      <c r="H25" s="172" t="e">
        <f>'FS Jimbaran April 2020'!AI35/'FS Jimbaran April 2020'!AH35</f>
        <v>#DIV/0!</v>
      </c>
      <c r="I25" s="163">
        <f>'FS Jimbaran April 2020'!AK35</f>
        <v>0</v>
      </c>
      <c r="J25" s="164" t="e">
        <f>'FS Jimbaran April 2020'!AL35/'FS Jimbaran April 2020'!AK35</f>
        <v>#DIV/0!</v>
      </c>
      <c r="K25" s="163">
        <f>'FS Jimbaran April 2020'!W35</f>
        <v>407.62</v>
      </c>
      <c r="L25" s="172">
        <f>'FS Jimbaran April 2020'!AB35/'FS Jimbaran April 2020'!W35</f>
        <v>0</v>
      </c>
      <c r="M25" s="163">
        <v>0</v>
      </c>
      <c r="N25" s="163">
        <v>0</v>
      </c>
    </row>
    <row r="26" spans="1:14">
      <c r="A26" s="160" t="s">
        <v>14</v>
      </c>
      <c r="B26" s="161">
        <f>B25+1</f>
        <v>25</v>
      </c>
      <c r="C26" s="162">
        <v>4</v>
      </c>
      <c r="D26" s="161">
        <v>2020</v>
      </c>
      <c r="E26" s="163">
        <f>'FS Jimbaran April 2020'!P36</f>
        <v>4860.0000000001273</v>
      </c>
      <c r="F26" s="172">
        <f>'FS Jimbaran April 2020'!O36/'FS Jimbaran April 2020'!P36</f>
        <v>1116.7669135802196</v>
      </c>
      <c r="G26" s="163">
        <f>'FS Jimbaran April 2020'!AH36</f>
        <v>0</v>
      </c>
      <c r="H26" s="172" t="e">
        <f>'FS Jimbaran April 2020'!AI36/'FS Jimbaran April 2020'!AH36</f>
        <v>#DIV/0!</v>
      </c>
      <c r="I26" s="163">
        <f>'FS Jimbaran April 2020'!AK36</f>
        <v>91.860000000000582</v>
      </c>
      <c r="J26" s="164">
        <f>'FS Jimbaran April 2020'!AL36/'FS Jimbaran April 2020'!AK36</f>
        <v>7600</v>
      </c>
      <c r="K26" s="163">
        <f>'FS Jimbaran April 2020'!W36</f>
        <v>417.41</v>
      </c>
      <c r="L26" s="172">
        <f>'FS Jimbaran April 2020'!AB36/'FS Jimbaran April 2020'!W36</f>
        <v>0</v>
      </c>
      <c r="M26" s="163">
        <v>0</v>
      </c>
      <c r="N26" s="163">
        <v>0</v>
      </c>
    </row>
    <row r="27" spans="1:14">
      <c r="A27" s="160" t="s">
        <v>14</v>
      </c>
      <c r="B27" s="161">
        <f t="shared" si="0"/>
        <v>26</v>
      </c>
      <c r="C27" s="162">
        <v>4</v>
      </c>
      <c r="D27" s="161">
        <v>2020</v>
      </c>
      <c r="E27" s="163">
        <f>'FS Jimbaran April 2020'!P37</f>
        <v>4840.0000000006003</v>
      </c>
      <c r="F27" s="172">
        <f>'FS Jimbaran April 2020'!O37/'FS Jimbaran April 2020'!P37</f>
        <v>1119.241611570259</v>
      </c>
      <c r="G27" s="163">
        <f>'FS Jimbaran April 2020'!AH37</f>
        <v>0</v>
      </c>
      <c r="H27" s="172" t="e">
        <f>'FS Jimbaran April 2020'!AI37/'FS Jimbaran April 2020'!AH37</f>
        <v>#DIV/0!</v>
      </c>
      <c r="I27" s="163">
        <f>'FS Jimbaran April 2020'!AK37</f>
        <v>0</v>
      </c>
      <c r="J27" s="164" t="e">
        <f>'FS Jimbaran April 2020'!AL37/'FS Jimbaran April 2020'!AK37</f>
        <v>#DIV/0!</v>
      </c>
      <c r="K27" s="163">
        <f>'FS Jimbaran April 2020'!W37</f>
        <v>341.76</v>
      </c>
      <c r="L27" s="172">
        <f>'FS Jimbaran April 2020'!AB37/'FS Jimbaran April 2020'!W37</f>
        <v>0</v>
      </c>
      <c r="M27" s="163">
        <v>0</v>
      </c>
      <c r="N27" s="163">
        <v>0</v>
      </c>
    </row>
    <row r="28" spans="1:14">
      <c r="A28" s="160" t="s">
        <v>14</v>
      </c>
      <c r="B28" s="161">
        <f t="shared" si="0"/>
        <v>27</v>
      </c>
      <c r="C28" s="162">
        <v>4</v>
      </c>
      <c r="D28" s="161">
        <v>2020</v>
      </c>
      <c r="E28" s="163">
        <f>'FS Jimbaran April 2020'!P38</f>
        <v>4859.9999999996726</v>
      </c>
      <c r="F28" s="172">
        <f>'FS Jimbaran April 2020'!O38/'FS Jimbaran April 2020'!P38</f>
        <v>1123.1606172839254</v>
      </c>
      <c r="G28" s="163">
        <f>'FS Jimbaran April 2020'!AH38</f>
        <v>0</v>
      </c>
      <c r="H28" s="172" t="e">
        <f>'FS Jimbaran April 2020'!AI38/'FS Jimbaran April 2020'!AH38</f>
        <v>#DIV/0!</v>
      </c>
      <c r="I28" s="163">
        <f>'FS Jimbaran April 2020'!AK38</f>
        <v>0</v>
      </c>
      <c r="J28" s="164" t="e">
        <f>'FS Jimbaran April 2020'!AL38/'FS Jimbaran April 2020'!AK38</f>
        <v>#DIV/0!</v>
      </c>
      <c r="K28" s="163">
        <f>'FS Jimbaran April 2020'!W38</f>
        <v>414.74</v>
      </c>
      <c r="L28" s="172">
        <f>'FS Jimbaran April 2020'!AB38/'FS Jimbaran April 2020'!W38</f>
        <v>0</v>
      </c>
      <c r="M28" s="163">
        <v>0</v>
      </c>
      <c r="N28" s="163">
        <v>0</v>
      </c>
    </row>
    <row r="29" spans="1:14">
      <c r="A29" s="160" t="s">
        <v>14</v>
      </c>
      <c r="B29" s="161">
        <f t="shared" si="0"/>
        <v>28</v>
      </c>
      <c r="C29" s="162">
        <v>4</v>
      </c>
      <c r="D29" s="161">
        <v>2020</v>
      </c>
      <c r="E29" s="163">
        <f>'FS Jimbaran April 2020'!P39</f>
        <v>5280.0000000011096</v>
      </c>
      <c r="F29" s="172">
        <f>'FS Jimbaran April 2020'!O39/'FS Jimbaran April 2020'!P39</f>
        <v>1112.2864772727307</v>
      </c>
      <c r="G29" s="163">
        <f>'FS Jimbaran April 2020'!AH39</f>
        <v>0</v>
      </c>
      <c r="H29" s="172" t="e">
        <f>'FS Jimbaran April 2020'!AI39/'FS Jimbaran April 2020'!AH39</f>
        <v>#DIV/0!</v>
      </c>
      <c r="I29" s="163">
        <f>'FS Jimbaran April 2020'!AK39</f>
        <v>0</v>
      </c>
      <c r="J29" s="164" t="e">
        <f>'FS Jimbaran April 2020'!AL39/'FS Jimbaran April 2020'!AK39</f>
        <v>#DIV/0!</v>
      </c>
      <c r="K29" s="163">
        <f>'FS Jimbaran April 2020'!W39</f>
        <v>455.68</v>
      </c>
      <c r="L29" s="172">
        <f>'FS Jimbaran April 2020'!AB39/'FS Jimbaran April 2020'!W39</f>
        <v>0</v>
      </c>
      <c r="M29" s="163">
        <v>0</v>
      </c>
      <c r="N29" s="163">
        <v>0</v>
      </c>
    </row>
    <row r="30" spans="1:14">
      <c r="A30" s="160" t="s">
        <v>14</v>
      </c>
      <c r="B30" s="161">
        <f t="shared" si="0"/>
        <v>29</v>
      </c>
      <c r="C30" s="162">
        <v>4</v>
      </c>
      <c r="D30" s="161">
        <v>2020</v>
      </c>
      <c r="E30" s="163">
        <f>'FS Jimbaran April 2020'!P40</f>
        <v>5059.9999999985812</v>
      </c>
      <c r="F30" s="172">
        <f>'FS Jimbaran April 2020'!O40/'FS Jimbaran April 2020'!P40</f>
        <v>1115.6128458497985</v>
      </c>
      <c r="G30" s="163">
        <f>'FS Jimbaran April 2020'!AH40</f>
        <v>0</v>
      </c>
      <c r="H30" s="172" t="e">
        <f>'FS Jimbaran April 2020'!AI40/'FS Jimbaran April 2020'!AH40</f>
        <v>#DIV/0!</v>
      </c>
      <c r="I30" s="163">
        <f>'FS Jimbaran April 2020'!AK40</f>
        <v>-30.109999999996035</v>
      </c>
      <c r="J30" s="164">
        <f>'FS Jimbaran April 2020'!AL40/'FS Jimbaran April 2020'!AK40</f>
        <v>7599.9999999999991</v>
      </c>
      <c r="K30" s="163">
        <f>'FS Jimbaran April 2020'!W40</f>
        <v>430.76</v>
      </c>
      <c r="L30" s="172">
        <f>'FS Jimbaran April 2020'!AB40/'FS Jimbaran April 2020'!W40</f>
        <v>0</v>
      </c>
      <c r="M30" s="163">
        <v>0</v>
      </c>
      <c r="N30" s="163">
        <v>0</v>
      </c>
    </row>
    <row r="31" spans="1:14">
      <c r="A31" s="160" t="s">
        <v>14</v>
      </c>
      <c r="B31" s="161">
        <f t="shared" si="0"/>
        <v>30</v>
      </c>
      <c r="C31" s="162">
        <v>4</v>
      </c>
      <c r="D31" s="161">
        <v>2020</v>
      </c>
      <c r="E31" s="163">
        <f>'FS Jimbaran April 2020'!P41</f>
        <v>4560.0000000013097</v>
      </c>
      <c r="F31" s="172">
        <f>'FS Jimbaran April 2020'!O41/'FS Jimbaran April 2020'!P41</f>
        <v>1122.095</v>
      </c>
      <c r="G31" s="163">
        <f>'FS Jimbaran April 2020'!AH41</f>
        <v>0</v>
      </c>
      <c r="H31" s="172" t="e">
        <f>'FS Jimbaran April 2020'!AI41/'FS Jimbaran April 2020'!AH41</f>
        <v>#DIV/0!</v>
      </c>
      <c r="I31" s="163">
        <f>'FS Jimbaran April 2020'!AK41</f>
        <v>121.83000000000175</v>
      </c>
      <c r="J31" s="164">
        <f>'FS Jimbaran April 2020'!AL41/'FS Jimbaran April 2020'!AK41</f>
        <v>7600</v>
      </c>
      <c r="K31" s="163">
        <f>'FS Jimbaran April 2020'!W41</f>
        <v>331.97</v>
      </c>
      <c r="L31" s="172">
        <f>'FS Jimbaran April 2020'!AB41/'FS Jimbaran April 2020'!W41</f>
        <v>0</v>
      </c>
      <c r="M31" s="163">
        <v>0</v>
      </c>
      <c r="N31" s="163">
        <v>0</v>
      </c>
    </row>
    <row r="32" spans="1:14">
      <c r="E32" s="170"/>
      <c r="G32" s="170"/>
      <c r="K32" s="170"/>
      <c r="M32" s="170"/>
      <c r="N32" s="17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N102"/>
  <sheetViews>
    <sheetView zoomScale="62" zoomScaleNormal="62" workbookViewId="0">
      <pane xSplit="4" ySplit="10" topLeftCell="T11" activePane="bottomRight" state="frozen"/>
      <selection pane="bottomRight" activeCell="Z12" sqref="Z12:Z41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8.7109375" style="3" customWidth="1"/>
    <col min="4" max="4" width="10.57031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9" width="18.140625" style="89" customWidth="1"/>
    <col min="20" max="20" width="24.28515625" customWidth="1"/>
    <col min="21" max="21" width="21.140625" bestFit="1" customWidth="1"/>
    <col min="22" max="22" width="18.85546875" customWidth="1"/>
    <col min="23" max="23" width="19.7109375" customWidth="1"/>
    <col min="24" max="25" width="21.140625" bestFit="1" customWidth="1"/>
    <col min="26" max="26" width="19.7109375" bestFit="1" customWidth="1"/>
    <col min="27" max="27" width="21.28515625" bestFit="1" customWidth="1"/>
    <col min="28" max="28" width="17.85546875" bestFit="1" customWidth="1"/>
    <col min="29" max="29" width="9.85546875" customWidth="1"/>
    <col min="30" max="30" width="15.85546875" bestFit="1" customWidth="1"/>
    <col min="31" max="31" width="12.85546875" style="3" bestFit="1" customWidth="1"/>
    <col min="32" max="32" width="14.85546875" customWidth="1"/>
    <col min="33" max="33" width="12.28515625" bestFit="1" customWidth="1"/>
    <col min="34" max="34" width="10" bestFit="1" customWidth="1"/>
    <col min="35" max="35" width="19" style="3" customWidth="1"/>
    <col min="36" max="36" width="10.5703125" customWidth="1"/>
    <col min="37" max="37" width="13.28515625" style="89" bestFit="1" customWidth="1"/>
    <col min="38" max="38" width="20.7109375" bestFit="1" customWidth="1"/>
    <col min="39" max="39" width="9.42578125" style="41" bestFit="1" customWidth="1"/>
    <col min="40" max="40" width="2.28515625" style="7" customWidth="1"/>
  </cols>
  <sheetData>
    <row r="5" spans="1:40">
      <c r="N5" s="173"/>
      <c r="Y5" s="174"/>
    </row>
    <row r="6" spans="1:40" s="26" customFormat="1" ht="19.5" thickBot="1">
      <c r="B6" s="26" t="s">
        <v>16</v>
      </c>
      <c r="C6" s="34"/>
      <c r="E6" s="34"/>
      <c r="F6" s="34"/>
      <c r="H6" s="34"/>
      <c r="L6" s="34"/>
      <c r="M6" s="59"/>
      <c r="N6" s="65"/>
      <c r="P6" s="65"/>
      <c r="R6" s="85"/>
      <c r="S6" s="85"/>
      <c r="AE6" s="34"/>
      <c r="AI6" s="34"/>
      <c r="AK6" s="85"/>
      <c r="AM6" s="37"/>
    </row>
    <row r="7" spans="1:40" s="11" customFormat="1" ht="16.5" thickBot="1">
      <c r="A7" s="30"/>
      <c r="B7" s="235" t="s">
        <v>17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7"/>
      <c r="AN7" s="30"/>
    </row>
    <row r="8" spans="1:40" s="7" customFormat="1" ht="15.75" customHeight="1" thickBot="1">
      <c r="A8" s="27"/>
      <c r="B8" s="238" t="s">
        <v>18</v>
      </c>
      <c r="C8" s="241" t="s">
        <v>19</v>
      </c>
      <c r="D8" s="244" t="s">
        <v>13</v>
      </c>
      <c r="E8" s="247" t="s">
        <v>20</v>
      </c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8"/>
      <c r="W8" s="249" t="s">
        <v>21</v>
      </c>
      <c r="X8" s="250"/>
      <c r="Y8" s="250"/>
      <c r="Z8" s="250"/>
      <c r="AA8" s="250"/>
      <c r="AB8" s="250"/>
      <c r="AC8" s="251"/>
      <c r="AD8" s="252" t="s">
        <v>22</v>
      </c>
      <c r="AE8" s="252"/>
      <c r="AF8" s="252"/>
      <c r="AG8" s="252"/>
      <c r="AH8" s="252"/>
      <c r="AI8" s="252"/>
      <c r="AJ8" s="252"/>
      <c r="AK8" s="252"/>
      <c r="AL8" s="252"/>
      <c r="AM8" s="253"/>
      <c r="AN8" s="29"/>
    </row>
    <row r="9" spans="1:40" ht="15" customHeight="1" thickBot="1">
      <c r="B9" s="239"/>
      <c r="C9" s="242"/>
      <c r="D9" s="245"/>
      <c r="E9" s="254" t="s">
        <v>23</v>
      </c>
      <c r="F9" s="255"/>
      <c r="G9" s="255"/>
      <c r="H9" s="255"/>
      <c r="I9" s="256"/>
      <c r="J9" s="257" t="s">
        <v>24</v>
      </c>
      <c r="K9" s="257"/>
      <c r="L9" s="257"/>
      <c r="M9" s="257"/>
      <c r="N9" s="258"/>
      <c r="O9" s="244" t="s">
        <v>25</v>
      </c>
      <c r="P9" s="259" t="s">
        <v>26</v>
      </c>
      <c r="Q9" s="261" t="s">
        <v>27</v>
      </c>
      <c r="R9" s="227" t="s">
        <v>28</v>
      </c>
      <c r="S9" s="210"/>
      <c r="T9" s="229" t="s">
        <v>29</v>
      </c>
      <c r="U9" s="231" t="s">
        <v>30</v>
      </c>
      <c r="V9" s="232"/>
      <c r="W9" s="53"/>
      <c r="X9" s="53" t="s">
        <v>31</v>
      </c>
      <c r="Y9" s="53"/>
      <c r="Z9" s="54"/>
      <c r="AA9" s="178"/>
      <c r="AB9" s="233" t="s">
        <v>32</v>
      </c>
      <c r="AC9" s="234"/>
      <c r="AD9" s="252" t="s">
        <v>33</v>
      </c>
      <c r="AE9" s="252"/>
      <c r="AF9" s="252"/>
      <c r="AG9" s="252"/>
      <c r="AH9" s="252"/>
      <c r="AI9" s="252"/>
      <c r="AJ9" s="253"/>
      <c r="AK9" s="139" t="s">
        <v>34</v>
      </c>
      <c r="AL9" s="36"/>
      <c r="AM9" s="38"/>
    </row>
    <row r="10" spans="1:40" ht="61.5" customHeight="1" thickBot="1">
      <c r="A10" s="28"/>
      <c r="B10" s="240"/>
      <c r="C10" s="243"/>
      <c r="D10" s="246"/>
      <c r="E10" s="99" t="s">
        <v>35</v>
      </c>
      <c r="F10" s="83" t="s">
        <v>36</v>
      </c>
      <c r="G10" s="133" t="s">
        <v>37</v>
      </c>
      <c r="H10" s="17" t="s">
        <v>36</v>
      </c>
      <c r="I10" s="100" t="s">
        <v>38</v>
      </c>
      <c r="J10" s="99" t="s">
        <v>35</v>
      </c>
      <c r="K10" s="84" t="s">
        <v>36</v>
      </c>
      <c r="L10" s="133" t="s">
        <v>37</v>
      </c>
      <c r="M10" s="60" t="s">
        <v>36</v>
      </c>
      <c r="N10" s="92" t="s">
        <v>39</v>
      </c>
      <c r="O10" s="246"/>
      <c r="P10" s="260"/>
      <c r="Q10" s="262"/>
      <c r="R10" s="228"/>
      <c r="S10" s="211"/>
      <c r="T10" s="230"/>
      <c r="U10" s="179" t="s">
        <v>40</v>
      </c>
      <c r="V10" s="23" t="s">
        <v>41</v>
      </c>
      <c r="W10" s="180" t="s">
        <v>42</v>
      </c>
      <c r="X10" s="55" t="s">
        <v>43</v>
      </c>
      <c r="Y10" s="55" t="s">
        <v>44</v>
      </c>
      <c r="Z10" s="22" t="s">
        <v>45</v>
      </c>
      <c r="AA10" s="22" t="s">
        <v>46</v>
      </c>
      <c r="AB10" s="22" t="s">
        <v>40</v>
      </c>
      <c r="AC10" s="12" t="s">
        <v>41</v>
      </c>
      <c r="AD10" s="125" t="s">
        <v>47</v>
      </c>
      <c r="AE10" s="48" t="s">
        <v>48</v>
      </c>
      <c r="AF10" s="47" t="s">
        <v>49</v>
      </c>
      <c r="AG10" s="47" t="s">
        <v>50</v>
      </c>
      <c r="AH10" s="47" t="s">
        <v>51</v>
      </c>
      <c r="AI10" s="48" t="s">
        <v>40</v>
      </c>
      <c r="AJ10" s="49" t="s">
        <v>41</v>
      </c>
      <c r="AK10" s="140" t="s">
        <v>52</v>
      </c>
      <c r="AL10" s="47" t="s">
        <v>40</v>
      </c>
      <c r="AM10" s="51" t="s">
        <v>41</v>
      </c>
      <c r="AN10" s="28"/>
    </row>
    <row r="11" spans="1:40">
      <c r="A11" s="28"/>
      <c r="B11" s="57"/>
      <c r="C11" s="101"/>
      <c r="D11" s="181"/>
      <c r="E11" s="182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3"/>
      <c r="R11" s="113"/>
      <c r="S11" s="212"/>
      <c r="T11" s="184"/>
      <c r="U11" s="21"/>
      <c r="V11" s="24"/>
      <c r="W11" s="91"/>
      <c r="X11" s="18"/>
      <c r="Y11" s="18"/>
      <c r="Z11" s="20"/>
      <c r="AA11" s="20"/>
      <c r="AB11" s="20"/>
      <c r="AC11" s="102"/>
      <c r="AD11" s="126"/>
      <c r="AE11" s="45"/>
      <c r="AF11" s="42"/>
      <c r="AG11" s="42"/>
      <c r="AH11" s="42"/>
      <c r="AI11" s="45"/>
      <c r="AJ11" s="46"/>
      <c r="AK11" s="141"/>
      <c r="AL11" s="42"/>
      <c r="AM11" s="50"/>
      <c r="AN11" s="28"/>
    </row>
    <row r="12" spans="1:40">
      <c r="A12" s="33"/>
      <c r="B12" s="58">
        <v>1</v>
      </c>
      <c r="C12" s="149">
        <v>0</v>
      </c>
      <c r="D12" s="151">
        <v>0</v>
      </c>
      <c r="E12" s="106">
        <v>14759.999999994761</v>
      </c>
      <c r="F12" s="2">
        <v>15288112.799994573</v>
      </c>
      <c r="G12" s="35">
        <v>2000</v>
      </c>
      <c r="H12" s="2">
        <v>3107340</v>
      </c>
      <c r="I12" s="103">
        <f>F12+H12</f>
        <v>18395452.799994573</v>
      </c>
      <c r="J12" s="106">
        <v>3280.0000000042928</v>
      </c>
      <c r="K12" s="2">
        <v>3397358.4000044465</v>
      </c>
      <c r="L12" s="185">
        <v>79.99999999992724</v>
      </c>
      <c r="M12" s="186">
        <v>124293.59999988697</v>
      </c>
      <c r="N12" s="94">
        <f>+K12+M12</f>
        <v>3521652.0000043334</v>
      </c>
      <c r="O12" s="108">
        <f>N12+I12</f>
        <v>21917104.799998906</v>
      </c>
      <c r="P12" s="111">
        <f>L12+J12+G12+E12</f>
        <v>20119.999999998981</v>
      </c>
      <c r="Q12" s="214"/>
      <c r="R12" s="218"/>
      <c r="S12" s="218"/>
      <c r="T12" s="207"/>
      <c r="U12" s="204"/>
      <c r="V12" s="202">
        <v>0</v>
      </c>
      <c r="W12" s="187">
        <f>Z12+X12</f>
        <v>381.81</v>
      </c>
      <c r="X12" s="2">
        <v>0</v>
      </c>
      <c r="Y12" s="2">
        <v>0</v>
      </c>
      <c r="Z12" s="225">
        <v>381.81</v>
      </c>
      <c r="AA12" s="31">
        <v>0</v>
      </c>
      <c r="AB12" s="31">
        <f t="shared" ref="AB12:AB39" si="0">AA12+Y12</f>
        <v>0</v>
      </c>
      <c r="AC12" s="128">
        <f t="shared" ref="AC12:AC39" si="1">AB12/$AM$48</f>
        <v>0</v>
      </c>
      <c r="AD12" s="134">
        <v>75.041640000018745</v>
      </c>
      <c r="AE12" s="2">
        <v>0</v>
      </c>
      <c r="AF12" s="2">
        <v>0</v>
      </c>
      <c r="AG12" s="2">
        <v>0</v>
      </c>
      <c r="AH12" s="2">
        <f>AD12+AE12+AF12+AG12</f>
        <v>75.041640000018745</v>
      </c>
      <c r="AI12" s="2">
        <v>690082.92144017236</v>
      </c>
      <c r="AJ12" s="43">
        <f t="shared" ref="AJ12:AJ39" si="2">AI12/$AM$48</f>
        <v>53.181113990437211</v>
      </c>
      <c r="AK12" s="142">
        <v>0</v>
      </c>
      <c r="AL12" s="2">
        <v>0</v>
      </c>
      <c r="AM12" s="39">
        <f t="shared" ref="AM12:AM41" si="3">AL12/$AM$48</f>
        <v>0</v>
      </c>
      <c r="AN12" s="6"/>
    </row>
    <row r="13" spans="1:40">
      <c r="A13" s="33"/>
      <c r="B13" s="58">
        <v>2</v>
      </c>
      <c r="C13" s="149">
        <v>0</v>
      </c>
      <c r="D13" s="151">
        <v>0</v>
      </c>
      <c r="E13" s="106">
        <v>7159.9999999998545</v>
      </c>
      <c r="F13" s="2">
        <v>7416184.7999998489</v>
      </c>
      <c r="G13" s="35">
        <v>1440.0000000000546</v>
      </c>
      <c r="H13" s="2">
        <v>2237284.800000085</v>
      </c>
      <c r="I13" s="103">
        <f t="shared" ref="I13:I41" si="4">F13+H13</f>
        <v>9653469.5999999344</v>
      </c>
      <c r="J13" s="106">
        <v>239.99999999978172</v>
      </c>
      <c r="K13" s="2">
        <v>248587.1999997739</v>
      </c>
      <c r="L13" s="185">
        <v>39.99999999996362</v>
      </c>
      <c r="M13" s="186">
        <v>62146.799999943483</v>
      </c>
      <c r="N13" s="94">
        <f t="shared" ref="N13:N41" si="5">+K13+M13</f>
        <v>310733.9999997174</v>
      </c>
      <c r="O13" s="108">
        <f t="shared" ref="O13:O39" si="6">N13+I13</f>
        <v>9964203.5999996513</v>
      </c>
      <c r="P13" s="111">
        <f t="shared" ref="P13:P39" si="7">L13+J13+G13+E13</f>
        <v>8879.9999999996544</v>
      </c>
      <c r="Q13" s="200"/>
      <c r="R13" s="219"/>
      <c r="S13" s="219"/>
      <c r="T13" s="190"/>
      <c r="U13" s="205"/>
      <c r="V13" s="202">
        <v>0</v>
      </c>
      <c r="W13" s="187">
        <f t="shared" ref="W13:W41" si="8">Z13+X13</f>
        <v>367.57</v>
      </c>
      <c r="X13" s="2">
        <v>0</v>
      </c>
      <c r="Y13" s="2">
        <v>0</v>
      </c>
      <c r="Z13" s="226">
        <v>367.57</v>
      </c>
      <c r="AA13" s="31">
        <v>0</v>
      </c>
      <c r="AB13" s="31">
        <f t="shared" si="0"/>
        <v>0</v>
      </c>
      <c r="AC13" s="128">
        <f t="shared" si="1"/>
        <v>0</v>
      </c>
      <c r="AD13" s="134">
        <v>76.894519999985931</v>
      </c>
      <c r="AE13" s="2">
        <v>0</v>
      </c>
      <c r="AF13" s="2">
        <v>0</v>
      </c>
      <c r="AG13" s="2">
        <v>0</v>
      </c>
      <c r="AH13" s="2">
        <f t="shared" ref="AH13:AH41" si="9">AD13+AE13+AF13+AG13</f>
        <v>76.894519999985931</v>
      </c>
      <c r="AI13" s="2">
        <v>707122.00591987057</v>
      </c>
      <c r="AJ13" s="43">
        <f t="shared" si="2"/>
        <v>54.494227916103434</v>
      </c>
      <c r="AK13" s="142">
        <v>209.54000000000087</v>
      </c>
      <c r="AL13" s="2">
        <v>1592504.0000000065</v>
      </c>
      <c r="AM13" s="39">
        <f t="shared" si="3"/>
        <v>122.72602918136407</v>
      </c>
      <c r="AN13" s="6"/>
    </row>
    <row r="14" spans="1:40">
      <c r="A14" s="33"/>
      <c r="B14" s="58">
        <v>3</v>
      </c>
      <c r="C14" s="149">
        <v>0</v>
      </c>
      <c r="D14" s="151">
        <v>0</v>
      </c>
      <c r="E14" s="106">
        <v>6920.0000000000728</v>
      </c>
      <c r="F14" s="2">
        <v>7167597.6000000751</v>
      </c>
      <c r="G14" s="35">
        <v>1159.9999999998545</v>
      </c>
      <c r="H14" s="2">
        <v>1802257.1999997741</v>
      </c>
      <c r="I14" s="103">
        <f t="shared" si="4"/>
        <v>8969854.7999998499</v>
      </c>
      <c r="J14" s="106">
        <v>140.00000000032742</v>
      </c>
      <c r="K14" s="2">
        <v>145009.20000033913</v>
      </c>
      <c r="L14" s="185">
        <v>19.99999999998181</v>
      </c>
      <c r="M14" s="186">
        <v>31073.399999971742</v>
      </c>
      <c r="N14" s="94">
        <f t="shared" si="5"/>
        <v>176082.60000031086</v>
      </c>
      <c r="O14" s="108">
        <f t="shared" si="6"/>
        <v>9145937.4000001606</v>
      </c>
      <c r="P14" s="111">
        <f t="shared" si="7"/>
        <v>8240.0000000002365</v>
      </c>
      <c r="Q14" s="200"/>
      <c r="R14" s="219"/>
      <c r="S14" s="219"/>
      <c r="T14" s="190"/>
      <c r="U14" s="205"/>
      <c r="V14" s="202">
        <v>0</v>
      </c>
      <c r="W14" s="187">
        <f t="shared" si="8"/>
        <v>412.96</v>
      </c>
      <c r="X14" s="2">
        <v>0</v>
      </c>
      <c r="Y14" s="2">
        <v>0</v>
      </c>
      <c r="Z14" s="226">
        <v>412.96</v>
      </c>
      <c r="AA14" s="31">
        <v>0</v>
      </c>
      <c r="AB14" s="31">
        <f t="shared" si="0"/>
        <v>0</v>
      </c>
      <c r="AC14" s="128">
        <f t="shared" si="1"/>
        <v>0</v>
      </c>
      <c r="AD14" s="134">
        <v>73.752679999990619</v>
      </c>
      <c r="AE14" s="2">
        <v>0</v>
      </c>
      <c r="AF14" s="2">
        <v>0</v>
      </c>
      <c r="AG14" s="2">
        <v>12</v>
      </c>
      <c r="AH14" s="2">
        <f t="shared" si="9"/>
        <v>85.752679999990619</v>
      </c>
      <c r="AI14" s="2">
        <v>817729.64527991368</v>
      </c>
      <c r="AJ14" s="43">
        <f t="shared" si="2"/>
        <v>63.018185391740786</v>
      </c>
      <c r="AK14" s="142">
        <v>99.94999999999709</v>
      </c>
      <c r="AL14" s="2">
        <v>759619.99999997788</v>
      </c>
      <c r="AM14" s="39">
        <f t="shared" si="3"/>
        <v>58.539976217795797</v>
      </c>
      <c r="AN14" s="6"/>
    </row>
    <row r="15" spans="1:40">
      <c r="A15" s="33"/>
      <c r="B15" s="58">
        <v>4</v>
      </c>
      <c r="C15" s="149">
        <v>0</v>
      </c>
      <c r="D15" s="151">
        <v>0</v>
      </c>
      <c r="E15" s="106">
        <v>6119.9999999989814</v>
      </c>
      <c r="F15" s="2">
        <v>6338973.5999989444</v>
      </c>
      <c r="G15" s="35">
        <v>1079.9999999999272</v>
      </c>
      <c r="H15" s="2">
        <v>1677963.5999998869</v>
      </c>
      <c r="I15" s="103">
        <f t="shared" si="4"/>
        <v>8016937.1999988314</v>
      </c>
      <c r="J15" s="106">
        <v>159.99999999985448</v>
      </c>
      <c r="K15" s="2">
        <v>165724.79999984926</v>
      </c>
      <c r="L15" s="185">
        <v>39.99999999996362</v>
      </c>
      <c r="M15" s="186">
        <v>62146.799999943483</v>
      </c>
      <c r="N15" s="94">
        <f t="shared" si="5"/>
        <v>227871.59999979276</v>
      </c>
      <c r="O15" s="108">
        <f t="shared" si="6"/>
        <v>8244808.7999986243</v>
      </c>
      <c r="P15" s="111">
        <f t="shared" si="7"/>
        <v>7399.9999999987267</v>
      </c>
      <c r="Q15" s="200"/>
      <c r="R15" s="219"/>
      <c r="S15" s="219"/>
      <c r="T15" s="190"/>
      <c r="U15" s="205"/>
      <c r="V15" s="202">
        <v>0</v>
      </c>
      <c r="W15" s="187">
        <f t="shared" si="8"/>
        <v>407.62</v>
      </c>
      <c r="X15" s="2">
        <v>0</v>
      </c>
      <c r="Y15" s="2">
        <v>0</v>
      </c>
      <c r="Z15" s="226">
        <v>407.62</v>
      </c>
      <c r="AA15" s="31">
        <v>0</v>
      </c>
      <c r="AB15" s="31">
        <f t="shared" si="0"/>
        <v>0</v>
      </c>
      <c r="AC15" s="128">
        <f t="shared" si="1"/>
        <v>0</v>
      </c>
      <c r="AD15" s="134">
        <v>0</v>
      </c>
      <c r="AE15" s="2">
        <v>0</v>
      </c>
      <c r="AF15" s="2">
        <v>0</v>
      </c>
      <c r="AG15" s="2">
        <v>0</v>
      </c>
      <c r="AH15" s="2">
        <f t="shared" si="9"/>
        <v>0</v>
      </c>
      <c r="AI15" s="2">
        <v>0</v>
      </c>
      <c r="AJ15" s="43">
        <f t="shared" si="2"/>
        <v>0</v>
      </c>
      <c r="AK15" s="142">
        <v>107.02000000000407</v>
      </c>
      <c r="AL15" s="2">
        <v>813352.00000003097</v>
      </c>
      <c r="AM15" s="39">
        <f t="shared" si="3"/>
        <v>62.680822959769159</v>
      </c>
      <c r="AN15" s="6"/>
    </row>
    <row r="16" spans="1:40">
      <c r="A16" s="33"/>
      <c r="B16" s="58">
        <v>5</v>
      </c>
      <c r="C16" s="149">
        <v>0</v>
      </c>
      <c r="D16" s="151">
        <v>0</v>
      </c>
      <c r="E16" s="106">
        <v>4480.0000000013824</v>
      </c>
      <c r="F16" s="2">
        <v>4640294.4000014318</v>
      </c>
      <c r="G16" s="35">
        <v>880.00000000010914</v>
      </c>
      <c r="H16" s="2">
        <v>1367229.6000001696</v>
      </c>
      <c r="I16" s="103">
        <f t="shared" si="4"/>
        <v>6007524.0000016019</v>
      </c>
      <c r="J16" s="106">
        <v>119.99999999989086</v>
      </c>
      <c r="K16" s="2">
        <v>124293.59999988695</v>
      </c>
      <c r="L16" s="185">
        <v>19.99999999998181</v>
      </c>
      <c r="M16" s="186">
        <v>31073.399999971742</v>
      </c>
      <c r="N16" s="94">
        <f t="shared" si="5"/>
        <v>155366.9999998587</v>
      </c>
      <c r="O16" s="108">
        <f t="shared" si="6"/>
        <v>6162891.0000014603</v>
      </c>
      <c r="P16" s="111">
        <f t="shared" si="7"/>
        <v>5500.0000000013642</v>
      </c>
      <c r="Q16" s="200"/>
      <c r="R16" s="219"/>
      <c r="S16" s="219"/>
      <c r="T16" s="190"/>
      <c r="U16" s="205"/>
      <c r="V16" s="202">
        <v>0</v>
      </c>
      <c r="W16" s="187">
        <f t="shared" si="8"/>
        <v>304.38</v>
      </c>
      <c r="X16" s="2">
        <v>0</v>
      </c>
      <c r="Y16" s="2">
        <v>0</v>
      </c>
      <c r="Z16" s="226">
        <v>304.38</v>
      </c>
      <c r="AA16" s="31">
        <v>0</v>
      </c>
      <c r="AB16" s="31">
        <f t="shared" si="0"/>
        <v>0</v>
      </c>
      <c r="AC16" s="128">
        <f t="shared" si="1"/>
        <v>0</v>
      </c>
      <c r="AD16" s="134">
        <v>57.560119999974205</v>
      </c>
      <c r="AE16" s="2">
        <v>0</v>
      </c>
      <c r="AF16" s="2">
        <v>0</v>
      </c>
      <c r="AG16" s="2">
        <v>0</v>
      </c>
      <c r="AH16" s="2">
        <f t="shared" si="9"/>
        <v>57.560119999974205</v>
      </c>
      <c r="AI16" s="2">
        <v>529322.86351976276</v>
      </c>
      <c r="AJ16" s="43">
        <f t="shared" si="2"/>
        <v>40.792169561074466</v>
      </c>
      <c r="AK16" s="142">
        <v>14.860000000000582</v>
      </c>
      <c r="AL16" s="2">
        <v>112936.00000000442</v>
      </c>
      <c r="AM16" s="39">
        <f t="shared" si="3"/>
        <v>8.7033921620460735</v>
      </c>
      <c r="AN16" s="6"/>
    </row>
    <row r="17" spans="1:40">
      <c r="A17" s="33"/>
      <c r="B17" s="58">
        <v>6</v>
      </c>
      <c r="C17" s="149">
        <v>0</v>
      </c>
      <c r="D17" s="151">
        <v>0</v>
      </c>
      <c r="E17" s="106">
        <v>4359.9999999987631</v>
      </c>
      <c r="F17" s="2">
        <v>4516000.7999987183</v>
      </c>
      <c r="G17" s="35">
        <v>760.00000000021828</v>
      </c>
      <c r="H17" s="2">
        <v>1180789.2000003392</v>
      </c>
      <c r="I17" s="103">
        <f t="shared" si="4"/>
        <v>5696789.9999990575</v>
      </c>
      <c r="J17" s="106">
        <v>119.99999999989086</v>
      </c>
      <c r="K17" s="2">
        <v>124293.59999988695</v>
      </c>
      <c r="L17" s="185">
        <v>39.99999999996362</v>
      </c>
      <c r="M17" s="186">
        <v>62146.799999943483</v>
      </c>
      <c r="N17" s="94">
        <f t="shared" si="5"/>
        <v>186440.39999983044</v>
      </c>
      <c r="O17" s="108">
        <f t="shared" si="6"/>
        <v>5883230.3999988884</v>
      </c>
      <c r="P17" s="111">
        <f t="shared" si="7"/>
        <v>5279.9999999988358</v>
      </c>
      <c r="Q17" s="200"/>
      <c r="R17" s="219"/>
      <c r="S17" s="219"/>
      <c r="T17" s="190"/>
      <c r="U17" s="190"/>
      <c r="V17" s="202">
        <v>0</v>
      </c>
      <c r="W17" s="187">
        <f t="shared" si="8"/>
        <v>216.27</v>
      </c>
      <c r="X17" s="2">
        <v>0</v>
      </c>
      <c r="Y17" s="2">
        <v>0</v>
      </c>
      <c r="Z17" s="226">
        <v>216.27</v>
      </c>
      <c r="AA17" s="31">
        <v>0</v>
      </c>
      <c r="AB17" s="31">
        <f t="shared" si="0"/>
        <v>0</v>
      </c>
      <c r="AC17" s="128">
        <f t="shared" si="1"/>
        <v>0</v>
      </c>
      <c r="AD17" s="134">
        <v>60.138040000030472</v>
      </c>
      <c r="AE17" s="2">
        <v>0</v>
      </c>
      <c r="AF17" s="2">
        <v>0</v>
      </c>
      <c r="AG17" s="2">
        <v>0</v>
      </c>
      <c r="AH17" s="2">
        <f t="shared" si="9"/>
        <v>60.138040000030472</v>
      </c>
      <c r="AI17" s="2">
        <v>553029.41584028024</v>
      </c>
      <c r="AJ17" s="43">
        <f t="shared" si="2"/>
        <v>42.619110675117099</v>
      </c>
      <c r="AK17" s="142">
        <v>2.4099999999962165</v>
      </c>
      <c r="AL17" s="2">
        <v>18315.999999971245</v>
      </c>
      <c r="AM17" s="39">
        <f t="shared" si="3"/>
        <v>1.4115191864399248</v>
      </c>
      <c r="AN17" s="6"/>
    </row>
    <row r="18" spans="1:40">
      <c r="A18" s="33"/>
      <c r="B18" s="58">
        <v>7</v>
      </c>
      <c r="C18" s="149">
        <v>0</v>
      </c>
      <c r="D18" s="151">
        <v>0</v>
      </c>
      <c r="E18" s="106">
        <v>4560.0000000013097</v>
      </c>
      <c r="F18" s="2">
        <v>4723156.8000013568</v>
      </c>
      <c r="G18" s="35">
        <v>799.99999999972715</v>
      </c>
      <c r="H18" s="2">
        <v>1242935.9999995762</v>
      </c>
      <c r="I18" s="103">
        <f t="shared" si="4"/>
        <v>5966092.800000933</v>
      </c>
      <c r="J18" s="106">
        <v>140.00000000032742</v>
      </c>
      <c r="K18" s="2">
        <v>145009.20000033913</v>
      </c>
      <c r="L18" s="185">
        <v>20.000000000209184</v>
      </c>
      <c r="M18" s="186">
        <v>31073.400000325004</v>
      </c>
      <c r="N18" s="94">
        <f t="shared" si="5"/>
        <v>176082.60000066413</v>
      </c>
      <c r="O18" s="108">
        <f t="shared" si="6"/>
        <v>6142175.4000015967</v>
      </c>
      <c r="P18" s="111">
        <f t="shared" si="7"/>
        <v>5520.0000000015734</v>
      </c>
      <c r="Q18" s="200"/>
      <c r="R18" s="219"/>
      <c r="S18" s="219"/>
      <c r="T18" s="190"/>
      <c r="U18" s="190"/>
      <c r="V18" s="202">
        <v>0</v>
      </c>
      <c r="W18" s="187">
        <f t="shared" si="8"/>
        <v>285.69</v>
      </c>
      <c r="X18" s="2">
        <v>0</v>
      </c>
      <c r="Y18" s="2">
        <v>0</v>
      </c>
      <c r="Z18" s="226">
        <v>285.69</v>
      </c>
      <c r="AA18" s="31">
        <v>0</v>
      </c>
      <c r="AB18" s="31">
        <f t="shared" si="0"/>
        <v>0</v>
      </c>
      <c r="AC18" s="128">
        <f t="shared" si="1"/>
        <v>0</v>
      </c>
      <c r="AD18" s="134">
        <v>59.654679999990613</v>
      </c>
      <c r="AE18" s="2">
        <v>0</v>
      </c>
      <c r="AF18" s="2">
        <v>0</v>
      </c>
      <c r="AG18" s="2">
        <v>0</v>
      </c>
      <c r="AH18" s="2">
        <f t="shared" si="9"/>
        <v>59.654679999990613</v>
      </c>
      <c r="AI18" s="2">
        <v>548584.43727991369</v>
      </c>
      <c r="AJ18" s="43">
        <f t="shared" si="2"/>
        <v>42.276559216213336</v>
      </c>
      <c r="AK18" s="142">
        <v>125.22000000000116</v>
      </c>
      <c r="AL18" s="2">
        <v>951672.00000000885</v>
      </c>
      <c r="AM18" s="39">
        <f t="shared" si="3"/>
        <v>73.340428434143789</v>
      </c>
      <c r="AN18" s="6"/>
    </row>
    <row r="19" spans="1:40">
      <c r="A19" s="33"/>
      <c r="B19" s="58">
        <v>8</v>
      </c>
      <c r="C19" s="149">
        <v>0</v>
      </c>
      <c r="D19" s="151">
        <v>0</v>
      </c>
      <c r="E19" s="106">
        <v>5119.9999999989814</v>
      </c>
      <c r="F19" s="2">
        <v>5303193.5999989444</v>
      </c>
      <c r="G19" s="35">
        <v>840.00000000014552</v>
      </c>
      <c r="H19" s="2">
        <v>1305082.8000002261</v>
      </c>
      <c r="I19" s="103">
        <f t="shared" si="4"/>
        <v>6608276.3999991706</v>
      </c>
      <c r="J19" s="106">
        <v>139.99999999941792</v>
      </c>
      <c r="K19" s="2">
        <v>145009.1999993971</v>
      </c>
      <c r="L19" s="185">
        <v>39.99999999996362</v>
      </c>
      <c r="M19" s="186">
        <v>62146.799999943483</v>
      </c>
      <c r="N19" s="94">
        <f t="shared" si="5"/>
        <v>207155.99999934057</v>
      </c>
      <c r="O19" s="108">
        <f t="shared" si="6"/>
        <v>6815432.3999985112</v>
      </c>
      <c r="P19" s="111">
        <f t="shared" si="7"/>
        <v>6139.9999999985084</v>
      </c>
      <c r="Q19" s="200"/>
      <c r="R19" s="219"/>
      <c r="S19" s="219"/>
      <c r="T19" s="190"/>
      <c r="U19" s="190"/>
      <c r="V19" s="202">
        <v>0</v>
      </c>
      <c r="W19" s="187">
        <f t="shared" si="8"/>
        <v>645.25</v>
      </c>
      <c r="X19" s="2">
        <v>0</v>
      </c>
      <c r="Y19" s="2">
        <v>0</v>
      </c>
      <c r="Z19" s="226">
        <v>645.25</v>
      </c>
      <c r="AA19" s="31">
        <v>1352599.2516000001</v>
      </c>
      <c r="AB19" s="31">
        <f t="shared" si="0"/>
        <v>1352599.2516000001</v>
      </c>
      <c r="AC19" s="128">
        <f t="shared" si="1"/>
        <v>104.23781367114439</v>
      </c>
      <c r="AD19" s="134">
        <v>56.593400000011719</v>
      </c>
      <c r="AE19" s="2">
        <v>0</v>
      </c>
      <c r="AF19" s="2">
        <v>0</v>
      </c>
      <c r="AG19" s="2">
        <v>0</v>
      </c>
      <c r="AH19" s="2">
        <f t="shared" si="9"/>
        <v>56.593400000011719</v>
      </c>
      <c r="AI19" s="2">
        <v>520432.90640010778</v>
      </c>
      <c r="AJ19" s="43">
        <f t="shared" si="2"/>
        <v>40.107066643350024</v>
      </c>
      <c r="AK19" s="142">
        <v>0.5</v>
      </c>
      <c r="AL19" s="2">
        <v>3800</v>
      </c>
      <c r="AM19" s="39">
        <f t="shared" si="3"/>
        <v>0.29284630424110808</v>
      </c>
      <c r="AN19" s="6"/>
    </row>
    <row r="20" spans="1:40">
      <c r="A20" s="33"/>
      <c r="B20" s="58">
        <v>9</v>
      </c>
      <c r="C20" s="149">
        <v>0</v>
      </c>
      <c r="D20" s="151">
        <v>0</v>
      </c>
      <c r="E20" s="106">
        <v>4520.0000000004366</v>
      </c>
      <c r="F20" s="2">
        <v>4681725.6000004523</v>
      </c>
      <c r="G20" s="35">
        <v>880.00000000010914</v>
      </c>
      <c r="H20" s="2">
        <v>1367229.6000001696</v>
      </c>
      <c r="I20" s="103">
        <f t="shared" si="4"/>
        <v>6048955.2000006214</v>
      </c>
      <c r="J20" s="106">
        <v>119.99999999989086</v>
      </c>
      <c r="K20" s="2">
        <v>124293.59999988695</v>
      </c>
      <c r="L20" s="185">
        <v>19.99999999998181</v>
      </c>
      <c r="M20" s="186">
        <v>31073.399999971742</v>
      </c>
      <c r="N20" s="94">
        <f t="shared" si="5"/>
        <v>155366.9999998587</v>
      </c>
      <c r="O20" s="108">
        <f t="shared" si="6"/>
        <v>6204322.2000004798</v>
      </c>
      <c r="P20" s="111">
        <f t="shared" si="7"/>
        <v>5540.0000000004184</v>
      </c>
      <c r="Q20" s="200"/>
      <c r="R20" s="219"/>
      <c r="S20" s="219"/>
      <c r="T20" s="190"/>
      <c r="U20" s="190"/>
      <c r="V20" s="202">
        <v>0</v>
      </c>
      <c r="W20" s="187">
        <f t="shared" si="8"/>
        <v>385.37</v>
      </c>
      <c r="X20" s="2">
        <v>0</v>
      </c>
      <c r="Y20" s="2">
        <v>0</v>
      </c>
      <c r="Z20" s="226">
        <v>385.37</v>
      </c>
      <c r="AA20" s="31">
        <v>0</v>
      </c>
      <c r="AB20" s="31">
        <f t="shared" si="0"/>
        <v>0</v>
      </c>
      <c r="AC20" s="128">
        <f t="shared" si="1"/>
        <v>0</v>
      </c>
      <c r="AD20" s="134">
        <v>59.533839999995301</v>
      </c>
      <c r="AE20" s="2">
        <v>0</v>
      </c>
      <c r="AF20" s="2">
        <v>0</v>
      </c>
      <c r="AG20" s="2">
        <v>0</v>
      </c>
      <c r="AH20" s="2">
        <f t="shared" si="9"/>
        <v>59.533839999995301</v>
      </c>
      <c r="AI20" s="2">
        <v>547473.19263995683</v>
      </c>
      <c r="AJ20" s="43">
        <f t="shared" si="2"/>
        <v>42.190921351497778</v>
      </c>
      <c r="AK20" s="142">
        <v>76.819999999999709</v>
      </c>
      <c r="AL20" s="2">
        <v>583831.99999999779</v>
      </c>
      <c r="AM20" s="39">
        <f t="shared" si="3"/>
        <v>44.992906183603672</v>
      </c>
      <c r="AN20" s="6"/>
    </row>
    <row r="21" spans="1:40">
      <c r="A21" s="33"/>
      <c r="B21" s="58">
        <v>10</v>
      </c>
      <c r="C21" s="149">
        <v>0</v>
      </c>
      <c r="D21" s="151">
        <v>0</v>
      </c>
      <c r="E21" s="106">
        <v>4879.9999999991996</v>
      </c>
      <c r="F21" s="2">
        <v>5054606.3999991706</v>
      </c>
      <c r="G21" s="35">
        <v>1000</v>
      </c>
      <c r="H21" s="2">
        <v>1553670</v>
      </c>
      <c r="I21" s="103">
        <f t="shared" si="4"/>
        <v>6608276.3999991706</v>
      </c>
      <c r="J21" s="106">
        <v>79.99999999992724</v>
      </c>
      <c r="K21" s="2">
        <v>82862.39999992463</v>
      </c>
      <c r="L21" s="185">
        <v>19.99999999998181</v>
      </c>
      <c r="M21" s="186">
        <v>31073.399999971742</v>
      </c>
      <c r="N21" s="94">
        <f t="shared" si="5"/>
        <v>113935.79999989638</v>
      </c>
      <c r="O21" s="108">
        <f t="shared" si="6"/>
        <v>6722212.199999067</v>
      </c>
      <c r="P21" s="111">
        <f t="shared" si="7"/>
        <v>5979.9999999991087</v>
      </c>
      <c r="Q21" s="200"/>
      <c r="R21" s="219"/>
      <c r="S21" s="219"/>
      <c r="T21" s="190"/>
      <c r="U21" s="205"/>
      <c r="V21" s="202">
        <v>0</v>
      </c>
      <c r="W21" s="187">
        <f t="shared" si="8"/>
        <v>366.68</v>
      </c>
      <c r="X21" s="2">
        <v>0</v>
      </c>
      <c r="Y21" s="2">
        <v>0</v>
      </c>
      <c r="Z21" s="226">
        <v>366.68</v>
      </c>
      <c r="AA21" s="31">
        <v>0</v>
      </c>
      <c r="AB21" s="31">
        <f t="shared" si="0"/>
        <v>0</v>
      </c>
      <c r="AC21" s="128">
        <f t="shared" si="1"/>
        <v>0</v>
      </c>
      <c r="AD21" s="134">
        <v>13.936879999967173</v>
      </c>
      <c r="AE21" s="2">
        <v>0</v>
      </c>
      <c r="AF21" s="2">
        <v>0</v>
      </c>
      <c r="AG21" s="2">
        <v>0</v>
      </c>
      <c r="AH21" s="2">
        <f t="shared" si="9"/>
        <v>13.936879999967173</v>
      </c>
      <c r="AI21" s="2">
        <v>128163.54847969813</v>
      </c>
      <c r="AJ21" s="43">
        <f t="shared" si="2"/>
        <v>9.8769003975541274</v>
      </c>
      <c r="AK21" s="142">
        <v>0</v>
      </c>
      <c r="AL21" s="2">
        <v>0</v>
      </c>
      <c r="AM21" s="39">
        <f t="shared" si="3"/>
        <v>0</v>
      </c>
      <c r="AN21" s="6"/>
    </row>
    <row r="22" spans="1:40">
      <c r="A22" s="33"/>
      <c r="B22" s="58">
        <v>11</v>
      </c>
      <c r="C22" s="149">
        <v>0</v>
      </c>
      <c r="D22" s="151">
        <v>0</v>
      </c>
      <c r="E22" s="106">
        <v>4440.0000000005093</v>
      </c>
      <c r="F22" s="2">
        <v>4598863.2000005273</v>
      </c>
      <c r="G22" s="35">
        <v>839.99999999969077</v>
      </c>
      <c r="H22" s="2">
        <v>1305082.7999995197</v>
      </c>
      <c r="I22" s="103">
        <f t="shared" si="4"/>
        <v>5903946.0000000466</v>
      </c>
      <c r="J22" s="106">
        <v>100.0000000003638</v>
      </c>
      <c r="K22" s="2">
        <v>103578.00000037681</v>
      </c>
      <c r="L22" s="185">
        <v>0</v>
      </c>
      <c r="M22" s="186">
        <v>0</v>
      </c>
      <c r="N22" s="94">
        <f t="shared" si="5"/>
        <v>103578.00000037681</v>
      </c>
      <c r="O22" s="108">
        <f t="shared" si="6"/>
        <v>6007524.0000004238</v>
      </c>
      <c r="P22" s="111">
        <f t="shared" si="7"/>
        <v>5380.0000000005639</v>
      </c>
      <c r="Q22" s="200"/>
      <c r="R22" s="219"/>
      <c r="S22" s="219"/>
      <c r="T22" s="190"/>
      <c r="U22" s="205"/>
      <c r="V22" s="202">
        <v>0</v>
      </c>
      <c r="W22" s="187">
        <f t="shared" si="8"/>
        <v>324.85000000000002</v>
      </c>
      <c r="X22" s="2">
        <v>0</v>
      </c>
      <c r="Y22" s="2">
        <v>0</v>
      </c>
      <c r="Z22" s="226">
        <v>324.85000000000002</v>
      </c>
      <c r="AA22" s="31">
        <v>0</v>
      </c>
      <c r="AB22" s="31">
        <f t="shared" si="0"/>
        <v>0</v>
      </c>
      <c r="AC22" s="128">
        <f t="shared" si="1"/>
        <v>0</v>
      </c>
      <c r="AD22" s="134">
        <v>0</v>
      </c>
      <c r="AE22" s="2">
        <v>0</v>
      </c>
      <c r="AF22" s="2">
        <v>0</v>
      </c>
      <c r="AG22" s="2">
        <v>0</v>
      </c>
      <c r="AH22" s="2">
        <f t="shared" si="9"/>
        <v>0</v>
      </c>
      <c r="AI22" s="2">
        <v>0</v>
      </c>
      <c r="AJ22" s="43">
        <f t="shared" si="2"/>
        <v>0</v>
      </c>
      <c r="AK22" s="142">
        <v>123.01000000001477</v>
      </c>
      <c r="AL22" s="2">
        <v>934876.00000011222</v>
      </c>
      <c r="AM22" s="39">
        <f t="shared" si="3"/>
        <v>72.046047769406059</v>
      </c>
      <c r="AN22" s="6"/>
    </row>
    <row r="23" spans="1:40">
      <c r="A23" s="33"/>
      <c r="B23" s="58">
        <v>12</v>
      </c>
      <c r="C23" s="149">
        <v>0</v>
      </c>
      <c r="D23" s="151">
        <v>0</v>
      </c>
      <c r="E23" s="106">
        <v>4600.0000000003638</v>
      </c>
      <c r="F23" s="2">
        <v>4764588.0000003763</v>
      </c>
      <c r="G23" s="35">
        <v>760.00000000021828</v>
      </c>
      <c r="H23" s="2">
        <v>1180789.2000003392</v>
      </c>
      <c r="I23" s="103">
        <f t="shared" si="4"/>
        <v>5945377.2000007154</v>
      </c>
      <c r="J23" s="106">
        <v>100.0000000003638</v>
      </c>
      <c r="K23" s="2">
        <v>103578.00000037681</v>
      </c>
      <c r="L23" s="185">
        <v>19.99999999998181</v>
      </c>
      <c r="M23" s="186">
        <v>31073.399999971742</v>
      </c>
      <c r="N23" s="94">
        <f t="shared" si="5"/>
        <v>134651.40000034854</v>
      </c>
      <c r="O23" s="108">
        <f t="shared" si="6"/>
        <v>6080028.6000010641</v>
      </c>
      <c r="P23" s="111">
        <f t="shared" si="7"/>
        <v>5480.0000000009277</v>
      </c>
      <c r="Q23" s="200"/>
      <c r="R23" s="219"/>
      <c r="S23" s="219"/>
      <c r="T23" s="190"/>
      <c r="U23" s="205"/>
      <c r="V23" s="202">
        <v>0</v>
      </c>
      <c r="W23" s="187">
        <f t="shared" si="8"/>
        <v>260.77</v>
      </c>
      <c r="X23" s="2">
        <v>0</v>
      </c>
      <c r="Y23" s="2">
        <v>0</v>
      </c>
      <c r="Z23" s="226">
        <v>260.77</v>
      </c>
      <c r="AA23" s="31">
        <v>0</v>
      </c>
      <c r="AB23" s="31">
        <f t="shared" si="0"/>
        <v>0</v>
      </c>
      <c r="AC23" s="128">
        <f t="shared" si="1"/>
        <v>0</v>
      </c>
      <c r="AD23" s="134">
        <v>0</v>
      </c>
      <c r="AE23" s="2">
        <v>0</v>
      </c>
      <c r="AF23" s="2">
        <v>0</v>
      </c>
      <c r="AG23" s="2">
        <v>0</v>
      </c>
      <c r="AH23" s="2">
        <f t="shared" si="9"/>
        <v>0</v>
      </c>
      <c r="AI23" s="2">
        <v>0</v>
      </c>
      <c r="AJ23" s="43">
        <f t="shared" si="2"/>
        <v>0</v>
      </c>
      <c r="AK23" s="142">
        <v>6.2899999999881402</v>
      </c>
      <c r="AL23" s="2">
        <v>47803.999999909865</v>
      </c>
      <c r="AM23" s="39">
        <f t="shared" si="3"/>
        <v>3.6840065073461932</v>
      </c>
      <c r="AN23" s="6"/>
    </row>
    <row r="24" spans="1:40">
      <c r="A24" s="33"/>
      <c r="B24" s="58">
        <v>13</v>
      </c>
      <c r="C24" s="149">
        <v>0</v>
      </c>
      <c r="D24" s="151">
        <v>0</v>
      </c>
      <c r="E24" s="106">
        <v>4600.0000000003638</v>
      </c>
      <c r="F24" s="2">
        <v>4764588.0000003763</v>
      </c>
      <c r="G24" s="35">
        <v>840.00000000014552</v>
      </c>
      <c r="H24" s="2">
        <v>1305082.8000002261</v>
      </c>
      <c r="I24" s="103">
        <f t="shared" si="4"/>
        <v>6069670.8000006024</v>
      </c>
      <c r="J24" s="106">
        <v>119.99999999989086</v>
      </c>
      <c r="K24" s="2">
        <v>124293.59999988695</v>
      </c>
      <c r="L24" s="185">
        <v>39.99999999996362</v>
      </c>
      <c r="M24" s="186">
        <v>62146.799999943483</v>
      </c>
      <c r="N24" s="94">
        <f t="shared" si="5"/>
        <v>186440.39999983044</v>
      </c>
      <c r="O24" s="108">
        <f t="shared" si="6"/>
        <v>6256111.2000004333</v>
      </c>
      <c r="P24" s="111">
        <f t="shared" si="7"/>
        <v>5600.0000000003638</v>
      </c>
      <c r="Q24" s="200"/>
      <c r="R24" s="219"/>
      <c r="S24" s="219"/>
      <c r="T24" s="190"/>
      <c r="U24" s="205"/>
      <c r="V24" s="202">
        <v>0</v>
      </c>
      <c r="W24" s="187">
        <f>Z24+X24</f>
        <v>238.52</v>
      </c>
      <c r="X24" s="2">
        <v>0</v>
      </c>
      <c r="Y24" s="2">
        <v>0</v>
      </c>
      <c r="Z24" s="226">
        <v>238.52</v>
      </c>
      <c r="AA24" s="31">
        <v>0</v>
      </c>
      <c r="AB24" s="31">
        <f t="shared" si="0"/>
        <v>0</v>
      </c>
      <c r="AC24" s="128">
        <f t="shared" si="1"/>
        <v>0</v>
      </c>
      <c r="AD24" s="134">
        <v>0</v>
      </c>
      <c r="AE24" s="2">
        <v>0</v>
      </c>
      <c r="AF24" s="2">
        <v>0</v>
      </c>
      <c r="AG24" s="2">
        <v>0</v>
      </c>
      <c r="AH24" s="2">
        <f t="shared" si="9"/>
        <v>0</v>
      </c>
      <c r="AI24" s="2">
        <v>0</v>
      </c>
      <c r="AJ24" s="43">
        <f t="shared" si="2"/>
        <v>0</v>
      </c>
      <c r="AK24" s="142">
        <v>0</v>
      </c>
      <c r="AL24" s="2">
        <v>0</v>
      </c>
      <c r="AM24" s="39">
        <f t="shared" si="3"/>
        <v>0</v>
      </c>
      <c r="AN24" s="6"/>
    </row>
    <row r="25" spans="1:40">
      <c r="A25" s="33"/>
      <c r="B25" s="58">
        <v>14</v>
      </c>
      <c r="C25" s="149">
        <v>0</v>
      </c>
      <c r="D25" s="151">
        <v>0</v>
      </c>
      <c r="E25" s="106">
        <v>4279.9999999988358</v>
      </c>
      <c r="F25" s="2">
        <v>4433138.3999987943</v>
      </c>
      <c r="G25" s="35">
        <v>919.99999999961801</v>
      </c>
      <c r="H25" s="2">
        <v>1429376.3999994067</v>
      </c>
      <c r="I25" s="103">
        <f t="shared" si="4"/>
        <v>5862514.7999982014</v>
      </c>
      <c r="J25" s="106">
        <v>79.99999999992724</v>
      </c>
      <c r="K25" s="2">
        <v>82862.39999992463</v>
      </c>
      <c r="L25" s="185">
        <v>19.99999999998181</v>
      </c>
      <c r="M25" s="186">
        <v>31073.399999971742</v>
      </c>
      <c r="N25" s="94">
        <f t="shared" si="5"/>
        <v>113935.79999989638</v>
      </c>
      <c r="O25" s="108">
        <f t="shared" si="6"/>
        <v>5976450.5999980979</v>
      </c>
      <c r="P25" s="111">
        <f t="shared" si="7"/>
        <v>5299.9999999983629</v>
      </c>
      <c r="Q25" s="200"/>
      <c r="R25" s="219"/>
      <c r="S25" s="219"/>
      <c r="T25" s="190"/>
      <c r="U25" s="205"/>
      <c r="V25" s="202">
        <v>0</v>
      </c>
      <c r="W25" s="187">
        <f t="shared" si="8"/>
        <v>310.61</v>
      </c>
      <c r="X25" s="2">
        <v>0</v>
      </c>
      <c r="Y25" s="2">
        <v>0</v>
      </c>
      <c r="Z25" s="226">
        <v>310.61</v>
      </c>
      <c r="AA25" s="31">
        <v>0</v>
      </c>
      <c r="AB25" s="31">
        <f t="shared" si="0"/>
        <v>0</v>
      </c>
      <c r="AC25" s="128">
        <f t="shared" si="1"/>
        <v>0</v>
      </c>
      <c r="AD25" s="134">
        <v>0</v>
      </c>
      <c r="AE25" s="2">
        <v>0</v>
      </c>
      <c r="AF25" s="2">
        <v>0</v>
      </c>
      <c r="AG25" s="2">
        <v>0</v>
      </c>
      <c r="AH25" s="2">
        <f t="shared" si="9"/>
        <v>0</v>
      </c>
      <c r="AI25" s="2">
        <v>0</v>
      </c>
      <c r="AJ25" s="43">
        <f t="shared" si="2"/>
        <v>0</v>
      </c>
      <c r="AK25" s="142">
        <v>139.61999999999534</v>
      </c>
      <c r="AL25" s="2">
        <v>1061111.9999999646</v>
      </c>
      <c r="AM25" s="39">
        <f t="shared" si="3"/>
        <v>81.774401996284283</v>
      </c>
      <c r="AN25" s="6"/>
    </row>
    <row r="26" spans="1:40">
      <c r="A26" s="33"/>
      <c r="B26" s="58">
        <v>15</v>
      </c>
      <c r="C26" s="149">
        <v>0</v>
      </c>
      <c r="D26" s="151">
        <v>0</v>
      </c>
      <c r="E26" s="106">
        <v>4800.0000000010914</v>
      </c>
      <c r="F26" s="2">
        <v>4971744.0000011306</v>
      </c>
      <c r="G26" s="35">
        <v>720.00000000025466</v>
      </c>
      <c r="H26" s="2">
        <v>1118642.4000003957</v>
      </c>
      <c r="I26" s="103">
        <f t="shared" si="4"/>
        <v>6090386.4000015259</v>
      </c>
      <c r="J26" s="106">
        <v>79.99999999992724</v>
      </c>
      <c r="K26" s="2">
        <v>82862.39999992463</v>
      </c>
      <c r="L26" s="185">
        <v>0</v>
      </c>
      <c r="M26" s="186">
        <v>0</v>
      </c>
      <c r="N26" s="94">
        <f t="shared" si="5"/>
        <v>82862.39999992463</v>
      </c>
      <c r="O26" s="108">
        <f t="shared" si="6"/>
        <v>6173248.8000014508</v>
      </c>
      <c r="P26" s="111">
        <f t="shared" si="7"/>
        <v>5600.0000000012733</v>
      </c>
      <c r="Q26" s="200"/>
      <c r="R26" s="219"/>
      <c r="S26" s="219"/>
      <c r="T26" s="190"/>
      <c r="U26" s="205"/>
      <c r="V26" s="202">
        <v>0</v>
      </c>
      <c r="W26" s="187">
        <f t="shared" si="8"/>
        <v>354.22</v>
      </c>
      <c r="X26" s="2">
        <v>0</v>
      </c>
      <c r="Y26" s="2">
        <v>0</v>
      </c>
      <c r="Z26" s="226">
        <v>354.22</v>
      </c>
      <c r="AA26" s="31">
        <v>0</v>
      </c>
      <c r="AB26" s="31">
        <f t="shared" si="0"/>
        <v>0</v>
      </c>
      <c r="AC26" s="128">
        <f t="shared" si="1"/>
        <v>0</v>
      </c>
      <c r="AD26" s="134">
        <v>0</v>
      </c>
      <c r="AE26" s="2">
        <v>0</v>
      </c>
      <c r="AF26" s="2">
        <v>0</v>
      </c>
      <c r="AG26" s="2">
        <v>0</v>
      </c>
      <c r="AH26" s="2">
        <f t="shared" si="9"/>
        <v>0</v>
      </c>
      <c r="AI26" s="2">
        <v>0</v>
      </c>
      <c r="AJ26" s="43">
        <f t="shared" si="2"/>
        <v>0</v>
      </c>
      <c r="AK26" s="142">
        <v>0</v>
      </c>
      <c r="AL26" s="2">
        <v>0</v>
      </c>
      <c r="AM26" s="39">
        <f t="shared" si="3"/>
        <v>0</v>
      </c>
      <c r="AN26" s="6"/>
    </row>
    <row r="27" spans="1:40">
      <c r="A27" s="33"/>
      <c r="B27" s="58">
        <v>16</v>
      </c>
      <c r="C27" s="149">
        <v>0</v>
      </c>
      <c r="D27" s="151">
        <v>0</v>
      </c>
      <c r="E27" s="106">
        <v>5239.9999999997817</v>
      </c>
      <c r="F27" s="2">
        <v>5427487.1999997739</v>
      </c>
      <c r="G27" s="35">
        <v>960.00000000003638</v>
      </c>
      <c r="H27" s="2">
        <v>1491523.2000000565</v>
      </c>
      <c r="I27" s="103">
        <f t="shared" si="4"/>
        <v>6919010.3999998309</v>
      </c>
      <c r="J27" s="106">
        <v>100.0000000003638</v>
      </c>
      <c r="K27" s="2">
        <v>103578.00000037681</v>
      </c>
      <c r="L27" s="185">
        <v>19.99999999998181</v>
      </c>
      <c r="M27" s="186">
        <v>31073.399999971742</v>
      </c>
      <c r="N27" s="94">
        <f t="shared" si="5"/>
        <v>134651.40000034854</v>
      </c>
      <c r="O27" s="108">
        <f t="shared" si="6"/>
        <v>7053661.8000001796</v>
      </c>
      <c r="P27" s="111">
        <f t="shared" si="7"/>
        <v>6320.0000000001637</v>
      </c>
      <c r="Q27" s="200"/>
      <c r="R27" s="219"/>
      <c r="S27" s="219"/>
      <c r="T27" s="190"/>
      <c r="U27" s="205"/>
      <c r="V27" s="202">
        <v>0</v>
      </c>
      <c r="W27" s="187">
        <f t="shared" si="8"/>
        <v>329.3</v>
      </c>
      <c r="X27" s="2">
        <v>0</v>
      </c>
      <c r="Y27" s="2">
        <v>0</v>
      </c>
      <c r="Z27" s="226">
        <v>329.3</v>
      </c>
      <c r="AA27" s="31">
        <v>0</v>
      </c>
      <c r="AB27" s="31">
        <f t="shared" si="0"/>
        <v>0</v>
      </c>
      <c r="AC27" s="128">
        <f t="shared" si="1"/>
        <v>0</v>
      </c>
      <c r="AD27" s="134">
        <v>0</v>
      </c>
      <c r="AE27" s="2">
        <v>0</v>
      </c>
      <c r="AF27" s="2">
        <v>0</v>
      </c>
      <c r="AG27" s="2">
        <v>0</v>
      </c>
      <c r="AH27" s="2">
        <f t="shared" si="9"/>
        <v>0</v>
      </c>
      <c r="AI27" s="2">
        <v>0</v>
      </c>
      <c r="AJ27" s="43">
        <f t="shared" si="2"/>
        <v>0</v>
      </c>
      <c r="AK27" s="142">
        <v>80.069999999999709</v>
      </c>
      <c r="AL27" s="2">
        <v>608531.99999999779</v>
      </c>
      <c r="AM27" s="39">
        <f t="shared" si="3"/>
        <v>46.896407161170877</v>
      </c>
      <c r="AN27" s="6"/>
    </row>
    <row r="28" spans="1:40">
      <c r="A28" s="33"/>
      <c r="B28" s="58">
        <v>17</v>
      </c>
      <c r="C28" s="149">
        <v>0</v>
      </c>
      <c r="D28" s="151">
        <v>0</v>
      </c>
      <c r="E28" s="106">
        <v>4279.9999999988358</v>
      </c>
      <c r="F28" s="2">
        <v>4433138.3999987943</v>
      </c>
      <c r="G28" s="35">
        <v>759.99999999976353</v>
      </c>
      <c r="H28" s="2">
        <v>1180789.1999996325</v>
      </c>
      <c r="I28" s="103">
        <f t="shared" si="4"/>
        <v>5613927.5999984266</v>
      </c>
      <c r="J28" s="106">
        <v>79.99999999992724</v>
      </c>
      <c r="K28" s="2">
        <v>82862.39999992463</v>
      </c>
      <c r="L28" s="185">
        <v>19.99999999998181</v>
      </c>
      <c r="M28" s="186">
        <v>31073.399999971742</v>
      </c>
      <c r="N28" s="94">
        <f t="shared" si="5"/>
        <v>113935.79999989638</v>
      </c>
      <c r="O28" s="108">
        <f t="shared" si="6"/>
        <v>5727863.3999983231</v>
      </c>
      <c r="P28" s="111">
        <f t="shared" si="7"/>
        <v>5139.9999999985084</v>
      </c>
      <c r="Q28" s="200"/>
      <c r="R28" s="216"/>
      <c r="S28" s="216"/>
      <c r="T28" s="190"/>
      <c r="U28" s="205"/>
      <c r="V28" s="202">
        <v>0</v>
      </c>
      <c r="W28" s="187">
        <f t="shared" si="8"/>
        <v>328.41</v>
      </c>
      <c r="X28" s="2">
        <v>0</v>
      </c>
      <c r="Y28" s="2">
        <v>0</v>
      </c>
      <c r="Z28" s="226">
        <v>328.41</v>
      </c>
      <c r="AA28" s="31">
        <v>0</v>
      </c>
      <c r="AB28" s="31">
        <f t="shared" si="0"/>
        <v>0</v>
      </c>
      <c r="AC28" s="128">
        <f t="shared" si="1"/>
        <v>0</v>
      </c>
      <c r="AD28" s="134">
        <v>0</v>
      </c>
      <c r="AE28" s="2">
        <v>0</v>
      </c>
      <c r="AF28" s="2">
        <v>0</v>
      </c>
      <c r="AG28" s="2">
        <v>0</v>
      </c>
      <c r="AH28" s="2">
        <f t="shared" si="9"/>
        <v>0</v>
      </c>
      <c r="AI28" s="2">
        <v>0</v>
      </c>
      <c r="AJ28" s="43">
        <f t="shared" si="2"/>
        <v>0</v>
      </c>
      <c r="AK28" s="142">
        <v>0</v>
      </c>
      <c r="AL28" s="2">
        <v>0</v>
      </c>
      <c r="AM28" s="39">
        <f t="shared" si="3"/>
        <v>0</v>
      </c>
      <c r="AN28" s="6"/>
    </row>
    <row r="29" spans="1:40">
      <c r="A29" s="33"/>
      <c r="B29" s="58">
        <v>18</v>
      </c>
      <c r="C29" s="149">
        <v>0</v>
      </c>
      <c r="D29" s="151">
        <v>0</v>
      </c>
      <c r="E29" s="106">
        <v>3800.0000000010914</v>
      </c>
      <c r="F29" s="2">
        <v>3935964.0000011302</v>
      </c>
      <c r="G29" s="35">
        <v>800.0000000001819</v>
      </c>
      <c r="H29" s="2">
        <v>1242936.0000002827</v>
      </c>
      <c r="I29" s="103">
        <f t="shared" si="4"/>
        <v>5178900.0000014128</v>
      </c>
      <c r="J29" s="106">
        <v>79.99999999992724</v>
      </c>
      <c r="K29" s="2">
        <v>82862.39999992463</v>
      </c>
      <c r="L29" s="185">
        <v>19.99999999998181</v>
      </c>
      <c r="M29" s="186">
        <v>31073.399999971742</v>
      </c>
      <c r="N29" s="94">
        <f t="shared" si="5"/>
        <v>113935.79999989638</v>
      </c>
      <c r="O29" s="108">
        <f t="shared" si="6"/>
        <v>5292835.8000013093</v>
      </c>
      <c r="P29" s="111">
        <f t="shared" si="7"/>
        <v>4700.0000000011823</v>
      </c>
      <c r="Q29" s="201"/>
      <c r="R29" s="217"/>
      <c r="S29" s="217"/>
      <c r="T29" s="190"/>
      <c r="U29" s="205"/>
      <c r="V29" s="202">
        <v>0</v>
      </c>
      <c r="W29" s="187">
        <f t="shared" si="8"/>
        <v>383.59000000000003</v>
      </c>
      <c r="X29" s="2">
        <v>0</v>
      </c>
      <c r="Y29" s="2">
        <v>0</v>
      </c>
      <c r="Z29" s="226">
        <v>383.59000000000003</v>
      </c>
      <c r="AA29" s="31">
        <v>0</v>
      </c>
      <c r="AB29" s="31">
        <f t="shared" si="0"/>
        <v>0</v>
      </c>
      <c r="AC29" s="128">
        <f t="shared" si="1"/>
        <v>0</v>
      </c>
      <c r="AD29" s="134">
        <v>0</v>
      </c>
      <c r="AE29" s="2">
        <v>0</v>
      </c>
      <c r="AF29" s="2">
        <v>0</v>
      </c>
      <c r="AG29" s="2">
        <v>0</v>
      </c>
      <c r="AH29" s="2">
        <f t="shared" si="9"/>
        <v>0</v>
      </c>
      <c r="AI29" s="2">
        <v>0</v>
      </c>
      <c r="AJ29" s="43">
        <f t="shared" si="2"/>
        <v>0</v>
      </c>
      <c r="AK29" s="142">
        <v>87.959999999999127</v>
      </c>
      <c r="AL29" s="2">
        <v>668495.99999999336</v>
      </c>
      <c r="AM29" s="39">
        <f t="shared" si="3"/>
        <v>51.517521842095221</v>
      </c>
      <c r="AN29" s="6"/>
    </row>
    <row r="30" spans="1:40">
      <c r="A30" s="33"/>
      <c r="B30" s="58">
        <v>19</v>
      </c>
      <c r="C30" s="149">
        <v>0</v>
      </c>
      <c r="D30" s="151">
        <v>0</v>
      </c>
      <c r="E30" s="106">
        <v>3799.9999999992724</v>
      </c>
      <c r="F30" s="2">
        <v>3935963.9999992461</v>
      </c>
      <c r="G30" s="35">
        <v>679.99999999983629</v>
      </c>
      <c r="H30" s="2">
        <v>1056495.5999997456</v>
      </c>
      <c r="I30" s="103">
        <f t="shared" si="4"/>
        <v>4992459.5999989919</v>
      </c>
      <c r="J30" s="106">
        <v>119.99999999989086</v>
      </c>
      <c r="K30" s="2">
        <v>124293.59999988695</v>
      </c>
      <c r="L30" s="185">
        <v>20.000000000209184</v>
      </c>
      <c r="M30" s="186">
        <v>31073.400000325004</v>
      </c>
      <c r="N30" s="94">
        <f t="shared" si="5"/>
        <v>155367.00000021196</v>
      </c>
      <c r="O30" s="108">
        <f t="shared" si="6"/>
        <v>5147826.5999992043</v>
      </c>
      <c r="P30" s="111">
        <f t="shared" si="7"/>
        <v>4619.9999999992087</v>
      </c>
      <c r="Q30" s="200"/>
      <c r="R30" s="216"/>
      <c r="S30" s="216"/>
      <c r="T30" s="190"/>
      <c r="U30" s="205"/>
      <c r="V30" s="202">
        <v>0</v>
      </c>
      <c r="W30" s="187">
        <f t="shared" si="8"/>
        <v>398.72</v>
      </c>
      <c r="X30" s="2">
        <v>0</v>
      </c>
      <c r="Y30" s="2">
        <v>0</v>
      </c>
      <c r="Z30" s="226">
        <v>398.72</v>
      </c>
      <c r="AA30" s="31">
        <v>0</v>
      </c>
      <c r="AB30" s="31">
        <f t="shared" si="0"/>
        <v>0</v>
      </c>
      <c r="AC30" s="128">
        <f t="shared" si="1"/>
        <v>0</v>
      </c>
      <c r="AD30" s="134">
        <v>0</v>
      </c>
      <c r="AE30" s="2">
        <v>0</v>
      </c>
      <c r="AF30" s="2">
        <v>0</v>
      </c>
      <c r="AG30" s="2">
        <v>0</v>
      </c>
      <c r="AH30" s="2">
        <f t="shared" si="9"/>
        <v>0</v>
      </c>
      <c r="AI30" s="2">
        <v>0</v>
      </c>
      <c r="AJ30" s="43">
        <f t="shared" si="2"/>
        <v>0</v>
      </c>
      <c r="AK30" s="142">
        <v>0</v>
      </c>
      <c r="AL30" s="2">
        <v>0</v>
      </c>
      <c r="AM30" s="39">
        <f t="shared" si="3"/>
        <v>0</v>
      </c>
      <c r="AN30" s="6"/>
    </row>
    <row r="31" spans="1:40">
      <c r="A31" s="33"/>
      <c r="B31" s="58">
        <v>20</v>
      </c>
      <c r="C31" s="149">
        <v>0</v>
      </c>
      <c r="D31" s="151">
        <v>0</v>
      </c>
      <c r="E31" s="106">
        <v>3840.0000000001455</v>
      </c>
      <c r="F31" s="2">
        <v>3977395.2000001506</v>
      </c>
      <c r="G31" s="35">
        <v>760.00000000021828</v>
      </c>
      <c r="H31" s="2">
        <v>1180789.2000003392</v>
      </c>
      <c r="I31" s="103">
        <f t="shared" si="4"/>
        <v>5158184.4000004902</v>
      </c>
      <c r="J31" s="106">
        <v>79.99999999992724</v>
      </c>
      <c r="K31" s="2">
        <v>82862.39999992463</v>
      </c>
      <c r="L31" s="185">
        <v>0</v>
      </c>
      <c r="M31" s="186">
        <v>0</v>
      </c>
      <c r="N31" s="94">
        <f t="shared" si="5"/>
        <v>82862.39999992463</v>
      </c>
      <c r="O31" s="108">
        <f t="shared" si="6"/>
        <v>5241046.8000004152</v>
      </c>
      <c r="P31" s="111">
        <f t="shared" si="7"/>
        <v>4680.000000000291</v>
      </c>
      <c r="Q31" s="201"/>
      <c r="R31" s="217"/>
      <c r="S31" s="217"/>
      <c r="T31" s="190"/>
      <c r="U31" s="205"/>
      <c r="V31" s="202">
        <v>0</v>
      </c>
      <c r="W31" s="187">
        <f t="shared" si="8"/>
        <v>415.63</v>
      </c>
      <c r="X31" s="2">
        <v>0</v>
      </c>
      <c r="Y31" s="2">
        <v>0</v>
      </c>
      <c r="Z31" s="226">
        <v>415.63</v>
      </c>
      <c r="AA31" s="31">
        <v>0</v>
      </c>
      <c r="AB31" s="31">
        <f t="shared" si="0"/>
        <v>0</v>
      </c>
      <c r="AC31" s="128">
        <f t="shared" si="1"/>
        <v>0</v>
      </c>
      <c r="AD31" s="134">
        <v>0</v>
      </c>
      <c r="AE31" s="2">
        <v>0</v>
      </c>
      <c r="AF31" s="2">
        <v>0</v>
      </c>
      <c r="AG31" s="2">
        <v>0</v>
      </c>
      <c r="AH31" s="2">
        <f t="shared" si="9"/>
        <v>0</v>
      </c>
      <c r="AI31" s="2">
        <v>0</v>
      </c>
      <c r="AJ31" s="43">
        <f t="shared" si="2"/>
        <v>0</v>
      </c>
      <c r="AK31" s="142">
        <v>0</v>
      </c>
      <c r="AL31" s="2">
        <v>0</v>
      </c>
      <c r="AM31" s="39">
        <f t="shared" si="3"/>
        <v>0</v>
      </c>
      <c r="AN31" s="6"/>
    </row>
    <row r="32" spans="1:40">
      <c r="A32" s="33"/>
      <c r="B32" s="58">
        <v>21</v>
      </c>
      <c r="C32" s="149">
        <v>0</v>
      </c>
      <c r="D32" s="151">
        <v>0</v>
      </c>
      <c r="E32" s="106">
        <v>3920.0000000000728</v>
      </c>
      <c r="F32" s="2">
        <v>4060257.6000000751</v>
      </c>
      <c r="G32" s="35">
        <v>719.99999999979991</v>
      </c>
      <c r="H32" s="2">
        <v>1118642.3999996891</v>
      </c>
      <c r="I32" s="103">
        <f t="shared" si="4"/>
        <v>5178899.9999997644</v>
      </c>
      <c r="J32" s="106">
        <v>100.0000000003638</v>
      </c>
      <c r="K32" s="2">
        <v>103578.00000037681</v>
      </c>
      <c r="L32" s="185">
        <v>19.99999999998181</v>
      </c>
      <c r="M32" s="186">
        <v>31073.399999971742</v>
      </c>
      <c r="N32" s="94">
        <f>+K32+M32</f>
        <v>134651.40000034854</v>
      </c>
      <c r="O32" s="108">
        <f t="shared" si="6"/>
        <v>5313551.4000001131</v>
      </c>
      <c r="P32" s="111">
        <f t="shared" si="7"/>
        <v>4760.0000000002183</v>
      </c>
      <c r="Q32" s="200"/>
      <c r="R32" s="220"/>
      <c r="S32" s="220"/>
      <c r="T32" s="190"/>
      <c r="U32" s="205"/>
      <c r="V32" s="202">
        <v>0</v>
      </c>
      <c r="W32" s="187">
        <f t="shared" si="8"/>
        <v>381.81</v>
      </c>
      <c r="X32" s="2">
        <v>0</v>
      </c>
      <c r="Y32" s="2">
        <v>0</v>
      </c>
      <c r="Z32" s="226">
        <v>381.81</v>
      </c>
      <c r="AA32" s="31">
        <v>0</v>
      </c>
      <c r="AB32" s="31">
        <f t="shared" si="0"/>
        <v>0</v>
      </c>
      <c r="AC32" s="128">
        <f t="shared" si="1"/>
        <v>0</v>
      </c>
      <c r="AD32" s="134">
        <v>0</v>
      </c>
      <c r="AE32" s="2">
        <v>0</v>
      </c>
      <c r="AF32" s="2">
        <v>0</v>
      </c>
      <c r="AG32" s="2">
        <v>0</v>
      </c>
      <c r="AH32" s="2">
        <f t="shared" si="9"/>
        <v>0</v>
      </c>
      <c r="AI32" s="2">
        <v>0</v>
      </c>
      <c r="AJ32" s="43">
        <f t="shared" si="2"/>
        <v>0</v>
      </c>
      <c r="AK32" s="142">
        <v>107.16000000000349</v>
      </c>
      <c r="AL32" s="2">
        <v>814416.00000002654</v>
      </c>
      <c r="AM32" s="39">
        <f t="shared" si="3"/>
        <v>62.762819924956325</v>
      </c>
      <c r="AN32" s="6"/>
    </row>
    <row r="33" spans="1:40">
      <c r="A33" s="33"/>
      <c r="B33" s="58">
        <v>22</v>
      </c>
      <c r="C33" s="149">
        <v>0</v>
      </c>
      <c r="D33" s="151">
        <v>0</v>
      </c>
      <c r="E33" s="106">
        <v>3799.9999999992724</v>
      </c>
      <c r="F33" s="2">
        <v>3935963.9999992461</v>
      </c>
      <c r="G33" s="35">
        <v>760.00000000021828</v>
      </c>
      <c r="H33" s="2">
        <v>1180789.2000003392</v>
      </c>
      <c r="I33" s="103">
        <f t="shared" si="4"/>
        <v>5116753.1999995857</v>
      </c>
      <c r="J33" s="106">
        <v>39.99999999996362</v>
      </c>
      <c r="K33" s="2">
        <v>41431.199999962315</v>
      </c>
      <c r="L33" s="185">
        <v>19.99999999998181</v>
      </c>
      <c r="M33" s="186">
        <v>31073.399999971742</v>
      </c>
      <c r="N33" s="94">
        <f t="shared" si="5"/>
        <v>72504.599999934057</v>
      </c>
      <c r="O33" s="108">
        <f t="shared" si="6"/>
        <v>5189257.7999995202</v>
      </c>
      <c r="P33" s="111">
        <f t="shared" si="7"/>
        <v>4619.9999999994361</v>
      </c>
      <c r="Q33" s="200"/>
      <c r="R33" s="216"/>
      <c r="S33" s="216"/>
      <c r="T33" s="190"/>
      <c r="U33" s="205"/>
      <c r="V33" s="202">
        <v>0</v>
      </c>
      <c r="W33" s="187">
        <f t="shared" si="8"/>
        <v>380.03000000000003</v>
      </c>
      <c r="X33" s="2">
        <v>0</v>
      </c>
      <c r="Y33" s="2">
        <v>0</v>
      </c>
      <c r="Z33" s="226">
        <v>380.03000000000003</v>
      </c>
      <c r="AA33" s="31">
        <v>0</v>
      </c>
      <c r="AB33" s="31">
        <f t="shared" si="0"/>
        <v>0</v>
      </c>
      <c r="AC33" s="128">
        <f t="shared" si="1"/>
        <v>0</v>
      </c>
      <c r="AD33" s="134">
        <v>0</v>
      </c>
      <c r="AE33" s="2">
        <v>0</v>
      </c>
      <c r="AF33" s="2">
        <v>0</v>
      </c>
      <c r="AG33" s="2">
        <v>0</v>
      </c>
      <c r="AH33" s="2">
        <f t="shared" si="9"/>
        <v>0</v>
      </c>
      <c r="AI33" s="2">
        <v>0</v>
      </c>
      <c r="AJ33" s="43">
        <f t="shared" si="2"/>
        <v>0</v>
      </c>
      <c r="AK33" s="142">
        <v>2.0100000000020373</v>
      </c>
      <c r="AL33" s="2">
        <v>15276.000000015483</v>
      </c>
      <c r="AM33" s="39">
        <f t="shared" si="3"/>
        <v>1.1772421430504476</v>
      </c>
      <c r="AN33" s="6"/>
    </row>
    <row r="34" spans="1:40">
      <c r="A34" s="33"/>
      <c r="B34" s="58">
        <v>23</v>
      </c>
      <c r="C34" s="149">
        <v>0</v>
      </c>
      <c r="D34" s="151">
        <v>0</v>
      </c>
      <c r="E34" s="106">
        <v>3920.0000000000728</v>
      </c>
      <c r="F34" s="2">
        <v>4060257.6000000751</v>
      </c>
      <c r="G34" s="35">
        <v>679.99999999983629</v>
      </c>
      <c r="H34" s="2">
        <v>1056495.5999997456</v>
      </c>
      <c r="I34" s="103">
        <f t="shared" si="4"/>
        <v>5116753.1999998204</v>
      </c>
      <c r="J34" s="106">
        <v>79.99999999992724</v>
      </c>
      <c r="K34" s="2">
        <v>82862.39999992463</v>
      </c>
      <c r="L34" s="185">
        <v>19.99999999998181</v>
      </c>
      <c r="M34" s="186">
        <v>31073.399999971742</v>
      </c>
      <c r="N34" s="94">
        <f t="shared" si="5"/>
        <v>113935.79999989638</v>
      </c>
      <c r="O34" s="108">
        <f t="shared" si="6"/>
        <v>5230688.9999997169</v>
      </c>
      <c r="P34" s="111">
        <f t="shared" si="7"/>
        <v>4699.9999999998181</v>
      </c>
      <c r="Q34" s="201"/>
      <c r="R34" s="217"/>
      <c r="S34" s="217"/>
      <c r="T34" s="190"/>
      <c r="U34" s="205"/>
      <c r="V34" s="202">
        <v>0</v>
      </c>
      <c r="W34" s="187">
        <f t="shared" si="8"/>
        <v>370.24</v>
      </c>
      <c r="X34" s="2">
        <v>0</v>
      </c>
      <c r="Y34" s="2">
        <v>0</v>
      </c>
      <c r="Z34" s="226">
        <v>370.24</v>
      </c>
      <c r="AA34" s="31">
        <v>0</v>
      </c>
      <c r="AB34" s="31">
        <f t="shared" si="0"/>
        <v>0</v>
      </c>
      <c r="AC34" s="128">
        <f t="shared" si="1"/>
        <v>0</v>
      </c>
      <c r="AD34" s="134">
        <v>0</v>
      </c>
      <c r="AE34" s="2">
        <v>0</v>
      </c>
      <c r="AF34" s="2">
        <v>0</v>
      </c>
      <c r="AG34" s="2">
        <v>0</v>
      </c>
      <c r="AH34" s="2">
        <f t="shared" si="9"/>
        <v>0</v>
      </c>
      <c r="AI34" s="2">
        <v>0</v>
      </c>
      <c r="AJ34" s="43">
        <f t="shared" si="2"/>
        <v>0</v>
      </c>
      <c r="AK34" s="142">
        <v>60.069999999999709</v>
      </c>
      <c r="AL34" s="2">
        <v>456531.99999999779</v>
      </c>
      <c r="AM34" s="39">
        <f t="shared" si="3"/>
        <v>35.182554991526551</v>
      </c>
      <c r="AN34" s="6"/>
    </row>
    <row r="35" spans="1:40">
      <c r="A35" s="33"/>
      <c r="B35" s="58">
        <v>24</v>
      </c>
      <c r="C35" s="149">
        <v>0</v>
      </c>
      <c r="D35" s="151">
        <v>0</v>
      </c>
      <c r="E35" s="106">
        <v>4079.9999999999272</v>
      </c>
      <c r="F35" s="2">
        <v>4225982.3999999249</v>
      </c>
      <c r="G35" s="35">
        <v>800.0000000001819</v>
      </c>
      <c r="H35" s="2">
        <v>1242936.0000002827</v>
      </c>
      <c r="I35" s="103">
        <f t="shared" si="4"/>
        <v>5468918.4000002071</v>
      </c>
      <c r="J35" s="106">
        <v>99.999999999454303</v>
      </c>
      <c r="K35" s="2">
        <v>103577.99999943477</v>
      </c>
      <c r="L35" s="185">
        <v>19.99999999998181</v>
      </c>
      <c r="M35" s="186">
        <v>31073.399999971742</v>
      </c>
      <c r="N35" s="94">
        <f t="shared" si="5"/>
        <v>134651.39999940651</v>
      </c>
      <c r="O35" s="108">
        <f t="shared" si="6"/>
        <v>5603569.7999996133</v>
      </c>
      <c r="P35" s="111">
        <f t="shared" si="7"/>
        <v>4999.9999999995453</v>
      </c>
      <c r="Q35" s="200"/>
      <c r="R35" s="220"/>
      <c r="S35" s="220"/>
      <c r="T35" s="190"/>
      <c r="U35" s="205"/>
      <c r="V35" s="202">
        <v>0</v>
      </c>
      <c r="W35" s="187">
        <f t="shared" si="8"/>
        <v>407.62</v>
      </c>
      <c r="X35" s="2">
        <v>0</v>
      </c>
      <c r="Y35" s="2">
        <v>0</v>
      </c>
      <c r="Z35" s="226">
        <v>407.62</v>
      </c>
      <c r="AA35" s="31">
        <v>0</v>
      </c>
      <c r="AB35" s="31">
        <f t="shared" si="0"/>
        <v>0</v>
      </c>
      <c r="AC35" s="128">
        <f t="shared" si="1"/>
        <v>0</v>
      </c>
      <c r="AD35" s="134">
        <v>0</v>
      </c>
      <c r="AE35" s="2">
        <v>0</v>
      </c>
      <c r="AF35" s="2">
        <v>0</v>
      </c>
      <c r="AG35" s="2">
        <v>0</v>
      </c>
      <c r="AH35" s="2">
        <f t="shared" si="9"/>
        <v>0</v>
      </c>
      <c r="AI35" s="2">
        <v>0</v>
      </c>
      <c r="AJ35" s="43">
        <f t="shared" si="2"/>
        <v>0</v>
      </c>
      <c r="AK35" s="142">
        <v>0</v>
      </c>
      <c r="AL35" s="2">
        <v>0</v>
      </c>
      <c r="AM35" s="39">
        <f t="shared" si="3"/>
        <v>0</v>
      </c>
      <c r="AN35" s="6"/>
    </row>
    <row r="36" spans="1:40">
      <c r="A36" s="33"/>
      <c r="B36" s="58">
        <v>25</v>
      </c>
      <c r="C36" s="149">
        <v>0</v>
      </c>
      <c r="D36" s="151">
        <v>0</v>
      </c>
      <c r="E36" s="106">
        <v>4000</v>
      </c>
      <c r="F36" s="2">
        <v>4143120</v>
      </c>
      <c r="G36" s="35">
        <v>759.99999999976353</v>
      </c>
      <c r="H36" s="2">
        <v>1180789.1999996325</v>
      </c>
      <c r="I36" s="103">
        <f t="shared" si="4"/>
        <v>5323909.1999996323</v>
      </c>
      <c r="J36" s="106">
        <v>100.0000000003638</v>
      </c>
      <c r="K36" s="2">
        <v>103578.00000037681</v>
      </c>
      <c r="L36" s="185">
        <v>0</v>
      </c>
      <c r="M36" s="186">
        <v>0</v>
      </c>
      <c r="N36" s="94">
        <f t="shared" si="5"/>
        <v>103578.00000037681</v>
      </c>
      <c r="O36" s="108">
        <f t="shared" si="6"/>
        <v>5427487.2000000095</v>
      </c>
      <c r="P36" s="111">
        <f t="shared" si="7"/>
        <v>4860.0000000001273</v>
      </c>
      <c r="Q36" s="200"/>
      <c r="R36" s="220"/>
      <c r="S36" s="220"/>
      <c r="T36" s="190"/>
      <c r="U36" s="205"/>
      <c r="V36" s="202">
        <v>0</v>
      </c>
      <c r="W36" s="187">
        <f t="shared" si="8"/>
        <v>417.41</v>
      </c>
      <c r="X36" s="2">
        <v>0</v>
      </c>
      <c r="Y36" s="2">
        <v>0</v>
      </c>
      <c r="Z36" s="226">
        <v>417.41</v>
      </c>
      <c r="AA36" s="31">
        <v>0</v>
      </c>
      <c r="AB36" s="31">
        <f t="shared" si="0"/>
        <v>0</v>
      </c>
      <c r="AC36" s="128">
        <f t="shared" si="1"/>
        <v>0</v>
      </c>
      <c r="AD36" s="134">
        <v>0</v>
      </c>
      <c r="AE36" s="2">
        <v>0</v>
      </c>
      <c r="AF36" s="2">
        <v>0</v>
      </c>
      <c r="AG36" s="2">
        <v>0</v>
      </c>
      <c r="AH36" s="2">
        <f t="shared" si="9"/>
        <v>0</v>
      </c>
      <c r="AI36" s="2">
        <v>0</v>
      </c>
      <c r="AJ36" s="43">
        <f t="shared" si="2"/>
        <v>0</v>
      </c>
      <c r="AK36" s="142">
        <v>91.860000000000582</v>
      </c>
      <c r="AL36" s="2">
        <v>698136.00000000442</v>
      </c>
      <c r="AM36" s="39">
        <f t="shared" si="3"/>
        <v>53.801723015176712</v>
      </c>
      <c r="AN36" s="6"/>
    </row>
    <row r="37" spans="1:40">
      <c r="A37" s="33"/>
      <c r="B37" s="58">
        <v>26</v>
      </c>
      <c r="C37" s="149">
        <v>0</v>
      </c>
      <c r="D37" s="151">
        <v>0</v>
      </c>
      <c r="E37" s="106">
        <v>3960.0000000009459</v>
      </c>
      <c r="F37" s="2">
        <v>4101688.8000009796</v>
      </c>
      <c r="G37" s="35">
        <v>760.00000000021828</v>
      </c>
      <c r="H37" s="2">
        <v>1180789.2000003392</v>
      </c>
      <c r="I37" s="103">
        <f t="shared" si="4"/>
        <v>5282478.0000013188</v>
      </c>
      <c r="J37" s="106">
        <v>99.999999999454303</v>
      </c>
      <c r="K37" s="2">
        <v>103577.99999943477</v>
      </c>
      <c r="L37" s="185">
        <v>19.99999999998181</v>
      </c>
      <c r="M37" s="186">
        <v>31073.399999971742</v>
      </c>
      <c r="N37" s="94">
        <f t="shared" si="5"/>
        <v>134651.39999940651</v>
      </c>
      <c r="O37" s="108">
        <f t="shared" si="6"/>
        <v>5417129.4000007249</v>
      </c>
      <c r="P37" s="111">
        <f t="shared" si="7"/>
        <v>4840.0000000006003</v>
      </c>
      <c r="Q37" s="200"/>
      <c r="R37" s="220"/>
      <c r="S37" s="220"/>
      <c r="T37" s="190"/>
      <c r="U37" s="205"/>
      <c r="V37" s="202">
        <v>0</v>
      </c>
      <c r="W37" s="187">
        <f t="shared" si="8"/>
        <v>341.76</v>
      </c>
      <c r="X37" s="2">
        <v>0</v>
      </c>
      <c r="Y37" s="2">
        <v>0</v>
      </c>
      <c r="Z37" s="226">
        <v>341.76</v>
      </c>
      <c r="AA37" s="31">
        <v>0</v>
      </c>
      <c r="AB37" s="31">
        <f t="shared" si="0"/>
        <v>0</v>
      </c>
      <c r="AC37" s="128">
        <f t="shared" si="1"/>
        <v>0</v>
      </c>
      <c r="AD37" s="134">
        <v>0</v>
      </c>
      <c r="AE37" s="2">
        <v>0</v>
      </c>
      <c r="AF37" s="2">
        <v>0</v>
      </c>
      <c r="AG37" s="2">
        <v>0</v>
      </c>
      <c r="AH37" s="2">
        <f t="shared" si="9"/>
        <v>0</v>
      </c>
      <c r="AI37" s="2">
        <v>0</v>
      </c>
      <c r="AJ37" s="43">
        <f t="shared" si="2"/>
        <v>0</v>
      </c>
      <c r="AK37" s="142">
        <v>0</v>
      </c>
      <c r="AL37" s="2">
        <v>0</v>
      </c>
      <c r="AM37" s="39">
        <f t="shared" si="3"/>
        <v>0</v>
      </c>
      <c r="AN37" s="6"/>
    </row>
    <row r="38" spans="1:40">
      <c r="A38" s="33"/>
      <c r="B38" s="58">
        <v>27</v>
      </c>
      <c r="C38" s="149">
        <v>0</v>
      </c>
      <c r="D38" s="151">
        <v>0</v>
      </c>
      <c r="E38" s="106">
        <v>3959.9999999991269</v>
      </c>
      <c r="F38" s="2">
        <v>4101688.7999990955</v>
      </c>
      <c r="G38" s="35">
        <v>799.99999999972715</v>
      </c>
      <c r="H38" s="2">
        <v>1242935.9999995762</v>
      </c>
      <c r="I38" s="103">
        <f t="shared" si="4"/>
        <v>5344624.7999986717</v>
      </c>
      <c r="J38" s="106">
        <v>80.000000000836735</v>
      </c>
      <c r="K38" s="2">
        <v>82862.400000866677</v>
      </c>
      <c r="L38" s="185">
        <v>19.99999999998181</v>
      </c>
      <c r="M38" s="186">
        <v>31073.399999971742</v>
      </c>
      <c r="N38" s="94">
        <f t="shared" si="5"/>
        <v>113935.80000083841</v>
      </c>
      <c r="O38" s="108">
        <f t="shared" si="6"/>
        <v>5458560.5999995098</v>
      </c>
      <c r="P38" s="111">
        <f t="shared" si="7"/>
        <v>4859.9999999996726</v>
      </c>
      <c r="Q38" s="200"/>
      <c r="R38" s="220"/>
      <c r="S38" s="220"/>
      <c r="T38" s="190"/>
      <c r="U38" s="205"/>
      <c r="V38" s="202">
        <v>0</v>
      </c>
      <c r="W38" s="187">
        <f t="shared" si="8"/>
        <v>414.74</v>
      </c>
      <c r="X38" s="2">
        <v>0</v>
      </c>
      <c r="Y38" s="2">
        <v>0</v>
      </c>
      <c r="Z38" s="226">
        <v>414.74</v>
      </c>
      <c r="AA38" s="31">
        <v>0</v>
      </c>
      <c r="AB38" s="31">
        <f t="shared" si="0"/>
        <v>0</v>
      </c>
      <c r="AC38" s="128">
        <f t="shared" si="1"/>
        <v>0</v>
      </c>
      <c r="AD38" s="134">
        <v>0</v>
      </c>
      <c r="AE38" s="2">
        <v>0</v>
      </c>
      <c r="AF38" s="2">
        <v>0</v>
      </c>
      <c r="AG38" s="2">
        <v>0</v>
      </c>
      <c r="AH38" s="2">
        <f t="shared" si="9"/>
        <v>0</v>
      </c>
      <c r="AI38" s="2">
        <v>0</v>
      </c>
      <c r="AJ38" s="43">
        <f t="shared" si="2"/>
        <v>0</v>
      </c>
      <c r="AK38" s="142">
        <v>0</v>
      </c>
      <c r="AL38" s="2">
        <v>0</v>
      </c>
      <c r="AM38" s="39">
        <f t="shared" si="3"/>
        <v>0</v>
      </c>
      <c r="AN38" s="6"/>
    </row>
    <row r="39" spans="1:40">
      <c r="A39" s="33"/>
      <c r="B39" s="58">
        <v>28</v>
      </c>
      <c r="C39" s="149">
        <v>0</v>
      </c>
      <c r="D39" s="151">
        <v>0</v>
      </c>
      <c r="E39" s="106">
        <v>4400.0000000014552</v>
      </c>
      <c r="F39" s="2">
        <v>4557432.0000015069</v>
      </c>
      <c r="G39" s="35">
        <v>760.00000000021828</v>
      </c>
      <c r="H39" s="2">
        <v>1180789.2000003392</v>
      </c>
      <c r="I39" s="103">
        <f t="shared" si="4"/>
        <v>5738221.2000018461</v>
      </c>
      <c r="J39" s="106">
        <v>99.999999999454303</v>
      </c>
      <c r="K39" s="2">
        <v>103577.99999943477</v>
      </c>
      <c r="L39" s="185">
        <v>19.99999999998181</v>
      </c>
      <c r="M39" s="186">
        <v>31073.399999971742</v>
      </c>
      <c r="N39" s="94">
        <f t="shared" si="5"/>
        <v>134651.39999940651</v>
      </c>
      <c r="O39" s="108">
        <f t="shared" si="6"/>
        <v>5872872.6000012523</v>
      </c>
      <c r="P39" s="111">
        <f t="shared" si="7"/>
        <v>5280.0000000011096</v>
      </c>
      <c r="Q39" s="200"/>
      <c r="R39" s="221"/>
      <c r="S39" s="221"/>
      <c r="T39" s="190"/>
      <c r="U39" s="205"/>
      <c r="V39" s="202">
        <v>0</v>
      </c>
      <c r="W39" s="187">
        <f t="shared" si="8"/>
        <v>455.68</v>
      </c>
      <c r="X39" s="2">
        <v>0</v>
      </c>
      <c r="Y39" s="2">
        <v>0</v>
      </c>
      <c r="Z39" s="226">
        <v>455.68</v>
      </c>
      <c r="AA39" s="31">
        <v>0</v>
      </c>
      <c r="AB39" s="31">
        <f t="shared" si="0"/>
        <v>0</v>
      </c>
      <c r="AC39" s="128">
        <f t="shared" si="1"/>
        <v>0</v>
      </c>
      <c r="AD39" s="134">
        <v>0</v>
      </c>
      <c r="AE39" s="2">
        <v>0</v>
      </c>
      <c r="AF39" s="2">
        <v>0</v>
      </c>
      <c r="AG39" s="2">
        <v>0</v>
      </c>
      <c r="AH39" s="2">
        <f t="shared" si="9"/>
        <v>0</v>
      </c>
      <c r="AI39" s="2">
        <v>0</v>
      </c>
      <c r="AJ39" s="43">
        <f t="shared" si="2"/>
        <v>0</v>
      </c>
      <c r="AK39" s="142">
        <v>0</v>
      </c>
      <c r="AL39" s="2">
        <v>0</v>
      </c>
      <c r="AM39" s="39">
        <f t="shared" si="3"/>
        <v>0</v>
      </c>
      <c r="AN39" s="6"/>
    </row>
    <row r="40" spans="1:40">
      <c r="A40" s="33"/>
      <c r="B40" s="58">
        <v>29</v>
      </c>
      <c r="C40" s="149">
        <v>0</v>
      </c>
      <c r="D40" s="151">
        <v>0</v>
      </c>
      <c r="E40" s="106">
        <v>4199.9999999989086</v>
      </c>
      <c r="F40" s="2">
        <v>4350275.9999988694</v>
      </c>
      <c r="G40" s="35">
        <v>759.99999999976353</v>
      </c>
      <c r="H40" s="2">
        <v>1180789.1999996325</v>
      </c>
      <c r="I40" s="103">
        <f t="shared" si="4"/>
        <v>5531065.1999985017</v>
      </c>
      <c r="J40" s="106">
        <v>79.99999999992724</v>
      </c>
      <c r="K40" s="2">
        <v>82862.39999992463</v>
      </c>
      <c r="L40" s="185">
        <v>19.99999999998181</v>
      </c>
      <c r="M40" s="186">
        <v>31073.399999971742</v>
      </c>
      <c r="N40" s="94">
        <f t="shared" si="5"/>
        <v>113935.79999989638</v>
      </c>
      <c r="O40" s="108">
        <f t="shared" ref="O40:O41" si="10">N40+I40</f>
        <v>5645000.9999983981</v>
      </c>
      <c r="P40" s="111">
        <f t="shared" ref="P40:P41" si="11">L40+J40+G40+E40</f>
        <v>5059.9999999985812</v>
      </c>
      <c r="Q40" s="201"/>
      <c r="R40" s="222"/>
      <c r="S40" s="222"/>
      <c r="T40" s="190"/>
      <c r="U40" s="205"/>
      <c r="V40" s="202">
        <v>0</v>
      </c>
      <c r="W40" s="187">
        <f t="shared" si="8"/>
        <v>430.76</v>
      </c>
      <c r="X40" s="2">
        <v>0</v>
      </c>
      <c r="Y40" s="2">
        <v>0</v>
      </c>
      <c r="Z40" s="226">
        <v>430.76</v>
      </c>
      <c r="AA40" s="31">
        <v>0</v>
      </c>
      <c r="AB40" s="31">
        <f t="shared" ref="AB40:AB41" si="12">AA40+Y40</f>
        <v>0</v>
      </c>
      <c r="AC40" s="128">
        <f t="shared" ref="AC40:AC41" si="13">AB40/$AM$48</f>
        <v>0</v>
      </c>
      <c r="AD40" s="134">
        <v>0</v>
      </c>
      <c r="AE40" s="2">
        <v>0</v>
      </c>
      <c r="AF40" s="2">
        <v>0</v>
      </c>
      <c r="AG40" s="2">
        <v>0</v>
      </c>
      <c r="AH40" s="2">
        <f t="shared" si="9"/>
        <v>0</v>
      </c>
      <c r="AI40" s="2">
        <v>0</v>
      </c>
      <c r="AJ40" s="43">
        <f t="shared" ref="AJ40:AJ41" si="14">AI40/$AM$48</f>
        <v>0</v>
      </c>
      <c r="AK40" s="142">
        <v>-30.109999999996035</v>
      </c>
      <c r="AL40" s="2">
        <v>-228835.99999996985</v>
      </c>
      <c r="AM40" s="39">
        <f t="shared" si="3"/>
        <v>-17.635204441397203</v>
      </c>
      <c r="AN40" s="6"/>
    </row>
    <row r="41" spans="1:40">
      <c r="A41" s="33"/>
      <c r="B41" s="58">
        <v>30</v>
      </c>
      <c r="C41" s="149">
        <v>0</v>
      </c>
      <c r="D41" s="151">
        <v>0</v>
      </c>
      <c r="E41" s="106">
        <v>3720.0000000011642</v>
      </c>
      <c r="F41" s="2">
        <v>3853101.6000012057</v>
      </c>
      <c r="G41" s="35">
        <v>760.00000000021828</v>
      </c>
      <c r="H41" s="2">
        <v>1180789.2000003392</v>
      </c>
      <c r="I41" s="103">
        <f t="shared" si="4"/>
        <v>5033890.8000015449</v>
      </c>
      <c r="J41" s="106">
        <v>79.99999999992724</v>
      </c>
      <c r="K41" s="2">
        <v>82862.39999992463</v>
      </c>
      <c r="L41" s="185">
        <v>0</v>
      </c>
      <c r="M41" s="186">
        <v>0</v>
      </c>
      <c r="N41" s="94">
        <f t="shared" si="5"/>
        <v>82862.39999992463</v>
      </c>
      <c r="O41" s="108">
        <f t="shared" si="10"/>
        <v>5116753.2000014698</v>
      </c>
      <c r="P41" s="111">
        <f t="shared" si="11"/>
        <v>4560.0000000013097</v>
      </c>
      <c r="Q41" s="200"/>
      <c r="R41" s="223"/>
      <c r="S41" s="223"/>
      <c r="T41" s="190"/>
      <c r="U41" s="205"/>
      <c r="V41" s="202">
        <v>0</v>
      </c>
      <c r="W41" s="187">
        <f t="shared" si="8"/>
        <v>331.97</v>
      </c>
      <c r="X41" s="2">
        <v>0</v>
      </c>
      <c r="Y41" s="2">
        <v>0</v>
      </c>
      <c r="Z41" s="226">
        <v>331.97</v>
      </c>
      <c r="AA41" s="31">
        <v>0</v>
      </c>
      <c r="AB41" s="31">
        <f t="shared" si="12"/>
        <v>0</v>
      </c>
      <c r="AC41" s="128">
        <f t="shared" si="13"/>
        <v>0</v>
      </c>
      <c r="AD41" s="134">
        <v>0</v>
      </c>
      <c r="AE41" s="2">
        <v>0</v>
      </c>
      <c r="AF41" s="2">
        <v>0</v>
      </c>
      <c r="AG41" s="2">
        <v>0</v>
      </c>
      <c r="AH41" s="2">
        <f t="shared" si="9"/>
        <v>0</v>
      </c>
      <c r="AI41" s="2">
        <v>0</v>
      </c>
      <c r="AJ41" s="43">
        <f t="shared" si="14"/>
        <v>0</v>
      </c>
      <c r="AK41" s="142">
        <v>121.83000000000175</v>
      </c>
      <c r="AL41" s="2">
        <v>925908.00000001327</v>
      </c>
      <c r="AM41" s="39">
        <f t="shared" si="3"/>
        <v>71.35493049138941</v>
      </c>
      <c r="AN41" s="6"/>
    </row>
    <row r="42" spans="1:40">
      <c r="A42" s="33"/>
      <c r="B42" s="58"/>
      <c r="C42" s="175"/>
      <c r="D42" s="176"/>
      <c r="E42" s="106"/>
      <c r="F42" s="2"/>
      <c r="G42" s="35"/>
      <c r="H42" s="2"/>
      <c r="I42" s="103"/>
      <c r="J42" s="106"/>
      <c r="K42" s="2"/>
      <c r="L42" s="185"/>
      <c r="M42" s="186"/>
      <c r="N42" s="94"/>
      <c r="O42" s="108"/>
      <c r="P42" s="111"/>
      <c r="Q42" s="200"/>
      <c r="R42" s="223"/>
      <c r="S42" s="223"/>
      <c r="T42" s="190"/>
      <c r="U42" s="205"/>
      <c r="V42" s="202"/>
      <c r="W42" s="187"/>
      <c r="X42" s="2"/>
      <c r="Y42" s="2"/>
      <c r="Z42" s="31"/>
      <c r="AA42" s="31"/>
      <c r="AB42" s="31"/>
      <c r="AC42" s="128"/>
      <c r="AD42" s="134"/>
      <c r="AE42" s="2"/>
      <c r="AF42" s="2"/>
      <c r="AG42" s="2"/>
      <c r="AH42" s="2"/>
      <c r="AI42" s="2"/>
      <c r="AJ42" s="43"/>
      <c r="AK42" s="142"/>
      <c r="AL42" s="2"/>
      <c r="AM42" s="39"/>
      <c r="AN42" s="6"/>
    </row>
    <row r="43" spans="1:40" ht="16.5" thickBot="1">
      <c r="A43" s="33"/>
      <c r="B43" s="122"/>
      <c r="C43" s="150"/>
      <c r="D43" s="152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215"/>
      <c r="R43" s="224"/>
      <c r="S43" s="224"/>
      <c r="T43" s="191"/>
      <c r="U43" s="206"/>
      <c r="V43" s="203"/>
      <c r="W43" s="187"/>
      <c r="X43" s="2"/>
      <c r="Y43" s="2"/>
      <c r="Z43" s="31"/>
      <c r="AA43" s="31"/>
      <c r="AB43" s="16"/>
      <c r="AC43" s="129"/>
      <c r="AD43" s="127"/>
      <c r="AE43" s="2"/>
      <c r="AF43" s="1"/>
      <c r="AG43" s="1"/>
      <c r="AH43" s="1"/>
      <c r="AI43" s="2"/>
      <c r="AJ43" s="43"/>
      <c r="AK43" s="142"/>
      <c r="AL43" s="2"/>
      <c r="AM43" s="39"/>
      <c r="AN43" s="6"/>
    </row>
    <row r="44" spans="1:40" s="7" customFormat="1" ht="4.5" customHeight="1">
      <c r="B44" s="117"/>
      <c r="C44" s="118"/>
      <c r="D44" s="118"/>
      <c r="E44" s="116"/>
      <c r="F44" s="6"/>
      <c r="H44" s="6"/>
      <c r="L44" s="6"/>
      <c r="M44" s="62"/>
      <c r="N44" s="66"/>
      <c r="P44" s="66"/>
      <c r="R44" s="86"/>
      <c r="S44" s="86"/>
      <c r="T44" s="6"/>
      <c r="V44" s="32"/>
      <c r="W44" s="130"/>
      <c r="AC44" s="32"/>
      <c r="AE44" s="6"/>
      <c r="AK44" s="86"/>
      <c r="AM44" s="32"/>
    </row>
    <row r="45" spans="1:40" s="7" customFormat="1" ht="6" customHeight="1">
      <c r="B45" s="117"/>
      <c r="C45" s="118"/>
      <c r="D45" s="118"/>
      <c r="E45" s="116"/>
      <c r="F45" s="6"/>
      <c r="H45" s="6"/>
      <c r="L45" s="6"/>
      <c r="M45" s="62"/>
      <c r="N45" s="66"/>
      <c r="P45" s="66"/>
      <c r="R45" s="86"/>
      <c r="S45" s="86"/>
      <c r="T45" s="14"/>
      <c r="U45" s="14"/>
      <c r="V45" s="32"/>
      <c r="W45" s="130"/>
      <c r="AC45" s="131"/>
      <c r="AE45" s="6"/>
      <c r="AI45" s="6"/>
      <c r="AK45" s="88"/>
      <c r="AL45" s="4"/>
      <c r="AM45" s="40"/>
    </row>
    <row r="46" spans="1:40" s="7" customFormat="1" ht="16.5" thickBot="1"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87"/>
      <c r="T46" s="75"/>
      <c r="U46" s="71"/>
      <c r="V46" s="188"/>
      <c r="W46" s="132"/>
      <c r="X46" s="77"/>
      <c r="Y46" s="71"/>
      <c r="Z46" s="71"/>
      <c r="AA46" s="71"/>
      <c r="AB46" s="71"/>
      <c r="AC46" s="76"/>
      <c r="AD46" s="78"/>
      <c r="AE46" s="72"/>
      <c r="AF46" s="78"/>
      <c r="AG46" s="78"/>
      <c r="AH46" s="78"/>
      <c r="AI46" s="72"/>
      <c r="AJ46" s="71"/>
      <c r="AK46" s="143"/>
      <c r="AL46" s="79"/>
      <c r="AM46" s="80"/>
    </row>
    <row r="47" spans="1:40" ht="17.25" thickTop="1" thickBot="1">
      <c r="A47" s="25"/>
      <c r="B47" s="69"/>
      <c r="C47" s="70">
        <f>SUM(C12:C43)</f>
        <v>0</v>
      </c>
      <c r="D47" s="70">
        <f>SUM(D12:D43)</f>
        <v>0</v>
      </c>
      <c r="E47" s="70">
        <f>SUM(E12:E43)</f>
        <v>146519.99999999499</v>
      </c>
      <c r="F47" s="70">
        <f>SUM(F12:F43)</f>
        <v>151762485.59999478</v>
      </c>
      <c r="G47" s="70">
        <f>SUM(G12:G43)</f>
        <v>26440.000000000055</v>
      </c>
      <c r="H47" s="70">
        <f t="shared" ref="H47:O47" si="15">SUM(H12:H43)</f>
        <v>41079034.800000072</v>
      </c>
      <c r="I47" s="70">
        <f t="shared" si="15"/>
        <v>192841520.39999485</v>
      </c>
      <c r="J47" s="70">
        <f t="shared" si="15"/>
        <v>6340.0000000037835</v>
      </c>
      <c r="K47" s="70">
        <f t="shared" si="15"/>
        <v>6566845.2000039229</v>
      </c>
      <c r="L47" s="70">
        <f t="shared" si="15"/>
        <v>659.99999999985448</v>
      </c>
      <c r="M47" s="70">
        <f t="shared" si="15"/>
        <v>1025422.1999997739</v>
      </c>
      <c r="N47" s="70">
        <f t="shared" si="15"/>
        <v>7592267.400003694</v>
      </c>
      <c r="O47" s="70">
        <f t="shared" si="15"/>
        <v>200433787.79999861</v>
      </c>
      <c r="P47" s="82">
        <f>SUM(P12:P43)</f>
        <v>179959.99999999869</v>
      </c>
      <c r="Q47" s="189" t="e">
        <f>#REF!</f>
        <v>#REF!</v>
      </c>
      <c r="R47" s="123" t="e">
        <f>#REF!</f>
        <v>#REF!</v>
      </c>
      <c r="S47" s="123"/>
      <c r="T47" s="115" t="e">
        <f>Q47+P47</f>
        <v>#REF!</v>
      </c>
      <c r="U47" s="115" t="e">
        <f>R47+O47</f>
        <v>#REF!</v>
      </c>
      <c r="V47" s="136" t="e">
        <f>U47/AM48</f>
        <v>#REF!</v>
      </c>
      <c r="W47" s="177">
        <f>SUM(W12:W42)</f>
        <v>11050.240000000002</v>
      </c>
      <c r="X47" s="52">
        <f>SUM(X12:X42)</f>
        <v>0</v>
      </c>
      <c r="Y47" s="52">
        <f t="shared" ref="Y47:AA47" si="16">SUM(Y12:Y42)</f>
        <v>0</v>
      </c>
      <c r="Z47" s="52">
        <f t="shared" si="16"/>
        <v>11050.240000000002</v>
      </c>
      <c r="AA47" s="52">
        <f t="shared" si="16"/>
        <v>1352599.2516000001</v>
      </c>
      <c r="AB47" s="135">
        <f>SUM(AB12:AB42)</f>
        <v>1352599.2516000001</v>
      </c>
      <c r="AC47" s="124">
        <f>AB47/$AM$48</f>
        <v>104.23781367114439</v>
      </c>
      <c r="AD47" s="44">
        <f>SUM(AD12:AD41)</f>
        <v>533.1057999999648</v>
      </c>
      <c r="AE47" s="137">
        <f>SUM(AE12:AE41)</f>
        <v>0</v>
      </c>
      <c r="AF47" s="44">
        <f>SUM(AF12:AF42)</f>
        <v>0</v>
      </c>
      <c r="AG47" s="44">
        <f>SUM(AG12:AG42)</f>
        <v>12</v>
      </c>
      <c r="AH47" s="209">
        <f>SUM(AH12:AH42)</f>
        <v>545.1057999999648</v>
      </c>
      <c r="AI47" s="146">
        <f>SUM(AI12:AI43)</f>
        <v>5041940.9367996752</v>
      </c>
      <c r="AJ47" s="147">
        <f>AI47/$AM$48</f>
        <v>388.55625514308821</v>
      </c>
      <c r="AK47" s="208">
        <f>SUM(AK12:AK43)</f>
        <v>1426.0900000000083</v>
      </c>
      <c r="AL47" s="144">
        <f>SUM(AL12:AL43)</f>
        <v>10838284.000000061</v>
      </c>
      <c r="AM47" s="145">
        <f>AL47/AM48</f>
        <v>835.25037203040836</v>
      </c>
      <c r="AN47" s="25"/>
    </row>
    <row r="48" spans="1:40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4"/>
      <c r="S48" s="114"/>
      <c r="T48" s="13"/>
      <c r="U48" s="81" t="s">
        <v>53</v>
      </c>
      <c r="V48" s="153" t="e">
        <f>V47/T47</f>
        <v>#REF!</v>
      </c>
      <c r="W48" s="192" t="s">
        <v>54</v>
      </c>
      <c r="X48" s="10"/>
      <c r="Y48" s="10"/>
      <c r="Z48" s="138"/>
      <c r="AA48" s="10"/>
      <c r="AB48" s="10"/>
      <c r="AC48" s="10"/>
      <c r="AD48" s="14"/>
      <c r="AE48" s="6"/>
      <c r="AF48" s="14"/>
      <c r="AG48" s="14"/>
      <c r="AH48" s="6"/>
      <c r="AI48" s="4"/>
      <c r="AJ48" s="10"/>
      <c r="AK48" s="88"/>
      <c r="AL48" s="10"/>
      <c r="AM48" s="148">
        <v>12976.09</v>
      </c>
      <c r="AN48" s="25"/>
    </row>
    <row r="49" spans="1:40">
      <c r="A49" s="25"/>
      <c r="B49" s="25"/>
      <c r="C49" s="4"/>
      <c r="D49" s="10"/>
      <c r="E49" s="4"/>
      <c r="F49" s="4"/>
      <c r="G49" s="10"/>
      <c r="H49" s="4"/>
      <c r="I49" s="8"/>
      <c r="J49" s="8"/>
      <c r="K49" s="8"/>
      <c r="L49" s="15"/>
      <c r="M49" s="63"/>
      <c r="N49" s="67"/>
      <c r="O49" s="9"/>
      <c r="P49" s="67"/>
      <c r="Q49" s="9"/>
      <c r="R49" s="114"/>
      <c r="S49" s="114"/>
      <c r="T49" s="13"/>
      <c r="U49" s="81"/>
      <c r="V49" s="153"/>
      <c r="W49" s="192"/>
      <c r="X49" s="10"/>
      <c r="Y49" s="10"/>
      <c r="Z49" s="138"/>
      <c r="AA49" s="10"/>
      <c r="AB49" s="10">
        <f>AB47/W47</f>
        <v>122.40451353092783</v>
      </c>
      <c r="AC49" s="10"/>
      <c r="AD49" s="14"/>
      <c r="AE49" s="6"/>
      <c r="AF49" s="14"/>
      <c r="AG49" s="14"/>
      <c r="AH49" s="6"/>
      <c r="AI49" s="4"/>
      <c r="AJ49" s="10"/>
      <c r="AK49" s="88"/>
      <c r="AL49" s="10"/>
      <c r="AM49" s="148"/>
      <c r="AN49" s="25"/>
    </row>
    <row r="50" spans="1:40">
      <c r="A50" s="25"/>
      <c r="B50" s="25"/>
      <c r="C50" s="4"/>
      <c r="D50" s="10"/>
      <c r="E50" s="4"/>
      <c r="F50" s="4"/>
      <c r="G50" s="10"/>
      <c r="H50" s="4"/>
      <c r="I50" s="8"/>
      <c r="J50" s="8"/>
      <c r="K50" s="8"/>
      <c r="L50" s="15"/>
      <c r="M50" s="63"/>
      <c r="N50" s="67"/>
      <c r="O50" s="9"/>
      <c r="P50" s="67"/>
      <c r="Q50" s="9"/>
      <c r="R50" s="114"/>
      <c r="S50" s="114"/>
      <c r="T50" s="13"/>
      <c r="U50" s="81"/>
      <c r="V50" s="153"/>
      <c r="W50" s="192"/>
      <c r="X50" s="10"/>
      <c r="Y50" s="10"/>
      <c r="Z50" s="138"/>
      <c r="AA50" s="10"/>
      <c r="AB50" s="10"/>
      <c r="AC50" s="10"/>
      <c r="AD50" s="14"/>
      <c r="AE50" s="6"/>
      <c r="AF50" s="14"/>
      <c r="AG50" s="14"/>
      <c r="AH50" s="6"/>
      <c r="AI50" s="4"/>
      <c r="AJ50" s="10"/>
      <c r="AK50" s="88"/>
      <c r="AL50" s="10"/>
      <c r="AM50" s="148"/>
      <c r="AN50" s="25"/>
    </row>
    <row r="51" spans="1:40" s="195" customFormat="1">
      <c r="A51" s="193"/>
      <c r="B51" s="193"/>
      <c r="C51" s="194"/>
      <c r="E51" s="194"/>
      <c r="F51" s="194"/>
      <c r="H51" s="194"/>
      <c r="L51" s="194"/>
      <c r="M51" s="196"/>
      <c r="N51" s="197"/>
      <c r="P51" s="197"/>
      <c r="R51" s="198"/>
      <c r="S51" s="198"/>
      <c r="X51" s="213">
        <f>X47/W47</f>
        <v>0</v>
      </c>
      <c r="AE51" s="194"/>
      <c r="AI51" s="194"/>
      <c r="AK51" s="198"/>
      <c r="AM51" s="199"/>
      <c r="AN51" s="193"/>
    </row>
    <row r="52" spans="1:40" s="195" customFormat="1">
      <c r="A52" s="193"/>
      <c r="B52" s="193"/>
      <c r="C52" s="194"/>
      <c r="E52" s="194"/>
      <c r="F52" s="194"/>
      <c r="H52" s="194"/>
      <c r="L52" s="194"/>
      <c r="M52" s="196"/>
      <c r="N52" s="197"/>
      <c r="P52" s="197"/>
      <c r="R52" s="198"/>
      <c r="S52" s="198"/>
      <c r="AE52" s="194"/>
      <c r="AI52" s="194"/>
      <c r="AK52" s="198"/>
      <c r="AM52" s="199"/>
      <c r="AN52" s="193"/>
    </row>
    <row r="53" spans="1:40" s="195" customFormat="1">
      <c r="A53" s="193"/>
      <c r="B53" s="193"/>
      <c r="C53" s="194"/>
      <c r="E53" s="194"/>
      <c r="F53" s="194"/>
      <c r="H53" s="194"/>
      <c r="L53" s="194"/>
      <c r="M53" s="196"/>
      <c r="N53" s="197"/>
      <c r="P53" s="197"/>
      <c r="R53" s="198"/>
      <c r="S53" s="198"/>
      <c r="AE53" s="194"/>
      <c r="AI53" s="194"/>
      <c r="AK53" s="198"/>
      <c r="AM53" s="199"/>
      <c r="AN53" s="193"/>
    </row>
    <row r="54" spans="1:40" s="195" customFormat="1">
      <c r="A54" s="193"/>
      <c r="B54" s="193"/>
      <c r="C54" s="194"/>
      <c r="E54" s="194"/>
      <c r="F54" s="194"/>
      <c r="H54" s="194"/>
      <c r="L54" s="194"/>
      <c r="M54" s="196"/>
      <c r="N54" s="197"/>
      <c r="P54" s="197"/>
      <c r="R54" s="198"/>
      <c r="S54" s="198"/>
      <c r="AE54" s="194"/>
      <c r="AI54" s="194"/>
      <c r="AK54" s="198"/>
      <c r="AM54" s="199"/>
      <c r="AN54" s="193"/>
    </row>
    <row r="55" spans="1:40" s="195" customFormat="1">
      <c r="A55" s="193"/>
      <c r="B55" s="193"/>
      <c r="C55" s="194"/>
      <c r="E55" s="194"/>
      <c r="F55" s="194"/>
      <c r="H55" s="194"/>
      <c r="L55" s="194"/>
      <c r="M55" s="196"/>
      <c r="N55" s="197"/>
      <c r="P55" s="197"/>
      <c r="R55" s="198"/>
      <c r="S55" s="198"/>
      <c r="AE55" s="194"/>
      <c r="AI55" s="194"/>
      <c r="AK55" s="198"/>
      <c r="AM55" s="199"/>
      <c r="AN55" s="193"/>
    </row>
    <row r="56" spans="1:40" s="195" customFormat="1">
      <c r="A56" s="193"/>
      <c r="B56" s="193"/>
      <c r="C56" s="194"/>
      <c r="E56" s="194"/>
      <c r="F56" s="194"/>
      <c r="H56" s="194"/>
      <c r="L56" s="194"/>
      <c r="M56" s="196"/>
      <c r="N56" s="197"/>
      <c r="P56" s="197"/>
      <c r="R56" s="198"/>
      <c r="S56" s="198"/>
      <c r="AE56" s="194"/>
      <c r="AI56" s="194"/>
      <c r="AK56" s="198"/>
      <c r="AM56" s="199"/>
      <c r="AN56" s="193"/>
    </row>
    <row r="57" spans="1:40" s="195" customFormat="1">
      <c r="A57" s="193"/>
      <c r="B57" s="193"/>
      <c r="C57" s="194"/>
      <c r="E57" s="194"/>
      <c r="F57" s="194"/>
      <c r="H57" s="194"/>
      <c r="L57" s="194"/>
      <c r="M57" s="196"/>
      <c r="N57" s="197"/>
      <c r="P57" s="197"/>
      <c r="R57" s="198"/>
      <c r="S57" s="198"/>
      <c r="AE57" s="194"/>
      <c r="AI57" s="194"/>
      <c r="AK57" s="198"/>
      <c r="AM57" s="199"/>
      <c r="AN57" s="193"/>
    </row>
    <row r="58" spans="1:40" s="195" customFormat="1">
      <c r="A58" s="193"/>
      <c r="B58" s="193"/>
      <c r="C58" s="194"/>
      <c r="E58" s="194"/>
      <c r="F58" s="194"/>
      <c r="H58" s="194"/>
      <c r="L58" s="194"/>
      <c r="M58" s="196"/>
      <c r="N58" s="197"/>
      <c r="P58" s="197"/>
      <c r="R58" s="198"/>
      <c r="S58" s="198"/>
      <c r="AE58" s="194"/>
      <c r="AI58" s="194"/>
      <c r="AK58" s="198"/>
      <c r="AM58" s="199"/>
      <c r="AN58" s="193"/>
    </row>
    <row r="59" spans="1:40" s="195" customFormat="1">
      <c r="A59" s="193"/>
      <c r="B59" s="193"/>
      <c r="C59" s="194"/>
      <c r="E59" s="194"/>
      <c r="F59" s="194"/>
      <c r="H59" s="194"/>
      <c r="L59" s="194"/>
      <c r="M59" s="196"/>
      <c r="N59" s="197"/>
      <c r="P59" s="197"/>
      <c r="R59" s="198"/>
      <c r="S59" s="198"/>
      <c r="AE59" s="194"/>
      <c r="AI59" s="194"/>
      <c r="AK59" s="198"/>
      <c r="AM59" s="199"/>
      <c r="AN59" s="193"/>
    </row>
    <row r="60" spans="1:40" s="195" customFormat="1">
      <c r="A60" s="193"/>
      <c r="B60" s="193"/>
      <c r="C60" s="194"/>
      <c r="E60" s="194"/>
      <c r="F60" s="194"/>
      <c r="H60" s="194"/>
      <c r="L60" s="194"/>
      <c r="M60" s="196"/>
      <c r="N60" s="197"/>
      <c r="P60" s="197"/>
      <c r="R60" s="198"/>
      <c r="S60" s="198"/>
      <c r="AE60" s="194"/>
      <c r="AI60" s="194"/>
      <c r="AK60" s="198"/>
      <c r="AM60" s="199"/>
      <c r="AN60" s="193"/>
    </row>
    <row r="61" spans="1:40" s="195" customFormat="1">
      <c r="A61" s="193"/>
      <c r="B61" s="193"/>
      <c r="C61" s="194"/>
      <c r="E61" s="194"/>
      <c r="F61" s="194"/>
      <c r="H61" s="194"/>
      <c r="L61" s="194"/>
      <c r="M61" s="196"/>
      <c r="N61" s="197"/>
      <c r="P61" s="197"/>
      <c r="R61" s="198"/>
      <c r="S61" s="198"/>
      <c r="AE61" s="194"/>
      <c r="AI61" s="194"/>
      <c r="AK61" s="198"/>
      <c r="AM61" s="199"/>
      <c r="AN61" s="193"/>
    </row>
    <row r="62" spans="1:40" s="195" customFormat="1">
      <c r="A62" s="193"/>
      <c r="B62" s="193"/>
      <c r="C62" s="194"/>
      <c r="E62" s="194"/>
      <c r="F62" s="194"/>
      <c r="H62" s="194"/>
      <c r="L62" s="194"/>
      <c r="M62" s="196"/>
      <c r="N62" s="197"/>
      <c r="P62" s="197"/>
      <c r="R62" s="198"/>
      <c r="S62" s="198"/>
      <c r="AE62" s="194"/>
      <c r="AI62" s="194"/>
      <c r="AK62" s="198"/>
      <c r="AM62" s="199"/>
      <c r="AN62" s="193"/>
    </row>
    <row r="63" spans="1:40" s="195" customFormat="1">
      <c r="A63" s="193"/>
      <c r="B63" s="193"/>
      <c r="C63" s="194"/>
      <c r="E63" s="194"/>
      <c r="F63" s="194"/>
      <c r="H63" s="194"/>
      <c r="L63" s="194"/>
      <c r="M63" s="196"/>
      <c r="N63" s="197"/>
      <c r="P63" s="197"/>
      <c r="R63" s="198"/>
      <c r="S63" s="198"/>
      <c r="AE63" s="194"/>
      <c r="AI63" s="194"/>
      <c r="AK63" s="198"/>
      <c r="AM63" s="199"/>
      <c r="AN63" s="193"/>
    </row>
    <row r="64" spans="1:40" s="195" customFormat="1">
      <c r="A64" s="193"/>
      <c r="B64" s="193"/>
      <c r="C64" s="194"/>
      <c r="E64" s="194"/>
      <c r="F64" s="194"/>
      <c r="H64" s="194"/>
      <c r="L64" s="194"/>
      <c r="M64" s="196"/>
      <c r="N64" s="197"/>
      <c r="P64" s="197"/>
      <c r="R64" s="198"/>
      <c r="S64" s="198"/>
      <c r="AE64" s="194"/>
      <c r="AI64" s="194"/>
      <c r="AK64" s="198"/>
      <c r="AM64" s="199"/>
      <c r="AN64" s="193"/>
    </row>
    <row r="65" spans="1:40" s="195" customFormat="1">
      <c r="A65" s="193"/>
      <c r="B65" s="193"/>
      <c r="C65" s="194"/>
      <c r="E65" s="194"/>
      <c r="F65" s="194"/>
      <c r="H65" s="194"/>
      <c r="L65" s="194"/>
      <c r="M65" s="196"/>
      <c r="N65" s="197"/>
      <c r="P65" s="197"/>
      <c r="R65" s="198"/>
      <c r="S65" s="198"/>
      <c r="AE65" s="194"/>
      <c r="AI65" s="194"/>
      <c r="AK65" s="198"/>
      <c r="AM65" s="199"/>
      <c r="AN65" s="193"/>
    </row>
    <row r="66" spans="1:40" s="195" customFormat="1">
      <c r="A66" s="193"/>
      <c r="B66" s="193"/>
      <c r="C66" s="194"/>
      <c r="E66" s="194"/>
      <c r="F66" s="194"/>
      <c r="H66" s="194"/>
      <c r="L66" s="194"/>
      <c r="M66" s="196"/>
      <c r="N66" s="197"/>
      <c r="P66" s="197"/>
      <c r="R66" s="198"/>
      <c r="S66" s="198"/>
      <c r="AE66" s="194"/>
      <c r="AI66" s="194"/>
      <c r="AK66" s="198"/>
      <c r="AM66" s="199"/>
      <c r="AN66" s="193"/>
    </row>
    <row r="67" spans="1:40" s="195" customFormat="1">
      <c r="A67" s="193"/>
      <c r="B67" s="193"/>
      <c r="C67" s="194"/>
      <c r="E67" s="194"/>
      <c r="F67" s="194"/>
      <c r="H67" s="194"/>
      <c r="L67" s="194"/>
      <c r="M67" s="196"/>
      <c r="N67" s="197"/>
      <c r="P67" s="197"/>
      <c r="R67" s="198"/>
      <c r="S67" s="198"/>
      <c r="AE67" s="194"/>
      <c r="AI67" s="194"/>
      <c r="AK67" s="198"/>
      <c r="AM67" s="199"/>
      <c r="AN67" s="193"/>
    </row>
    <row r="68" spans="1:40" s="195" customFormat="1">
      <c r="A68" s="193"/>
      <c r="B68" s="193"/>
      <c r="C68" s="194"/>
      <c r="E68" s="194"/>
      <c r="F68" s="194"/>
      <c r="H68" s="194"/>
      <c r="L68" s="194"/>
      <c r="M68" s="196"/>
      <c r="N68" s="197"/>
      <c r="P68" s="197"/>
      <c r="R68" s="198"/>
      <c r="S68" s="198"/>
      <c r="AE68" s="194"/>
      <c r="AI68" s="194"/>
      <c r="AK68" s="198"/>
      <c r="AM68" s="199"/>
      <c r="AN68" s="193"/>
    </row>
    <row r="69" spans="1:40" s="195" customFormat="1">
      <c r="A69" s="193"/>
      <c r="B69" s="193"/>
      <c r="C69" s="194"/>
      <c r="E69" s="194"/>
      <c r="F69" s="194"/>
      <c r="H69" s="194"/>
      <c r="L69" s="194"/>
      <c r="M69" s="196"/>
      <c r="N69" s="197"/>
      <c r="P69" s="197"/>
      <c r="R69" s="198"/>
      <c r="S69" s="198"/>
      <c r="AE69" s="194"/>
      <c r="AI69" s="194"/>
      <c r="AK69" s="198"/>
      <c r="AM69" s="199"/>
      <c r="AN69" s="193"/>
    </row>
    <row r="70" spans="1:40" s="195" customFormat="1">
      <c r="A70" s="193"/>
      <c r="B70" s="193"/>
      <c r="C70" s="194"/>
      <c r="E70" s="194"/>
      <c r="F70" s="194"/>
      <c r="H70" s="194"/>
      <c r="L70" s="194"/>
      <c r="M70" s="196"/>
      <c r="N70" s="197"/>
      <c r="P70" s="197"/>
      <c r="R70" s="198"/>
      <c r="S70" s="198"/>
      <c r="AE70" s="194"/>
      <c r="AI70" s="194"/>
      <c r="AK70" s="198"/>
      <c r="AM70" s="199"/>
      <c r="AN70" s="193"/>
    </row>
    <row r="71" spans="1:40" s="195" customFormat="1">
      <c r="A71" s="193"/>
      <c r="B71" s="193"/>
      <c r="C71" s="194"/>
      <c r="E71" s="194"/>
      <c r="F71" s="194"/>
      <c r="H71" s="194"/>
      <c r="L71" s="194"/>
      <c r="M71" s="196"/>
      <c r="N71" s="197"/>
      <c r="P71" s="197"/>
      <c r="R71" s="198"/>
      <c r="S71" s="198"/>
      <c r="AE71" s="194"/>
      <c r="AI71" s="194"/>
      <c r="AK71" s="198"/>
      <c r="AM71" s="199"/>
      <c r="AN71" s="193"/>
    </row>
    <row r="72" spans="1:40" s="195" customFormat="1">
      <c r="A72" s="193"/>
      <c r="B72" s="193"/>
      <c r="C72" s="194"/>
      <c r="E72" s="194"/>
      <c r="F72" s="194"/>
      <c r="H72" s="194"/>
      <c r="L72" s="194"/>
      <c r="M72" s="196"/>
      <c r="N72" s="197"/>
      <c r="P72" s="197"/>
      <c r="R72" s="198"/>
      <c r="S72" s="198"/>
      <c r="AE72" s="194"/>
      <c r="AI72" s="194"/>
      <c r="AK72" s="198"/>
      <c r="AM72" s="199"/>
      <c r="AN72" s="193"/>
    </row>
    <row r="73" spans="1:40" s="195" customFormat="1">
      <c r="A73" s="193"/>
      <c r="B73" s="193"/>
      <c r="C73" s="194"/>
      <c r="E73" s="194"/>
      <c r="F73" s="194"/>
      <c r="H73" s="194"/>
      <c r="L73" s="194"/>
      <c r="M73" s="196"/>
      <c r="N73" s="197"/>
      <c r="P73" s="197"/>
      <c r="R73" s="198"/>
      <c r="S73" s="198"/>
      <c r="AE73" s="194"/>
      <c r="AI73" s="194"/>
      <c r="AK73" s="198"/>
      <c r="AM73" s="199"/>
      <c r="AN73" s="193"/>
    </row>
    <row r="74" spans="1:40" s="195" customFormat="1">
      <c r="A74" s="193"/>
      <c r="B74" s="193"/>
      <c r="C74" s="194"/>
      <c r="E74" s="194"/>
      <c r="F74" s="194"/>
      <c r="H74" s="194"/>
      <c r="L74" s="194"/>
      <c r="M74" s="196"/>
      <c r="N74" s="197"/>
      <c r="P74" s="197"/>
      <c r="R74" s="198"/>
      <c r="S74" s="198"/>
      <c r="AE74" s="194"/>
      <c r="AI74" s="194"/>
      <c r="AK74" s="198"/>
      <c r="AM74" s="199"/>
      <c r="AN74" s="193"/>
    </row>
    <row r="75" spans="1:40" s="195" customFormat="1">
      <c r="A75" s="193"/>
      <c r="B75" s="193"/>
      <c r="C75" s="194"/>
      <c r="E75" s="194"/>
      <c r="F75" s="194"/>
      <c r="H75" s="194"/>
      <c r="L75" s="194"/>
      <c r="M75" s="196"/>
      <c r="N75" s="197"/>
      <c r="P75" s="197"/>
      <c r="R75" s="198"/>
      <c r="S75" s="198"/>
      <c r="AE75" s="194"/>
      <c r="AI75" s="194"/>
      <c r="AK75" s="198"/>
      <c r="AM75" s="199"/>
      <c r="AN75" s="193"/>
    </row>
    <row r="76" spans="1:40" s="195" customFormat="1">
      <c r="A76" s="193"/>
      <c r="B76" s="193"/>
      <c r="C76" s="194"/>
      <c r="E76" s="194"/>
      <c r="F76" s="194"/>
      <c r="H76" s="194"/>
      <c r="L76" s="194"/>
      <c r="M76" s="196"/>
      <c r="N76" s="197"/>
      <c r="P76" s="197"/>
      <c r="R76" s="198"/>
      <c r="S76" s="198"/>
      <c r="AE76" s="194"/>
      <c r="AI76" s="194"/>
      <c r="AK76" s="198"/>
      <c r="AM76" s="199"/>
      <c r="AN76" s="193"/>
    </row>
    <row r="77" spans="1:40" s="195" customFormat="1">
      <c r="A77" s="193"/>
      <c r="B77" s="193"/>
      <c r="C77" s="194"/>
      <c r="E77" s="194"/>
      <c r="F77" s="194"/>
      <c r="H77" s="194"/>
      <c r="L77" s="194"/>
      <c r="M77" s="196"/>
      <c r="N77" s="197"/>
      <c r="P77" s="197"/>
      <c r="R77" s="198"/>
      <c r="S77" s="198"/>
      <c r="AE77" s="194"/>
      <c r="AI77" s="194"/>
      <c r="AK77" s="198"/>
      <c r="AM77" s="199"/>
      <c r="AN77" s="193"/>
    </row>
    <row r="78" spans="1:40" s="195" customFormat="1">
      <c r="A78" s="193"/>
      <c r="B78" s="193"/>
      <c r="C78" s="194"/>
      <c r="E78" s="194"/>
      <c r="F78" s="194"/>
      <c r="H78" s="194"/>
      <c r="L78" s="194"/>
      <c r="M78" s="196"/>
      <c r="N78" s="197"/>
      <c r="P78" s="197"/>
      <c r="R78" s="198"/>
      <c r="S78" s="198"/>
      <c r="AE78" s="194"/>
      <c r="AI78" s="194"/>
      <c r="AK78" s="198"/>
      <c r="AM78" s="199"/>
      <c r="AN78" s="193"/>
    </row>
    <row r="79" spans="1:40" s="195" customFormat="1">
      <c r="A79" s="193"/>
      <c r="B79" s="193"/>
      <c r="C79" s="194"/>
      <c r="E79" s="194"/>
      <c r="F79" s="194"/>
      <c r="H79" s="194"/>
      <c r="L79" s="194"/>
      <c r="M79" s="196"/>
      <c r="N79" s="197"/>
      <c r="P79" s="197"/>
      <c r="R79" s="198"/>
      <c r="S79" s="198"/>
      <c r="AE79" s="194"/>
      <c r="AI79" s="194"/>
      <c r="AK79" s="198"/>
      <c r="AM79" s="199"/>
      <c r="AN79" s="193"/>
    </row>
    <row r="80" spans="1:40" s="195" customFormat="1">
      <c r="A80" s="193"/>
      <c r="B80" s="193"/>
      <c r="C80" s="194"/>
      <c r="E80" s="194"/>
      <c r="F80" s="194"/>
      <c r="H80" s="194"/>
      <c r="L80" s="194"/>
      <c r="M80" s="196"/>
      <c r="N80" s="197"/>
      <c r="P80" s="197"/>
      <c r="R80" s="198"/>
      <c r="S80" s="198"/>
      <c r="AE80" s="194"/>
      <c r="AI80" s="194"/>
      <c r="AK80" s="198"/>
      <c r="AM80" s="199"/>
      <c r="AN80" s="193"/>
    </row>
    <row r="81" spans="1:40" s="195" customFormat="1">
      <c r="A81" s="193"/>
      <c r="B81" s="193"/>
      <c r="C81" s="194"/>
      <c r="E81" s="194"/>
      <c r="F81" s="194"/>
      <c r="H81" s="194"/>
      <c r="L81" s="194"/>
      <c r="M81" s="196"/>
      <c r="N81" s="197"/>
      <c r="P81" s="197"/>
      <c r="R81" s="198"/>
      <c r="S81" s="198"/>
      <c r="AE81" s="194"/>
      <c r="AI81" s="194"/>
      <c r="AK81" s="198"/>
      <c r="AM81" s="199"/>
      <c r="AN81" s="193"/>
    </row>
    <row r="82" spans="1:40" s="195" customFormat="1">
      <c r="A82" s="193"/>
      <c r="B82" s="193"/>
      <c r="C82" s="194"/>
      <c r="E82" s="194"/>
      <c r="F82" s="194"/>
      <c r="H82" s="194"/>
      <c r="L82" s="194"/>
      <c r="M82" s="196"/>
      <c r="N82" s="197"/>
      <c r="P82" s="197"/>
      <c r="R82" s="198"/>
      <c r="S82" s="198"/>
      <c r="AE82" s="194"/>
      <c r="AI82" s="194"/>
      <c r="AK82" s="198"/>
      <c r="AM82" s="199"/>
      <c r="AN82" s="193"/>
    </row>
    <row r="83" spans="1:40" s="195" customFormat="1">
      <c r="A83" s="193"/>
      <c r="B83" s="193"/>
      <c r="C83" s="194"/>
      <c r="E83" s="194"/>
      <c r="F83" s="194"/>
      <c r="H83" s="194"/>
      <c r="L83" s="194"/>
      <c r="M83" s="196"/>
      <c r="N83" s="197"/>
      <c r="P83" s="197"/>
      <c r="R83" s="198"/>
      <c r="S83" s="198"/>
      <c r="AE83" s="194"/>
      <c r="AI83" s="194"/>
      <c r="AK83" s="198"/>
      <c r="AM83" s="199"/>
      <c r="AN83" s="193"/>
    </row>
    <row r="84" spans="1:40" s="195" customFormat="1">
      <c r="A84" s="193"/>
      <c r="B84" s="193"/>
      <c r="C84" s="194"/>
      <c r="E84" s="194"/>
      <c r="F84" s="194"/>
      <c r="H84" s="194"/>
      <c r="L84" s="194"/>
      <c r="M84" s="196"/>
      <c r="N84" s="197"/>
      <c r="P84" s="197"/>
      <c r="R84" s="198"/>
      <c r="S84" s="198"/>
      <c r="AE84" s="194"/>
      <c r="AI84" s="194"/>
      <c r="AK84" s="198"/>
      <c r="AM84" s="199"/>
      <c r="AN84" s="193"/>
    </row>
    <row r="85" spans="1:40" s="195" customFormat="1">
      <c r="A85" s="193"/>
      <c r="B85" s="193"/>
      <c r="C85" s="194"/>
      <c r="E85" s="194"/>
      <c r="F85" s="194"/>
      <c r="H85" s="194"/>
      <c r="L85" s="194"/>
      <c r="M85" s="196"/>
      <c r="N85" s="197"/>
      <c r="P85" s="197"/>
      <c r="R85" s="198"/>
      <c r="S85" s="198"/>
      <c r="AE85" s="194"/>
      <c r="AI85" s="194"/>
      <c r="AK85" s="198"/>
      <c r="AM85" s="199"/>
      <c r="AN85" s="193"/>
    </row>
    <row r="86" spans="1:40" s="195" customFormat="1">
      <c r="A86" s="193"/>
      <c r="B86" s="193"/>
      <c r="C86" s="194"/>
      <c r="E86" s="194"/>
      <c r="F86" s="194"/>
      <c r="H86" s="194"/>
      <c r="L86" s="194"/>
      <c r="M86" s="196"/>
      <c r="N86" s="197"/>
      <c r="P86" s="197"/>
      <c r="R86" s="198"/>
      <c r="S86" s="198"/>
      <c r="AE86" s="194"/>
      <c r="AI86" s="194"/>
      <c r="AK86" s="198"/>
      <c r="AM86" s="199"/>
      <c r="AN86" s="193"/>
    </row>
    <row r="87" spans="1:40" s="195" customFormat="1">
      <c r="A87" s="193"/>
      <c r="B87" s="193"/>
      <c r="C87" s="194"/>
      <c r="E87" s="194"/>
      <c r="F87" s="194"/>
      <c r="H87" s="194"/>
      <c r="L87" s="194"/>
      <c r="M87" s="196"/>
      <c r="N87" s="197"/>
      <c r="P87" s="197"/>
      <c r="R87" s="198"/>
      <c r="S87" s="198"/>
      <c r="AE87" s="194"/>
      <c r="AI87" s="194"/>
      <c r="AK87" s="198"/>
      <c r="AM87" s="199"/>
      <c r="AN87" s="193"/>
    </row>
    <row r="88" spans="1:40" s="195" customFormat="1">
      <c r="A88" s="193"/>
      <c r="B88" s="193"/>
      <c r="C88" s="194"/>
      <c r="E88" s="194"/>
      <c r="F88" s="194"/>
      <c r="H88" s="194"/>
      <c r="L88" s="194"/>
      <c r="M88" s="196"/>
      <c r="N88" s="197"/>
      <c r="P88" s="197"/>
      <c r="R88" s="198"/>
      <c r="S88" s="198"/>
      <c r="AE88" s="194"/>
      <c r="AI88" s="194"/>
      <c r="AK88" s="198"/>
      <c r="AM88" s="199"/>
      <c r="AN88" s="193"/>
    </row>
    <row r="89" spans="1:40" s="195" customFormat="1">
      <c r="A89" s="193"/>
      <c r="B89" s="193"/>
      <c r="C89" s="194"/>
      <c r="E89" s="194"/>
      <c r="F89" s="194"/>
      <c r="H89" s="194"/>
      <c r="L89" s="194"/>
      <c r="M89" s="196"/>
      <c r="N89" s="197"/>
      <c r="P89" s="197"/>
      <c r="R89" s="198"/>
      <c r="S89" s="198"/>
      <c r="AE89" s="194"/>
      <c r="AI89" s="194"/>
      <c r="AK89" s="198"/>
      <c r="AM89" s="199"/>
      <c r="AN89" s="193"/>
    </row>
    <row r="90" spans="1:40" s="195" customFormat="1">
      <c r="A90" s="193"/>
      <c r="B90" s="193"/>
      <c r="C90" s="194"/>
      <c r="E90" s="194"/>
      <c r="F90" s="194"/>
      <c r="H90" s="194"/>
      <c r="L90" s="194"/>
      <c r="M90" s="196"/>
      <c r="N90" s="197"/>
      <c r="P90" s="197"/>
      <c r="R90" s="198"/>
      <c r="S90" s="198"/>
      <c r="AE90" s="194"/>
      <c r="AI90" s="194"/>
      <c r="AK90" s="198"/>
      <c r="AM90" s="199"/>
      <c r="AN90" s="193"/>
    </row>
    <row r="91" spans="1:40" s="195" customFormat="1">
      <c r="A91" s="193"/>
      <c r="B91" s="193"/>
      <c r="C91" s="194"/>
      <c r="E91" s="194"/>
      <c r="F91" s="194"/>
      <c r="H91" s="194"/>
      <c r="L91" s="194"/>
      <c r="M91" s="196"/>
      <c r="N91" s="197"/>
      <c r="P91" s="197"/>
      <c r="R91" s="198"/>
      <c r="S91" s="198"/>
      <c r="AE91" s="194"/>
      <c r="AI91" s="194"/>
      <c r="AK91" s="198"/>
      <c r="AM91" s="199"/>
      <c r="AN91" s="193"/>
    </row>
    <row r="92" spans="1:40" s="195" customFormat="1">
      <c r="A92" s="193"/>
      <c r="B92" s="193"/>
      <c r="C92" s="194"/>
      <c r="E92" s="194"/>
      <c r="F92" s="194"/>
      <c r="H92" s="194"/>
      <c r="L92" s="194"/>
      <c r="M92" s="196"/>
      <c r="N92" s="197"/>
      <c r="P92" s="197"/>
      <c r="R92" s="198"/>
      <c r="S92" s="198"/>
      <c r="AE92" s="194"/>
      <c r="AI92" s="194"/>
      <c r="AK92" s="198"/>
      <c r="AM92" s="199"/>
      <c r="AN92" s="193"/>
    </row>
    <row r="93" spans="1:40" s="195" customFormat="1">
      <c r="A93" s="193"/>
      <c r="B93" s="193"/>
      <c r="C93" s="194"/>
      <c r="E93" s="194"/>
      <c r="F93" s="194"/>
      <c r="H93" s="194"/>
      <c r="L93" s="194"/>
      <c r="M93" s="196"/>
      <c r="N93" s="197"/>
      <c r="P93" s="197"/>
      <c r="R93" s="198"/>
      <c r="S93" s="198"/>
      <c r="AE93" s="194"/>
      <c r="AI93" s="194"/>
      <c r="AK93" s="198"/>
      <c r="AM93" s="199"/>
      <c r="AN93" s="193"/>
    </row>
    <row r="94" spans="1:40" s="195" customFormat="1">
      <c r="A94" s="193"/>
      <c r="B94" s="193"/>
      <c r="C94" s="194"/>
      <c r="E94" s="194"/>
      <c r="F94" s="194"/>
      <c r="H94" s="194"/>
      <c r="L94" s="194"/>
      <c r="M94" s="196"/>
      <c r="N94" s="197"/>
      <c r="P94" s="197"/>
      <c r="R94" s="198"/>
      <c r="S94" s="198"/>
      <c r="AE94" s="194"/>
      <c r="AI94" s="194"/>
      <c r="AK94" s="198"/>
      <c r="AM94" s="199"/>
      <c r="AN94" s="193"/>
    </row>
    <row r="95" spans="1:40" s="195" customFormat="1">
      <c r="A95" s="193"/>
      <c r="B95" s="193"/>
      <c r="C95" s="194"/>
      <c r="E95" s="194"/>
      <c r="F95" s="194"/>
      <c r="H95" s="194"/>
      <c r="L95" s="194"/>
      <c r="M95" s="196"/>
      <c r="N95" s="197"/>
      <c r="P95" s="197"/>
      <c r="R95" s="198"/>
      <c r="S95" s="198"/>
      <c r="AE95" s="194"/>
      <c r="AI95" s="194"/>
      <c r="AK95" s="198"/>
      <c r="AM95" s="199"/>
      <c r="AN95" s="193"/>
    </row>
    <row r="96" spans="1:40" s="195" customFormat="1">
      <c r="A96" s="193"/>
      <c r="B96" s="193"/>
      <c r="C96" s="194"/>
      <c r="E96" s="194"/>
      <c r="F96" s="194"/>
      <c r="H96" s="194"/>
      <c r="L96" s="194"/>
      <c r="M96" s="196"/>
      <c r="N96" s="197"/>
      <c r="P96" s="197"/>
      <c r="R96" s="198"/>
      <c r="S96" s="198"/>
      <c r="AE96" s="194"/>
      <c r="AI96" s="194"/>
      <c r="AK96" s="198"/>
      <c r="AM96" s="199"/>
      <c r="AN96" s="193"/>
    </row>
    <row r="97" spans="1:40" s="195" customFormat="1">
      <c r="A97" s="193"/>
      <c r="B97" s="193"/>
      <c r="C97" s="194"/>
      <c r="E97" s="194"/>
      <c r="F97" s="194"/>
      <c r="H97" s="194"/>
      <c r="L97" s="194"/>
      <c r="M97" s="196"/>
      <c r="N97" s="197"/>
      <c r="P97" s="197"/>
      <c r="R97" s="198"/>
      <c r="S97" s="198"/>
      <c r="AE97" s="194"/>
      <c r="AI97" s="194"/>
      <c r="AK97" s="198"/>
      <c r="AM97" s="199"/>
      <c r="AN97" s="193"/>
    </row>
    <row r="98" spans="1:40" s="195" customFormat="1">
      <c r="A98" s="193"/>
      <c r="B98" s="193"/>
      <c r="C98" s="194"/>
      <c r="E98" s="194"/>
      <c r="F98" s="194"/>
      <c r="H98" s="194"/>
      <c r="L98" s="194"/>
      <c r="M98" s="196"/>
      <c r="N98" s="197"/>
      <c r="P98" s="197"/>
      <c r="R98" s="198"/>
      <c r="S98" s="198"/>
      <c r="AE98" s="194"/>
      <c r="AI98" s="194"/>
      <c r="AK98" s="198"/>
      <c r="AM98" s="199"/>
      <c r="AN98" s="193"/>
    </row>
    <row r="99" spans="1:40" s="195" customFormat="1">
      <c r="A99" s="193"/>
      <c r="B99" s="193"/>
      <c r="C99" s="194"/>
      <c r="E99" s="194"/>
      <c r="F99" s="194"/>
      <c r="H99" s="194"/>
      <c r="L99" s="194"/>
      <c r="M99" s="196"/>
      <c r="N99" s="197"/>
      <c r="P99" s="197"/>
      <c r="R99" s="198"/>
      <c r="S99" s="198"/>
      <c r="AE99" s="194"/>
      <c r="AI99" s="194"/>
      <c r="AK99" s="198"/>
      <c r="AM99" s="199"/>
      <c r="AN99" s="193"/>
    </row>
    <row r="100" spans="1:40" s="195" customFormat="1">
      <c r="A100" s="193"/>
      <c r="B100" s="193"/>
      <c r="C100" s="194"/>
      <c r="E100" s="194"/>
      <c r="F100" s="194"/>
      <c r="H100" s="194"/>
      <c r="L100" s="194"/>
      <c r="M100" s="196"/>
      <c r="N100" s="197"/>
      <c r="P100" s="197"/>
      <c r="R100" s="198"/>
      <c r="S100" s="198"/>
      <c r="AE100" s="194"/>
      <c r="AI100" s="194"/>
      <c r="AK100" s="198"/>
      <c r="AM100" s="199"/>
      <c r="AN100" s="193"/>
    </row>
    <row r="101" spans="1:40" s="195" customFormat="1">
      <c r="A101" s="193"/>
      <c r="B101" s="193"/>
      <c r="C101" s="194"/>
      <c r="E101" s="194"/>
      <c r="F101" s="194"/>
      <c r="H101" s="194"/>
      <c r="L101" s="194"/>
      <c r="M101" s="196"/>
      <c r="N101" s="197"/>
      <c r="P101" s="197"/>
      <c r="R101" s="198"/>
      <c r="S101" s="198"/>
      <c r="AE101" s="194"/>
      <c r="AI101" s="194"/>
      <c r="AK101" s="198"/>
      <c r="AM101" s="199"/>
      <c r="AN101" s="193"/>
    </row>
    <row r="102" spans="1:40" s="195" customFormat="1">
      <c r="A102" s="193"/>
      <c r="B102" s="193"/>
      <c r="C102" s="194"/>
      <c r="E102" s="194"/>
      <c r="F102" s="194"/>
      <c r="H102" s="194"/>
      <c r="L102" s="194"/>
      <c r="M102" s="196"/>
      <c r="N102" s="197"/>
      <c r="P102" s="197"/>
      <c r="R102" s="198"/>
      <c r="S102" s="198"/>
      <c r="AE102" s="194"/>
      <c r="AI102" s="194"/>
      <c r="AK102" s="198"/>
      <c r="AM102" s="199"/>
      <c r="AN102" s="193"/>
    </row>
  </sheetData>
  <mergeCells count="17">
    <mergeCell ref="Q9:Q10"/>
    <mergeCell ref="R9:R10"/>
    <mergeCell ref="T9:T10"/>
    <mergeCell ref="U9:V9"/>
    <mergeCell ref="AB9:AC9"/>
    <mergeCell ref="B7:AM7"/>
    <mergeCell ref="B8:B10"/>
    <mergeCell ref="C8:C10"/>
    <mergeCell ref="D8:D10"/>
    <mergeCell ref="E8:V8"/>
    <mergeCell ref="W8:AC8"/>
    <mergeCell ref="AD8:AM8"/>
    <mergeCell ref="E9:I9"/>
    <mergeCell ref="J9:N9"/>
    <mergeCell ref="O9:O10"/>
    <mergeCell ref="AD9:AJ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G34" sqref="G34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>
      <c r="A1" s="26" t="s">
        <v>16</v>
      </c>
    </row>
    <row r="2" spans="1:3" ht="18.75">
      <c r="A2" s="263">
        <v>43922</v>
      </c>
      <c r="B2" s="264"/>
      <c r="C2" s="264"/>
    </row>
    <row r="3" spans="1:3">
      <c r="A3" s="266" t="s">
        <v>18</v>
      </c>
      <c r="B3" s="265" t="s">
        <v>19</v>
      </c>
      <c r="C3" s="265" t="s">
        <v>13</v>
      </c>
    </row>
    <row r="4" spans="1:3">
      <c r="A4" s="266"/>
      <c r="B4" s="265"/>
      <c r="C4" s="265"/>
    </row>
    <row r="5" spans="1:3">
      <c r="A5" s="266"/>
      <c r="B5" s="265"/>
      <c r="C5" s="265"/>
    </row>
    <row r="6" spans="1:3">
      <c r="A6" s="1">
        <v>1</v>
      </c>
      <c r="B6" s="1">
        <v>0</v>
      </c>
      <c r="C6" s="1">
        <v>0</v>
      </c>
    </row>
    <row r="7" spans="1:3">
      <c r="A7" s="1">
        <v>2</v>
      </c>
      <c r="B7" s="1">
        <v>0</v>
      </c>
      <c r="C7" s="1">
        <v>0</v>
      </c>
    </row>
    <row r="8" spans="1:3">
      <c r="A8" s="1">
        <f>A7+1</f>
        <v>3</v>
      </c>
      <c r="B8" s="1">
        <v>0</v>
      </c>
      <c r="C8" s="1">
        <v>0</v>
      </c>
    </row>
    <row r="9" spans="1:3">
      <c r="A9" s="1">
        <f>A8+1</f>
        <v>4</v>
      </c>
      <c r="B9" s="1">
        <v>0</v>
      </c>
      <c r="C9" s="1">
        <v>0</v>
      </c>
    </row>
    <row r="10" spans="1:3">
      <c r="A10" s="1">
        <f t="shared" ref="A10:A35" si="0">A9+1</f>
        <v>5</v>
      </c>
      <c r="B10" s="1">
        <v>0</v>
      </c>
      <c r="C10" s="1">
        <v>0</v>
      </c>
    </row>
    <row r="11" spans="1:3">
      <c r="A11" s="1">
        <f t="shared" si="0"/>
        <v>6</v>
      </c>
      <c r="B11" s="1">
        <v>0</v>
      </c>
      <c r="C11" s="1">
        <v>0</v>
      </c>
    </row>
    <row r="12" spans="1:3">
      <c r="A12" s="1">
        <f t="shared" si="0"/>
        <v>7</v>
      </c>
      <c r="B12" s="1">
        <v>0</v>
      </c>
      <c r="C12" s="1">
        <v>0</v>
      </c>
    </row>
    <row r="13" spans="1:3">
      <c r="A13" s="1">
        <f t="shared" si="0"/>
        <v>8</v>
      </c>
      <c r="B13" s="1">
        <v>0</v>
      </c>
      <c r="C13" s="1">
        <v>0</v>
      </c>
    </row>
    <row r="14" spans="1:3">
      <c r="A14" s="1">
        <f t="shared" si="0"/>
        <v>9</v>
      </c>
      <c r="B14" s="1">
        <v>0</v>
      </c>
      <c r="C14" s="1">
        <v>0</v>
      </c>
    </row>
    <row r="15" spans="1:3">
      <c r="A15" s="1">
        <f t="shared" si="0"/>
        <v>10</v>
      </c>
      <c r="B15" s="1">
        <v>0</v>
      </c>
      <c r="C15" s="1">
        <v>0</v>
      </c>
    </row>
    <row r="16" spans="1:3">
      <c r="A16" s="1">
        <f t="shared" si="0"/>
        <v>11</v>
      </c>
      <c r="B16" s="1">
        <v>0</v>
      </c>
      <c r="C16" s="1">
        <v>0</v>
      </c>
    </row>
    <row r="17" spans="1:3">
      <c r="A17" s="1">
        <f t="shared" si="0"/>
        <v>12</v>
      </c>
      <c r="B17" s="1">
        <v>0</v>
      </c>
      <c r="C17" s="1">
        <v>0</v>
      </c>
    </row>
    <row r="18" spans="1:3">
      <c r="A18" s="1">
        <f t="shared" si="0"/>
        <v>13</v>
      </c>
      <c r="B18" s="1">
        <v>0</v>
      </c>
      <c r="C18" s="1">
        <v>0</v>
      </c>
    </row>
    <row r="19" spans="1:3">
      <c r="A19" s="1">
        <f t="shared" si="0"/>
        <v>14</v>
      </c>
      <c r="B19" s="1">
        <v>0</v>
      </c>
      <c r="C19" s="1">
        <v>0</v>
      </c>
    </row>
    <row r="20" spans="1:3">
      <c r="A20" s="1">
        <f t="shared" si="0"/>
        <v>15</v>
      </c>
      <c r="B20" s="1">
        <v>0</v>
      </c>
      <c r="C20" s="1">
        <v>0</v>
      </c>
    </row>
    <row r="21" spans="1:3">
      <c r="A21" s="1">
        <f t="shared" si="0"/>
        <v>16</v>
      </c>
      <c r="B21" s="1">
        <v>0</v>
      </c>
      <c r="C21" s="1">
        <v>0</v>
      </c>
    </row>
    <row r="22" spans="1:3">
      <c r="A22" s="1">
        <f t="shared" si="0"/>
        <v>17</v>
      </c>
      <c r="B22" s="1">
        <v>0</v>
      </c>
      <c r="C22" s="1">
        <v>0</v>
      </c>
    </row>
    <row r="23" spans="1:3">
      <c r="A23" s="1">
        <f t="shared" si="0"/>
        <v>18</v>
      </c>
      <c r="B23" s="1">
        <v>0</v>
      </c>
      <c r="C23" s="1">
        <v>0</v>
      </c>
    </row>
    <row r="24" spans="1:3">
      <c r="A24" s="1">
        <f t="shared" si="0"/>
        <v>19</v>
      </c>
      <c r="B24" s="1">
        <v>0</v>
      </c>
      <c r="C24" s="1">
        <v>0</v>
      </c>
    </row>
    <row r="25" spans="1:3">
      <c r="A25" s="1">
        <f t="shared" si="0"/>
        <v>20</v>
      </c>
      <c r="B25" s="1">
        <v>0</v>
      </c>
      <c r="C25" s="1">
        <v>0</v>
      </c>
    </row>
    <row r="26" spans="1:3">
      <c r="A26" s="1">
        <f t="shared" si="0"/>
        <v>21</v>
      </c>
      <c r="B26" s="1">
        <v>0</v>
      </c>
      <c r="C26" s="1">
        <v>0</v>
      </c>
    </row>
    <row r="27" spans="1:3">
      <c r="A27" s="1">
        <f t="shared" si="0"/>
        <v>22</v>
      </c>
      <c r="B27" s="1">
        <v>0</v>
      </c>
      <c r="C27" s="1">
        <v>0</v>
      </c>
    </row>
    <row r="28" spans="1:3">
      <c r="A28" s="1">
        <f t="shared" si="0"/>
        <v>23</v>
      </c>
      <c r="B28" s="1">
        <v>0</v>
      </c>
      <c r="C28" s="1">
        <v>0</v>
      </c>
    </row>
    <row r="29" spans="1:3">
      <c r="A29" s="1">
        <f t="shared" si="0"/>
        <v>24</v>
      </c>
      <c r="B29" s="1">
        <v>0</v>
      </c>
      <c r="C29" s="1">
        <v>0</v>
      </c>
    </row>
    <row r="30" spans="1:3">
      <c r="A30" s="1">
        <f t="shared" si="0"/>
        <v>25</v>
      </c>
      <c r="B30" s="1">
        <v>0</v>
      </c>
      <c r="C30" s="1">
        <v>0</v>
      </c>
    </row>
    <row r="31" spans="1:3">
      <c r="A31" s="1">
        <f t="shared" si="0"/>
        <v>26</v>
      </c>
      <c r="B31" s="1">
        <v>0</v>
      </c>
      <c r="C31" s="1">
        <v>0</v>
      </c>
    </row>
    <row r="32" spans="1:3">
      <c r="A32" s="1">
        <f t="shared" si="0"/>
        <v>27</v>
      </c>
      <c r="B32" s="1">
        <v>0</v>
      </c>
      <c r="C32" s="1">
        <v>0</v>
      </c>
    </row>
    <row r="33" spans="1:3">
      <c r="A33" s="1">
        <f t="shared" si="0"/>
        <v>28</v>
      </c>
      <c r="B33" s="1">
        <v>0</v>
      </c>
      <c r="C33" s="1">
        <v>0</v>
      </c>
    </row>
    <row r="34" spans="1:3">
      <c r="A34" s="1">
        <f t="shared" si="0"/>
        <v>29</v>
      </c>
      <c r="B34" s="1">
        <v>0</v>
      </c>
      <c r="C34" s="1">
        <v>0</v>
      </c>
    </row>
    <row r="35" spans="1:3">
      <c r="A35" s="1">
        <f t="shared" si="0"/>
        <v>30</v>
      </c>
      <c r="B35" s="1">
        <v>0</v>
      </c>
      <c r="C35" s="1">
        <v>0</v>
      </c>
    </row>
    <row r="36" spans="1:3">
      <c r="A36" s="1"/>
      <c r="B36" s="1"/>
      <c r="C36" s="1"/>
    </row>
    <row r="38" spans="1:3">
      <c r="B38" s="5">
        <f>SUM(B6:B36)</f>
        <v>0</v>
      </c>
      <c r="C38" s="5">
        <f>SUM(C6:C36)</f>
        <v>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206B1879-7A40-4887-A4DA-802452DE8810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2023-02-18T04:36:52Z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1891300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