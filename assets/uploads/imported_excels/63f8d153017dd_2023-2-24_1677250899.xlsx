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120" yWindow="0" windowWidth="2158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<sst xmlns="http://schemas.openxmlformats.org/spreadsheetml/2006/main" count="66" uniqueCount="32">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</sst>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1" fontId="8" fillId="0" borderId="1" xfId="11" applyNumberFormat="1" applyFont="1" applyBorder="1" applyAlignment="1">
      <alignment horizontal="center"/>
    </xf>
  </cellXfs>
  <cellStyles count="2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9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>
            <v>95</v>
          </cell>
          <cell r="AA387">
            <v>85</v>
          </cell>
          <cell r="AB387">
            <v>151</v>
          </cell>
          <cell r="AC387">
            <v>177</v>
          </cell>
          <cell r="AD387">
            <v>185</v>
          </cell>
          <cell r="AE387">
            <v>165</v>
          </cell>
          <cell r="AF387">
            <v>167</v>
          </cell>
          <cell r="AG387">
            <v>163</v>
          </cell>
          <cell r="AH387">
            <v>168</v>
          </cell>
          <cell r="AI387">
            <v>152</v>
          </cell>
          <cell r="AJ387">
            <v>110</v>
          </cell>
          <cell r="AK387">
            <v>0</v>
          </cell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>
            <v>156</v>
          </cell>
          <cell r="AA388">
            <v>143</v>
          </cell>
          <cell r="AB388">
            <v>254</v>
          </cell>
          <cell r="AC388">
            <v>318</v>
          </cell>
          <cell r="AD388">
            <v>333</v>
          </cell>
          <cell r="AE388">
            <v>249</v>
          </cell>
          <cell r="AF388">
            <v>249</v>
          </cell>
          <cell r="AG388">
            <v>239</v>
          </cell>
          <cell r="AH388">
            <v>250</v>
          </cell>
          <cell r="AI388">
            <v>222</v>
          </cell>
          <cell r="AJ388">
            <v>208</v>
          </cell>
          <cell r="AK388">
            <v>0</v>
          </cell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174.2</v>
          </cell>
          <cell r="AA23">
            <v>161.4</v>
          </cell>
          <cell r="AB23">
            <v>168.5</v>
          </cell>
          <cell r="AC23">
            <v>196.8</v>
          </cell>
          <cell r="AD23">
            <v>197.4</v>
          </cell>
          <cell r="AE23">
            <v>183.1</v>
          </cell>
          <cell r="AF23">
            <v>187.6</v>
          </cell>
          <cell r="AG23">
            <v>186.5</v>
          </cell>
          <cell r="AH23">
            <v>170.1</v>
          </cell>
          <cell r="AI23">
            <v>169.6</v>
          </cell>
          <cell r="AJ23">
            <v>191.9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149</v>
          </cell>
          <cell r="AA41">
            <v>125</v>
          </cell>
          <cell r="AB41">
            <v>158</v>
          </cell>
          <cell r="AC41">
            <v>175</v>
          </cell>
          <cell r="AD41">
            <v>206</v>
          </cell>
          <cell r="AE41">
            <v>192</v>
          </cell>
          <cell r="AF41">
            <v>177</v>
          </cell>
          <cell r="AG41">
            <v>170</v>
          </cell>
          <cell r="AH41">
            <v>167</v>
          </cell>
          <cell r="AI41">
            <v>160</v>
          </cell>
          <cell r="AJ41">
            <v>150</v>
          </cell>
          <cell r="AK41">
            <v>0</v>
          </cell>
        </row>
        <row r="66">
          <cell r="G66">
            <v>5998.9798800000008</v>
          </cell>
          <cell r="H66">
            <v>6068.7354599999999</v>
          </cell>
          <cell r="I66">
            <v>7045.31358</v>
          </cell>
          <cell r="J66">
            <v>6836.0468400000009</v>
          </cell>
          <cell r="K66">
            <v>6278.0021999999999</v>
          </cell>
          <cell r="L66">
            <v>6417.5133599999999</v>
          </cell>
          <cell r="M66">
            <v>5719.9575599999998</v>
          </cell>
          <cell r="N66">
            <v>6278.0021999999999</v>
          </cell>
          <cell r="O66">
            <v>6347.7577800000008</v>
          </cell>
          <cell r="P66">
            <v>7254.58032</v>
          </cell>
          <cell r="Q66">
            <v>7115.06916</v>
          </cell>
          <cell r="R66">
            <v>6626.7800999999999</v>
          </cell>
          <cell r="S66">
            <v>6278.0021999999999</v>
          </cell>
          <cell r="T66">
            <v>6766.29126</v>
          </cell>
          <cell r="U66">
            <v>6487.2689400000008</v>
          </cell>
          <cell r="V66">
            <v>6696.53568</v>
          </cell>
          <cell r="W66">
            <v>6975.558</v>
          </cell>
          <cell r="X66">
            <v>8161.4028600000001</v>
          </cell>
          <cell r="Y66">
            <v>6766.29126</v>
          </cell>
          <cell r="Z66">
            <v>6278.0021999999999</v>
          </cell>
          <cell r="AA66">
            <v>6347.7577800000008</v>
          </cell>
          <cell r="AB66">
            <v>6766.29126</v>
          </cell>
          <cell r="AC66">
            <v>7463.8470600000001</v>
          </cell>
          <cell r="AD66">
            <v>7673.1138000000001</v>
          </cell>
          <cell r="AE66">
            <v>7394.09148</v>
          </cell>
          <cell r="AF66">
            <v>7603.3582200000001</v>
          </cell>
          <cell r="AG66">
            <v>6905.80242</v>
          </cell>
          <cell r="AH66">
            <v>6975.558</v>
          </cell>
          <cell r="AI66">
            <v>7254.58032</v>
          </cell>
          <cell r="AJ66">
            <v>7115.06916</v>
          </cell>
          <cell r="AK66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1111.2</v>
          </cell>
          <cell r="AA91">
            <v>2861.3399999999997</v>
          </cell>
          <cell r="AB91">
            <v>2361.2999999999997</v>
          </cell>
          <cell r="AC91">
            <v>1695.1355999999998</v>
          </cell>
          <cell r="AD91">
            <v>1250.3778</v>
          </cell>
          <cell r="AE91">
            <v>1305.6599999999999</v>
          </cell>
          <cell r="AF91">
            <v>722.28</v>
          </cell>
          <cell r="AG91">
            <v>1333.44</v>
          </cell>
          <cell r="AH91">
            <v>1336.7736</v>
          </cell>
          <cell r="AI91">
            <v>1475.1179999999999</v>
          </cell>
          <cell r="AJ91">
            <v>1333.9956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15971.833199999999</v>
          </cell>
          <cell r="AA115">
            <v>6511.3541999999998</v>
          </cell>
          <cell r="AB115">
            <v>7412.2595999999994</v>
          </cell>
          <cell r="AC115">
            <v>12887.6976</v>
          </cell>
          <cell r="AD115">
            <v>20521.363799999999</v>
          </cell>
          <cell r="AE115">
            <v>14615.057999999999</v>
          </cell>
          <cell r="AF115">
            <v>16566.602999999999</v>
          </cell>
          <cell r="AG115">
            <v>16187.683799999999</v>
          </cell>
          <cell r="AH115">
            <v>12931.0344</v>
          </cell>
          <cell r="AI115">
            <v>11434.248</v>
          </cell>
          <cell r="AJ115">
            <v>14051.679599999999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15863</v>
          </cell>
          <cell r="AA147">
            <v>15259</v>
          </cell>
          <cell r="AB147">
            <v>15457</v>
          </cell>
          <cell r="AC147">
            <v>16810</v>
          </cell>
          <cell r="AD147">
            <v>17501</v>
          </cell>
          <cell r="AE147">
            <v>17405</v>
          </cell>
          <cell r="AF147">
            <v>17370</v>
          </cell>
          <cell r="AG147">
            <v>17133</v>
          </cell>
          <cell r="AH147">
            <v>16332</v>
          </cell>
          <cell r="AI147">
            <v>16222</v>
          </cell>
          <cell r="AJ147">
            <v>16433</v>
          </cell>
          <cell r="AK147">
            <v>0</v>
          </cell>
        </row>
      </sheetData>
      <sheetData sheetId="9">
        <row r="3">
          <cell r="G3">
            <v>32.200000000000003</v>
          </cell>
        </row>
        <row r="23">
          <cell r="M23">
            <v>156.32577648295322</v>
          </cell>
        </row>
      </sheetData>
      <sheetData sheetId="10"/>
      <sheetData sheetId="11"/>
      <sheetData sheetId="12">
        <row r="29">
          <cell r="C29">
            <v>414.19979999999998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413.92199999999997</v>
          </cell>
        </row>
      </sheetData>
      <sheetData sheetId="15">
        <row r="29">
          <cell r="C29">
            <v>413.64420000000001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413.92199999999997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414.19979999999998</v>
          </cell>
        </row>
      </sheetData>
      <sheetData sheetId="21">
        <row r="29">
          <cell r="C29">
            <v>413.92199999999997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413.92199999999997</v>
          </cell>
        </row>
      </sheetData>
      <sheetData sheetId="25">
        <row r="29">
          <cell r="C29">
            <v>414.19979999999998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413.64420000000001</v>
          </cell>
        </row>
      </sheetData>
      <sheetData sheetId="29">
        <row r="29">
          <cell r="C29">
            <v>414.4776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413.92199999999997</v>
          </cell>
        </row>
      </sheetData>
      <sheetData sheetId="32">
        <row r="29">
          <cell r="C29">
            <v>413.92199999999997</v>
          </cell>
        </row>
      </sheetData>
      <sheetData sheetId="33">
        <row r="29">
          <cell r="C29">
            <v>414.19979999999998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414.4776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414.19979999999998</v>
          </cell>
        </row>
      </sheetData>
      <sheetData sheetId="38">
        <row r="29">
          <cell r="C29">
            <v>413.92199999999997</v>
          </cell>
        </row>
      </sheetData>
      <sheetData sheetId="39">
        <row r="29">
          <cell r="C29">
            <v>414.19979999999998</v>
          </cell>
        </row>
      </sheetData>
      <sheetData sheetId="40">
        <row r="29">
          <cell r="C29">
            <v>413.64420000000001</v>
          </cell>
        </row>
      </sheetData>
      <sheetData sheetId="41">
        <row r="29">
          <cell r="C29">
            <v>414.19979999999998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32">
          <cell r="V32">
            <v>38.886203545840679</v>
          </cell>
          <cell r="AE32">
            <v>19.920788148300364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2" sqref="L2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9</v>
      </c>
      <c r="D2" s="7">
        <v>2022</v>
      </c>
      <c r="E2" s="9" t="str">
        <f>'Otemachi Daily'!D5</f>
        <v>0</v>
      </c>
      <c r="F2" s="34">
        <f>[1]見込!$G$3</f>
        <v>32.200000000000003</v>
      </c>
      <c r="G2" s="9" t="str">
        <f>'Otemachi Daily'!F5</f>
        <v>0</v>
      </c>
      <c r="H2" s="34">
        <f>[1]見込!$M$23</f>
        <v>156.32577648295322</v>
      </c>
      <c r="I2" s="9">
        <f>'Otemachi Daily'!H5</f>
        <v>961.18799999999828</v>
      </c>
      <c r="J2" s="34">
        <f>[2]Sheet1!$V$32</f>
        <v>38.886203545840679</v>
      </c>
      <c r="K2" s="9" t="str">
        <f>'Otemachi Daily'!J5</f>
        <v>0</v>
      </c>
      <c r="L2" s="34">
        <f>[2]Sheet1!$AE$32</f>
        <v>19.920788148300364</v>
      </c>
      <c r="M2" s="9">
        <f>'Otemachi Daily'!L5</f>
        <v>0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7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38</v>
      </c>
      <c r="F3" s="34">
        <f>[1]見込!$G$3</f>
        <v>32.200000000000003</v>
      </c>
      <c r="G3" s="9">
        <f>'Otemachi Daily'!F6</f>
        <v>30.800000000000011</v>
      </c>
      <c r="H3" s="34">
        <f>[1]見込!$M$23</f>
        <v>156.32577648295322</v>
      </c>
      <c r="I3" s="9" t="str">
        <f>'Otemachi Daily'!H6</f>
        <v>0</v>
      </c>
      <c r="J3" s="34">
        <f>[2]Sheet1!$V$32</f>
        <v>38.886203545840679</v>
      </c>
      <c r="K3" s="9">
        <f>'Otemachi Daily'!J6</f>
        <v>875.09777999999915</v>
      </c>
      <c r="L3" s="34">
        <f>[2]Sheet1!$AE$32</f>
        <v>19.920788148300364</v>
      </c>
      <c r="M3" s="9" t="str">
        <f>'Otemachi Daily'!L6</f>
        <v>0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7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288</v>
      </c>
      <c r="F4" s="34">
        <f>[1]見込!$G$3</f>
        <v>32.200000000000003</v>
      </c>
      <c r="G4" s="9">
        <f>'Otemachi Daily'!F7</f>
        <v>17.699999999999989</v>
      </c>
      <c r="H4" s="34">
        <f>[1]見込!$M$23</f>
        <v>156.32577648295322</v>
      </c>
      <c r="I4" s="9">
        <f>'Otemachi Daily'!H7</f>
        <v>1123.9788000000008</v>
      </c>
      <c r="J4" s="34">
        <f>[2]Sheet1!$V$32</f>
        <v>38.886203545840679</v>
      </c>
      <c r="K4" s="9">
        <f>'Otemachi Daily'!J7</f>
        <v>556.26672000000053</v>
      </c>
      <c r="L4" s="34">
        <f>[2]Sheet1!$AE$32</f>
        <v>19.920788148300364</v>
      </c>
      <c r="M4" s="9">
        <f>'Otemachi Daily'!L7</f>
        <v>28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7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139</v>
      </c>
      <c r="F5" s="34">
        <f>[1]見込!$G$3</f>
        <v>32.200000000000003</v>
      </c>
      <c r="G5" s="9" t="str">
        <f>'Otemachi Daily'!F8</f>
        <v>0</v>
      </c>
      <c r="H5" s="34">
        <f>[1]見込!$M$23</f>
        <v>156.32577648295322</v>
      </c>
      <c r="I5" s="9">
        <f>'Otemachi Daily'!H8</f>
        <v>4315.6229999999996</v>
      </c>
      <c r="J5" s="34">
        <f>[2]Sheet1!$V$32</f>
        <v>38.886203545840679</v>
      </c>
      <c r="K5" s="9" t="str">
        <f>'Otemachi Daily'!J8</f>
        <v>0</v>
      </c>
      <c r="L5" s="34">
        <f>[2]Sheet1!$AE$32</f>
        <v>19.920788148300364</v>
      </c>
      <c r="M5" s="9">
        <f>'Otemachi Daily'!L8</f>
        <v>15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7">
      <c r="A6" s="6" t="s">
        <v>22</v>
      </c>
      <c r="B6" s="7">
        <f t="shared" si="0"/>
        <v>5</v>
      </c>
      <c r="C6" s="8">
        <v>9</v>
      </c>
      <c r="D6" s="7">
        <v>2022</v>
      </c>
      <c r="E6" s="9" t="str">
        <f>'Otemachi Daily'!D9</f>
        <v>0</v>
      </c>
      <c r="F6" s="34">
        <f>[1]見込!$G$3</f>
        <v>32.200000000000003</v>
      </c>
      <c r="G6" s="9">
        <f>'Otemachi Daily'!F9</f>
        <v>12.300000000000011</v>
      </c>
      <c r="H6" s="34">
        <f>[1]見込!$M$23</f>
        <v>156.32577648295322</v>
      </c>
      <c r="I6" s="9">
        <f>'Otemachi Daily'!H9</f>
        <v>1037.5829999999987</v>
      </c>
      <c r="J6" s="34">
        <f>[2]Sheet1!$V$32</f>
        <v>38.886203545840679</v>
      </c>
      <c r="K6" s="9" t="str">
        <f>'Otemachi Daily'!J9</f>
        <v>0</v>
      </c>
      <c r="L6" s="34">
        <f>[2]Sheet1!$AE$32</f>
        <v>19.920788148300364</v>
      </c>
      <c r="M6" s="9" t="str">
        <f>'Otemachi Daily'!L9</f>
        <v>0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7">
      <c r="A7" s="6" t="s">
        <v>22</v>
      </c>
      <c r="B7" s="7">
        <f t="shared" si="0"/>
        <v>6</v>
      </c>
      <c r="C7" s="8">
        <v>9</v>
      </c>
      <c r="D7" s="7">
        <v>2022</v>
      </c>
      <c r="E7" s="9" t="str">
        <f>'Otemachi Daily'!D10</f>
        <v>0</v>
      </c>
      <c r="F7" s="34">
        <f>[1]見込!$G$3</f>
        <v>32.200000000000003</v>
      </c>
      <c r="G7" s="9" t="str">
        <f>'Otemachi Daily'!F10</f>
        <v>0</v>
      </c>
      <c r="H7" s="34">
        <f>[1]見込!$M$23</f>
        <v>156.32577648295322</v>
      </c>
      <c r="I7" s="9">
        <f>'Otemachi Daily'!H10</f>
        <v>5170.6913999999997</v>
      </c>
      <c r="J7" s="34">
        <f>[2]Sheet1!$V$32</f>
        <v>38.886203545840679</v>
      </c>
      <c r="K7" s="9" t="str">
        <f>'Otemachi Daily'!J10</f>
        <v>0</v>
      </c>
      <c r="L7" s="34">
        <f>[2]Sheet1!$AE$32</f>
        <v>19.920788148300364</v>
      </c>
      <c r="M7" s="9" t="str">
        <f>'Otemachi Daily'!L10</f>
        <v>0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7">
      <c r="A8" s="6" t="s">
        <v>22</v>
      </c>
      <c r="B8" s="7">
        <f t="shared" si="0"/>
        <v>7</v>
      </c>
      <c r="C8" s="8">
        <v>9</v>
      </c>
      <c r="D8" s="7">
        <v>2022</v>
      </c>
      <c r="E8" s="9" t="str">
        <f>'Otemachi Daily'!D11</f>
        <v>0</v>
      </c>
      <c r="F8" s="34">
        <f>[1]見込!$G$3</f>
        <v>32.200000000000003</v>
      </c>
      <c r="G8" s="9" t="str">
        <f>'Otemachi Daily'!F11</f>
        <v>0</v>
      </c>
      <c r="H8" s="34">
        <f>[1]見込!$M$23</f>
        <v>156.32577648295322</v>
      </c>
      <c r="I8" s="9" t="str">
        <f>'Otemachi Daily'!H11</f>
        <v>0</v>
      </c>
      <c r="J8" s="34">
        <f>[2]Sheet1!$V$32</f>
        <v>38.886203545840679</v>
      </c>
      <c r="K8" s="9" t="str">
        <f>'Otemachi Daily'!J11</f>
        <v>0</v>
      </c>
      <c r="L8" s="34">
        <f>[2]Sheet1!$AE$32</f>
        <v>19.920788148300364</v>
      </c>
      <c r="M8" s="9" t="str">
        <f>'Otemachi Daily'!L11</f>
        <v>0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7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235</v>
      </c>
      <c r="F9" s="34">
        <f>[1]見込!$G$3</f>
        <v>32.200000000000003</v>
      </c>
      <c r="G9" s="9">
        <f>'Otemachi Daily'!F12</f>
        <v>10.699999999999989</v>
      </c>
      <c r="H9" s="34">
        <f>[1]見込!$M$23</f>
        <v>156.32577648295322</v>
      </c>
      <c r="I9" s="9" t="str">
        <f>'Otemachi Daily'!H12</f>
        <v>0</v>
      </c>
      <c r="J9" s="34">
        <f>[2]Sheet1!$V$32</f>
        <v>38.886203545840679</v>
      </c>
      <c r="K9" s="9">
        <f>'Otemachi Daily'!J12</f>
        <v>988.35684000000037</v>
      </c>
      <c r="L9" s="34">
        <f>[2]Sheet1!$AE$32</f>
        <v>19.920788148300364</v>
      </c>
      <c r="M9" s="9">
        <f>'Otemachi Daily'!L12</f>
        <v>15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7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318</v>
      </c>
      <c r="F10" s="34">
        <f>[1]見込!$G$3</f>
        <v>32.200000000000003</v>
      </c>
      <c r="G10" s="9">
        <f>'Otemachi Daily'!F13</f>
        <v>13.700000000000017</v>
      </c>
      <c r="H10" s="34">
        <f>[1]見込!$M$23</f>
        <v>156.32577648295322</v>
      </c>
      <c r="I10" s="9">
        <f>'Otemachi Daily'!H13</f>
        <v>2468.5308000000005</v>
      </c>
      <c r="J10" s="34">
        <f>[2]Sheet1!$V$32</f>
        <v>38.886203545840679</v>
      </c>
      <c r="K10" s="9" t="str">
        <f>'Otemachi Daily'!J13</f>
        <v>0</v>
      </c>
      <c r="L10" s="34">
        <f>[2]Sheet1!$AE$32</f>
        <v>19.920788148300364</v>
      </c>
      <c r="M10" s="9">
        <f>'Otemachi Daily'!L13</f>
        <v>7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7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276</v>
      </c>
      <c r="F11" s="34">
        <f>[1]見込!$G$3</f>
        <v>32.200000000000003</v>
      </c>
      <c r="G11" s="9">
        <f>'Otemachi Daily'!F14</f>
        <v>14.199999999999989</v>
      </c>
      <c r="H11" s="34">
        <f>[1]見込!$M$23</f>
        <v>156.32577648295322</v>
      </c>
      <c r="I11" s="9" t="str">
        <f>'Otemachi Daily'!H14</f>
        <v>0</v>
      </c>
      <c r="J11" s="34">
        <f>[2]Sheet1!$V$32</f>
        <v>38.886203545840679</v>
      </c>
      <c r="K11" s="9">
        <f>'Otemachi Daily'!J14</f>
        <v>1149.8975399999999</v>
      </c>
      <c r="L11" s="34">
        <f>[2]Sheet1!$AE$32</f>
        <v>19.920788148300364</v>
      </c>
      <c r="M11" s="9">
        <f>'Otemachi Daily'!L14</f>
        <v>45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7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10</v>
      </c>
      <c r="F12" s="34">
        <f>[1]見込!$G$3</f>
        <v>32.200000000000003</v>
      </c>
      <c r="G12" s="9" t="str">
        <f>'Otemachi Daily'!F15</f>
        <v>0</v>
      </c>
      <c r="H12" s="34">
        <f>[1]見込!$M$23</f>
        <v>156.32577648295322</v>
      </c>
      <c r="I12" s="9" t="str">
        <f>'Otemachi Daily'!H15</f>
        <v>0</v>
      </c>
      <c r="J12" s="34">
        <f>[2]Sheet1!$V$32</f>
        <v>38.886203545840679</v>
      </c>
      <c r="K12" s="9" t="str">
        <f>'Otemachi Daily'!J15</f>
        <v>0</v>
      </c>
      <c r="L12" s="34">
        <f>[2]Sheet1!$AE$32</f>
        <v>19.920788148300364</v>
      </c>
      <c r="M12" s="9" t="str">
        <f>'Otemachi Daily'!L15</f>
        <v>0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7">
      <c r="A13" s="6" t="s">
        <v>22</v>
      </c>
      <c r="B13" s="7">
        <f t="shared" si="0"/>
        <v>12</v>
      </c>
      <c r="C13" s="8">
        <v>9</v>
      </c>
      <c r="D13" s="7">
        <v>2022</v>
      </c>
      <c r="E13" s="9" t="str">
        <f>'Otemachi Daily'!D16</f>
        <v>0</v>
      </c>
      <c r="F13" s="34">
        <f>[1]見込!$G$3</f>
        <v>32.200000000000003</v>
      </c>
      <c r="G13" s="9" t="str">
        <f>'Otemachi Daily'!F16</f>
        <v>0</v>
      </c>
      <c r="H13" s="34">
        <f>[1]見込!$M$23</f>
        <v>156.32577648295322</v>
      </c>
      <c r="I13" s="9">
        <f>'Otemachi Daily'!H16</f>
        <v>3601.9547999999995</v>
      </c>
      <c r="J13" s="34">
        <f>[2]Sheet1!$V$32</f>
        <v>38.886203545840679</v>
      </c>
      <c r="K13" s="9" t="str">
        <f>'Otemachi Daily'!J16</f>
        <v>0</v>
      </c>
      <c r="L13" s="34">
        <f>[2]Sheet1!$AE$32</f>
        <v>19.920788148300364</v>
      </c>
      <c r="M13" s="9" t="str">
        <f>'Otemachi Daily'!L16</f>
        <v>0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7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54</v>
      </c>
      <c r="F14" s="34">
        <f>[1]見込!$G$3</f>
        <v>32.200000000000003</v>
      </c>
      <c r="G14" s="9" t="str">
        <f>'Otemachi Daily'!F17</f>
        <v>0</v>
      </c>
      <c r="H14" s="34">
        <f>[1]見込!$M$23</f>
        <v>156.32577648295322</v>
      </c>
      <c r="I14" s="9">
        <f>'Otemachi Daily'!H17</f>
        <v>4724.8223999999973</v>
      </c>
      <c r="J14" s="34">
        <f>[2]Sheet1!$V$32</f>
        <v>38.886203545840679</v>
      </c>
      <c r="K14" s="9" t="str">
        <f>'Otemachi Daily'!J17</f>
        <v>0</v>
      </c>
      <c r="L14" s="34">
        <f>[2]Sheet1!$AE$32</f>
        <v>19.920788148300364</v>
      </c>
      <c r="M14" s="9">
        <f>'Otemachi Daily'!L17</f>
        <v>6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7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237</v>
      </c>
      <c r="F15" s="34">
        <f>[1]見込!$G$3</f>
        <v>32.200000000000003</v>
      </c>
      <c r="G15" s="9">
        <f>'Otemachi Daily'!F18</f>
        <v>2.1999999999999886</v>
      </c>
      <c r="H15" s="34">
        <f>[1]見込!$M$23</f>
        <v>156.32577648295322</v>
      </c>
      <c r="I15" s="9">
        <f>'Otemachi Daily'!H18</f>
        <v>448.369200000001</v>
      </c>
      <c r="J15" s="34">
        <f>[2]Sheet1!$V$32</f>
        <v>38.886203545840679</v>
      </c>
      <c r="K15" s="9">
        <f>'Otemachi Daily'!J18</f>
        <v>491.62266</v>
      </c>
      <c r="L15" s="34">
        <f>[2]Sheet1!$AE$32</f>
        <v>19.920788148300364</v>
      </c>
      <c r="M15" s="9" t="str">
        <f>'Otemachi Daily'!L18</f>
        <v>0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7">
      <c r="A16" s="6" t="s">
        <v>22</v>
      </c>
      <c r="B16" s="7">
        <f t="shared" si="0"/>
        <v>15</v>
      </c>
      <c r="C16" s="8">
        <v>9</v>
      </c>
      <c r="D16" s="7">
        <v>2022</v>
      </c>
      <c r="E16" s="9" t="str">
        <f>'Otemachi Daily'!D19</f>
        <v>0</v>
      </c>
      <c r="F16" s="34">
        <f>[1]見込!$G$3</f>
        <v>32.200000000000003</v>
      </c>
      <c r="G16" s="9" t="str">
        <f>'Otemachi Daily'!F19</f>
        <v>0</v>
      </c>
      <c r="H16" s="34">
        <f>[1]見込!$M$23</f>
        <v>156.32577648295322</v>
      </c>
      <c r="I16" s="9" t="str">
        <f>'Otemachi Daily'!H19</f>
        <v>0</v>
      </c>
      <c r="J16" s="34">
        <f>[2]Sheet1!$V$32</f>
        <v>38.886203545840679</v>
      </c>
      <c r="K16" s="9">
        <f>'Otemachi Daily'!J19</f>
        <v>17.945880000001125</v>
      </c>
      <c r="L16" s="34">
        <f>[2]Sheet1!$AE$32</f>
        <v>19.920788148300364</v>
      </c>
      <c r="M16" s="9">
        <f>'Otemachi Daily'!L19</f>
        <v>12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7">
      <c r="A17" s="6" t="s">
        <v>22</v>
      </c>
      <c r="B17" s="7">
        <f t="shared" si="0"/>
        <v>16</v>
      </c>
      <c r="C17" s="8">
        <v>9</v>
      </c>
      <c r="D17" s="7">
        <v>2022</v>
      </c>
      <c r="E17" s="9" t="str">
        <f>'Otemachi Daily'!D20</f>
        <v>0</v>
      </c>
      <c r="F17" s="34">
        <f>[1]見込!$G$3</f>
        <v>32.200000000000003</v>
      </c>
      <c r="G17" s="9">
        <f>'Otemachi Daily'!F20</f>
        <v>6.6999999999999886</v>
      </c>
      <c r="H17" s="34">
        <f>[1]見込!$M$23</f>
        <v>156.32577648295322</v>
      </c>
      <c r="I17" s="9">
        <f>'Otemachi Daily'!H20</f>
        <v>3952.260599999996</v>
      </c>
      <c r="J17" s="34">
        <f>[2]Sheet1!$V$32</f>
        <v>38.886203545840679</v>
      </c>
      <c r="K17" s="9">
        <f>'Otemachi Daily'!J20</f>
        <v>14.806739999999081</v>
      </c>
      <c r="L17" s="34">
        <f>[2]Sheet1!$AE$32</f>
        <v>19.920788148300364</v>
      </c>
      <c r="M17" s="9" t="str">
        <f>'Otemachi Daily'!L20</f>
        <v>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7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541</v>
      </c>
      <c r="F18" s="34">
        <f>[1]見込!$G$3</f>
        <v>32.200000000000003</v>
      </c>
      <c r="G18" s="9" t="str">
        <f>'Otemachi Daily'!F21</f>
        <v>0</v>
      </c>
      <c r="H18" s="34">
        <f>[1]見込!$M$23</f>
        <v>156.32577648295322</v>
      </c>
      <c r="I18" s="9">
        <f>'Otemachi Daily'!H21</f>
        <v>6264.6678000000029</v>
      </c>
      <c r="J18" s="34">
        <f>[2]Sheet1!$V$32</f>
        <v>38.886203545840679</v>
      </c>
      <c r="K18" s="9">
        <f>'Otemachi Daily'!J21</f>
        <v>251.24231999999938</v>
      </c>
      <c r="L18" s="34">
        <f>[2]Sheet1!$AE$32</f>
        <v>19.920788148300364</v>
      </c>
      <c r="M18" s="9">
        <f>'Otemachi Daily'!L21</f>
        <v>49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7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191</v>
      </c>
      <c r="F19" s="34">
        <f>[1]見込!$G$3</f>
        <v>32.200000000000003</v>
      </c>
      <c r="G19" s="9">
        <f>'Otemachi Daily'!F22</f>
        <v>1.2999999999999829</v>
      </c>
      <c r="H19" s="34">
        <f>[1]見込!$M$23</f>
        <v>156.32577648295322</v>
      </c>
      <c r="I19" s="9">
        <f>'Otemachi Daily'!H22</f>
        <v>4593.7007999999987</v>
      </c>
      <c r="J19" s="34">
        <f>[2]Sheet1!$V$32</f>
        <v>38.886203545840679</v>
      </c>
      <c r="K19" s="9">
        <f>'Otemachi Daily'!J22</f>
        <v>1546.9848600000005</v>
      </c>
      <c r="L19" s="34">
        <f>[2]Sheet1!$AE$32</f>
        <v>19.920788148300364</v>
      </c>
      <c r="M19" s="9">
        <f>'Otemachi Daily'!L22</f>
        <v>28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7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219</v>
      </c>
      <c r="F20" s="34">
        <f>[1]見込!$G$3</f>
        <v>32.200000000000003</v>
      </c>
      <c r="G20" s="9" t="str">
        <f>'Otemachi Daily'!F23</f>
        <v>0</v>
      </c>
      <c r="H20" s="34">
        <f>[1]見込!$M$23</f>
        <v>156.32577648295322</v>
      </c>
      <c r="I20" s="9">
        <f>'Otemachi Daily'!H23</f>
        <v>4333.1244000000006</v>
      </c>
      <c r="J20" s="34">
        <f>[2]Sheet1!$V$32</f>
        <v>38.886203545840679</v>
      </c>
      <c r="K20" s="9" t="str">
        <f>'Otemachi Daily'!J23</f>
        <v>0</v>
      </c>
      <c r="L20" s="34">
        <f>[2]Sheet1!$AE$32</f>
        <v>19.920788148300364</v>
      </c>
      <c r="M20" s="9" t="str">
        <f>'Otemachi Daily'!L23</f>
        <v>0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7">
      <c r="A21" s="6" t="s">
        <v>22</v>
      </c>
      <c r="B21" s="7">
        <f t="shared" si="0"/>
        <v>20</v>
      </c>
      <c r="C21" s="8">
        <v>9</v>
      </c>
      <c r="D21" s="7">
        <v>2022</v>
      </c>
      <c r="E21" s="9" t="str">
        <f>'Otemachi Daily'!D24</f>
        <v>0</v>
      </c>
      <c r="F21" s="34">
        <f>[1]見込!$G$3</f>
        <v>32.200000000000003</v>
      </c>
      <c r="G21" s="9" t="str">
        <f>'Otemachi Daily'!F24</f>
        <v>0</v>
      </c>
      <c r="H21" s="34">
        <f>[1]見込!$M$23</f>
        <v>156.32577648295322</v>
      </c>
      <c r="I21" s="9" t="str">
        <f>'Otemachi Daily'!H24</f>
        <v>0</v>
      </c>
      <c r="J21" s="34">
        <f>[2]Sheet1!$V$32</f>
        <v>38.886203545840679</v>
      </c>
      <c r="K21" s="9">
        <f>'Otemachi Daily'!J24</f>
        <v>511.79093999999986</v>
      </c>
      <c r="L21" s="34">
        <f>[2]Sheet1!$AE$32</f>
        <v>19.920788148300364</v>
      </c>
      <c r="M21" s="9" t="str">
        <f>'Otemachi Daily'!L24</f>
        <v>0</v>
      </c>
      <c r="N21" s="34">
        <v>741</v>
      </c>
      <c r="O21" s="9">
        <f>'Otemachi Daily'!M24</f>
        <v>95</v>
      </c>
      <c r="P21" s="9">
        <f>'Otemachi Daily'!N24</f>
        <v>156</v>
      </c>
    </row>
    <row r="22" spans="1:16" ht="17">
      <c r="A22" s="6" t="s">
        <v>22</v>
      </c>
      <c r="B22" s="7">
        <f t="shared" si="0"/>
        <v>21</v>
      </c>
      <c r="C22" s="8">
        <v>9</v>
      </c>
      <c r="D22" s="7">
        <v>2022</v>
      </c>
      <c r="E22" s="9" t="str">
        <f>'Otemachi Daily'!D25</f>
        <v>0</v>
      </c>
      <c r="F22" s="34">
        <f>[1]見込!$G$3</f>
        <v>32.200000000000003</v>
      </c>
      <c r="G22" s="9" t="str">
        <f>'Otemachi Daily'!F25</f>
        <v>0</v>
      </c>
      <c r="H22" s="34">
        <f>[1]見込!$M$23</f>
        <v>156.32577648295322</v>
      </c>
      <c r="I22" s="9" t="str">
        <f>'Otemachi Daily'!H25</f>
        <v>0</v>
      </c>
      <c r="J22" s="34">
        <f>[2]Sheet1!$V$32</f>
        <v>38.886203545840679</v>
      </c>
      <c r="K22" s="9">
        <f>'Otemachi Daily'!J25</f>
        <v>1819.8955800000003</v>
      </c>
      <c r="L22" s="34">
        <f>[2]Sheet1!$AE$32</f>
        <v>19.920788148300364</v>
      </c>
      <c r="M22" s="9" t="str">
        <f>'Otemachi Daily'!L25</f>
        <v>0</v>
      </c>
      <c r="N22" s="34">
        <v>741</v>
      </c>
      <c r="O22" s="9">
        <f>'Otemachi Daily'!M25</f>
        <v>85</v>
      </c>
      <c r="P22" s="9">
        <f>'Otemachi Daily'!N25</f>
        <v>143</v>
      </c>
    </row>
    <row r="23" spans="1:16" ht="17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198</v>
      </c>
      <c r="F23" s="34">
        <f>[1]見込!$G$3</f>
        <v>32.200000000000003</v>
      </c>
      <c r="G23" s="9">
        <f>'Otemachi Daily'!F26</f>
        <v>7.0999999999999943</v>
      </c>
      <c r="H23" s="34">
        <f>[1]見込!$M$23</f>
        <v>156.32577648295322</v>
      </c>
      <c r="I23" s="9">
        <f>'Otemachi Daily'!H26</f>
        <v>901.1832000000004</v>
      </c>
      <c r="J23" s="34">
        <f>[2]Sheet1!$V$32</f>
        <v>38.886203545840679</v>
      </c>
      <c r="K23" s="9" t="str">
        <f>'Otemachi Daily'!J26</f>
        <v>0</v>
      </c>
      <c r="L23" s="34">
        <f>[2]Sheet1!$AE$32</f>
        <v>19.920788148300364</v>
      </c>
      <c r="M23" s="9">
        <f>'Otemachi Daily'!L26</f>
        <v>33</v>
      </c>
      <c r="N23" s="34">
        <v>741</v>
      </c>
      <c r="O23" s="9">
        <f>'Otemachi Daily'!M26</f>
        <v>151</v>
      </c>
      <c r="P23" s="9">
        <f>'Otemachi Daily'!N26</f>
        <v>254</v>
      </c>
    </row>
    <row r="24" spans="1:16" ht="17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1353</v>
      </c>
      <c r="F24" s="34">
        <f>[1]見込!$G$3</f>
        <v>32.200000000000003</v>
      </c>
      <c r="G24" s="9">
        <f>'Otemachi Daily'!F27</f>
        <v>28.300000000000011</v>
      </c>
      <c r="H24" s="34">
        <f>[1]見込!$M$23</f>
        <v>156.32577648295322</v>
      </c>
      <c r="I24" s="9">
        <f>'Otemachi Daily'!H27</f>
        <v>5474.8824000000004</v>
      </c>
      <c r="J24" s="34">
        <f>[2]Sheet1!$V$32</f>
        <v>38.886203545840679</v>
      </c>
      <c r="K24" s="9">
        <f>'Otemachi Daily'!J27</f>
        <v>31.391400000000431</v>
      </c>
      <c r="L24" s="34">
        <f>[2]Sheet1!$AE$32</f>
        <v>19.920788148300364</v>
      </c>
      <c r="M24" s="9">
        <f>'Otemachi Daily'!L27</f>
        <v>17</v>
      </c>
      <c r="N24" s="34">
        <v>741</v>
      </c>
      <c r="O24" s="9">
        <f>'Otemachi Daily'!M27</f>
        <v>177</v>
      </c>
      <c r="P24" s="9">
        <f>'Otemachi Daily'!N27</f>
        <v>318</v>
      </c>
    </row>
    <row r="25" spans="1:16" ht="17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691</v>
      </c>
      <c r="F25" s="34">
        <f>[1]見込!$G$3</f>
        <v>32.200000000000003</v>
      </c>
      <c r="G25" s="9">
        <f>'Otemachi Daily'!F28</f>
        <v>0.59999999999999432</v>
      </c>
      <c r="H25" s="34">
        <f>[1]見込!$M$23</f>
        <v>156.32577648295322</v>
      </c>
      <c r="I25" s="9">
        <f>'Otemachi Daily'!H28</f>
        <v>7634.4995999999974</v>
      </c>
      <c r="J25" s="34">
        <f>[2]Sheet1!$V$32</f>
        <v>38.886203545840679</v>
      </c>
      <c r="K25" s="9" t="str">
        <f>'Otemachi Daily'!J28</f>
        <v>0</v>
      </c>
      <c r="L25" s="34">
        <f>[2]Sheet1!$AE$32</f>
        <v>19.920788148300364</v>
      </c>
      <c r="M25" s="9">
        <f>'Otemachi Daily'!L28</f>
        <v>31</v>
      </c>
      <c r="N25" s="34">
        <v>741</v>
      </c>
      <c r="O25" s="9">
        <f>'Otemachi Daily'!M28</f>
        <v>185</v>
      </c>
      <c r="P25" s="9">
        <f>'Otemachi Daily'!N28</f>
        <v>333</v>
      </c>
    </row>
    <row r="26" spans="1:16" ht="17">
      <c r="A26" s="6" t="s">
        <v>22</v>
      </c>
      <c r="B26" s="7">
        <f>B25+1</f>
        <v>25</v>
      </c>
      <c r="C26" s="8">
        <v>9</v>
      </c>
      <c r="D26" s="7">
        <v>2022</v>
      </c>
      <c r="E26" s="9" t="str">
        <f>'Otemachi Daily'!D29</f>
        <v>0</v>
      </c>
      <c r="F26" s="34">
        <f>[1]見込!$G$3</f>
        <v>32.200000000000003</v>
      </c>
      <c r="G26" s="9" t="str">
        <f>'Otemachi Daily'!F29</f>
        <v>0</v>
      </c>
      <c r="H26" s="34">
        <f>[1]見込!$M$23</f>
        <v>156.32577648295322</v>
      </c>
      <c r="I26" s="9" t="str">
        <f>'Otemachi Daily'!H29</f>
        <v>0</v>
      </c>
      <c r="J26" s="34">
        <f>[2]Sheet1!$V$32</f>
        <v>38.886203545840679</v>
      </c>
      <c r="K26" s="9" t="str">
        <f>'Otemachi Daily'!J29</f>
        <v>0</v>
      </c>
      <c r="L26" s="34">
        <f>[2]Sheet1!$AE$32</f>
        <v>19.920788148300364</v>
      </c>
      <c r="M26" s="9" t="str">
        <f>'Otemachi Daily'!L29</f>
        <v>0</v>
      </c>
      <c r="N26" s="34">
        <v>741</v>
      </c>
      <c r="O26" s="9">
        <f>'Otemachi Daily'!M29</f>
        <v>165</v>
      </c>
      <c r="P26" s="9">
        <f>'Otemachi Daily'!N29</f>
        <v>249</v>
      </c>
    </row>
    <row r="27" spans="1:16" ht="17">
      <c r="A27" s="6" t="s">
        <v>22</v>
      </c>
      <c r="B27" s="7">
        <f t="shared" si="0"/>
        <v>26</v>
      </c>
      <c r="C27" s="8">
        <v>9</v>
      </c>
      <c r="D27" s="7">
        <v>2022</v>
      </c>
      <c r="E27" s="9" t="str">
        <f>'Otemachi Daily'!D30</f>
        <v>0</v>
      </c>
      <c r="F27" s="34">
        <f>[1]見込!$G$3</f>
        <v>32.200000000000003</v>
      </c>
      <c r="G27" s="9">
        <f>'Otemachi Daily'!F30</f>
        <v>4.5</v>
      </c>
      <c r="H27" s="34">
        <f>[1]見込!$M$23</f>
        <v>156.32577648295322</v>
      </c>
      <c r="I27" s="9">
        <f>'Otemachi Daily'!H30</f>
        <v>1952.3783999999978</v>
      </c>
      <c r="J27" s="34">
        <f>[2]Sheet1!$V$32</f>
        <v>38.886203545840679</v>
      </c>
      <c r="K27" s="9" t="str">
        <f>'Otemachi Daily'!J30</f>
        <v>0</v>
      </c>
      <c r="L27" s="34">
        <f>[2]Sheet1!$AE$32</f>
        <v>19.920788148300364</v>
      </c>
      <c r="M27" s="9" t="str">
        <f>'Otemachi Daily'!L30</f>
        <v>0</v>
      </c>
      <c r="N27" s="34">
        <v>741</v>
      </c>
      <c r="O27" s="9">
        <f>'Otemachi Daily'!M30</f>
        <v>167</v>
      </c>
      <c r="P27" s="9">
        <f>'Otemachi Daily'!N30</f>
        <v>249</v>
      </c>
    </row>
    <row r="28" spans="1:16" ht="17">
      <c r="A28" s="6" t="s">
        <v>22</v>
      </c>
      <c r="B28" s="7">
        <f t="shared" si="0"/>
        <v>27</v>
      </c>
      <c r="C28" s="8">
        <v>9</v>
      </c>
      <c r="D28" s="7">
        <v>2022</v>
      </c>
      <c r="E28" s="9" t="str">
        <f>'Otemachi Daily'!D31</f>
        <v>0</v>
      </c>
      <c r="F28" s="34">
        <f>[1]見込!$G$3</f>
        <v>32.200000000000003</v>
      </c>
      <c r="G28" s="9" t="str">
        <f>'Otemachi Daily'!F31</f>
        <v>0</v>
      </c>
      <c r="H28" s="34">
        <f>[1]見込!$M$23</f>
        <v>156.32577648295322</v>
      </c>
      <c r="I28" s="9" t="str">
        <f>'Otemachi Daily'!H31</f>
        <v>0</v>
      </c>
      <c r="J28" s="34">
        <f>[2]Sheet1!$V$32</f>
        <v>38.886203545840679</v>
      </c>
      <c r="K28" s="9" t="str">
        <f>'Otemachi Daily'!J31</f>
        <v>0</v>
      </c>
      <c r="L28" s="34">
        <f>[2]Sheet1!$AE$32</f>
        <v>19.920788148300364</v>
      </c>
      <c r="M28" s="9" t="str">
        <f>'Otemachi Daily'!L31</f>
        <v>0</v>
      </c>
      <c r="N28" s="34">
        <v>741</v>
      </c>
      <c r="O28" s="9">
        <f>'Otemachi Daily'!M31</f>
        <v>163</v>
      </c>
      <c r="P28" s="9">
        <f>'Otemachi Daily'!N31</f>
        <v>239</v>
      </c>
    </row>
    <row r="29" spans="1:16" ht="17">
      <c r="A29" s="6" t="s">
        <v>22</v>
      </c>
      <c r="B29" s="7">
        <f t="shared" si="0"/>
        <v>28</v>
      </c>
      <c r="C29" s="8">
        <v>9</v>
      </c>
      <c r="D29" s="7">
        <v>2022</v>
      </c>
      <c r="E29" s="9" t="str">
        <f>'Otemachi Daily'!D32</f>
        <v>0</v>
      </c>
      <c r="F29" s="34">
        <f>[1]見込!$G$3</f>
        <v>32.200000000000003</v>
      </c>
      <c r="G29" s="9" t="str">
        <f>'Otemachi Daily'!F32</f>
        <v>0</v>
      </c>
      <c r="H29" s="34">
        <f>[1]見込!$M$23</f>
        <v>156.32577648295322</v>
      </c>
      <c r="I29" s="9" t="str">
        <f>'Otemachi Daily'!H32</f>
        <v>0</v>
      </c>
      <c r="J29" s="34">
        <f>[2]Sheet1!$V$32</f>
        <v>38.886203545840679</v>
      </c>
      <c r="K29" s="9">
        <f>'Otemachi Daily'!J32</f>
        <v>73.089179999999033</v>
      </c>
      <c r="L29" s="34">
        <f>[2]Sheet1!$AE$32</f>
        <v>19.920788148300364</v>
      </c>
      <c r="M29" s="9" t="str">
        <f>'Otemachi Daily'!L32</f>
        <v>0</v>
      </c>
      <c r="N29" s="34">
        <v>741</v>
      </c>
      <c r="O29" s="9">
        <f>'Otemachi Daily'!M32</f>
        <v>168</v>
      </c>
      <c r="P29" s="9">
        <f>'Otemachi Daily'!N32</f>
        <v>250</v>
      </c>
    </row>
    <row r="30" spans="1:16" ht="17">
      <c r="A30" s="6" t="s">
        <v>22</v>
      </c>
      <c r="B30" s="7">
        <f t="shared" si="0"/>
        <v>29</v>
      </c>
      <c r="C30" s="8">
        <v>9</v>
      </c>
      <c r="D30" s="7">
        <v>2022</v>
      </c>
      <c r="E30" s="9" t="str">
        <f>'Otemachi Daily'!D33</f>
        <v>0</v>
      </c>
      <c r="F30" s="34">
        <f>[1]見込!$G$3</f>
        <v>32.200000000000003</v>
      </c>
      <c r="G30" s="9" t="str">
        <f>'Otemachi Daily'!F33</f>
        <v>0</v>
      </c>
      <c r="H30" s="34">
        <f>[1]見込!$M$23</f>
        <v>156.32577648295322</v>
      </c>
      <c r="I30" s="9" t="str">
        <f>'Otemachi Daily'!H33</f>
        <v>0</v>
      </c>
      <c r="J30" s="34">
        <f>[2]Sheet1!$V$32</f>
        <v>38.886203545840679</v>
      </c>
      <c r="K30" s="9">
        <f>'Otemachi Daily'!J33</f>
        <v>417.36671999999999</v>
      </c>
      <c r="L30" s="34">
        <f>[2]Sheet1!$AE$32</f>
        <v>19.920788148300364</v>
      </c>
      <c r="M30" s="9" t="str">
        <f>'Otemachi Daily'!L33</f>
        <v>0</v>
      </c>
      <c r="N30" s="34">
        <v>741</v>
      </c>
      <c r="O30" s="9">
        <f>'Otemachi Daily'!M33</f>
        <v>152</v>
      </c>
      <c r="P30" s="9">
        <f>'Otemachi Daily'!N33</f>
        <v>222</v>
      </c>
    </row>
    <row r="31" spans="1:16" ht="17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211</v>
      </c>
      <c r="F31" s="34">
        <f>[1]見込!$G$3</f>
        <v>32.200000000000003</v>
      </c>
      <c r="G31" s="9">
        <f>'Otemachi Daily'!F34</f>
        <v>22.300000000000011</v>
      </c>
      <c r="H31" s="34">
        <f>[1]見込!$M$23</f>
        <v>156.32577648295322</v>
      </c>
      <c r="I31" s="9">
        <f>'Otemachi Daily'!H34</f>
        <v>2617.9871999999996</v>
      </c>
      <c r="J31" s="34">
        <f>[2]Sheet1!$V$32</f>
        <v>38.886203545840679</v>
      </c>
      <c r="K31" s="9" t="str">
        <f>'Otemachi Daily'!J34</f>
        <v>0</v>
      </c>
      <c r="L31" s="34">
        <f>[2]Sheet1!$AE$32</f>
        <v>19.920788148300364</v>
      </c>
      <c r="M31" s="9" t="str">
        <f>'Otemachi Daily'!L34</f>
        <v>0</v>
      </c>
      <c r="N31" s="34">
        <v>741</v>
      </c>
      <c r="O31" s="9">
        <f>'Otemachi Daily'!M34</f>
        <v>110</v>
      </c>
      <c r="P31" s="9">
        <f>'Otemachi Daily'!N34</f>
        <v>208</v>
      </c>
    </row>
    <row r="32" spans="1:16" ht="17">
      <c r="A32" s="6" t="s">
        <v>22</v>
      </c>
      <c r="B32" s="7">
        <f t="shared" si="0"/>
        <v>31</v>
      </c>
      <c r="C32" s="8">
        <v>9</v>
      </c>
      <c r="D32" s="7">
        <v>2022</v>
      </c>
      <c r="E32" s="9" t="str">
        <f>'Otemachi Daily'!D35</f>
        <v>0</v>
      </c>
      <c r="F32" s="34">
        <f>[1]見込!$G$3</f>
        <v>32.200000000000003</v>
      </c>
      <c r="G32" s="9" t="str">
        <f>'Otemachi Daily'!F35</f>
        <v>0</v>
      </c>
      <c r="H32" s="34">
        <f>[1]見込!$M$23</f>
        <v>156.32577648295322</v>
      </c>
      <c r="I32" s="9" t="str">
        <f>'Otemachi Daily'!H35</f>
        <v>0</v>
      </c>
      <c r="J32" s="34">
        <f>[2]Sheet1!$V$32</f>
        <v>38.886203545840679</v>
      </c>
      <c r="K32" s="9" t="str">
        <f>'Otemachi Daily'!J35</f>
        <v>0</v>
      </c>
      <c r="L32" s="34">
        <f>[2]Sheet1!$AE$32</f>
        <v>19.920788148300364</v>
      </c>
      <c r="M32" s="9" t="str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6" zoomScale="80" zoomScaleNormal="80" zoomScalePageLayoutView="80" workbookViewId="0">
      <pane xSplit="1" topLeftCell="B1" activePane="topRight" state="frozen"/>
      <selection pane="topRight" activeCell="C34" sqref="C34:N34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16287</v>
      </c>
      <c r="D4" s="24"/>
      <c r="E4" s="49">
        <v>181.3</v>
      </c>
      <c r="F4" s="25"/>
      <c r="G4" s="49">
        <v>28534.226999999999</v>
      </c>
      <c r="H4" s="25"/>
      <c r="I4" s="49">
        <v>6486.3244199999999</v>
      </c>
      <c r="J4" s="25"/>
      <c r="K4" s="23">
        <v>141</v>
      </c>
      <c r="M4" s="27"/>
      <c r="N4" s="27"/>
    </row>
    <row r="5" spans="1:17" ht="33" customHeight="1">
      <c r="A5" s="28">
        <v>44805</v>
      </c>
      <c r="B5" s="39"/>
      <c r="C5" s="35">
        <f>[1]コスト!$G$147</f>
        <v>16143</v>
      </c>
      <c r="D5" s="48" t="str">
        <f>IF((C5-C4&lt;0), "0",C5-C4)</f>
        <v>0</v>
      </c>
      <c r="E5" s="35">
        <f>[1]コスト!$G$23</f>
        <v>153.6</v>
      </c>
      <c r="F5" s="48" t="str">
        <f>IF((E5-E4&lt;0), "0",E5-E4)</f>
        <v>0</v>
      </c>
      <c r="G5" s="35">
        <f>[1]コスト!$G$115+'[1]1日'!$C$29</f>
        <v>29495.414999999997</v>
      </c>
      <c r="H5" s="48">
        <f>IF((G5-G4&lt;0), "0",G5-G4)</f>
        <v>961.18799999999828</v>
      </c>
      <c r="I5" s="35">
        <f>[1]コスト!$G$91+[1]コスト!$G$66</f>
        <v>6086.4868800000004</v>
      </c>
      <c r="J5" s="48" t="str">
        <f>IF((I5-I4&lt;0), "0",I5-I4)</f>
        <v>0</v>
      </c>
      <c r="K5" s="35">
        <f>[1]コスト!$G$41</f>
        <v>141</v>
      </c>
      <c r="L5" s="48">
        <f>IF((K5-K4&lt;0), "0",K5-K4)</f>
        <v>0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9"/>
      <c r="C6" s="35">
        <f>[1]コスト!$H$147</f>
        <v>16181</v>
      </c>
      <c r="D6" s="48">
        <f>IF((C6-C5&lt;0), "0",C6-C5)</f>
        <v>38</v>
      </c>
      <c r="E6" s="35">
        <f>[1]コスト!$H$23</f>
        <v>184.4</v>
      </c>
      <c r="F6" s="48">
        <f t="shared" ref="F6:F35" si="0">IF((E6-E5&lt;0), "0",E6-E5)</f>
        <v>30.800000000000011</v>
      </c>
      <c r="G6" s="35">
        <f>[1]コスト!$H$115+'[1]2日'!$C$29</f>
        <v>17339.720399999998</v>
      </c>
      <c r="H6" s="48" t="str">
        <f t="shared" ref="H6:H35" si="1">IF((G6-G5&lt;0), "0",G6-G5)</f>
        <v>0</v>
      </c>
      <c r="I6" s="35">
        <f>[1]コスト!$H$91+[1]コスト!$H$66</f>
        <v>6961.5846599999995</v>
      </c>
      <c r="J6" s="48">
        <f t="shared" ref="J6:J35" si="2">IF((I6-I5&lt;0), "0",I6-I5)</f>
        <v>875.09777999999915</v>
      </c>
      <c r="K6" s="35">
        <f>[1]コスト!$H$41</f>
        <v>138</v>
      </c>
      <c r="L6" s="48" t="str">
        <f t="shared" ref="L6:L35" si="3">IF((K6-K5&lt;0), "0",K6-K5)</f>
        <v>0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9"/>
      <c r="C7" s="35">
        <f>[1]コスト!$I$147</f>
        <v>16469</v>
      </c>
      <c r="D7" s="48">
        <f>IF((C7-C6&lt;0), "0",C7-C6)</f>
        <v>288</v>
      </c>
      <c r="E7" s="35">
        <f>[1]コスト!$I$23</f>
        <v>202.1</v>
      </c>
      <c r="F7" s="48">
        <f t="shared" si="0"/>
        <v>17.699999999999989</v>
      </c>
      <c r="G7" s="35">
        <f>[1]コスト!$I$115+'[1]3日'!$C$29</f>
        <v>18463.699199999999</v>
      </c>
      <c r="H7" s="48">
        <f t="shared" si="1"/>
        <v>1123.9788000000008</v>
      </c>
      <c r="I7" s="35">
        <f>[1]コスト!$I$91+[1]コスト!$I$66</f>
        <v>7517.8513800000001</v>
      </c>
      <c r="J7" s="48">
        <f t="shared" si="2"/>
        <v>556.26672000000053</v>
      </c>
      <c r="K7" s="35">
        <f>[1]コスト!$I$41</f>
        <v>166</v>
      </c>
      <c r="L7" s="48">
        <f t="shared" si="3"/>
        <v>28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9"/>
      <c r="C8" s="35">
        <f>[1]コスト!$J$147</f>
        <v>16608</v>
      </c>
      <c r="D8" s="48">
        <f t="shared" ref="D8:D25" si="4">IF((C8-C7&lt;0), "0",C8-C7)</f>
        <v>139</v>
      </c>
      <c r="E8" s="35">
        <f>[1]コスト!$J$23</f>
        <v>177.2</v>
      </c>
      <c r="F8" s="48" t="str">
        <f t="shared" si="0"/>
        <v>0</v>
      </c>
      <c r="G8" s="35">
        <f>[1]コスト!$J$115+'[1]4日'!$C$29</f>
        <v>22779.322199999999</v>
      </c>
      <c r="H8" s="48">
        <f t="shared" si="1"/>
        <v>4315.6229999999996</v>
      </c>
      <c r="I8" s="35">
        <f>[1]コスト!$J$91+[1]コスト!$J$66</f>
        <v>7086.0668400000013</v>
      </c>
      <c r="J8" s="48" t="str">
        <f t="shared" si="2"/>
        <v>0</v>
      </c>
      <c r="K8" s="35">
        <f>[1]コスト!$J$41</f>
        <v>181</v>
      </c>
      <c r="L8" s="48">
        <f t="shared" si="3"/>
        <v>15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9"/>
      <c r="C9" s="35">
        <f>[1]コスト!$K$147</f>
        <v>16419</v>
      </c>
      <c r="D9" s="48" t="str">
        <f t="shared" si="4"/>
        <v>0</v>
      </c>
      <c r="E9" s="35">
        <f>[1]コスト!$K$23</f>
        <v>189.5</v>
      </c>
      <c r="F9" s="48">
        <f t="shared" si="0"/>
        <v>12.300000000000011</v>
      </c>
      <c r="G9" s="35">
        <f>[1]コスト!$K$115+'[1]5日'!$C$29</f>
        <v>23816.905199999997</v>
      </c>
      <c r="H9" s="48">
        <f t="shared" si="1"/>
        <v>1037.5829999999987</v>
      </c>
      <c r="I9" s="35">
        <f>[1]コスト!$K$91+[1]コスト!$K$66</f>
        <v>6500.2421999999997</v>
      </c>
      <c r="J9" s="48" t="str">
        <f t="shared" si="2"/>
        <v>0</v>
      </c>
      <c r="K9" s="35">
        <f>[1]コスト!$K$41</f>
        <v>152</v>
      </c>
      <c r="L9" s="48" t="str">
        <f>IF((K9-K8&lt;0), "0",K9-K8)</f>
        <v>0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9"/>
      <c r="C10" s="35">
        <f>[1]コスト!$L$147</f>
        <v>16350</v>
      </c>
      <c r="D10" s="48" t="str">
        <f t="shared" si="4"/>
        <v>0</v>
      </c>
      <c r="E10" s="35">
        <f>[1]コスト!$L$23</f>
        <v>180.5</v>
      </c>
      <c r="F10" s="48" t="str">
        <f t="shared" si="0"/>
        <v>0</v>
      </c>
      <c r="G10" s="35">
        <f>[1]コスト!$L$115+'[1]6日'!$C$29</f>
        <v>28987.596599999997</v>
      </c>
      <c r="H10" s="48">
        <f t="shared" si="1"/>
        <v>5170.6913999999997</v>
      </c>
      <c r="I10" s="35">
        <f>[1]コスト!$L$91+[1]コスト!$L$66</f>
        <v>6419.1801599999999</v>
      </c>
      <c r="J10" s="48" t="str">
        <f>IF((I10-I9&lt;0), "0",I10-I9)</f>
        <v>0</v>
      </c>
      <c r="K10" s="35">
        <f>[1]コスト!$L$41</f>
        <v>131</v>
      </c>
      <c r="L10" s="48" t="str">
        <f t="shared" si="3"/>
        <v>0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9"/>
      <c r="C11" s="35">
        <f>[1]コスト!$M$147</f>
        <v>15874</v>
      </c>
      <c r="D11" s="48" t="str">
        <f t="shared" si="4"/>
        <v>0</v>
      </c>
      <c r="E11" s="35">
        <f>[1]コスト!$M$23</f>
        <v>161.4</v>
      </c>
      <c r="F11" s="48" t="str">
        <f t="shared" si="0"/>
        <v>0</v>
      </c>
      <c r="G11" s="35">
        <f>[1]コスト!$M$115+'[1]7日'!$C$29</f>
        <v>28279.484399999998</v>
      </c>
      <c r="H11" s="48" t="str">
        <f t="shared" si="1"/>
        <v>0</v>
      </c>
      <c r="I11" s="35">
        <f>[1]コスト!$M$91+[1]コスト!$M$66</f>
        <v>5763.8499599999996</v>
      </c>
      <c r="J11" s="48" t="str">
        <f t="shared" si="2"/>
        <v>0</v>
      </c>
      <c r="K11" s="35">
        <f>[1]コスト!$M$41</f>
        <v>129</v>
      </c>
      <c r="L11" s="48" t="str">
        <f t="shared" si="3"/>
        <v>0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9"/>
      <c r="C12" s="35">
        <f>[1]コスト!$N$147</f>
        <v>16109</v>
      </c>
      <c r="D12" s="48">
        <f t="shared" si="4"/>
        <v>235</v>
      </c>
      <c r="E12" s="35">
        <f>[1]コスト!$N$23</f>
        <v>172.1</v>
      </c>
      <c r="F12" s="48">
        <f t="shared" si="0"/>
        <v>10.699999999999989</v>
      </c>
      <c r="G12" s="35">
        <f>[1]コスト!$N$115+'[1]8日'!$C$29</f>
        <v>17964.492599999998</v>
      </c>
      <c r="H12" s="48" t="str">
        <f t="shared" si="1"/>
        <v>0</v>
      </c>
      <c r="I12" s="35">
        <f>[1]コスト!$N$91+[1]コスト!$N$66</f>
        <v>6752.2067999999999</v>
      </c>
      <c r="J12" s="48">
        <f t="shared" si="2"/>
        <v>988.35684000000037</v>
      </c>
      <c r="K12" s="35">
        <f>[1]コスト!$N$41</f>
        <v>144</v>
      </c>
      <c r="L12" s="48">
        <f t="shared" si="3"/>
        <v>15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9"/>
      <c r="C13" s="35">
        <f>[1]コスト!$O$147</f>
        <v>16427</v>
      </c>
      <c r="D13" s="48">
        <f t="shared" si="4"/>
        <v>318</v>
      </c>
      <c r="E13" s="35">
        <f>[1]コスト!$O$23</f>
        <v>185.8</v>
      </c>
      <c r="F13" s="48">
        <f t="shared" si="0"/>
        <v>13.700000000000017</v>
      </c>
      <c r="G13" s="35">
        <f>[1]コスト!$O$115+'[1]9日'!$C$29</f>
        <v>20433.023399999998</v>
      </c>
      <c r="H13" s="48">
        <f t="shared" si="1"/>
        <v>2468.5308000000005</v>
      </c>
      <c r="I13" s="35">
        <f>[1]コスト!$O$91+[1]コスト!$O$66</f>
        <v>6660.2827800000005</v>
      </c>
      <c r="J13" s="48" t="str">
        <f t="shared" si="2"/>
        <v>0</v>
      </c>
      <c r="K13" s="35">
        <f>[1]コスト!$O$41</f>
        <v>151</v>
      </c>
      <c r="L13" s="48">
        <f t="shared" si="3"/>
        <v>7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9"/>
      <c r="C14" s="35">
        <f>[1]コスト!$P$147</f>
        <v>16703</v>
      </c>
      <c r="D14" s="48">
        <f t="shared" si="4"/>
        <v>276</v>
      </c>
      <c r="E14" s="35">
        <f>[1]コスト!$P$23</f>
        <v>200</v>
      </c>
      <c r="F14" s="48">
        <f t="shared" si="0"/>
        <v>14.199999999999989</v>
      </c>
      <c r="G14" s="35">
        <f>[1]コスト!$P$115+'[1]10日'!$C$29</f>
        <v>19893.813599999998</v>
      </c>
      <c r="H14" s="48" t="str">
        <f t="shared" si="1"/>
        <v>0</v>
      </c>
      <c r="I14" s="35">
        <f>[1]コスト!$P$91+[1]コスト!$P$66</f>
        <v>7810.1803200000004</v>
      </c>
      <c r="J14" s="48">
        <f t="shared" si="2"/>
        <v>1149.8975399999999</v>
      </c>
      <c r="K14" s="35">
        <f>[1]コスト!$P$41</f>
        <v>196</v>
      </c>
      <c r="L14" s="48">
        <f t="shared" si="3"/>
        <v>45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9"/>
      <c r="C15" s="35">
        <f>[1]コスト!$Q$147</f>
        <v>16713</v>
      </c>
      <c r="D15" s="48">
        <f t="shared" si="4"/>
        <v>10</v>
      </c>
      <c r="E15" s="35">
        <f>[1]コスト!$Q$23</f>
        <v>185.4</v>
      </c>
      <c r="F15" s="48" t="str">
        <f t="shared" si="0"/>
        <v>0</v>
      </c>
      <c r="G15" s="35">
        <f>[1]コスト!$Q$115+'[1]11日'!$C$29</f>
        <v>16656.054599999999</v>
      </c>
      <c r="H15" s="48" t="str">
        <f t="shared" si="1"/>
        <v>0</v>
      </c>
      <c r="I15" s="35">
        <f>[1]コスト!$Q$91+[1]コスト!$Q$66</f>
        <v>7615.10916</v>
      </c>
      <c r="J15" s="48" t="str">
        <f t="shared" si="2"/>
        <v>0</v>
      </c>
      <c r="K15" s="35">
        <f>[1]コスト!$Q$41</f>
        <v>187</v>
      </c>
      <c r="L15" s="48" t="str">
        <f t="shared" si="3"/>
        <v>0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9"/>
      <c r="C16" s="35">
        <f>[1]コスト!$R$147</f>
        <v>16383</v>
      </c>
      <c r="D16" s="48" t="str">
        <f t="shared" si="4"/>
        <v>0</v>
      </c>
      <c r="E16" s="35">
        <f>[1]コスト!$R$23</f>
        <v>178.9</v>
      </c>
      <c r="F16" s="48" t="str">
        <f t="shared" si="0"/>
        <v>0</v>
      </c>
      <c r="G16" s="35">
        <f>[1]コスト!$R$115+'[1]12日'!$C$29</f>
        <v>20258.009399999999</v>
      </c>
      <c r="H16" s="48">
        <f t="shared" si="1"/>
        <v>3601.9547999999995</v>
      </c>
      <c r="I16" s="35">
        <f>[1]コスト!$R$91+[1]コスト!$R$66</f>
        <v>6737.9000999999998</v>
      </c>
      <c r="J16" s="48" t="str">
        <f t="shared" si="2"/>
        <v>0</v>
      </c>
      <c r="K16" s="35">
        <f>[1]コスト!$R$41</f>
        <v>154</v>
      </c>
      <c r="L16" s="48" t="str">
        <f t="shared" si="3"/>
        <v>0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9"/>
      <c r="C17" s="35">
        <f>[1]コスト!$S$147</f>
        <v>16437</v>
      </c>
      <c r="D17" s="48">
        <f t="shared" si="4"/>
        <v>54</v>
      </c>
      <c r="E17" s="35">
        <f>[1]コスト!$S$23</f>
        <v>176.4</v>
      </c>
      <c r="F17" s="48" t="str">
        <f t="shared" si="0"/>
        <v>0</v>
      </c>
      <c r="G17" s="35">
        <f>[1]コスト!$S$115+'[1]13日'!$C$29</f>
        <v>24982.831799999996</v>
      </c>
      <c r="H17" s="48">
        <f t="shared" si="1"/>
        <v>4724.8223999999973</v>
      </c>
      <c r="I17" s="35">
        <f>[1]コスト!$S$91+[1]コスト!$S$66</f>
        <v>6449.9603999999999</v>
      </c>
      <c r="J17" s="48" t="str">
        <f t="shared" si="2"/>
        <v>0</v>
      </c>
      <c r="K17" s="35">
        <f>[1]コスト!$S$41</f>
        <v>160</v>
      </c>
      <c r="L17" s="48">
        <f t="shared" si="3"/>
        <v>6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9"/>
      <c r="C18" s="35">
        <f>[1]コスト!$T$147</f>
        <v>16674</v>
      </c>
      <c r="D18" s="48">
        <f t="shared" si="4"/>
        <v>237</v>
      </c>
      <c r="E18" s="35">
        <f>[1]コスト!$T$23</f>
        <v>178.6</v>
      </c>
      <c r="F18" s="48">
        <f t="shared" si="0"/>
        <v>2.1999999999999886</v>
      </c>
      <c r="G18" s="35">
        <f>[1]コスト!$T$115+'[1]14日'!$C$29</f>
        <v>25431.200999999997</v>
      </c>
      <c r="H18" s="48">
        <f t="shared" si="1"/>
        <v>448.369200000001</v>
      </c>
      <c r="I18" s="35">
        <f>[1]コスト!$T$91+[1]コスト!$T$66</f>
        <v>6941.5830599999999</v>
      </c>
      <c r="J18" s="48">
        <f t="shared" si="2"/>
        <v>491.62266</v>
      </c>
      <c r="K18" s="35">
        <f>[1]コスト!$T$41</f>
        <v>152</v>
      </c>
      <c r="L18" s="48" t="str">
        <f t="shared" si="3"/>
        <v>0</v>
      </c>
      <c r="M18" s="35">
        <f>[1]使用量!$T$387</f>
        <v>144</v>
      </c>
      <c r="N18" s="35">
        <f>[1]使用量!$T$388</f>
        <v>224</v>
      </c>
      <c r="P18" s="37"/>
      <c r="Q18" s="37"/>
      <c r="Z18" s="36"/>
    </row>
    <row r="19" spans="1:26" ht="45" customHeight="1">
      <c r="A19" s="28">
        <v>44819</v>
      </c>
      <c r="B19" s="39"/>
      <c r="C19" s="35">
        <f>[1]コスト!$U$147</f>
        <v>16228</v>
      </c>
      <c r="D19" s="48" t="str">
        <f t="shared" si="4"/>
        <v>0</v>
      </c>
      <c r="E19" s="35">
        <f>[1]コスト!$U$23</f>
        <v>178.5</v>
      </c>
      <c r="F19" s="48" t="str">
        <f t="shared" si="0"/>
        <v>0</v>
      </c>
      <c r="G19" s="35">
        <f>[1]コスト!$U$115+'[1]15日'!$C$29</f>
        <v>13100.770200000001</v>
      </c>
      <c r="H19" s="48" t="str">
        <f t="shared" si="1"/>
        <v>0</v>
      </c>
      <c r="I19" s="35">
        <f>[1]コスト!$U$91+[1]コスト!$U$66</f>
        <v>6959.5289400000011</v>
      </c>
      <c r="J19" s="48">
        <f t="shared" si="2"/>
        <v>17.945880000001125</v>
      </c>
      <c r="K19" s="35">
        <f>[1]コスト!$U$41</f>
        <v>164</v>
      </c>
      <c r="L19" s="48">
        <f t="shared" si="3"/>
        <v>12</v>
      </c>
      <c r="M19" s="35">
        <f>[1]使用量!$U$387</f>
        <v>130</v>
      </c>
      <c r="N19" s="35">
        <f>[1]使用量!$U$388</f>
        <v>215</v>
      </c>
      <c r="P19" s="37"/>
      <c r="Q19" s="37"/>
    </row>
    <row r="20" spans="1:26" ht="45" customHeight="1">
      <c r="A20" s="28">
        <v>44820</v>
      </c>
      <c r="B20" s="39"/>
      <c r="C20" s="35">
        <f>[1]コスト!$V$147</f>
        <v>16225</v>
      </c>
      <c r="D20" s="48" t="str">
        <f t="shared" si="4"/>
        <v>0</v>
      </c>
      <c r="E20" s="35">
        <f>[1]コスト!$V$23</f>
        <v>185.2</v>
      </c>
      <c r="F20" s="48">
        <f t="shared" si="0"/>
        <v>6.6999999999999886</v>
      </c>
      <c r="G20" s="35">
        <f>[1]コスト!$V$115+'[1]16日'!$C$29</f>
        <v>17053.030799999997</v>
      </c>
      <c r="H20" s="48">
        <f t="shared" si="1"/>
        <v>3952.260599999996</v>
      </c>
      <c r="I20" s="35">
        <f>[1]コスト!$V$91+[1]コスト!$V$66</f>
        <v>6974.3356800000001</v>
      </c>
      <c r="J20" s="48">
        <f t="shared" si="2"/>
        <v>14.806739999999081</v>
      </c>
      <c r="K20" s="35">
        <f>[1]コスト!$V$41</f>
        <v>150</v>
      </c>
      <c r="L20" s="48" t="str">
        <f t="shared" si="3"/>
        <v>0</v>
      </c>
      <c r="M20" s="35">
        <f>[1]使用量!$V$387</f>
        <v>128</v>
      </c>
      <c r="N20" s="35">
        <f>[1]使用量!$V$388</f>
        <v>246</v>
      </c>
      <c r="P20" s="37"/>
      <c r="Q20" s="37"/>
    </row>
    <row r="21" spans="1:26" ht="45" customHeight="1">
      <c r="A21" s="28">
        <v>44821</v>
      </c>
      <c r="B21" s="39"/>
      <c r="C21" s="35">
        <f>[1]コスト!$W$147</f>
        <v>16766</v>
      </c>
      <c r="D21" s="48">
        <f t="shared" si="4"/>
        <v>541</v>
      </c>
      <c r="E21" s="35">
        <f>[1]コスト!$W$23</f>
        <v>184.8</v>
      </c>
      <c r="F21" s="48" t="str">
        <f t="shared" si="0"/>
        <v>0</v>
      </c>
      <c r="G21" s="35">
        <f>[1]コスト!$W$115+'[1]17日'!$C$29</f>
        <v>23317.6986</v>
      </c>
      <c r="H21" s="48">
        <f t="shared" si="1"/>
        <v>6264.6678000000029</v>
      </c>
      <c r="I21" s="35">
        <f>[1]コスト!$W$91+[1]コスト!$W$66</f>
        <v>7225.5779999999995</v>
      </c>
      <c r="J21" s="48">
        <f t="shared" si="2"/>
        <v>251.24231999999938</v>
      </c>
      <c r="K21" s="35">
        <f>[1]コスト!$W$41</f>
        <v>199</v>
      </c>
      <c r="L21" s="48">
        <f t="shared" si="3"/>
        <v>49</v>
      </c>
      <c r="M21" s="35">
        <f>[1]使用量!$W$387</f>
        <v>162</v>
      </c>
      <c r="N21" s="35">
        <f>[1]使用量!$W$388</f>
        <v>345</v>
      </c>
      <c r="P21" s="37"/>
      <c r="Q21" s="37"/>
    </row>
    <row r="22" spans="1:26" ht="45" customHeight="1">
      <c r="A22" s="28">
        <v>44822</v>
      </c>
      <c r="B22" s="39"/>
      <c r="C22" s="35">
        <f>[1]コスト!$X$147</f>
        <v>16957</v>
      </c>
      <c r="D22" s="48">
        <f t="shared" si="4"/>
        <v>191</v>
      </c>
      <c r="E22" s="35">
        <f>[1]コスト!$X$23</f>
        <v>186.1</v>
      </c>
      <c r="F22" s="48">
        <f t="shared" si="0"/>
        <v>1.2999999999999829</v>
      </c>
      <c r="G22" s="35">
        <f>[1]コスト!$X$115+'[1]18日'!$C$29</f>
        <v>27911.399399999998</v>
      </c>
      <c r="H22" s="48">
        <f t="shared" si="1"/>
        <v>4593.7007999999987</v>
      </c>
      <c r="I22" s="35">
        <f>[1]コスト!$X$91+[1]コスト!$X$66</f>
        <v>8772.56286</v>
      </c>
      <c r="J22" s="48">
        <f t="shared" si="2"/>
        <v>1546.9848600000005</v>
      </c>
      <c r="K22" s="35">
        <f>[1]コスト!$X$41</f>
        <v>227</v>
      </c>
      <c r="L22" s="48">
        <f t="shared" si="3"/>
        <v>28</v>
      </c>
      <c r="M22" s="35">
        <f>[1]使用量!$X$387</f>
        <v>170</v>
      </c>
      <c r="N22" s="35">
        <f>[1]使用量!$X$388</f>
        <v>370</v>
      </c>
      <c r="P22" s="37"/>
      <c r="Q22" s="37"/>
    </row>
    <row r="23" spans="1:26" ht="45" customHeight="1">
      <c r="A23" s="28">
        <v>44823</v>
      </c>
      <c r="B23" s="39"/>
      <c r="C23" s="35">
        <f>[1]コスト!$Y$147</f>
        <v>17176</v>
      </c>
      <c r="D23" s="48">
        <f>IF((C23-C22&lt;0), "0",C23-C22)</f>
        <v>219</v>
      </c>
      <c r="E23" s="35">
        <f>[1]コスト!$Y$23</f>
        <v>175.7</v>
      </c>
      <c r="F23" s="48" t="str">
        <f t="shared" si="0"/>
        <v>0</v>
      </c>
      <c r="G23" s="35">
        <f>[1]コスト!$Y$115+'[1]19日'!$C$29</f>
        <v>32244.523799999999</v>
      </c>
      <c r="H23" s="48">
        <f t="shared" si="1"/>
        <v>4333.1244000000006</v>
      </c>
      <c r="I23" s="35">
        <f>[1]コスト!$Y$91+[1]コスト!$Y$66</f>
        <v>6877.4112599999999</v>
      </c>
      <c r="J23" s="48" t="str">
        <f t="shared" si="2"/>
        <v>0</v>
      </c>
      <c r="K23" s="35">
        <f>[1]コスト!$Y$41</f>
        <v>199</v>
      </c>
      <c r="L23" s="48" t="str">
        <f t="shared" si="3"/>
        <v>0</v>
      </c>
      <c r="M23" s="35">
        <f>[1]使用量!$Y$387</f>
        <v>101</v>
      </c>
      <c r="N23" s="35">
        <f>[1]使用量!$Y$388</f>
        <v>176</v>
      </c>
      <c r="P23" s="37"/>
      <c r="Q23" s="37"/>
    </row>
    <row r="24" spans="1:26" ht="45" customHeight="1">
      <c r="A24" s="28">
        <v>44824</v>
      </c>
      <c r="B24" s="39"/>
      <c r="C24" s="35">
        <f>[1]コスト!$Z$147</f>
        <v>15863</v>
      </c>
      <c r="D24" s="48" t="str">
        <f t="shared" ref="D24:D35" si="5">IF((C24-C23&lt;0), "0",C24-C23)</f>
        <v>0</v>
      </c>
      <c r="E24" s="35">
        <f>[1]コスト!$Z$23</f>
        <v>174.2</v>
      </c>
      <c r="F24" s="48" t="str">
        <f t="shared" si="0"/>
        <v>0</v>
      </c>
      <c r="G24" s="35">
        <f>[1]コスト!$Z$115+'[1]20日'!$C$29</f>
        <v>16385.7552</v>
      </c>
      <c r="H24" s="48" t="str">
        <f t="shared" si="1"/>
        <v>0</v>
      </c>
      <c r="I24" s="35">
        <f>[1]コスト!$Z$91+[1]コスト!$Z$66</f>
        <v>7389.2021999999997</v>
      </c>
      <c r="J24" s="48">
        <f t="shared" si="2"/>
        <v>511.79093999999986</v>
      </c>
      <c r="K24" s="35">
        <f>[1]コスト!$Z$41</f>
        <v>149</v>
      </c>
      <c r="L24" s="48" t="str">
        <f t="shared" si="3"/>
        <v>0</v>
      </c>
      <c r="M24" s="35">
        <f>[1]使用量!$Z$387</f>
        <v>95</v>
      </c>
      <c r="N24" s="35">
        <f>[1]使用量!$Z$388</f>
        <v>156</v>
      </c>
      <c r="P24" s="37"/>
      <c r="Q24" s="37"/>
    </row>
    <row r="25" spans="1:26" ht="45" customHeight="1">
      <c r="A25" s="28">
        <v>44825</v>
      </c>
      <c r="B25" s="39"/>
      <c r="C25" s="35">
        <f>[1]コスト!$AA$147</f>
        <v>15259</v>
      </c>
      <c r="D25" s="48" t="str">
        <f t="shared" si="5"/>
        <v>0</v>
      </c>
      <c r="E25" s="35">
        <f>[1]コスト!$AA$23</f>
        <v>161.4</v>
      </c>
      <c r="F25" s="48" t="str">
        <f t="shared" si="0"/>
        <v>0</v>
      </c>
      <c r="G25" s="35">
        <f>[1]コスト!$AA$115+'[1]21日'!$C$29</f>
        <v>6925.2761999999993</v>
      </c>
      <c r="H25" s="48" t="str">
        <f t="shared" si="1"/>
        <v>0</v>
      </c>
      <c r="I25" s="35">
        <f>[1]コスト!$AA$91+[1]コスト!$AA$66</f>
        <v>9209.0977800000001</v>
      </c>
      <c r="J25" s="48">
        <f t="shared" si="2"/>
        <v>1819.8955800000003</v>
      </c>
      <c r="K25" s="35">
        <f>[1]コスト!$AA$41</f>
        <v>125</v>
      </c>
      <c r="L25" s="48" t="str">
        <f t="shared" si="3"/>
        <v>0</v>
      </c>
      <c r="M25" s="35">
        <f>[1]使用量!$AA$387</f>
        <v>85</v>
      </c>
      <c r="N25" s="35">
        <f>[1]使用量!$AA$388</f>
        <v>143</v>
      </c>
      <c r="P25" s="37"/>
      <c r="Q25" s="37"/>
    </row>
    <row r="26" spans="1:26" ht="45" customHeight="1">
      <c r="A26" s="28">
        <v>44826</v>
      </c>
      <c r="B26" s="39"/>
      <c r="C26" s="35">
        <f>[1]コスト!$AB$147</f>
        <v>15457</v>
      </c>
      <c r="D26" s="48">
        <f t="shared" si="5"/>
        <v>198</v>
      </c>
      <c r="E26" s="35">
        <f>[1]コスト!$AB$23</f>
        <v>168.5</v>
      </c>
      <c r="F26" s="48">
        <f t="shared" si="0"/>
        <v>7.0999999999999943</v>
      </c>
      <c r="G26" s="35">
        <f>[1]コスト!$AB$115+'[1]22日'!$C$29</f>
        <v>7826.4593999999997</v>
      </c>
      <c r="H26" s="48">
        <f t="shared" si="1"/>
        <v>901.1832000000004</v>
      </c>
      <c r="I26" s="35">
        <f>[1]コスト!$AB$91+[1]コスト!$AB$66</f>
        <v>9127.5912599999992</v>
      </c>
      <c r="J26" s="48" t="str">
        <f t="shared" si="2"/>
        <v>0</v>
      </c>
      <c r="K26" s="35">
        <f>[1]コスト!$AB$41</f>
        <v>158</v>
      </c>
      <c r="L26" s="48">
        <f t="shared" si="3"/>
        <v>33</v>
      </c>
      <c r="M26" s="35">
        <f>[1]使用量!$AB$387</f>
        <v>151</v>
      </c>
      <c r="N26" s="35">
        <f>[1]使用量!$AB$388</f>
        <v>254</v>
      </c>
      <c r="P26" s="37"/>
      <c r="Q26" s="37"/>
    </row>
    <row r="27" spans="1:26" ht="45" customHeight="1">
      <c r="A27" s="28">
        <v>44827</v>
      </c>
      <c r="B27" s="39"/>
      <c r="C27" s="35">
        <f>[1]コスト!$AC$147</f>
        <v>16810</v>
      </c>
      <c r="D27" s="48">
        <f t="shared" si="5"/>
        <v>1353</v>
      </c>
      <c r="E27" s="35">
        <f>[1]コスト!$AC$23</f>
        <v>196.8</v>
      </c>
      <c r="F27" s="48">
        <f t="shared" si="0"/>
        <v>28.300000000000011</v>
      </c>
      <c r="G27" s="35">
        <f>[1]コスト!$AC$115+'[1]23日'!$C$29</f>
        <v>13301.3418</v>
      </c>
      <c r="H27" s="48">
        <f t="shared" si="1"/>
        <v>5474.8824000000004</v>
      </c>
      <c r="I27" s="35">
        <f>[1]コスト!$AC$91+[1]コスト!$AC$66</f>
        <v>9158.9826599999997</v>
      </c>
      <c r="J27" s="48">
        <f t="shared" si="2"/>
        <v>31.391400000000431</v>
      </c>
      <c r="K27" s="35">
        <f>[1]コスト!$AC$41</f>
        <v>175</v>
      </c>
      <c r="L27" s="48">
        <f t="shared" si="3"/>
        <v>17</v>
      </c>
      <c r="M27" s="35">
        <f>[1]使用量!$AC$387</f>
        <v>177</v>
      </c>
      <c r="N27" s="35">
        <f>[1]使用量!$AC$388</f>
        <v>318</v>
      </c>
      <c r="P27" s="37"/>
      <c r="Q27" s="37"/>
    </row>
    <row r="28" spans="1:26" ht="45" customHeight="1">
      <c r="A28" s="28">
        <v>44828</v>
      </c>
      <c r="B28" s="39"/>
      <c r="C28" s="35">
        <f>[1]コスト!$AD$147</f>
        <v>17501</v>
      </c>
      <c r="D28" s="48">
        <f t="shared" si="5"/>
        <v>691</v>
      </c>
      <c r="E28" s="35">
        <f>[1]コスト!$AD$23</f>
        <v>197.4</v>
      </c>
      <c r="F28" s="48">
        <f t="shared" si="0"/>
        <v>0.59999999999999432</v>
      </c>
      <c r="G28" s="35">
        <f>[1]コスト!$AD$115+'[1]24日'!$C$29</f>
        <v>20935.841399999998</v>
      </c>
      <c r="H28" s="48">
        <f t="shared" si="1"/>
        <v>7634.4995999999974</v>
      </c>
      <c r="I28" s="35">
        <f>[1]コスト!$AD$91+[1]コスト!$AD$66</f>
        <v>8923.4915999999994</v>
      </c>
      <c r="J28" s="48" t="str">
        <f t="shared" si="2"/>
        <v>0</v>
      </c>
      <c r="K28" s="35">
        <f>[1]コスト!$AD$41</f>
        <v>206</v>
      </c>
      <c r="L28" s="48">
        <f t="shared" si="3"/>
        <v>31</v>
      </c>
      <c r="M28" s="35">
        <f>[1]使用量!$AD$387</f>
        <v>185</v>
      </c>
      <c r="N28" s="35">
        <f>[1]使用量!$AD$388</f>
        <v>333</v>
      </c>
      <c r="P28" s="37"/>
      <c r="Q28" s="37"/>
    </row>
    <row r="29" spans="1:26" ht="45" customHeight="1">
      <c r="A29" s="28">
        <v>44829</v>
      </c>
      <c r="B29" s="39"/>
      <c r="C29" s="35">
        <f>[1]コスト!$AE$147</f>
        <v>17405</v>
      </c>
      <c r="D29" s="48" t="str">
        <f t="shared" si="5"/>
        <v>0</v>
      </c>
      <c r="E29" s="35">
        <f>[1]コスト!$AE$23</f>
        <v>183.1</v>
      </c>
      <c r="F29" s="48" t="str">
        <f t="shared" si="0"/>
        <v>0</v>
      </c>
      <c r="G29" s="35">
        <f>[1]コスト!$AE$115+'[1]25日'!$C$29</f>
        <v>15028.4244</v>
      </c>
      <c r="H29" s="48" t="str">
        <f t="shared" si="1"/>
        <v>0</v>
      </c>
      <c r="I29" s="35">
        <f>[1]コスト!$AE$91+[1]コスト!$AE$66</f>
        <v>8699.751479999999</v>
      </c>
      <c r="J29" s="48" t="str">
        <f t="shared" si="2"/>
        <v>0</v>
      </c>
      <c r="K29" s="35">
        <f>[1]コスト!$AE$41</f>
        <v>192</v>
      </c>
      <c r="L29" s="48" t="str">
        <f t="shared" si="3"/>
        <v>0</v>
      </c>
      <c r="M29" s="35">
        <f>[1]使用量!$AE$387</f>
        <v>165</v>
      </c>
      <c r="N29" s="35">
        <f>[1]使用量!$AE$388</f>
        <v>249</v>
      </c>
      <c r="P29" s="37"/>
      <c r="Q29" s="37"/>
    </row>
    <row r="30" spans="1:26" ht="45" customHeight="1">
      <c r="A30" s="28">
        <v>44830</v>
      </c>
      <c r="B30" s="39"/>
      <c r="C30" s="35">
        <f>[1]コスト!$AF$147</f>
        <v>17370</v>
      </c>
      <c r="D30" s="48" t="str">
        <f t="shared" si="5"/>
        <v>0</v>
      </c>
      <c r="E30" s="35">
        <f>[1]コスト!$AF$23</f>
        <v>187.6</v>
      </c>
      <c r="F30" s="48">
        <f t="shared" si="0"/>
        <v>4.5</v>
      </c>
      <c r="G30" s="35">
        <f>[1]コスト!$AF$115+'[1]26日'!$C$29</f>
        <v>16980.802799999998</v>
      </c>
      <c r="H30" s="48">
        <f t="shared" si="1"/>
        <v>1952.3783999999978</v>
      </c>
      <c r="I30" s="35">
        <f>[1]コスト!$AF$91+[1]コスト!$AF$66</f>
        <v>8325.6382200000007</v>
      </c>
      <c r="J30" s="48" t="str">
        <f t="shared" si="2"/>
        <v>0</v>
      </c>
      <c r="K30" s="35">
        <f>[1]コスト!$AF$41</f>
        <v>177</v>
      </c>
      <c r="L30" s="48" t="str">
        <f t="shared" si="3"/>
        <v>0</v>
      </c>
      <c r="M30" s="35">
        <f>[1]使用量!$AF$387</f>
        <v>167</v>
      </c>
      <c r="N30" s="35">
        <f>[1]使用量!$AF$388</f>
        <v>249</v>
      </c>
      <c r="P30" s="37"/>
      <c r="Q30" s="37"/>
    </row>
    <row r="31" spans="1:26" ht="45" customHeight="1">
      <c r="A31" s="28">
        <v>44831</v>
      </c>
      <c r="B31" s="39"/>
      <c r="C31" s="35">
        <f>[1]コスト!$AG$147</f>
        <v>17133</v>
      </c>
      <c r="D31" s="48" t="str">
        <f t="shared" si="5"/>
        <v>0</v>
      </c>
      <c r="E31" s="35">
        <f>[1]コスト!$AG$23</f>
        <v>186.5</v>
      </c>
      <c r="F31" s="48" t="str">
        <f t="shared" si="0"/>
        <v>0</v>
      </c>
      <c r="G31" s="35">
        <f>[1]コスト!$AG$115+'[1]27日'!$C$29</f>
        <v>16601.605799999998</v>
      </c>
      <c r="H31" s="48" t="str">
        <f t="shared" si="1"/>
        <v>0</v>
      </c>
      <c r="I31" s="35">
        <f>[1]コスト!$AG$91+[1]コスト!$AG$66</f>
        <v>8239.2424200000005</v>
      </c>
      <c r="J31" s="48" t="str">
        <f t="shared" si="2"/>
        <v>0</v>
      </c>
      <c r="K31" s="35">
        <f>[1]コスト!$AG$41</f>
        <v>170</v>
      </c>
      <c r="L31" s="48" t="str">
        <f t="shared" si="3"/>
        <v>0</v>
      </c>
      <c r="M31" s="35">
        <f>[1]使用量!$AG$387</f>
        <v>163</v>
      </c>
      <c r="N31" s="35">
        <f>[1]使用量!$AG$388</f>
        <v>239</v>
      </c>
      <c r="P31" s="37"/>
      <c r="Q31" s="37"/>
    </row>
    <row r="32" spans="1:26" ht="45" customHeight="1">
      <c r="A32" s="28">
        <v>44832</v>
      </c>
      <c r="B32" s="39"/>
      <c r="C32" s="35">
        <f>[1]コスト!$AH$147</f>
        <v>16332</v>
      </c>
      <c r="D32" s="48" t="str">
        <f t="shared" si="5"/>
        <v>0</v>
      </c>
      <c r="E32" s="35">
        <f>[1]コスト!$AH$23</f>
        <v>170.1</v>
      </c>
      <c r="F32" s="48" t="str">
        <f t="shared" si="0"/>
        <v>0</v>
      </c>
      <c r="G32" s="35">
        <f>[1]コスト!$AH$115+'[1]28日'!$C$29</f>
        <v>13345.234200000001</v>
      </c>
      <c r="H32" s="48" t="str">
        <f t="shared" si="1"/>
        <v>0</v>
      </c>
      <c r="I32" s="35">
        <f>[1]コスト!$AH$91+[1]コスト!$AH$66</f>
        <v>8312.3315999999995</v>
      </c>
      <c r="J32" s="48">
        <f t="shared" si="2"/>
        <v>73.089179999999033</v>
      </c>
      <c r="K32" s="35">
        <f>[1]コスト!$AH$41</f>
        <v>167</v>
      </c>
      <c r="L32" s="48" t="str">
        <f t="shared" si="3"/>
        <v>0</v>
      </c>
      <c r="M32" s="35">
        <f>[1]使用量!$AH$387</f>
        <v>168</v>
      </c>
      <c r="N32" s="35">
        <f>[1]使用量!$AH$388</f>
        <v>250</v>
      </c>
      <c r="P32" s="37"/>
      <c r="Q32" s="37"/>
    </row>
    <row r="33" spans="1:17" ht="36" customHeight="1">
      <c r="A33" s="28">
        <v>44833</v>
      </c>
      <c r="C33" s="35">
        <f>[1]コスト!$AI$147</f>
        <v>16222</v>
      </c>
      <c r="D33" s="48" t="str">
        <f t="shared" si="5"/>
        <v>0</v>
      </c>
      <c r="E33" s="35">
        <f>[1]コスト!$AI$23</f>
        <v>169.6</v>
      </c>
      <c r="F33" s="48" t="str">
        <f t="shared" si="0"/>
        <v>0</v>
      </c>
      <c r="G33" s="35">
        <f>[1]コスト!$AI$115+'[1]29日'!$C$29</f>
        <v>11847.8922</v>
      </c>
      <c r="H33" s="48" t="str">
        <f t="shared" si="1"/>
        <v>0</v>
      </c>
      <c r="I33" s="35">
        <f>[1]コスト!$AI$91+[1]コスト!$AI$66</f>
        <v>8729.6983199999995</v>
      </c>
      <c r="J33" s="48">
        <f t="shared" si="2"/>
        <v>417.36671999999999</v>
      </c>
      <c r="K33" s="35">
        <f>[1]コスト!$AI$41</f>
        <v>160</v>
      </c>
      <c r="L33" s="48" t="str">
        <f t="shared" si="3"/>
        <v>0</v>
      </c>
      <c r="M33" s="35">
        <f>[1]使用量!$AI$387</f>
        <v>152</v>
      </c>
      <c r="N33" s="35">
        <f>[1]使用量!$AI$388</f>
        <v>222</v>
      </c>
      <c r="P33" s="37"/>
      <c r="Q33" s="37"/>
    </row>
    <row r="34" spans="1:17" ht="45.5" customHeight="1">
      <c r="A34" s="28">
        <v>44834</v>
      </c>
      <c r="C34" s="35">
        <f>[1]コスト!$AJ$147</f>
        <v>16433</v>
      </c>
      <c r="D34" s="48">
        <f t="shared" si="5"/>
        <v>211</v>
      </c>
      <c r="E34" s="35">
        <f>[1]コスト!$AJ$23</f>
        <v>191.9</v>
      </c>
      <c r="F34" s="48">
        <f t="shared" si="0"/>
        <v>22.300000000000011</v>
      </c>
      <c r="G34" s="35">
        <f>[1]コスト!$AJ$115+'[1]30日'!$C$29</f>
        <v>14465.8794</v>
      </c>
      <c r="H34" s="48">
        <f t="shared" si="1"/>
        <v>2617.9871999999996</v>
      </c>
      <c r="I34" s="35">
        <f>[1]コスト!$AJ$91+[1]コスト!$AJ$66</f>
        <v>8449.0647599999993</v>
      </c>
      <c r="J34" s="48" t="str">
        <f t="shared" si="2"/>
        <v>0</v>
      </c>
      <c r="K34" s="35">
        <f>[1]コスト!$AJ$41</f>
        <v>150</v>
      </c>
      <c r="L34" s="48" t="str">
        <f t="shared" si="3"/>
        <v>0</v>
      </c>
      <c r="M34" s="35">
        <f>[1]使用量!$AJ$387</f>
        <v>110</v>
      </c>
      <c r="N34" s="35">
        <f>[1]使用量!$AJ$388</f>
        <v>208</v>
      </c>
      <c r="P34" s="37"/>
      <c r="Q34" s="37"/>
    </row>
    <row r="35" spans="1:17" ht="47.5" customHeight="1">
      <c r="A35" s="28">
        <v>44835</v>
      </c>
      <c r="C35" s="35">
        <f>[1]コスト!$AK$147</f>
        <v>0</v>
      </c>
      <c r="D35" s="48" t="str">
        <f t="shared" si="5"/>
        <v>0</v>
      </c>
      <c r="E35" s="35">
        <f>[1]コスト!$AK$23</f>
        <v>0</v>
      </c>
      <c r="F35" s="48" t="str">
        <f t="shared" si="0"/>
        <v>0</v>
      </c>
      <c r="G35" s="35">
        <f>[1]コスト!$AK$115+'[1]31日'!$C$29</f>
        <v>0</v>
      </c>
      <c r="H35" s="48" t="str">
        <f t="shared" si="1"/>
        <v>0</v>
      </c>
      <c r="I35" s="35">
        <f>[1]コスト!$AK$91+[1]コスト!$AK$66</f>
        <v>0</v>
      </c>
      <c r="J35" s="48" t="str">
        <f t="shared" si="2"/>
        <v>0</v>
      </c>
      <c r="K35" s="35">
        <f>[1]コスト!$AK$41</f>
        <v>0</v>
      </c>
      <c r="L35" s="48" t="str">
        <f t="shared" si="3"/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494627</v>
      </c>
      <c r="E38" s="38">
        <f>SUM(E5:E37)</f>
        <v>5423.3</v>
      </c>
      <c r="G38" s="38">
        <f>SUM(G5:G37)</f>
        <v>582053.505</v>
      </c>
      <c r="H38" s="38"/>
      <c r="I38" s="38">
        <f>SUM(I5:I37)</f>
        <v>226675.99374000003</v>
      </c>
      <c r="K38" s="38">
        <f>SUM(K5:K37)</f>
        <v>4950</v>
      </c>
      <c r="M38" s="38">
        <f>SUM(M5:M37)</f>
        <v>4033</v>
      </c>
      <c r="N38" s="38">
        <f>SUM(N5:N37)</f>
        <v>6894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2023-02-24T14:48:25Z</dcterms:modified>
</cp:coreProperties>
</file>