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36" i="2" l="1"/>
  <c r="AH36" i="2" l="1"/>
  <c r="AG36" i="2"/>
  <c r="AF36" i="2"/>
  <c r="W36" i="2"/>
  <c r="V36" i="2"/>
  <c r="Q36" i="2"/>
  <c r="P36" i="2"/>
  <c r="N36" i="2"/>
  <c r="M36" i="2"/>
  <c r="J36" i="2" l="1"/>
  <c r="I36" i="2"/>
  <c r="H36" i="2"/>
  <c r="G36" i="2"/>
  <c r="F36" i="2"/>
  <c r="E36" i="2"/>
  <c r="D36" i="2"/>
  <c r="C36" i="2"/>
  <c r="B36" i="2"/>
  <c r="AH35" i="2" l="1"/>
  <c r="AG35" i="2"/>
  <c r="AF35" i="2"/>
  <c r="AH34" i="2"/>
  <c r="AG34" i="2"/>
  <c r="AF34" i="2"/>
  <c r="AH33" i="2"/>
  <c r="AG33" i="2"/>
  <c r="AF33" i="2"/>
  <c r="AH32" i="2"/>
  <c r="AG32" i="2"/>
  <c r="AF32" i="2"/>
  <c r="W35" i="2"/>
  <c r="V35" i="2"/>
  <c r="W34" i="2"/>
  <c r="V34" i="2"/>
  <c r="W33" i="2" l="1"/>
  <c r="V33" i="2"/>
  <c r="W32" i="2"/>
  <c r="V32" i="2"/>
  <c r="Q35" i="2" l="1"/>
  <c r="P35" i="2"/>
  <c r="Q34" i="2"/>
  <c r="P34" i="2"/>
  <c r="Q33" i="2"/>
  <c r="P33" i="2"/>
  <c r="Q32" i="2"/>
  <c r="P32" i="2"/>
  <c r="O35" i="2"/>
  <c r="N35" i="2"/>
  <c r="M35" i="2"/>
  <c r="O34" i="2"/>
  <c r="N34" i="2"/>
  <c r="M34" i="2"/>
  <c r="O33" i="2"/>
  <c r="N33" i="2"/>
  <c r="M33" i="2"/>
  <c r="O32" i="2"/>
  <c r="N32" i="2"/>
  <c r="M32" i="2"/>
  <c r="J35" i="2" l="1"/>
  <c r="I35" i="2"/>
  <c r="H35" i="2"/>
  <c r="G35" i="2"/>
  <c r="F35" i="2"/>
  <c r="E35" i="2"/>
  <c r="D35" i="2"/>
  <c r="C35" i="2"/>
  <c r="B35" i="2"/>
  <c r="J34" i="2"/>
  <c r="I34" i="2"/>
  <c r="H34" i="2"/>
  <c r="G34" i="2"/>
  <c r="F34" i="2"/>
  <c r="E34" i="2"/>
  <c r="D34" i="2"/>
  <c r="C34" i="2"/>
  <c r="B34" i="2"/>
  <c r="J33" i="2"/>
  <c r="I33" i="2"/>
  <c r="H33" i="2"/>
  <c r="G33" i="2"/>
  <c r="F33" i="2"/>
  <c r="E33" i="2"/>
  <c r="D33" i="2"/>
  <c r="C33" i="2"/>
  <c r="B33" i="2"/>
  <c r="J32" i="2"/>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AH26" i="2"/>
  <c r="AG26" i="2"/>
  <c r="AF26" i="2"/>
  <c r="W27" i="2"/>
  <c r="V27" i="2"/>
  <c r="W26" i="2"/>
  <c r="V26" i="2"/>
  <c r="Q27" i="2" l="1"/>
  <c r="P27" i="2"/>
  <c r="Q26" i="2"/>
  <c r="P26" i="2"/>
  <c r="O27" i="2"/>
  <c r="N27" i="2"/>
  <c r="M27" i="2"/>
  <c r="O26" i="2"/>
  <c r="N26" i="2"/>
  <c r="M26" i="2"/>
  <c r="J27" i="2" l="1"/>
  <c r="I27" i="2"/>
  <c r="H27" i="2"/>
  <c r="G27" i="2"/>
  <c r="F27" i="2"/>
  <c r="E27" i="2"/>
  <c r="D27" i="2"/>
  <c r="C27" i="2"/>
  <c r="B27" i="2"/>
  <c r="J26" i="2"/>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W22" i="2"/>
  <c r="V22" i="2"/>
  <c r="Q22" i="2" l="1"/>
  <c r="P22" i="2"/>
  <c r="O22" i="2"/>
  <c r="N22" i="2"/>
  <c r="M22" i="2"/>
  <c r="J22" i="2" l="1"/>
  <c r="I22" i="2"/>
  <c r="H22" i="2"/>
  <c r="G22" i="2"/>
  <c r="F22" i="2"/>
  <c r="E22" i="2"/>
  <c r="D22" i="2"/>
  <c r="C22" i="2"/>
  <c r="B22" i="2"/>
  <c r="AH21" i="2" l="1"/>
  <c r="AG21" i="2"/>
  <c r="AF21" i="2"/>
  <c r="AH20" i="2"/>
  <c r="AG20" i="2"/>
  <c r="AF20" i="2"/>
  <c r="AH19" i="2"/>
  <c r="AG19" i="2"/>
  <c r="AF19" i="2"/>
  <c r="W21" i="2"/>
  <c r="V21" i="2"/>
  <c r="W20" i="2"/>
  <c r="V20" i="2"/>
  <c r="W19" i="2"/>
  <c r="V19" i="2"/>
  <c r="Q21" i="2" l="1"/>
  <c r="P21" i="2"/>
  <c r="Q20" i="2"/>
  <c r="P20" i="2"/>
  <c r="Q19" i="2"/>
  <c r="P19" i="2"/>
  <c r="Q18" i="2"/>
  <c r="P18" i="2"/>
  <c r="O21" i="2"/>
  <c r="N21" i="2"/>
  <c r="M21" i="2"/>
  <c r="O20" i="2"/>
  <c r="N20" i="2"/>
  <c r="M20" i="2"/>
  <c r="O19" i="2"/>
  <c r="N19" i="2"/>
  <c r="M19" i="2"/>
  <c r="O18" i="2"/>
  <c r="N18" i="2"/>
  <c r="M18" i="2"/>
  <c r="J21" i="2" l="1"/>
  <c r="I21" i="2"/>
  <c r="H21" i="2"/>
  <c r="G21" i="2"/>
  <c r="F21" i="2"/>
  <c r="E21" i="2"/>
  <c r="D21" i="2"/>
  <c r="C21" i="2"/>
  <c r="B21" i="2"/>
  <c r="J20" i="2"/>
  <c r="I20" i="2"/>
  <c r="H20" i="2"/>
  <c r="G20" i="2"/>
  <c r="F20" i="2"/>
  <c r="E20" i="2"/>
  <c r="D20" i="2"/>
  <c r="C20" i="2"/>
  <c r="B20" i="2"/>
  <c r="J19" i="2"/>
  <c r="I19" i="2"/>
  <c r="H19" i="2"/>
  <c r="G19" i="2"/>
  <c r="F19" i="2"/>
  <c r="E19" i="2"/>
  <c r="D19" i="2"/>
  <c r="C19" i="2"/>
  <c r="B19" i="2"/>
  <c r="AH18" i="2" l="1"/>
  <c r="AG18" i="2"/>
  <c r="AF18" i="2"/>
  <c r="W18" i="2"/>
  <c r="V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G16" i="2"/>
  <c r="AF16" i="2"/>
  <c r="V16" i="2"/>
  <c r="Q16" i="2" l="1"/>
  <c r="P16" i="2"/>
  <c r="O16" i="2"/>
  <c r="N16" i="2"/>
  <c r="M16" i="2"/>
  <c r="J16" i="2" l="1"/>
  <c r="I16" i="2"/>
  <c r="H16" i="2"/>
  <c r="G16" i="2"/>
  <c r="F16" i="2"/>
  <c r="E16" i="2"/>
  <c r="D16" i="2"/>
  <c r="C16" i="2"/>
  <c r="B16" i="2"/>
  <c r="AH15" i="2" l="1"/>
  <c r="AG15" i="2"/>
  <c r="AF15" i="2"/>
  <c r="V15" i="2"/>
  <c r="Q15" i="2" l="1"/>
  <c r="P15" i="2"/>
  <c r="O15" i="2"/>
  <c r="N15" i="2"/>
  <c r="M15" i="2"/>
  <c r="J15" i="2"/>
  <c r="I15" i="2"/>
  <c r="H15" i="2"/>
  <c r="G15" i="2"/>
  <c r="F15" i="2"/>
  <c r="E15" i="2"/>
  <c r="D15" i="2"/>
  <c r="C15" i="2"/>
  <c r="B15" i="2"/>
  <c r="J14" i="2" l="1"/>
  <c r="AH14" i="2" l="1"/>
  <c r="AG14" i="2"/>
  <c r="AF14" i="2"/>
  <c r="V14" i="2"/>
  <c r="Q14" i="2" l="1"/>
  <c r="P14" i="2"/>
  <c r="O14" i="2"/>
  <c r="N14" i="2"/>
  <c r="M14" i="2"/>
  <c r="I14" i="2" l="1"/>
  <c r="H14" i="2"/>
  <c r="G14" i="2"/>
  <c r="F14" i="2"/>
  <c r="E14" i="2"/>
  <c r="D14" i="2"/>
  <c r="C14" i="2"/>
  <c r="B14" i="2"/>
  <c r="AH13" i="2" l="1"/>
  <c r="AG13" i="2"/>
  <c r="AF13" i="2"/>
  <c r="AH12" i="2"/>
  <c r="AG12" i="2"/>
  <c r="AF12" i="2"/>
  <c r="W16" i="2"/>
  <c r="W15" i="2"/>
  <c r="W14" i="2"/>
  <c r="W13" i="2"/>
  <c r="V13" i="2"/>
  <c r="W12" i="2"/>
  <c r="V12" i="2"/>
  <c r="Q13" i="2" l="1"/>
  <c r="P13" i="2"/>
  <c r="Q12" i="2"/>
  <c r="P12" i="2"/>
  <c r="O13" i="2"/>
  <c r="N13" i="2"/>
  <c r="M13" i="2"/>
  <c r="O12" i="2"/>
  <c r="N12" i="2"/>
  <c r="M12" i="2"/>
  <c r="J13" i="2" l="1"/>
  <c r="I13" i="2"/>
  <c r="H13" i="2"/>
  <c r="G13" i="2"/>
  <c r="F13" i="2"/>
  <c r="E13" i="2"/>
  <c r="D13" i="2"/>
  <c r="C13" i="2"/>
  <c r="B13" i="2"/>
  <c r="J12" i="2"/>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W11" i="2"/>
  <c r="W10" i="2"/>
  <c r="V10" i="2"/>
  <c r="Q10" i="2" l="1"/>
  <c r="P10" i="2"/>
  <c r="O10" i="2"/>
  <c r="N10" i="2"/>
  <c r="M10" i="2"/>
  <c r="J10" i="2" l="1"/>
  <c r="I10" i="2"/>
  <c r="H10" i="2"/>
  <c r="G10" i="2"/>
  <c r="F10" i="2"/>
  <c r="E10" i="2"/>
  <c r="D10" i="2"/>
  <c r="C10" i="2"/>
  <c r="B10" i="2"/>
  <c r="W9" i="2" l="1"/>
  <c r="AH9" i="2" l="1"/>
  <c r="AG9" i="2"/>
  <c r="AF9" i="2"/>
  <c r="V9" i="2"/>
  <c r="Q9" i="2" l="1"/>
  <c r="P9" i="2"/>
  <c r="O9" i="2"/>
  <c r="N9" i="2"/>
  <c r="M9" i="2"/>
  <c r="J9" i="2" l="1"/>
  <c r="I9" i="2"/>
  <c r="H9" i="2"/>
  <c r="G9" i="2"/>
  <c r="F9" i="2"/>
  <c r="E9" i="2"/>
  <c r="D9" i="2"/>
  <c r="C9" i="2"/>
  <c r="B9" i="2"/>
  <c r="AH8" i="2" l="1"/>
  <c r="AG8" i="2"/>
  <c r="AF8" i="2"/>
  <c r="V8" i="2"/>
  <c r="Q8" i="2" l="1"/>
  <c r="P8" i="2"/>
  <c r="O8" i="2"/>
  <c r="N8" i="2"/>
  <c r="M8" i="2"/>
  <c r="J8" i="2" l="1"/>
  <c r="I8" i="2"/>
  <c r="H8" i="2"/>
  <c r="G8" i="2"/>
  <c r="F8" i="2"/>
  <c r="E8" i="2"/>
  <c r="D8" i="2"/>
  <c r="C8" i="2"/>
  <c r="B8" i="2"/>
  <c r="AH7" i="2" l="1"/>
  <c r="AG7" i="2"/>
  <c r="AF7" i="2"/>
  <c r="V7" i="2"/>
  <c r="Q7" i="2" l="1"/>
  <c r="P7" i="2"/>
  <c r="O7" i="2"/>
  <c r="N7" i="2"/>
  <c r="M7" i="2"/>
  <c r="J7" i="2" l="1"/>
  <c r="I7" i="2"/>
  <c r="H7" i="2"/>
  <c r="G7" i="2"/>
  <c r="F7" i="2"/>
  <c r="E7" i="2"/>
  <c r="D7" i="2"/>
  <c r="C7" i="2"/>
  <c r="B7" i="2"/>
  <c r="AH6" i="2" l="1"/>
  <c r="AG6" i="2"/>
  <c r="AF6" i="2"/>
  <c r="W8" i="2"/>
  <c r="W7" i="2"/>
  <c r="W6" i="2"/>
  <c r="V6" i="2"/>
  <c r="Q6" i="2" l="1"/>
  <c r="P6" i="2"/>
  <c r="O6" i="2"/>
  <c r="N6" i="2"/>
  <c r="M6" i="2"/>
  <c r="J6" i="2" l="1"/>
  <c r="I6" i="2"/>
  <c r="H6" i="2"/>
  <c r="G6" i="2"/>
  <c r="F6" i="2"/>
  <c r="E6" i="2"/>
  <c r="D6" i="2"/>
  <c r="C6" i="2"/>
  <c r="B6" i="2"/>
  <c r="M31" i="1" l="1"/>
  <c r="N31" i="1"/>
  <c r="M32" i="1"/>
  <c r="N32" i="1"/>
  <c r="B31" i="1"/>
  <c r="B32" i="1"/>
  <c r="U31" i="3"/>
  <c r="V31" i="3"/>
  <c r="W31" i="3"/>
  <c r="U32" i="3"/>
  <c r="V32" i="3"/>
  <c r="W32" i="3"/>
  <c r="E31" i="3"/>
  <c r="E31" i="1" s="1"/>
  <c r="F31" i="3"/>
  <c r="G31" i="3"/>
  <c r="H31" i="3"/>
  <c r="I31" i="3"/>
  <c r="J31" i="3"/>
  <c r="K31" i="3"/>
  <c r="L31" i="3"/>
  <c r="M31" i="3"/>
  <c r="N31" i="3"/>
  <c r="Q31" i="3"/>
  <c r="R31" i="3"/>
  <c r="E32" i="3"/>
  <c r="F32" i="3"/>
  <c r="G32" i="3"/>
  <c r="E32" i="1" s="1"/>
  <c r="H32" i="3"/>
  <c r="I32" i="3"/>
  <c r="J32" i="3"/>
  <c r="K32" i="3"/>
  <c r="L32" i="3"/>
  <c r="M32" i="3"/>
  <c r="Q32" i="3"/>
  <c r="R32" i="3"/>
  <c r="B31" i="3"/>
  <c r="B32" i="3"/>
  <c r="AK35" i="2"/>
  <c r="AL35" i="2" s="1"/>
  <c r="AM35" i="2" s="1"/>
  <c r="AI35" i="2"/>
  <c r="AI36" i="2"/>
  <c r="AK36" i="2" s="1"/>
  <c r="AC35" i="2"/>
  <c r="AD35" i="2"/>
  <c r="AE35" i="2" s="1"/>
  <c r="AC36" i="2"/>
  <c r="AD36" i="2"/>
  <c r="AE36" i="2" s="1"/>
  <c r="Z35" i="2"/>
  <c r="P31" i="3" s="1"/>
  <c r="G31" i="1" s="1"/>
  <c r="AA35" i="2"/>
  <c r="Z36" i="2"/>
  <c r="P32" i="3" s="1"/>
  <c r="G32" i="1" s="1"/>
  <c r="T35" i="2"/>
  <c r="U35" i="2"/>
  <c r="T36" i="2"/>
  <c r="N32" i="3" s="1"/>
  <c r="U36" i="2"/>
  <c r="R35" i="2"/>
  <c r="O31" i="3" s="1"/>
  <c r="S35" i="2"/>
  <c r="R36" i="2"/>
  <c r="O32" i="3" s="1"/>
  <c r="S36" i="2"/>
  <c r="K35" i="2"/>
  <c r="L35" i="2"/>
  <c r="K36" i="2"/>
  <c r="L36" i="2"/>
  <c r="T32" i="3" l="1"/>
  <c r="AA36" i="2"/>
  <c r="K32" i="1"/>
  <c r="X32" i="3"/>
  <c r="AL36" i="2"/>
  <c r="AM36" i="2" s="1"/>
  <c r="I32" i="1"/>
  <c r="X31" i="3"/>
  <c r="AO36" i="2"/>
  <c r="AO35" i="2"/>
  <c r="T31" i="3"/>
  <c r="I31" i="1" s="1"/>
  <c r="S31" i="3"/>
  <c r="S32" i="3"/>
  <c r="K31"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AI6" i="2" l="1"/>
  <c r="AC6" i="2"/>
  <c r="AN37" i="2" l="1"/>
  <c r="AH37" i="2"/>
  <c r="AG37" i="2"/>
  <c r="AF37" i="2"/>
  <c r="J37" i="2"/>
  <c r="I37" i="2"/>
  <c r="H37" i="2"/>
  <c r="G37" i="2"/>
  <c r="D37" i="2"/>
  <c r="Z33" i="3"/>
  <c r="Z7" i="2"/>
  <c r="K6" i="2" l="1"/>
  <c r="L6" i="2" l="1"/>
  <c r="M4" i="1"/>
  <c r="M5" i="1"/>
  <c r="M6" i="1"/>
  <c r="M8" i="1"/>
  <c r="M9" i="1"/>
  <c r="M10" i="1"/>
  <c r="M12" i="1"/>
  <c r="M13" i="1"/>
  <c r="M14" i="1"/>
  <c r="M16" i="1"/>
  <c r="M17" i="1"/>
  <c r="M18" i="1"/>
  <c r="M19" i="1"/>
  <c r="M20" i="1"/>
  <c r="M21" i="1"/>
  <c r="M22" i="1"/>
  <c r="M24" i="1"/>
  <c r="M25" i="1"/>
  <c r="M26" i="1"/>
  <c r="M28" i="1"/>
  <c r="M29" i="1"/>
  <c r="M30" i="1"/>
  <c r="M3"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23" i="1"/>
  <c r="M27" i="1"/>
  <c r="N33"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O14" i="3" s="1"/>
  <c r="R19" i="2"/>
  <c r="O15" i="3" s="1"/>
  <c r="R20" i="2"/>
  <c r="O16" i="3" s="1"/>
  <c r="R21" i="2"/>
  <c r="O17" i="3" s="1"/>
  <c r="R22" i="2"/>
  <c r="R23" i="2"/>
  <c r="O19" i="3" s="1"/>
  <c r="R24" i="2"/>
  <c r="O20" i="3" s="1"/>
  <c r="R25" i="2"/>
  <c r="O21" i="3" s="1"/>
  <c r="R26" i="2"/>
  <c r="R27" i="2"/>
  <c r="O23" i="3" s="1"/>
  <c r="R28" i="2"/>
  <c r="O24" i="3" s="1"/>
  <c r="R29" i="2"/>
  <c r="O25" i="3" s="1"/>
  <c r="R30" i="2"/>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O22" i="3"/>
  <c r="S25" i="2"/>
  <c r="S24" i="2"/>
  <c r="S23" i="2"/>
  <c r="S22" i="2"/>
  <c r="O18" i="3"/>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P15" i="3"/>
  <c r="N29" i="3"/>
  <c r="N24" i="3"/>
  <c r="N3" i="3"/>
  <c r="K28" i="1" l="1"/>
  <c r="U32" i="2"/>
  <c r="T23" i="3"/>
  <c r="AL25" i="2"/>
  <c r="AM25" i="2" s="1"/>
  <c r="P17" i="3"/>
  <c r="G17" i="1" s="1"/>
  <c r="U19" i="2"/>
  <c r="U15" i="2"/>
  <c r="P9" i="3"/>
  <c r="G9" i="1" s="1"/>
  <c r="P27" i="3"/>
  <c r="S27" i="3" s="1"/>
  <c r="P19" i="3"/>
  <c r="G19" i="1" s="1"/>
  <c r="T28" i="3"/>
  <c r="AE32" i="2"/>
  <c r="AO32" i="2" s="1"/>
  <c r="T27" i="3"/>
  <c r="I27" i="1" s="1"/>
  <c r="N19" i="3"/>
  <c r="T12" i="3"/>
  <c r="T22" i="3"/>
  <c r="I22" i="1" s="1"/>
  <c r="T21" i="3"/>
  <c r="I21" i="1" s="1"/>
  <c r="AE25" i="2"/>
  <c r="T13" i="3"/>
  <c r="AE17" i="2"/>
  <c r="T30" i="3"/>
  <c r="P11" i="3"/>
  <c r="G11" i="1" s="1"/>
  <c r="X18" i="3"/>
  <c r="T17" i="3"/>
  <c r="I17" i="1" s="1"/>
  <c r="X9" i="3"/>
  <c r="N10" i="3"/>
  <c r="K10" i="1" s="1"/>
  <c r="U11" i="2"/>
  <c r="AO11" i="2" s="1"/>
  <c r="P26" i="3"/>
  <c r="G26" i="1" s="1"/>
  <c r="U17" i="2"/>
  <c r="T3" i="3"/>
  <c r="P24" i="3"/>
  <c r="G24" i="1" s="1"/>
  <c r="U16" i="2"/>
  <c r="AO16" i="2" s="1"/>
  <c r="U30" i="2"/>
  <c r="AO30" i="2" s="1"/>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AO17" i="2" s="1"/>
  <c r="S15" i="3"/>
  <c r="K15" i="1"/>
  <c r="K11" i="1"/>
  <c r="K8" i="1"/>
  <c r="K4" i="1"/>
  <c r="K25" i="1"/>
  <c r="K29" i="1"/>
  <c r="E24" i="1"/>
  <c r="E13" i="1"/>
  <c r="E6" i="1"/>
  <c r="X30" i="3"/>
  <c r="AL34" i="2"/>
  <c r="AM34" i="2" s="1"/>
  <c r="AL24" i="2"/>
  <c r="AM24" i="2" s="1"/>
  <c r="AL9" i="2"/>
  <c r="AM9" i="2" s="1"/>
  <c r="X4" i="3"/>
  <c r="X19" i="3"/>
  <c r="T8" i="3"/>
  <c r="I8" i="1" s="1"/>
  <c r="T24" i="3"/>
  <c r="G13" i="1"/>
  <c r="S13" i="3"/>
  <c r="AO33" i="2"/>
  <c r="S14" i="3"/>
  <c r="G15" i="1"/>
  <c r="P29" i="3"/>
  <c r="AA9" i="2"/>
  <c r="AO9" i="2" s="1"/>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T4" i="3"/>
  <c r="AO19" i="2"/>
  <c r="T15" i="3"/>
  <c r="AO13" i="2"/>
  <c r="T9" i="3"/>
  <c r="AL15" i="2"/>
  <c r="AM15" i="2" s="1"/>
  <c r="X11" i="3"/>
  <c r="T18" i="3"/>
  <c r="S22" i="3"/>
  <c r="S21" i="3"/>
  <c r="G21" i="1"/>
  <c r="AO23" i="2"/>
  <c r="T10" i="3"/>
  <c r="AO14" i="2"/>
  <c r="AL32" i="2"/>
  <c r="AM32" i="2" s="1"/>
  <c r="X28" i="3"/>
  <c r="I28" i="1" s="1"/>
  <c r="AL28" i="2"/>
  <c r="AM28" i="2" s="1"/>
  <c r="X24" i="3"/>
  <c r="X16" i="3"/>
  <c r="AL20" i="2"/>
  <c r="AM20" i="2" s="1"/>
  <c r="T6" i="3"/>
  <c r="AO22" i="2"/>
  <c r="X3" i="3"/>
  <c r="X12" i="3"/>
  <c r="I12" i="1" s="1"/>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I23" i="1" s="1"/>
  <c r="T14" i="3"/>
  <c r="I14" i="1" s="1"/>
  <c r="U34" i="2"/>
  <c r="U29" i="2"/>
  <c r="AO29" i="2" s="1"/>
  <c r="X6" i="3"/>
  <c r="X15" i="3"/>
  <c r="U10" i="2"/>
  <c r="AO10" i="2" s="1"/>
  <c r="AL18" i="2"/>
  <c r="AM18" i="2" s="1"/>
  <c r="P6" i="3"/>
  <c r="P16" i="3"/>
  <c r="AA27" i="2"/>
  <c r="AO27" i="2" s="1"/>
  <c r="G27" i="1" l="1"/>
  <c r="S17" i="3"/>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<sst xmlns="http://schemas.openxmlformats.org/spreadsheetml/2006/main" count="220" uniqueCount="103">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</sst>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6">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1"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0" fillId="0" borderId="19" xfId="0" applyBorder="1" applyAlignment="1">
      <alignment horizontal="center"/>
    </xf>
    <xf numFmtId="1" fontId="0" fillId="0" borderId="20" xfId="0" applyNumberFormat="1" applyBorder="1" applyAlignment="1">
      <alignment horizontal="center"/>
    </xf>
    <xf numFmtId="0" fontId="1" fillId="0" borderId="21"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2" xfId="0" applyNumberFormat="1" applyBorder="1" applyAlignment="1">
      <alignment horizontal="center"/>
    </xf>
    <xf numFmtId="0" fontId="0" fillId="0" borderId="1" xfId="0" applyFill="1" applyBorder="1" applyAlignment="1">
      <alignment horizontal="center" vertical="center"/>
    </xf>
    <xf numFmtId="4" fontId="0" fillId="0"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D31" sqref="D31:D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2" t="s">
        <v>0</v>
      </c>
      <c r="B1" s="113" t="s">
        <v>1</v>
      </c>
      <c r="C1" s="114" t="s">
        <v>2</v>
      </c>
      <c r="D1" s="113" t="s">
        <v>3</v>
      </c>
      <c r="E1" s="115" t="s">
        <v>4</v>
      </c>
      <c r="F1" s="116" t="s">
        <v>5</v>
      </c>
      <c r="G1" s="115" t="s">
        <v>10</v>
      </c>
      <c r="H1" s="116" t="s">
        <v>11</v>
      </c>
      <c r="I1" s="117" t="s">
        <v>82</v>
      </c>
      <c r="J1" s="118" t="s">
        <v>83</v>
      </c>
      <c r="K1" s="115" t="s">
        <v>6</v>
      </c>
      <c r="L1" s="119" t="s">
        <v>7</v>
      </c>
      <c r="M1" s="115" t="s">
        <v>8</v>
      </c>
      <c r="N1" s="120" t="s">
        <v>9</v>
      </c>
    </row>
    <row r="2" spans="1:15" x14ac:dyDescent="0.25">
      <c r="A2" s="107" t="s">
        <v>80</v>
      </c>
      <c r="B2" s="108">
        <v>1</v>
      </c>
      <c r="C2" s="109">
        <v>10</v>
      </c>
      <c r="D2" s="108">
        <v>2021</v>
      </c>
      <c r="E2" s="101">
        <f>Submetering!E2+Submetering!F2+Submetering!G2+Submetering!H2+Submetering!I2+Submetering!J2+Submetering!K2</f>
        <v>33030</v>
      </c>
      <c r="F2" s="110">
        <v>0.2</v>
      </c>
      <c r="G2" s="101">
        <f>Submetering!P2</f>
        <v>536</v>
      </c>
      <c r="H2" s="110">
        <v>6.47</v>
      </c>
      <c r="I2" s="101">
        <f>Submetering!T2-Submetering!T2*15%-Submetering!X2</f>
        <v>64956.088999999993</v>
      </c>
      <c r="J2" s="100">
        <v>0.21</v>
      </c>
      <c r="K2" s="101">
        <f>Submetering!N2-Submetering!O2</f>
        <v>51.8059999999914</v>
      </c>
      <c r="L2" s="110">
        <v>7.84</v>
      </c>
      <c r="M2" s="101">
        <f>Submetering!Y2</f>
        <v>87</v>
      </c>
      <c r="N2" s="102">
        <f>Submetering!Z2</f>
        <v>152</v>
      </c>
    </row>
    <row r="3" spans="1:15" x14ac:dyDescent="0.25">
      <c r="A3" s="111" t="s">
        <v>80</v>
      </c>
      <c r="B3" s="72">
        <f>B2+1</f>
        <v>2</v>
      </c>
      <c r="C3" s="73">
        <v>10</v>
      </c>
      <c r="D3" s="72">
        <v>2021</v>
      </c>
      <c r="E3" s="71">
        <f>Submetering!E3+Submetering!F3+Submetering!G3+Submetering!H3+Submetering!I3+Submetering!J3+Submetering!K3</f>
        <v>33250</v>
      </c>
      <c r="F3" s="74">
        <v>0.2</v>
      </c>
      <c r="G3" s="71">
        <f>Submetering!P3</f>
        <v>506</v>
      </c>
      <c r="H3" s="74">
        <v>6.47</v>
      </c>
      <c r="I3" s="71">
        <f>Submetering!T3-Submetering!T3*15%-Submetering!X3</f>
        <v>64945.233599998552</v>
      </c>
      <c r="J3" s="70">
        <v>0.21</v>
      </c>
      <c r="K3" s="71">
        <f>Submetering!N3-Submetering!O3</f>
        <v>83.340000000000146</v>
      </c>
      <c r="L3" s="74">
        <v>7.84</v>
      </c>
      <c r="M3" s="71">
        <f>Submetering!Y3</f>
        <v>76</v>
      </c>
      <c r="N3" s="104">
        <f>Submetering!Z3</f>
        <v>108</v>
      </c>
    </row>
    <row r="4" spans="1:15" x14ac:dyDescent="0.25">
      <c r="A4" s="111" t="s">
        <v>80</v>
      </c>
      <c r="B4" s="72">
        <f t="shared" ref="B4:B32" si="0">B3+1</f>
        <v>3</v>
      </c>
      <c r="C4" s="73">
        <v>10</v>
      </c>
      <c r="D4" s="72">
        <v>2021</v>
      </c>
      <c r="E4" s="71">
        <f>Submetering!E4+Submetering!F4+Submetering!G4+Submetering!H4+Submetering!I4+Submetering!J4+Submetering!K4</f>
        <v>32257</v>
      </c>
      <c r="F4" s="74">
        <v>0.2</v>
      </c>
      <c r="G4" s="71">
        <f>Submetering!P4</f>
        <v>518</v>
      </c>
      <c r="H4" s="74">
        <v>6.47</v>
      </c>
      <c r="I4" s="71">
        <f>Submetering!T4-Submetering!T4*15%-Submetering!X4</f>
        <v>57402.870000001451</v>
      </c>
      <c r="J4" s="70">
        <v>0.21</v>
      </c>
      <c r="K4" s="71">
        <f>Submetering!N4-Submetering!O4</f>
        <v>77.489000000000487</v>
      </c>
      <c r="L4" s="74">
        <v>7.84</v>
      </c>
      <c r="M4" s="71">
        <f>Submetering!Y4</f>
        <v>107</v>
      </c>
      <c r="N4" s="104">
        <f>Submetering!Z4</f>
        <v>144</v>
      </c>
    </row>
    <row r="5" spans="1:15" x14ac:dyDescent="0.25">
      <c r="A5" s="111" t="s">
        <v>80</v>
      </c>
      <c r="B5" s="72">
        <f t="shared" si="0"/>
        <v>4</v>
      </c>
      <c r="C5" s="73">
        <v>10</v>
      </c>
      <c r="D5" s="72">
        <v>2021</v>
      </c>
      <c r="E5" s="71">
        <f>Submetering!E5+Submetering!F5+Submetering!G5+Submetering!H5+Submetering!I5+Submetering!J5+Submetering!K5</f>
        <v>33331</v>
      </c>
      <c r="F5" s="74">
        <v>0.2</v>
      </c>
      <c r="G5" s="71">
        <f>Submetering!P5</f>
        <v>586</v>
      </c>
      <c r="H5" s="74">
        <v>6.47</v>
      </c>
      <c r="I5" s="71">
        <f>Submetering!T5-Submetering!T5*15%-Submetering!X5</f>
        <v>53341.60601999487</v>
      </c>
      <c r="J5" s="70">
        <v>0.21</v>
      </c>
      <c r="K5" s="81">
        <f>Submetering!N5-Submetering!O5</f>
        <v>75.271999999999935</v>
      </c>
      <c r="L5" s="74">
        <v>7.84</v>
      </c>
      <c r="M5" s="71">
        <f>Submetering!Y5</f>
        <v>104</v>
      </c>
      <c r="N5" s="104">
        <f>Submetering!Z5</f>
        <v>142</v>
      </c>
    </row>
    <row r="6" spans="1:15" x14ac:dyDescent="0.25">
      <c r="A6" s="111" t="s">
        <v>80</v>
      </c>
      <c r="B6" s="72">
        <f t="shared" si="0"/>
        <v>5</v>
      </c>
      <c r="C6" s="73">
        <v>10</v>
      </c>
      <c r="D6" s="72">
        <v>2021</v>
      </c>
      <c r="E6" s="71">
        <f>Submetering!E6+Submetering!F6+Submetering!G6+Submetering!H6+Submetering!I6+Submetering!J6+Submetering!K6</f>
        <v>33288</v>
      </c>
      <c r="F6" s="74">
        <v>0.2</v>
      </c>
      <c r="G6" s="71">
        <f>Submetering!P6</f>
        <v>520</v>
      </c>
      <c r="H6" s="74">
        <v>6.47</v>
      </c>
      <c r="I6" s="71">
        <f>Submetering!T6-Submetering!T6*15%-Submetering!X6</f>
        <v>56133.423600002905</v>
      </c>
      <c r="J6" s="70">
        <v>0.21</v>
      </c>
      <c r="K6" s="71">
        <f>Submetering!N6-Submetering!O6</f>
        <v>99.305000000005748</v>
      </c>
      <c r="L6" s="74">
        <v>7.84</v>
      </c>
      <c r="M6" s="71">
        <f>Submetering!Y6</f>
        <v>117</v>
      </c>
      <c r="N6" s="104">
        <f>Submetering!Z6</f>
        <v>156</v>
      </c>
    </row>
    <row r="7" spans="1:15" x14ac:dyDescent="0.25">
      <c r="A7" s="111" t="s">
        <v>80</v>
      </c>
      <c r="B7" s="72">
        <f t="shared" si="0"/>
        <v>6</v>
      </c>
      <c r="C7" s="73">
        <v>10</v>
      </c>
      <c r="D7" s="72">
        <v>2021</v>
      </c>
      <c r="E7" s="71">
        <f>Submetering!E7+Submetering!F7+Submetering!G7+Submetering!H7+Submetering!I7+Submetering!J7+Submetering!K7</f>
        <v>33401</v>
      </c>
      <c r="F7" s="74">
        <v>0.2</v>
      </c>
      <c r="G7" s="71">
        <f>Submetering!P7</f>
        <v>533</v>
      </c>
      <c r="H7" s="74">
        <v>6.47</v>
      </c>
      <c r="I7" s="71">
        <f>Submetering!T7-Submetering!T7*15%-Submetering!X7</f>
        <v>57197.642399995631</v>
      </c>
      <c r="J7" s="70">
        <v>0.21</v>
      </c>
      <c r="K7" s="71">
        <f>Submetering!N7-Submetering!O7</f>
        <v>80.617000000005646</v>
      </c>
      <c r="L7" s="74">
        <v>7.84</v>
      </c>
      <c r="M7" s="71">
        <f>Submetering!Y7</f>
        <v>93</v>
      </c>
      <c r="N7" s="104">
        <f>Submetering!Z7</f>
        <v>132</v>
      </c>
    </row>
    <row r="8" spans="1:15" x14ac:dyDescent="0.25">
      <c r="A8" s="111" t="s">
        <v>80</v>
      </c>
      <c r="B8" s="72">
        <f t="shared" si="0"/>
        <v>7</v>
      </c>
      <c r="C8" s="73">
        <v>10</v>
      </c>
      <c r="D8" s="72">
        <v>2021</v>
      </c>
      <c r="E8" s="71">
        <f>Submetering!E8+Submetering!F8+Submetering!G8+Submetering!H8+Submetering!I8+Submetering!J8+Submetering!K8</f>
        <v>33886</v>
      </c>
      <c r="F8" s="74">
        <v>0.2</v>
      </c>
      <c r="G8" s="71">
        <f>Submetering!P8</f>
        <v>571</v>
      </c>
      <c r="H8" s="74">
        <v>6.47</v>
      </c>
      <c r="I8" s="71">
        <f>Submetering!T8-Submetering!T8*15%-Submetering!X8</f>
        <v>53983.007800001447</v>
      </c>
      <c r="J8" s="70">
        <v>0.21</v>
      </c>
      <c r="K8" s="71">
        <f>Submetering!N8-Submetering!O8</f>
        <v>98.063999999998487</v>
      </c>
      <c r="L8" s="74">
        <v>7.84</v>
      </c>
      <c r="M8" s="71">
        <f>Submetering!Y8</f>
        <v>76</v>
      </c>
      <c r="N8" s="104">
        <f>Submetering!Z8</f>
        <v>126</v>
      </c>
    </row>
    <row r="9" spans="1:15" x14ac:dyDescent="0.25">
      <c r="A9" s="111" t="s">
        <v>80</v>
      </c>
      <c r="B9" s="72">
        <f t="shared" si="0"/>
        <v>8</v>
      </c>
      <c r="C9" s="73">
        <v>10</v>
      </c>
      <c r="D9" s="72">
        <v>2021</v>
      </c>
      <c r="E9" s="71">
        <f>Submetering!E9+Submetering!F9+Submetering!G9+Submetering!H9+Submetering!I9+Submetering!J9+Submetering!K9</f>
        <v>33532</v>
      </c>
      <c r="F9" s="74">
        <v>0.2</v>
      </c>
      <c r="G9" s="71">
        <f>Submetering!P9</f>
        <v>617</v>
      </c>
      <c r="H9" s="74">
        <v>6.47</v>
      </c>
      <c r="I9" s="71">
        <f>Submetering!T9-Submetering!T9*15%-Submetering!X9</f>
        <v>61692.065400001462</v>
      </c>
      <c r="J9" s="70">
        <v>0.21</v>
      </c>
      <c r="K9" s="71">
        <f>Submetering!N9-Submetering!O9</f>
        <v>59.309999999999491</v>
      </c>
      <c r="L9" s="74">
        <v>7.84</v>
      </c>
      <c r="M9" s="71">
        <f>Submetering!Y9</f>
        <v>72</v>
      </c>
      <c r="N9" s="104">
        <f>Submetering!Z9</f>
        <v>124</v>
      </c>
      <c r="O9" s="1" t="s">
        <v>12</v>
      </c>
    </row>
    <row r="10" spans="1:15" x14ac:dyDescent="0.25">
      <c r="A10" s="111" t="s">
        <v>80</v>
      </c>
      <c r="B10" s="72">
        <f t="shared" si="0"/>
        <v>9</v>
      </c>
      <c r="C10" s="73">
        <v>10</v>
      </c>
      <c r="D10" s="72">
        <v>2021</v>
      </c>
      <c r="E10" s="71">
        <f>Submetering!E10+Submetering!F10+Submetering!G10+Submetering!H10+Submetering!I10+Submetering!J10+Submetering!K10</f>
        <v>33794</v>
      </c>
      <c r="F10" s="74">
        <v>0.2</v>
      </c>
      <c r="G10" s="71">
        <f>Submetering!P10</f>
        <v>531</v>
      </c>
      <c r="H10" s="74">
        <v>6.47</v>
      </c>
      <c r="I10" s="71">
        <f>Submetering!T10-Submetering!T10*15%-Submetering!X10</f>
        <v>65174.721980000773</v>
      </c>
      <c r="J10" s="70">
        <v>0.21</v>
      </c>
      <c r="K10" s="71">
        <f>Submetering!N10-Submetering!O10</f>
        <v>-25.588999999998123</v>
      </c>
      <c r="L10" s="74">
        <v>7.84</v>
      </c>
      <c r="M10" s="71">
        <f>Submetering!Y10</f>
        <v>49</v>
      </c>
      <c r="N10" s="104">
        <f>Submetering!Z10</f>
        <v>76</v>
      </c>
    </row>
    <row r="11" spans="1:15" x14ac:dyDescent="0.25">
      <c r="A11" s="111" t="s">
        <v>80</v>
      </c>
      <c r="B11" s="72">
        <f t="shared" si="0"/>
        <v>10</v>
      </c>
      <c r="C11" s="73">
        <v>10</v>
      </c>
      <c r="D11" s="72">
        <v>2021</v>
      </c>
      <c r="E11" s="71">
        <f>Submetering!E11+Submetering!F11+Submetering!G11+Submetering!H11+Submetering!I11+Submetering!J11+Submetering!K11</f>
        <v>33505</v>
      </c>
      <c r="F11" s="74">
        <v>0.2</v>
      </c>
      <c r="G11" s="71">
        <f>Submetering!P11</f>
        <v>512</v>
      </c>
      <c r="H11" s="74">
        <v>6.47</v>
      </c>
      <c r="I11" s="71">
        <f>Submetering!T11-Submetering!T11*15%-Submetering!X11</f>
        <v>58317.227400000003</v>
      </c>
      <c r="J11" s="70">
        <v>0.21</v>
      </c>
      <c r="K11" s="71">
        <f>Submetering!N11-Submetering!O11</f>
        <v>-21.700000000000728</v>
      </c>
      <c r="L11" s="74">
        <v>7.84</v>
      </c>
      <c r="M11" s="71">
        <f>Submetering!Y11</f>
        <v>62</v>
      </c>
      <c r="N11" s="104">
        <f>Submetering!Z11</f>
        <v>88</v>
      </c>
    </row>
    <row r="12" spans="1:15" x14ac:dyDescent="0.25">
      <c r="A12" s="111" t="s">
        <v>80</v>
      </c>
      <c r="B12" s="72">
        <f t="shared" si="0"/>
        <v>11</v>
      </c>
      <c r="C12" s="73">
        <v>10</v>
      </c>
      <c r="D12" s="72">
        <v>2021</v>
      </c>
      <c r="E12" s="71">
        <f>Submetering!E12+Submetering!F12+Submetering!G12+Submetering!H12+Submetering!I12+Submetering!J12+Submetering!K12</f>
        <v>34483</v>
      </c>
      <c r="F12" s="74">
        <v>0.2</v>
      </c>
      <c r="G12" s="71">
        <f>Submetering!P12</f>
        <v>527</v>
      </c>
      <c r="H12" s="74">
        <v>6.47</v>
      </c>
      <c r="I12" s="71">
        <f>Submetering!T12-Submetering!T12*15%-Submetering!X12</f>
        <v>51543.989680003695</v>
      </c>
      <c r="J12" s="70">
        <v>0.21</v>
      </c>
      <c r="K12" s="71">
        <f>Submetering!N12-Submetering!O12</f>
        <v>16.628999999995358</v>
      </c>
      <c r="L12" s="74">
        <v>7.84</v>
      </c>
      <c r="M12" s="71">
        <f>Submetering!Y12</f>
        <v>74</v>
      </c>
      <c r="N12" s="104">
        <f>Submetering!Z12</f>
        <v>102</v>
      </c>
    </row>
    <row r="13" spans="1:15" x14ac:dyDescent="0.25">
      <c r="A13" s="111" t="s">
        <v>80</v>
      </c>
      <c r="B13" s="72">
        <f t="shared" si="0"/>
        <v>12</v>
      </c>
      <c r="C13" s="73">
        <v>10</v>
      </c>
      <c r="D13" s="72">
        <v>2021</v>
      </c>
      <c r="E13" s="71">
        <f>Submetering!E13+Submetering!F13+Submetering!G13+Submetering!H13+Submetering!I13+Submetering!J13+Submetering!K13</f>
        <v>33111</v>
      </c>
      <c r="F13" s="74">
        <v>0.2</v>
      </c>
      <c r="G13" s="71">
        <f>Submetering!P13</f>
        <v>593</v>
      </c>
      <c r="H13" s="74">
        <v>6.47</v>
      </c>
      <c r="I13" s="71">
        <f>Submetering!T13-Submetering!T13*15%-Submetering!X13</f>
        <v>49295.048839992625</v>
      </c>
      <c r="J13" s="70">
        <v>0.21</v>
      </c>
      <c r="K13" s="71">
        <f>Submetering!N13-Submetering!O13</f>
        <v>0.36399999999684951</v>
      </c>
      <c r="L13" s="74">
        <v>7.84</v>
      </c>
      <c r="M13" s="71">
        <f>Submetering!Y13</f>
        <v>93</v>
      </c>
      <c r="N13" s="104">
        <f>Submetering!Z13</f>
        <v>134</v>
      </c>
    </row>
    <row r="14" spans="1:15" x14ac:dyDescent="0.25">
      <c r="A14" s="111" t="s">
        <v>80</v>
      </c>
      <c r="B14" s="72">
        <f t="shared" si="0"/>
        <v>13</v>
      </c>
      <c r="C14" s="73">
        <v>10</v>
      </c>
      <c r="D14" s="72">
        <v>2021</v>
      </c>
      <c r="E14" s="71">
        <f>Submetering!E14+Submetering!F14+Submetering!G14+Submetering!H14+Submetering!I14+Submetering!J14+Submetering!K14</f>
        <v>34113</v>
      </c>
      <c r="F14" s="74">
        <v>0.2</v>
      </c>
      <c r="G14" s="71">
        <f>Submetering!P14</f>
        <v>698</v>
      </c>
      <c r="H14" s="74">
        <v>6.47</v>
      </c>
      <c r="I14" s="71">
        <f>Submetering!T14-Submetering!T14*15%-Submetering!X14</f>
        <v>46180.775760010278</v>
      </c>
      <c r="J14" s="70">
        <v>0.21</v>
      </c>
      <c r="K14" s="71">
        <f>Submetering!N14-Submetering!O14</f>
        <v>27.614000000012311</v>
      </c>
      <c r="L14" s="74">
        <v>7.84</v>
      </c>
      <c r="M14" s="71">
        <f>Submetering!Y14</f>
        <v>91</v>
      </c>
      <c r="N14" s="104">
        <f>Submetering!Z14</f>
        <v>132</v>
      </c>
    </row>
    <row r="15" spans="1:15" x14ac:dyDescent="0.25">
      <c r="A15" s="111" t="s">
        <v>80</v>
      </c>
      <c r="B15" s="72">
        <f t="shared" si="0"/>
        <v>14</v>
      </c>
      <c r="C15" s="73">
        <v>10</v>
      </c>
      <c r="D15" s="72">
        <v>2021</v>
      </c>
      <c r="E15" s="71">
        <f>Submetering!E15+Submetering!F15+Submetering!G15+Submetering!H15+Submetering!I15+Submetering!J15+Submetering!K15</f>
        <v>34262</v>
      </c>
      <c r="F15" s="74">
        <v>0.2</v>
      </c>
      <c r="G15" s="71">
        <f>Submetering!P15</f>
        <v>725</v>
      </c>
      <c r="H15" s="74">
        <v>6.47</v>
      </c>
      <c r="I15" s="71">
        <f>Submetering!T15-Submetering!T15*15%-Submetering!X15</f>
        <v>54273.805799994181</v>
      </c>
      <c r="J15" s="70">
        <v>0.21</v>
      </c>
      <c r="K15" s="81">
        <f>Submetering!N15-Submetering!O15</f>
        <v>34.454999999991742</v>
      </c>
      <c r="L15" s="74">
        <v>7.84</v>
      </c>
      <c r="M15" s="71">
        <f>Submetering!Y15</f>
        <v>92</v>
      </c>
      <c r="N15" s="104">
        <f>Submetering!Z15</f>
        <v>155</v>
      </c>
    </row>
    <row r="16" spans="1:15" x14ac:dyDescent="0.25">
      <c r="A16" s="111" t="s">
        <v>80</v>
      </c>
      <c r="B16" s="72">
        <f t="shared" si="0"/>
        <v>15</v>
      </c>
      <c r="C16" s="73">
        <v>10</v>
      </c>
      <c r="D16" s="72">
        <v>2021</v>
      </c>
      <c r="E16" s="71">
        <f>Submetering!E16+Submetering!F16+Submetering!G16+Submetering!H16+Submetering!I16+Submetering!J16+Submetering!K16</f>
        <v>34213</v>
      </c>
      <c r="F16" s="74">
        <v>0.2</v>
      </c>
      <c r="G16" s="71">
        <f>Submetering!P16</f>
        <v>735</v>
      </c>
      <c r="H16" s="74">
        <v>6.47</v>
      </c>
      <c r="I16" s="71">
        <f>Submetering!T16-Submetering!T16*15%-Submetering!X16</f>
        <v>57003.426720000687</v>
      </c>
      <c r="J16" s="70">
        <v>0.21</v>
      </c>
      <c r="K16" s="71">
        <f>Submetering!N16-Submetering!O16</f>
        <v>80.337000000005901</v>
      </c>
      <c r="L16" s="74">
        <v>7.84</v>
      </c>
      <c r="M16" s="71">
        <f>Submetering!Y16</f>
        <v>120</v>
      </c>
      <c r="N16" s="104">
        <f>Submetering!Z16</f>
        <v>206</v>
      </c>
    </row>
    <row r="17" spans="1:14" x14ac:dyDescent="0.25">
      <c r="A17" s="111" t="s">
        <v>80</v>
      </c>
      <c r="B17" s="72">
        <f t="shared" si="0"/>
        <v>16</v>
      </c>
      <c r="C17" s="73">
        <v>10</v>
      </c>
      <c r="D17" s="72">
        <v>2021</v>
      </c>
      <c r="E17" s="71">
        <f>Submetering!E17+Submetering!F17+Submetering!G17+Submetering!H17+Submetering!I17+Submetering!J17+Submetering!K17</f>
        <v>34309</v>
      </c>
      <c r="F17" s="74">
        <v>0.2</v>
      </c>
      <c r="G17" s="71">
        <f>Submetering!P17</f>
        <v>686</v>
      </c>
      <c r="H17" s="74">
        <v>6.47</v>
      </c>
      <c r="I17" s="71">
        <f>Submetering!T17-Submetering!T17*15%-Submetering!X17</f>
        <v>60384.157600000006</v>
      </c>
      <c r="J17" s="70">
        <v>0.21</v>
      </c>
      <c r="K17" s="71">
        <f>Submetering!N17-Submetering!O17</f>
        <v>86.279999999984284</v>
      </c>
      <c r="L17" s="74">
        <v>7.84</v>
      </c>
      <c r="M17" s="71">
        <f>Submetering!Y17</f>
        <v>122</v>
      </c>
      <c r="N17" s="104">
        <f>Submetering!Z17</f>
        <v>169</v>
      </c>
    </row>
    <row r="18" spans="1:14" x14ac:dyDescent="0.25">
      <c r="A18" s="111" t="s">
        <v>80</v>
      </c>
      <c r="B18" s="72">
        <f t="shared" si="0"/>
        <v>17</v>
      </c>
      <c r="C18" s="73">
        <v>10</v>
      </c>
      <c r="D18" s="72">
        <v>2021</v>
      </c>
      <c r="E18" s="71">
        <f>Submetering!E18+Submetering!F18+Submetering!G18+Submetering!H18+Submetering!I18+Submetering!J18+Submetering!K18</f>
        <v>35051</v>
      </c>
      <c r="F18" s="74">
        <v>0.2</v>
      </c>
      <c r="G18" s="71">
        <f>Submetering!P18</f>
        <v>728</v>
      </c>
      <c r="H18" s="74">
        <v>6.47</v>
      </c>
      <c r="I18" s="71">
        <f>Submetering!T18-Submetering!T18*15%-Submetering!X18</f>
        <v>55079.074400002908</v>
      </c>
      <c r="J18" s="70">
        <v>0.21</v>
      </c>
      <c r="K18" s="71">
        <f>Submetering!N18-Submetering!O18</f>
        <v>76.433000000011816</v>
      </c>
      <c r="L18" s="74">
        <v>7.84</v>
      </c>
      <c r="M18" s="71">
        <f>Submetering!Y18</f>
        <v>178</v>
      </c>
      <c r="N18" s="104">
        <f>Submetering!Z18</f>
        <v>234</v>
      </c>
    </row>
    <row r="19" spans="1:14" x14ac:dyDescent="0.25">
      <c r="A19" s="111" t="s">
        <v>80</v>
      </c>
      <c r="B19" s="72">
        <f t="shared" si="0"/>
        <v>18</v>
      </c>
      <c r="C19" s="73">
        <v>10</v>
      </c>
      <c r="D19" s="72">
        <v>2021</v>
      </c>
      <c r="E19" s="71">
        <f>Submetering!E19+Submetering!F19+Submetering!G19+Submetering!H19+Submetering!I19+Submetering!J19+Submetering!K19</f>
        <v>35813</v>
      </c>
      <c r="F19" s="74">
        <v>0.2</v>
      </c>
      <c r="G19" s="71">
        <f>Submetering!P19</f>
        <v>748</v>
      </c>
      <c r="H19" s="74">
        <v>6.47</v>
      </c>
      <c r="I19" s="71">
        <f>Submetering!T19-Submetering!T19*15%-Submetering!X19</f>
        <v>60219.625499994174</v>
      </c>
      <c r="J19" s="70">
        <v>0.21</v>
      </c>
      <c r="K19" s="71">
        <f>Submetering!N19-Submetering!O19</f>
        <v>102.51099999999224</v>
      </c>
      <c r="L19" s="74">
        <v>7.84</v>
      </c>
      <c r="M19" s="71">
        <f>Submetering!Y19</f>
        <v>183</v>
      </c>
      <c r="N19" s="104">
        <f>Submetering!Z19</f>
        <v>239</v>
      </c>
    </row>
    <row r="20" spans="1:14" x14ac:dyDescent="0.25">
      <c r="A20" s="111" t="s">
        <v>80</v>
      </c>
      <c r="B20" s="72">
        <f t="shared" si="0"/>
        <v>19</v>
      </c>
      <c r="C20" s="73">
        <v>10</v>
      </c>
      <c r="D20" s="72">
        <v>2021</v>
      </c>
      <c r="E20" s="71">
        <f>Submetering!E20+Submetering!F20+Submetering!G20+Submetering!H20+Submetering!I20+Submetering!J20+Submetering!K20</f>
        <v>35652</v>
      </c>
      <c r="F20" s="74">
        <v>0.2</v>
      </c>
      <c r="G20" s="71">
        <f>Submetering!P20</f>
        <v>770</v>
      </c>
      <c r="H20" s="74">
        <v>6.47</v>
      </c>
      <c r="I20" s="71">
        <f>Submetering!T20-Submetering!T20*15%-Submetering!X20</f>
        <v>59586.21584000111</v>
      </c>
      <c r="J20" s="70">
        <v>0.21</v>
      </c>
      <c r="K20" s="71">
        <f>Submetering!N20-Submetering!O20</f>
        <v>129.5980000000045</v>
      </c>
      <c r="L20" s="74">
        <v>7.84</v>
      </c>
      <c r="M20" s="71">
        <f>Submetering!Y20</f>
        <v>186</v>
      </c>
      <c r="N20" s="104">
        <f>Submetering!Z20</f>
        <v>238</v>
      </c>
    </row>
    <row r="21" spans="1:14" x14ac:dyDescent="0.25">
      <c r="A21" s="111" t="s">
        <v>80</v>
      </c>
      <c r="B21" s="72">
        <f t="shared" si="0"/>
        <v>20</v>
      </c>
      <c r="C21" s="73">
        <v>10</v>
      </c>
      <c r="D21" s="72">
        <v>2021</v>
      </c>
      <c r="E21" s="71">
        <f>Submetering!E21+Submetering!F21+Submetering!G21+Submetering!H21+Submetering!I21+Submetering!J21+Submetering!K21</f>
        <v>32799</v>
      </c>
      <c r="F21" s="74">
        <v>0.2</v>
      </c>
      <c r="G21" s="71">
        <f>Submetering!P21</f>
        <v>696</v>
      </c>
      <c r="H21" s="74">
        <v>6.47</v>
      </c>
      <c r="I21" s="71">
        <f>Submetering!T21-Submetering!T21*15%-Submetering!X21</f>
        <v>54696.707140002574</v>
      </c>
      <c r="J21" s="70">
        <v>0.21</v>
      </c>
      <c r="K21" s="71">
        <f>Submetering!N21-Submetering!O21</f>
        <v>112.90099999999711</v>
      </c>
      <c r="L21" s="74">
        <v>7.84</v>
      </c>
      <c r="M21" s="71">
        <f>Submetering!Y21</f>
        <v>177</v>
      </c>
      <c r="N21" s="104">
        <f>Submetering!Z21</f>
        <v>243</v>
      </c>
    </row>
    <row r="22" spans="1:14" x14ac:dyDescent="0.25">
      <c r="A22" s="111" t="s">
        <v>80</v>
      </c>
      <c r="B22" s="72">
        <f t="shared" si="0"/>
        <v>21</v>
      </c>
      <c r="C22" s="73">
        <v>10</v>
      </c>
      <c r="D22" s="72">
        <v>2021</v>
      </c>
      <c r="E22" s="71">
        <f>Submetering!E22+Submetering!F22+Submetering!G22+Submetering!H22+Submetering!I22+Submetering!J22+Submetering!K22</f>
        <v>34905</v>
      </c>
      <c r="F22" s="74">
        <v>0.2</v>
      </c>
      <c r="G22" s="71">
        <f>Submetering!P22</f>
        <v>736</v>
      </c>
      <c r="H22" s="74">
        <v>6.47</v>
      </c>
      <c r="I22" s="71">
        <f>Submetering!T22-Submetering!T22*15%-Submetering!X22</f>
        <v>53784.815400004372</v>
      </c>
      <c r="J22" s="70">
        <v>0.21</v>
      </c>
      <c r="K22" s="71">
        <f>Submetering!N22-Submetering!O22</f>
        <v>97.485999999991691</v>
      </c>
      <c r="L22" s="74">
        <v>7.84</v>
      </c>
      <c r="M22" s="71">
        <f>Submetering!Y22</f>
        <v>178</v>
      </c>
      <c r="N22" s="104">
        <f>Submetering!Z22</f>
        <v>269</v>
      </c>
    </row>
    <row r="23" spans="1:14" x14ac:dyDescent="0.25">
      <c r="A23" s="111" t="s">
        <v>80</v>
      </c>
      <c r="B23" s="72">
        <f t="shared" si="0"/>
        <v>22</v>
      </c>
      <c r="C23" s="73">
        <v>10</v>
      </c>
      <c r="D23" s="72">
        <v>2021</v>
      </c>
      <c r="E23" s="71">
        <f>Submetering!E23+Submetering!F23+Submetering!G23+Submetering!H23+Submetering!I23+Submetering!J23+Submetering!K23</f>
        <v>34188</v>
      </c>
      <c r="F23" s="74">
        <v>0.2</v>
      </c>
      <c r="G23" s="71">
        <f>Submetering!P23</f>
        <v>792</v>
      </c>
      <c r="H23" s="74">
        <v>6.47</v>
      </c>
      <c r="I23" s="71">
        <f>Submetering!T23-Submetering!T23*15%-Submetering!X23</f>
        <v>54835.481839991189</v>
      </c>
      <c r="J23" s="70">
        <v>0.21</v>
      </c>
      <c r="K23" s="71">
        <f>Submetering!N23-Submetering!O23</f>
        <v>109.3130000000092</v>
      </c>
      <c r="L23" s="74">
        <v>7.84</v>
      </c>
      <c r="M23" s="71">
        <f>Submetering!Y23</f>
        <v>169</v>
      </c>
      <c r="N23" s="104">
        <f>Submetering!Z23</f>
        <v>257</v>
      </c>
    </row>
    <row r="24" spans="1:14" x14ac:dyDescent="0.25">
      <c r="A24" s="111" t="s">
        <v>80</v>
      </c>
      <c r="B24" s="72">
        <f t="shared" si="0"/>
        <v>23</v>
      </c>
      <c r="C24" s="73">
        <v>10</v>
      </c>
      <c r="D24" s="72">
        <v>2021</v>
      </c>
      <c r="E24" s="71">
        <f>Submetering!E24+Submetering!F24+Submetering!G24+Submetering!H24+Submetering!I24+Submetering!J24+Submetering!K24</f>
        <v>32808</v>
      </c>
      <c r="F24" s="74">
        <v>0.2</v>
      </c>
      <c r="G24" s="71">
        <f>Submetering!P24</f>
        <v>706</v>
      </c>
      <c r="H24" s="74">
        <v>6.47</v>
      </c>
      <c r="I24" s="71">
        <f>Submetering!T24-Submetering!T24*15%-Submetering!X24</f>
        <v>50408.601200004356</v>
      </c>
      <c r="J24" s="70">
        <v>0.21</v>
      </c>
      <c r="K24" s="71">
        <f>Submetering!N24-Submetering!O24</f>
        <v>108.76299999999628</v>
      </c>
      <c r="L24" s="74">
        <v>7.84</v>
      </c>
      <c r="M24" s="71">
        <f>Submetering!Y24</f>
        <v>127</v>
      </c>
      <c r="N24" s="104">
        <f>Submetering!Z24</f>
        <v>165</v>
      </c>
    </row>
    <row r="25" spans="1:14" x14ac:dyDescent="0.25">
      <c r="A25" s="111" t="s">
        <v>80</v>
      </c>
      <c r="B25" s="72">
        <f t="shared" si="0"/>
        <v>24</v>
      </c>
      <c r="C25" s="73">
        <v>10</v>
      </c>
      <c r="D25" s="72">
        <v>2021</v>
      </c>
      <c r="E25" s="71">
        <f>Submetering!E25+Submetering!F25+Submetering!G25+Submetering!H25+Submetering!I25+Submetering!J25+Submetering!K25</f>
        <v>34195</v>
      </c>
      <c r="F25" s="74">
        <v>0.2</v>
      </c>
      <c r="G25" s="71">
        <f>Submetering!P25</f>
        <v>712</v>
      </c>
      <c r="H25" s="74">
        <v>6.47</v>
      </c>
      <c r="I25" s="71">
        <f>Submetering!T25-Submetering!T25*15%-Submetering!X25</f>
        <v>44061.877699995646</v>
      </c>
      <c r="J25" s="70">
        <v>0.21</v>
      </c>
      <c r="K25" s="71">
        <f>Submetering!N25-Submetering!O25</f>
        <v>119.87500000000091</v>
      </c>
      <c r="L25" s="74">
        <v>7.84</v>
      </c>
      <c r="M25" s="71">
        <f>Submetering!Y25</f>
        <v>152</v>
      </c>
      <c r="N25" s="104">
        <f>Submetering!Z25</f>
        <v>210</v>
      </c>
    </row>
    <row r="26" spans="1:14" x14ac:dyDescent="0.25">
      <c r="A26" s="111" t="s">
        <v>80</v>
      </c>
      <c r="B26" s="72">
        <f>B25+1</f>
        <v>25</v>
      </c>
      <c r="C26" s="73">
        <v>10</v>
      </c>
      <c r="D26" s="72">
        <v>2021</v>
      </c>
      <c r="E26" s="71">
        <f>Submetering!E26+Submetering!F26+Submetering!G26+Submetering!H26+Submetering!I26+Submetering!J26+Submetering!K26</f>
        <v>34430</v>
      </c>
      <c r="F26" s="74">
        <v>0.2</v>
      </c>
      <c r="G26" s="71">
        <f>Submetering!P26</f>
        <v>745</v>
      </c>
      <c r="H26" s="74">
        <v>6.47</v>
      </c>
      <c r="I26" s="71">
        <f>Submetering!T26-Submetering!T26*15%-Submetering!X26</f>
        <v>42204.421799998541</v>
      </c>
      <c r="J26" s="70">
        <v>0.21</v>
      </c>
      <c r="K26" s="71">
        <f>Submetering!N26-Submetering!O26</f>
        <v>105.2420000000011</v>
      </c>
      <c r="L26" s="74">
        <v>7.84</v>
      </c>
      <c r="M26" s="71">
        <f>Submetering!Y26</f>
        <v>158</v>
      </c>
      <c r="N26" s="104">
        <f>Submetering!Z26</f>
        <v>216</v>
      </c>
    </row>
    <row r="27" spans="1:14" x14ac:dyDescent="0.25">
      <c r="A27" s="111" t="s">
        <v>80</v>
      </c>
      <c r="B27" s="72">
        <f t="shared" si="0"/>
        <v>26</v>
      </c>
      <c r="C27" s="73">
        <v>10</v>
      </c>
      <c r="D27" s="72">
        <v>2021</v>
      </c>
      <c r="E27" s="71">
        <f>Submetering!E27+Submetering!F27+Submetering!G27+Submetering!H27+Submetering!I27+Submetering!J27+Submetering!K27</f>
        <v>34576</v>
      </c>
      <c r="F27" s="74">
        <v>0.2</v>
      </c>
      <c r="G27" s="71">
        <f>Submetering!P27</f>
        <v>734</v>
      </c>
      <c r="H27" s="74">
        <v>6.47</v>
      </c>
      <c r="I27" s="71">
        <f>Submetering!T27-Submetering!T27*15%-Submetering!X27</f>
        <v>41122.367840001127</v>
      </c>
      <c r="J27" s="70">
        <v>0.21</v>
      </c>
      <c r="K27" s="71">
        <f>Submetering!N27-Submetering!O27</f>
        <v>103.1599999999944</v>
      </c>
      <c r="L27" s="74">
        <v>7.84</v>
      </c>
      <c r="M27" s="71">
        <f>Submetering!Y27</f>
        <v>160</v>
      </c>
      <c r="N27" s="104">
        <f>Submetering!Z27</f>
        <v>214</v>
      </c>
    </row>
    <row r="28" spans="1:14" x14ac:dyDescent="0.25">
      <c r="A28" s="111" t="s">
        <v>80</v>
      </c>
      <c r="B28" s="72">
        <f t="shared" si="0"/>
        <v>27</v>
      </c>
      <c r="C28" s="73">
        <v>10</v>
      </c>
      <c r="D28" s="72">
        <v>2021</v>
      </c>
      <c r="E28" s="71">
        <f>Submetering!E28+Submetering!F28+Submetering!G28+Submetering!H28+Submetering!I28+Submetering!J28+Submetering!K28</f>
        <v>34747</v>
      </c>
      <c r="F28" s="74">
        <v>0.2</v>
      </c>
      <c r="G28" s="71">
        <f>Submetering!P28</f>
        <v>712</v>
      </c>
      <c r="H28" s="74">
        <v>6.47</v>
      </c>
      <c r="I28" s="71">
        <f>Submetering!T28-Submetering!T28*15%-Submetering!X28</f>
        <v>39801.789820007703</v>
      </c>
      <c r="J28" s="70">
        <v>0.21</v>
      </c>
      <c r="K28" s="71">
        <f>Submetering!N28-Submetering!O28</f>
        <v>110.1899999999996</v>
      </c>
      <c r="L28" s="74">
        <v>7.84</v>
      </c>
      <c r="M28" s="71">
        <f>Submetering!Y28</f>
        <v>194</v>
      </c>
      <c r="N28" s="104">
        <f>Submetering!Z28</f>
        <v>257</v>
      </c>
    </row>
    <row r="29" spans="1:14" x14ac:dyDescent="0.25">
      <c r="A29" s="111" t="s">
        <v>80</v>
      </c>
      <c r="B29" s="72">
        <f t="shared" si="0"/>
        <v>28</v>
      </c>
      <c r="C29" s="73">
        <v>10</v>
      </c>
      <c r="D29" s="72">
        <v>2021</v>
      </c>
      <c r="E29" s="71">
        <f>Submetering!E29+Submetering!F29+Submetering!G29+Submetering!H29+Submetering!I29+Submetering!J29+Submetering!K29</f>
        <v>33011</v>
      </c>
      <c r="F29" s="74">
        <v>0.2</v>
      </c>
      <c r="G29" s="71">
        <f>Submetering!P29</f>
        <v>780</v>
      </c>
      <c r="H29" s="74">
        <v>6.47</v>
      </c>
      <c r="I29" s="71">
        <f>Submetering!T29-Submetering!T29*15%-Submetering!X29</f>
        <v>42267.064299997088</v>
      </c>
      <c r="J29" s="70">
        <v>0.21</v>
      </c>
      <c r="K29" s="71">
        <f>Submetering!N29-Submetering!O29</f>
        <v>103.3149999999996</v>
      </c>
      <c r="L29" s="74">
        <v>7.84</v>
      </c>
      <c r="M29" s="71">
        <f>Submetering!Y29</f>
        <v>175</v>
      </c>
      <c r="N29" s="104">
        <f>Submetering!Z29</f>
        <v>254</v>
      </c>
    </row>
    <row r="30" spans="1:14" x14ac:dyDescent="0.25">
      <c r="A30" s="111" t="s">
        <v>80</v>
      </c>
      <c r="B30" s="72">
        <f t="shared" si="0"/>
        <v>29</v>
      </c>
      <c r="C30" s="73">
        <v>10</v>
      </c>
      <c r="D30" s="72">
        <v>2021</v>
      </c>
      <c r="E30" s="71">
        <f>Submetering!E30+Submetering!F30+Submetering!G30+Submetering!H30+Submetering!I30+Submetering!J30+Submetering!K30</f>
        <v>32924</v>
      </c>
      <c r="F30" s="74">
        <v>0.2</v>
      </c>
      <c r="G30" s="71">
        <f>Submetering!P30</f>
        <v>799</v>
      </c>
      <c r="H30" s="74">
        <v>6.47</v>
      </c>
      <c r="I30" s="71">
        <f>Submetering!T30-Submetering!T30*15%-Submetering!X30</f>
        <v>37865.218019999229</v>
      </c>
      <c r="J30" s="70">
        <v>0.21</v>
      </c>
      <c r="K30" s="71">
        <f>Submetering!N30-Submetering!O30</f>
        <v>101.36700000001838</v>
      </c>
      <c r="L30" s="74">
        <v>7.84</v>
      </c>
      <c r="M30" s="71">
        <f>Submetering!Y30</f>
        <v>179</v>
      </c>
      <c r="N30" s="104">
        <f>Submetering!Z30</f>
        <v>263</v>
      </c>
    </row>
    <row r="31" spans="1:14" x14ac:dyDescent="0.25">
      <c r="A31" s="111" t="s">
        <v>80</v>
      </c>
      <c r="B31" s="72">
        <f t="shared" si="0"/>
        <v>30</v>
      </c>
      <c r="C31" s="73">
        <v>10</v>
      </c>
      <c r="D31" s="72">
        <v>2021</v>
      </c>
      <c r="E31" s="71">
        <f>Submetering!E31+Submetering!F31+Submetering!G31+Submetering!H31+Submetering!I31+Submetering!J31+Submetering!K31</f>
        <v>33035</v>
      </c>
      <c r="F31" s="74">
        <v>0.2</v>
      </c>
      <c r="G31" s="71">
        <f>Submetering!P31</f>
        <v>747</v>
      </c>
      <c r="H31" s="74">
        <v>6.47</v>
      </c>
      <c r="I31" s="71">
        <f>Submetering!T31-Submetering!T31*15%-Submetering!X31</f>
        <v>38880.177779999314</v>
      </c>
      <c r="J31" s="70">
        <v>0.21</v>
      </c>
      <c r="K31" s="71">
        <f>Submetering!N31-Submetering!O31</f>
        <v>127.99999999997999</v>
      </c>
      <c r="L31" s="74">
        <v>7.84</v>
      </c>
      <c r="M31" s="71">
        <f>Submetering!Y31</f>
        <v>144</v>
      </c>
      <c r="N31" s="104">
        <f>Submetering!Z31</f>
        <v>208</v>
      </c>
    </row>
    <row r="32" spans="1:14" x14ac:dyDescent="0.25">
      <c r="A32" s="111" t="s">
        <v>80</v>
      </c>
      <c r="B32" s="72">
        <f t="shared" si="0"/>
        <v>31</v>
      </c>
      <c r="C32" s="73">
        <v>10</v>
      </c>
      <c r="D32" s="72">
        <v>2021</v>
      </c>
      <c r="E32" s="71">
        <f>Submetering!E32+Submetering!F32+Submetering!G32+Submetering!H32+Submetering!I32+Submetering!J32+Submetering!K32</f>
        <v>32292</v>
      </c>
      <c r="F32" s="74">
        <v>0.2</v>
      </c>
      <c r="G32" s="71">
        <f>Submetering!P32</f>
        <v>731</v>
      </c>
      <c r="H32" s="74">
        <v>6.47</v>
      </c>
      <c r="I32" s="71">
        <f>Submetering!T32-Submetering!T32*15%-Submetering!X32</f>
        <v>39921.430260004709</v>
      </c>
      <c r="J32" s="70">
        <v>0.21</v>
      </c>
      <c r="K32" s="71">
        <f>Submetering!N32-Submetering!O32</f>
        <v>128.24500000001353</v>
      </c>
      <c r="L32" s="74">
        <v>7.84</v>
      </c>
      <c r="M32" s="71">
        <f>Submetering!Y32</f>
        <v>121</v>
      </c>
      <c r="N32" s="104">
        <f>Submetering!Z32</f>
        <v>159</v>
      </c>
    </row>
    <row r="33" spans="13:14" x14ac:dyDescent="0.25">
      <c r="M33" s="4">
        <f>SUM(M2:M32)</f>
        <v>3916</v>
      </c>
      <c r="N33" s="4">
        <f>SUM(N2:N32)</f>
        <v>5572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2" sqref="Y22:Y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10</v>
      </c>
      <c r="D2" s="99">
        <v>2021</v>
      </c>
      <c r="E2" s="101">
        <f>'FS-AD Daily '!B6</f>
        <v>5513</v>
      </c>
      <c r="F2" s="101">
        <f>'FS-AD Daily '!C6</f>
        <v>4533</v>
      </c>
      <c r="G2" s="101">
        <f>'FS-AD Daily '!D6</f>
        <v>824</v>
      </c>
      <c r="H2" s="101">
        <f>'FS-AD Daily '!E6</f>
        <v>5834</v>
      </c>
      <c r="I2" s="101">
        <f>'FS-AD Daily '!F6</f>
        <v>6315</v>
      </c>
      <c r="J2" s="101">
        <f>'FS-AD Daily '!G6</f>
        <v>3278</v>
      </c>
      <c r="K2" s="101">
        <f>'FS-AD Daily '!H6</f>
        <v>6733</v>
      </c>
      <c r="L2" s="101">
        <f>'FS-AD Daily '!I6</f>
        <v>2404</v>
      </c>
      <c r="M2" s="101">
        <f>'FS-AD Daily '!J6</f>
        <v>7561</v>
      </c>
      <c r="N2" s="101">
        <f>'FS-AD Daily '!T6</f>
        <v>141.02800000000207</v>
      </c>
      <c r="O2" s="101">
        <f>'FS-AD Daily '!R6</f>
        <v>89.222000000010667</v>
      </c>
      <c r="P2" s="101">
        <f>'FS-AD Daily '!Z6</f>
        <v>536</v>
      </c>
      <c r="Q2" s="101">
        <f>'FS-AD Daily '!V6</f>
        <v>194</v>
      </c>
      <c r="R2" s="101">
        <f>'FS-AD Daily '!W6</f>
        <v>0</v>
      </c>
      <c r="S2" s="101">
        <f>P2-Q2-R2</f>
        <v>342</v>
      </c>
      <c r="T2" s="101">
        <f>'FS-AD Daily '!AD6*3.516</f>
        <v>119948.34</v>
      </c>
      <c r="U2" s="101">
        <f>('FS-AD Daily '!AF6)*1000</f>
        <v>58300.00000000291</v>
      </c>
      <c r="V2" s="101">
        <f>('FS-AD Daily '!AG6)*1000</f>
        <v>39299.999999995634</v>
      </c>
      <c r="W2" s="101">
        <f>'FS-AD Daily '!AH6*1000</f>
        <v>16000</v>
      </c>
      <c r="X2" s="101">
        <f>('FS-AD Daily '!AK6)*1000</f>
        <v>37000</v>
      </c>
      <c r="Y2" s="101">
        <v>87</v>
      </c>
      <c r="Z2" s="102">
        <v>152</v>
      </c>
    </row>
    <row r="3" spans="1:26" x14ac:dyDescent="0.25">
      <c r="A3" s="103" t="s">
        <v>80</v>
      </c>
      <c r="B3" s="69">
        <f>B2+1</f>
        <v>2</v>
      </c>
      <c r="C3" s="70">
        <v>10</v>
      </c>
      <c r="D3" s="69">
        <v>2021</v>
      </c>
      <c r="E3" s="71">
        <f>'FS-AD Daily '!B7</f>
        <v>5614</v>
      </c>
      <c r="F3" s="71">
        <f>'FS-AD Daily '!C7</f>
        <v>4662</v>
      </c>
      <c r="G3" s="71">
        <f>'FS-AD Daily '!D7</f>
        <v>867</v>
      </c>
      <c r="H3" s="71">
        <f>'FS-AD Daily '!E7</f>
        <v>5827</v>
      </c>
      <c r="I3" s="71">
        <f>'FS-AD Daily '!F7</f>
        <v>6153</v>
      </c>
      <c r="J3" s="71">
        <f>'FS-AD Daily '!G7</f>
        <v>3284</v>
      </c>
      <c r="K3" s="71">
        <f>'FS-AD Daily '!H7</f>
        <v>6843</v>
      </c>
      <c r="L3" s="71">
        <f>'FS-AD Daily '!I7</f>
        <v>2555</v>
      </c>
      <c r="M3" s="71">
        <f>'FS-AD Daily '!J7</f>
        <v>7191</v>
      </c>
      <c r="N3" s="71">
        <f>'FS-AD Daily '!T7</f>
        <v>159.81699999999546</v>
      </c>
      <c r="O3" s="71">
        <f>'FS-AD Daily '!R7</f>
        <v>76.476999999995314</v>
      </c>
      <c r="P3" s="71">
        <f>'FS-AD Daily '!Z7</f>
        <v>506</v>
      </c>
      <c r="Q3" s="71">
        <f>'FS-AD Daily '!V7</f>
        <v>200</v>
      </c>
      <c r="R3" s="71">
        <f>'FS-AD Daily '!W7</f>
        <v>0</v>
      </c>
      <c r="S3" s="71">
        <f t="shared" ref="S3:S30" si="0">P3-Q3-R3</f>
        <v>306</v>
      </c>
      <c r="T3" s="71">
        <f>'FS-AD Daily '!AD7*3.516</f>
        <v>118053.216</v>
      </c>
      <c r="U3" s="71">
        <f>('FS-AD Daily '!AF7)*1000</f>
        <v>57500</v>
      </c>
      <c r="V3" s="71">
        <f>('FS-AD Daily '!AG7)*1000</f>
        <v>38800.00000000291</v>
      </c>
      <c r="W3" s="71">
        <f>'FS-AD Daily '!AH7*1000</f>
        <v>15899.999999997817</v>
      </c>
      <c r="X3" s="71">
        <f>('FS-AD Daily '!AK7)*1000</f>
        <v>35400.000000001455</v>
      </c>
      <c r="Y3" s="71">
        <v>76</v>
      </c>
      <c r="Z3" s="104">
        <v>108</v>
      </c>
    </row>
    <row r="4" spans="1:26" x14ac:dyDescent="0.25">
      <c r="A4" s="103" t="s">
        <v>80</v>
      </c>
      <c r="B4" s="69">
        <f t="shared" ref="B4:B32" si="1">B3+1</f>
        <v>3</v>
      </c>
      <c r="C4" s="70">
        <v>10</v>
      </c>
      <c r="D4" s="69">
        <v>2021</v>
      </c>
      <c r="E4" s="71">
        <f>'FS-AD Daily '!B8</f>
        <v>5511</v>
      </c>
      <c r="F4" s="71">
        <f>'FS-AD Daily '!C8</f>
        <v>4784</v>
      </c>
      <c r="G4" s="71">
        <f>'FS-AD Daily '!D8</f>
        <v>873</v>
      </c>
      <c r="H4" s="71">
        <f>'FS-AD Daily '!E8</f>
        <v>5511</v>
      </c>
      <c r="I4" s="71">
        <f>'FS-AD Daily '!F8</f>
        <v>5927</v>
      </c>
      <c r="J4" s="71">
        <f>'FS-AD Daily '!G8</f>
        <v>3109</v>
      </c>
      <c r="K4" s="71">
        <f>'FS-AD Daily '!H8</f>
        <v>6542</v>
      </c>
      <c r="L4" s="71">
        <f>'FS-AD Daily '!I8</f>
        <v>2433</v>
      </c>
      <c r="M4" s="71">
        <f>'FS-AD Daily '!J8</f>
        <v>6785</v>
      </c>
      <c r="N4" s="71">
        <f>'FS-AD Daily '!T8</f>
        <v>145.74600000000282</v>
      </c>
      <c r="O4" s="71">
        <f>'FS-AD Daily '!R8</f>
        <v>68.257000000002336</v>
      </c>
      <c r="P4" s="71">
        <f>'FS-AD Daily '!Z8</f>
        <v>518</v>
      </c>
      <c r="Q4" s="71">
        <f>'FS-AD Daily '!V8</f>
        <v>223.70000000001164</v>
      </c>
      <c r="R4" s="71">
        <f>'FS-AD Daily '!W8</f>
        <v>0</v>
      </c>
      <c r="S4" s="71">
        <f t="shared" si="0"/>
        <v>294.29999999998836</v>
      </c>
      <c r="T4" s="71">
        <f>'FS-AD Daily '!AD8*3.516</f>
        <v>107062.2</v>
      </c>
      <c r="U4" s="71">
        <f>('FS-AD Daily '!AF8)*1000</f>
        <v>52000</v>
      </c>
      <c r="V4" s="71">
        <f>('FS-AD Daily '!AG8)*1000</f>
        <v>35500</v>
      </c>
      <c r="W4" s="71">
        <f>'FS-AD Daily '!AH8*1000</f>
        <v>16100.000000002183</v>
      </c>
      <c r="X4" s="71">
        <f>('FS-AD Daily '!AK8)*1000</f>
        <v>33599.999999998545</v>
      </c>
      <c r="Y4" s="71">
        <v>107</v>
      </c>
      <c r="Z4" s="104">
        <v>144</v>
      </c>
    </row>
    <row r="5" spans="1:26" x14ac:dyDescent="0.25">
      <c r="A5" s="103" t="s">
        <v>80</v>
      </c>
      <c r="B5" s="69">
        <f t="shared" si="1"/>
        <v>4</v>
      </c>
      <c r="C5" s="70">
        <v>10</v>
      </c>
      <c r="D5" s="69">
        <v>2021</v>
      </c>
      <c r="E5" s="71">
        <f>'FS-AD Daily '!B9</f>
        <v>5831</v>
      </c>
      <c r="F5" s="71">
        <f>'FS-AD Daily '!C9</f>
        <v>5077</v>
      </c>
      <c r="G5" s="71">
        <f>'FS-AD Daily '!D9</f>
        <v>859</v>
      </c>
      <c r="H5" s="71">
        <f>'FS-AD Daily '!E9</f>
        <v>5559</v>
      </c>
      <c r="I5" s="71">
        <f>'FS-AD Daily '!F9</f>
        <v>6154</v>
      </c>
      <c r="J5" s="71">
        <f>'FS-AD Daily '!G9</f>
        <v>3178</v>
      </c>
      <c r="K5" s="71">
        <f>'FS-AD Daily '!H9</f>
        <v>6673</v>
      </c>
      <c r="L5" s="71">
        <f>'FS-AD Daily '!I9</f>
        <v>2445</v>
      </c>
      <c r="M5" s="71">
        <f>'FS-AD Daily '!J9</f>
        <v>6895</v>
      </c>
      <c r="N5" s="71">
        <f>'FS-AD Daily '!T9</f>
        <v>146.60800000000381</v>
      </c>
      <c r="O5" s="71">
        <f>'FS-AD Daily '!R9</f>
        <v>71.336000000003878</v>
      </c>
      <c r="P5" s="71">
        <f>'FS-AD Daily '!Z9</f>
        <v>586</v>
      </c>
      <c r="Q5" s="71">
        <f>'FS-AD Daily '!V9</f>
        <v>229.40000000002328</v>
      </c>
      <c r="R5" s="71">
        <f>'FS-AD Daily '!W9</f>
        <v>36.429999999993015</v>
      </c>
      <c r="S5" s="71">
        <f t="shared" si="0"/>
        <v>320.1699999999837</v>
      </c>
      <c r="T5" s="71">
        <f>'FS-AD Daily '!AD9*3.516</f>
        <v>101931.30119999738</v>
      </c>
      <c r="U5" s="71">
        <f>('FS-AD Daily '!AF9)*1000</f>
        <v>49699.99999999709</v>
      </c>
      <c r="V5" s="71">
        <f>('FS-AD Daily '!AG9)*1000</f>
        <v>32800.00000000291</v>
      </c>
      <c r="W5" s="71">
        <f>'FS-AD Daily '!AH9*1000</f>
        <v>15599.999999998545</v>
      </c>
      <c r="X5" s="71">
        <f>('FS-AD Daily '!AK9)*1000</f>
        <v>33300.00000000291</v>
      </c>
      <c r="Y5" s="71">
        <v>104</v>
      </c>
      <c r="Z5" s="104">
        <v>142</v>
      </c>
    </row>
    <row r="6" spans="1:26" x14ac:dyDescent="0.25">
      <c r="A6" s="103" t="s">
        <v>80</v>
      </c>
      <c r="B6" s="69">
        <f t="shared" si="1"/>
        <v>5</v>
      </c>
      <c r="C6" s="70">
        <v>10</v>
      </c>
      <c r="D6" s="69">
        <v>2021</v>
      </c>
      <c r="E6" s="71">
        <f>'FS-AD Daily '!B10</f>
        <v>6106</v>
      </c>
      <c r="F6" s="71">
        <f>'FS-AD Daily '!C10</f>
        <v>4801</v>
      </c>
      <c r="G6" s="71">
        <f>'FS-AD Daily '!D10</f>
        <v>876</v>
      </c>
      <c r="H6" s="71">
        <f>'FS-AD Daily '!E10</f>
        <v>5608</v>
      </c>
      <c r="I6" s="71">
        <f>'FS-AD Daily '!F10</f>
        <v>6147</v>
      </c>
      <c r="J6" s="71">
        <f>'FS-AD Daily '!G10</f>
        <v>3046</v>
      </c>
      <c r="K6" s="71">
        <f>'FS-AD Daily '!H10</f>
        <v>6704</v>
      </c>
      <c r="L6" s="71">
        <f>'FS-AD Daily '!I10</f>
        <v>2539</v>
      </c>
      <c r="M6" s="71">
        <f>'FS-AD Daily '!J10</f>
        <v>6628</v>
      </c>
      <c r="N6" s="71">
        <f>'FS-AD Daily '!T10</f>
        <v>135.21500000000378</v>
      </c>
      <c r="O6" s="71">
        <f>'FS-AD Daily '!R10</f>
        <v>35.909999999998035</v>
      </c>
      <c r="P6" s="71">
        <f>'FS-AD Daily '!Z10</f>
        <v>520</v>
      </c>
      <c r="Q6" s="71">
        <f>'FS-AD Daily '!V10</f>
        <v>201.59999999997672</v>
      </c>
      <c r="R6" s="71">
        <f>'FS-AD Daily '!W10</f>
        <v>0</v>
      </c>
      <c r="S6" s="71">
        <f t="shared" si="0"/>
        <v>318.40000000002328</v>
      </c>
      <c r="T6" s="71">
        <f>'FS-AD Daily '!AD10*3.516</f>
        <v>106274.61599999999</v>
      </c>
      <c r="U6" s="71">
        <f>('FS-AD Daily '!AF10)*1000</f>
        <v>51399.999999994179</v>
      </c>
      <c r="V6" s="71">
        <f>('FS-AD Daily '!AG10)*1000</f>
        <v>33799.999999995634</v>
      </c>
      <c r="W6" s="71">
        <f>'FS-AD Daily '!AH10*1000</f>
        <v>15700.000000000728</v>
      </c>
      <c r="X6" s="71">
        <f>('FS-AD Daily '!AK10)*1000</f>
        <v>34199.99999999709</v>
      </c>
      <c r="Y6" s="71">
        <v>117</v>
      </c>
      <c r="Z6" s="104">
        <v>156</v>
      </c>
    </row>
    <row r="7" spans="1:26" x14ac:dyDescent="0.25">
      <c r="A7" s="103" t="s">
        <v>80</v>
      </c>
      <c r="B7" s="69">
        <f t="shared" si="1"/>
        <v>6</v>
      </c>
      <c r="C7" s="70">
        <v>10</v>
      </c>
      <c r="D7" s="69">
        <v>2021</v>
      </c>
      <c r="E7" s="71">
        <f>'FS-AD Daily '!B11</f>
        <v>6431</v>
      </c>
      <c r="F7" s="71">
        <f>'FS-AD Daily '!C11</f>
        <v>4720</v>
      </c>
      <c r="G7" s="71">
        <f>'FS-AD Daily '!D11</f>
        <v>848</v>
      </c>
      <c r="H7" s="71">
        <f>'FS-AD Daily '!E11</f>
        <v>5552</v>
      </c>
      <c r="I7" s="71">
        <f>'FS-AD Daily '!F11</f>
        <v>6087</v>
      </c>
      <c r="J7" s="71">
        <f>'FS-AD Daily '!G11</f>
        <v>3094</v>
      </c>
      <c r="K7" s="71">
        <f>'FS-AD Daily '!H11</f>
        <v>6669</v>
      </c>
      <c r="L7" s="71">
        <f>'FS-AD Daily '!I11</f>
        <v>2471</v>
      </c>
      <c r="M7" s="71">
        <f>'FS-AD Daily '!J11</f>
        <v>6728</v>
      </c>
      <c r="N7" s="71">
        <f>'FS-AD Daily '!T11</f>
        <v>152.22199999999793</v>
      </c>
      <c r="O7" s="71">
        <f>'FS-AD Daily '!R11</f>
        <v>71.604999999992287</v>
      </c>
      <c r="P7" s="71">
        <f>'FS-AD Daily '!Z11</f>
        <v>533</v>
      </c>
      <c r="Q7" s="71">
        <f>'FS-AD Daily '!V11</f>
        <v>210.70000000001164</v>
      </c>
      <c r="R7" s="71">
        <f>'FS-AD Daily '!W11</f>
        <v>0</v>
      </c>
      <c r="S7" s="71">
        <f t="shared" si="0"/>
        <v>322.29999999998836</v>
      </c>
      <c r="T7" s="71">
        <f>'FS-AD Daily '!AD11*3.516</f>
        <v>109291.344</v>
      </c>
      <c r="U7" s="71">
        <f>('FS-AD Daily '!AF11)*1000</f>
        <v>52900.000000008731</v>
      </c>
      <c r="V7" s="71">
        <f>('FS-AD Daily '!AG11)*1000</f>
        <v>35099.999999998545</v>
      </c>
      <c r="W7" s="71">
        <f>'FS-AD Daily '!AH11*1000</f>
        <v>15500</v>
      </c>
      <c r="X7" s="71">
        <f>('FS-AD Daily '!AK11)*1000</f>
        <v>35700.000000004366</v>
      </c>
      <c r="Y7" s="71">
        <v>93</v>
      </c>
      <c r="Z7" s="104">
        <v>132</v>
      </c>
    </row>
    <row r="8" spans="1:26" x14ac:dyDescent="0.25">
      <c r="A8" s="103" t="s">
        <v>80</v>
      </c>
      <c r="B8" s="69">
        <f t="shared" si="1"/>
        <v>7</v>
      </c>
      <c r="C8" s="70">
        <v>10</v>
      </c>
      <c r="D8" s="69">
        <v>2021</v>
      </c>
      <c r="E8" s="71">
        <f>'FS-AD Daily '!B12</f>
        <v>6340</v>
      </c>
      <c r="F8" s="71">
        <f>'FS-AD Daily '!C12</f>
        <v>4784</v>
      </c>
      <c r="G8" s="71">
        <f>'FS-AD Daily '!D12</f>
        <v>886</v>
      </c>
      <c r="H8" s="71">
        <f>'FS-AD Daily '!E12</f>
        <v>5680</v>
      </c>
      <c r="I8" s="71">
        <f>'FS-AD Daily '!F12</f>
        <v>6229</v>
      </c>
      <c r="J8" s="71">
        <f>'FS-AD Daily '!G12</f>
        <v>3097</v>
      </c>
      <c r="K8" s="71">
        <f>'FS-AD Daily '!H12</f>
        <v>6870</v>
      </c>
      <c r="L8" s="71">
        <f>'FS-AD Daily '!I12</f>
        <v>2493</v>
      </c>
      <c r="M8" s="71">
        <f>'FS-AD Daily '!J12</f>
        <v>6689</v>
      </c>
      <c r="N8" s="71">
        <f>'FS-AD Daily '!T12</f>
        <v>174.0679999999993</v>
      </c>
      <c r="O8" s="71">
        <f>'FS-AD Daily '!R12</f>
        <v>76.004000000000815</v>
      </c>
      <c r="P8" s="71">
        <f>'FS-AD Daily '!Z12</f>
        <v>571</v>
      </c>
      <c r="Q8" s="71">
        <f>'FS-AD Daily '!V12</f>
        <v>222.79999999998836</v>
      </c>
      <c r="R8" s="71">
        <f>'FS-AD Daily '!W12</f>
        <v>25.669999999998254</v>
      </c>
      <c r="S8" s="71">
        <f t="shared" si="0"/>
        <v>322.53000000001339</v>
      </c>
      <c r="T8" s="71">
        <f>'FS-AD Daily '!AD12*3.516</f>
        <v>103627.068</v>
      </c>
      <c r="U8" s="71">
        <f>('FS-AD Daily '!AF12)*1000</f>
        <v>49899.999999994179</v>
      </c>
      <c r="V8" s="71">
        <f>('FS-AD Daily '!AG12)*1000</f>
        <v>33400.000000001455</v>
      </c>
      <c r="W8" s="71">
        <f>'FS-AD Daily '!AH12*1000</f>
        <v>15299.999999999272</v>
      </c>
      <c r="X8" s="71">
        <f>('FS-AD Daily '!AK12)*1000</f>
        <v>34099.999999998545</v>
      </c>
      <c r="Y8" s="71">
        <v>76</v>
      </c>
      <c r="Z8" s="104">
        <v>126</v>
      </c>
    </row>
    <row r="9" spans="1:26" x14ac:dyDescent="0.25">
      <c r="A9" s="103" t="s">
        <v>80</v>
      </c>
      <c r="B9" s="69">
        <f t="shared" si="1"/>
        <v>8</v>
      </c>
      <c r="C9" s="70">
        <v>10</v>
      </c>
      <c r="D9" s="69">
        <v>2021</v>
      </c>
      <c r="E9" s="71">
        <f>'FS-AD Daily '!B13</f>
        <v>6670</v>
      </c>
      <c r="F9" s="71">
        <f>'FS-AD Daily '!C13</f>
        <v>4298</v>
      </c>
      <c r="G9" s="71">
        <f>'FS-AD Daily '!D13</f>
        <v>819</v>
      </c>
      <c r="H9" s="71">
        <f>'FS-AD Daily '!E13</f>
        <v>5595</v>
      </c>
      <c r="I9" s="71">
        <f>'FS-AD Daily '!F13</f>
        <v>6255</v>
      </c>
      <c r="J9" s="71">
        <f>'FS-AD Daily '!G13</f>
        <v>3073</v>
      </c>
      <c r="K9" s="71">
        <f>'FS-AD Daily '!H13</f>
        <v>6822</v>
      </c>
      <c r="L9" s="71">
        <f>'FS-AD Daily '!I13</f>
        <v>2454</v>
      </c>
      <c r="M9" s="71">
        <f>'FS-AD Daily '!J13</f>
        <v>8130</v>
      </c>
      <c r="N9" s="71">
        <f>'FS-AD Daily '!T13</f>
        <v>145.17399999999907</v>
      </c>
      <c r="O9" s="71">
        <f>'FS-AD Daily '!R13</f>
        <v>85.863999999999578</v>
      </c>
      <c r="P9" s="71">
        <f>'FS-AD Daily '!Z13</f>
        <v>617</v>
      </c>
      <c r="Q9" s="71">
        <f>'FS-AD Daily '!V13</f>
        <v>228.5</v>
      </c>
      <c r="R9" s="71">
        <f>'FS-AD Daily '!W13</f>
        <v>0</v>
      </c>
      <c r="S9" s="71">
        <f t="shared" si="0"/>
        <v>388.5</v>
      </c>
      <c r="T9" s="71">
        <f>'FS-AD Daily '!AD13*3.516</f>
        <v>115637.724</v>
      </c>
      <c r="U9" s="71">
        <f>('FS-AD Daily '!AF13)*1000</f>
        <v>55600.000000005821</v>
      </c>
      <c r="V9" s="71">
        <f>('FS-AD Daily '!AG13)*1000</f>
        <v>36599.999999998545</v>
      </c>
      <c r="W9" s="71">
        <f>'FS-AD Daily '!AH13*1000</f>
        <v>15500</v>
      </c>
      <c r="X9" s="71">
        <f>('FS-AD Daily '!AK13)*1000</f>
        <v>36599.999999998545</v>
      </c>
      <c r="Y9" s="71">
        <v>72</v>
      </c>
      <c r="Z9" s="104">
        <v>124</v>
      </c>
    </row>
    <row r="10" spans="1:26" x14ac:dyDescent="0.25">
      <c r="A10" s="103" t="s">
        <v>80</v>
      </c>
      <c r="B10" s="69">
        <f t="shared" si="1"/>
        <v>9</v>
      </c>
      <c r="C10" s="70">
        <v>10</v>
      </c>
      <c r="D10" s="69">
        <v>2021</v>
      </c>
      <c r="E10" s="71">
        <f>'FS-AD Daily '!B14</f>
        <v>6852</v>
      </c>
      <c r="F10" s="71">
        <f>'FS-AD Daily '!C14</f>
        <v>4285</v>
      </c>
      <c r="G10" s="71">
        <f>'FS-AD Daily '!D14</f>
        <v>785</v>
      </c>
      <c r="H10" s="71">
        <f>'FS-AD Daily '!E14</f>
        <v>5645</v>
      </c>
      <c r="I10" s="71">
        <f>'FS-AD Daily '!F14</f>
        <v>6048</v>
      </c>
      <c r="J10" s="71">
        <f>'FS-AD Daily '!G14</f>
        <v>3236</v>
      </c>
      <c r="K10" s="71">
        <f>'FS-AD Daily '!H14</f>
        <v>6943</v>
      </c>
      <c r="L10" s="71">
        <f>'FS-AD Daily '!I14</f>
        <v>2573</v>
      </c>
      <c r="M10" s="71">
        <f>'FS-AD Daily '!J14</f>
        <v>7035</v>
      </c>
      <c r="N10" s="71">
        <f>'FS-AD Daily '!T14</f>
        <v>50.213000000003376</v>
      </c>
      <c r="O10" s="71">
        <f>'FS-AD Daily '!R14</f>
        <v>75.802000000001499</v>
      </c>
      <c r="P10" s="71">
        <f>'FS-AD Daily '!Z14</f>
        <v>531</v>
      </c>
      <c r="Q10" s="71">
        <f>'FS-AD Daily '!V14</f>
        <v>215</v>
      </c>
      <c r="R10" s="71">
        <f>'FS-AD Daily '!W14</f>
        <v>0</v>
      </c>
      <c r="S10" s="71">
        <f t="shared" si="0"/>
        <v>316</v>
      </c>
      <c r="T10" s="71">
        <f>'FS-AD Daily '!AD14*3.516</f>
        <v>121264.37880000263</v>
      </c>
      <c r="U10" s="71">
        <f>('FS-AD Daily '!AF14)*1000</f>
        <v>58000</v>
      </c>
      <c r="V10" s="71">
        <f>('FS-AD Daily '!AG14)*1000</f>
        <v>38000</v>
      </c>
      <c r="W10" s="71">
        <f>'FS-AD Daily '!AH14*1000</f>
        <v>15400.000000001455</v>
      </c>
      <c r="X10" s="71">
        <f>('FS-AD Daily '!AK14)*1000</f>
        <v>37900.000000001455</v>
      </c>
      <c r="Y10" s="71">
        <v>49</v>
      </c>
      <c r="Z10" s="104">
        <v>76</v>
      </c>
    </row>
    <row r="11" spans="1:26" x14ac:dyDescent="0.25">
      <c r="A11" s="103" t="s">
        <v>80</v>
      </c>
      <c r="B11" s="69">
        <f t="shared" si="1"/>
        <v>10</v>
      </c>
      <c r="C11" s="70">
        <v>10</v>
      </c>
      <c r="D11" s="69">
        <v>2021</v>
      </c>
      <c r="E11" s="71">
        <f>'FS-AD Daily '!B15</f>
        <v>6868</v>
      </c>
      <c r="F11" s="71">
        <f>'FS-AD Daily '!C15</f>
        <v>4269</v>
      </c>
      <c r="G11" s="71">
        <f>'FS-AD Daily '!D15</f>
        <v>926</v>
      </c>
      <c r="H11" s="71">
        <f>'FS-AD Daily '!E15</f>
        <v>5604</v>
      </c>
      <c r="I11" s="71">
        <f>'FS-AD Daily '!F15</f>
        <v>6035</v>
      </c>
      <c r="J11" s="71">
        <f>'FS-AD Daily '!G15</f>
        <v>2978</v>
      </c>
      <c r="K11" s="71">
        <f>'FS-AD Daily '!H15</f>
        <v>6825</v>
      </c>
      <c r="L11" s="71">
        <f>'FS-AD Daily '!I15</f>
        <v>3256</v>
      </c>
      <c r="M11" s="71">
        <f>'FS-AD Daily '!J15</f>
        <v>7106</v>
      </c>
      <c r="N11" s="71">
        <f>'FS-AD Daily '!T15</f>
        <v>48.283999999996013</v>
      </c>
      <c r="O11" s="71">
        <f>'FS-AD Daily '!R15</f>
        <v>69.98399999999674</v>
      </c>
      <c r="P11" s="71">
        <f>'FS-AD Daily '!Z15</f>
        <v>512</v>
      </c>
      <c r="Q11" s="71">
        <f>'FS-AD Daily '!V15</f>
        <v>207.29999999998836</v>
      </c>
      <c r="R11" s="71">
        <f>'FS-AD Daily '!W15</f>
        <v>0</v>
      </c>
      <c r="S11" s="71">
        <f t="shared" si="0"/>
        <v>304.70000000001164</v>
      </c>
      <c r="T11" s="71">
        <f>'FS-AD Daily '!AD15*3.516</f>
        <v>110961.444</v>
      </c>
      <c r="U11" s="71">
        <f>('FS-AD Daily '!AF15)*1000</f>
        <v>52399.999999994179</v>
      </c>
      <c r="V11" s="71">
        <f>('FS-AD Daily '!AG15)*1000</f>
        <v>35200.000000004366</v>
      </c>
      <c r="W11" s="71">
        <f>'FS-AD Daily '!AH15*1000</f>
        <v>15799.999999999272</v>
      </c>
      <c r="X11" s="71">
        <f>('FS-AD Daily '!AK15)*1000</f>
        <v>36000</v>
      </c>
      <c r="Y11" s="71">
        <v>62</v>
      </c>
      <c r="Z11" s="104">
        <v>88</v>
      </c>
    </row>
    <row r="12" spans="1:26" x14ac:dyDescent="0.25">
      <c r="A12" s="103" t="s">
        <v>80</v>
      </c>
      <c r="B12" s="69">
        <f t="shared" si="1"/>
        <v>11</v>
      </c>
      <c r="C12" s="70">
        <v>10</v>
      </c>
      <c r="D12" s="69">
        <v>2021</v>
      </c>
      <c r="E12" s="71">
        <f>'FS-AD Daily '!B16</f>
        <v>7005</v>
      </c>
      <c r="F12" s="71">
        <f>'FS-AD Daily '!C16</f>
        <v>4719</v>
      </c>
      <c r="G12" s="71">
        <f>'FS-AD Daily '!D16</f>
        <v>827</v>
      </c>
      <c r="H12" s="71">
        <f>'FS-AD Daily '!E16</f>
        <v>5863</v>
      </c>
      <c r="I12" s="71">
        <f>'FS-AD Daily '!F16</f>
        <v>6158</v>
      </c>
      <c r="J12" s="71">
        <f>'FS-AD Daily '!G16</f>
        <v>2934</v>
      </c>
      <c r="K12" s="71">
        <f>'FS-AD Daily '!H16</f>
        <v>6977</v>
      </c>
      <c r="L12" s="71">
        <f>'FS-AD Daily '!I16</f>
        <v>1802</v>
      </c>
      <c r="M12" s="71">
        <f>'FS-AD Daily '!J16</f>
        <v>6994</v>
      </c>
      <c r="N12" s="71">
        <f>'FS-AD Daily '!T16</f>
        <v>88.509000000005472</v>
      </c>
      <c r="O12" s="71">
        <f>'FS-AD Daily '!R16</f>
        <v>71.880000000010114</v>
      </c>
      <c r="P12" s="71">
        <f>'FS-AD Daily '!Z16</f>
        <v>527</v>
      </c>
      <c r="Q12" s="71">
        <f>'FS-AD Daily '!V16</f>
        <v>213.29999999998836</v>
      </c>
      <c r="R12" s="71">
        <f>'FS-AD Daily '!W16</f>
        <v>0</v>
      </c>
      <c r="S12" s="71">
        <f t="shared" si="0"/>
        <v>313.70000000001164</v>
      </c>
      <c r="T12" s="71">
        <f>'FS-AD Daily '!AD16*3.516</f>
        <v>102522.34080000262</v>
      </c>
      <c r="U12" s="71">
        <f>('FS-AD Daily '!AF16)*1000</f>
        <v>48300.00000000291</v>
      </c>
      <c r="V12" s="71">
        <f>('FS-AD Daily '!AG16)*1000</f>
        <v>32000</v>
      </c>
      <c r="W12" s="71">
        <f>'FS-AD Daily '!AH16*1000</f>
        <v>15799.999999999272</v>
      </c>
      <c r="X12" s="71">
        <f>('FS-AD Daily '!AK16)*1000</f>
        <v>35599.999999998545</v>
      </c>
      <c r="Y12" s="71">
        <v>74</v>
      </c>
      <c r="Z12" s="104">
        <v>102</v>
      </c>
    </row>
    <row r="13" spans="1:26" x14ac:dyDescent="0.25">
      <c r="A13" s="103" t="s">
        <v>80</v>
      </c>
      <c r="B13" s="69">
        <f t="shared" si="1"/>
        <v>12</v>
      </c>
      <c r="C13" s="70">
        <v>10</v>
      </c>
      <c r="D13" s="69">
        <v>2021</v>
      </c>
      <c r="E13" s="71">
        <f>'FS-AD Daily '!B17</f>
        <v>6593</v>
      </c>
      <c r="F13" s="71">
        <f>'FS-AD Daily '!C17</f>
        <v>4649</v>
      </c>
      <c r="G13" s="71">
        <f>'FS-AD Daily '!D17</f>
        <v>803</v>
      </c>
      <c r="H13" s="71">
        <f>'FS-AD Daily '!E17</f>
        <v>5624</v>
      </c>
      <c r="I13" s="71">
        <f>'FS-AD Daily '!F17</f>
        <v>5896</v>
      </c>
      <c r="J13" s="71">
        <f>'FS-AD Daily '!G17</f>
        <v>2829</v>
      </c>
      <c r="K13" s="71">
        <f>'FS-AD Daily '!H17</f>
        <v>6717</v>
      </c>
      <c r="L13" s="71">
        <f>'FS-AD Daily '!I17</f>
        <v>2529</v>
      </c>
      <c r="M13" s="71">
        <f>'FS-AD Daily '!J17</f>
        <v>6970</v>
      </c>
      <c r="N13" s="71">
        <f>'FS-AD Daily '!T17</f>
        <v>71.74199999999837</v>
      </c>
      <c r="O13" s="71">
        <f>'FS-AD Daily '!R17</f>
        <v>71.378000000001521</v>
      </c>
      <c r="P13" s="71">
        <f>'FS-AD Daily '!Z17</f>
        <v>593</v>
      </c>
      <c r="Q13" s="71">
        <f>'FS-AD Daily '!V17</f>
        <v>209.30000000004657</v>
      </c>
      <c r="R13" s="71">
        <f>'FS-AD Daily '!W17</f>
        <v>61.610000000000582</v>
      </c>
      <c r="S13" s="71">
        <f t="shared" si="0"/>
        <v>322.08999999995285</v>
      </c>
      <c r="T13" s="71">
        <f>'FS-AD Daily '!AD17*3.516</f>
        <v>96582.410399994755</v>
      </c>
      <c r="U13" s="71">
        <f>('FS-AD Daily '!AF17)*1000</f>
        <v>46699.99999999709</v>
      </c>
      <c r="V13" s="71">
        <f>('FS-AD Daily '!AG17)*1000</f>
        <v>29500</v>
      </c>
      <c r="W13" s="71">
        <f>'FS-AD Daily '!AH17*1000</f>
        <v>15000</v>
      </c>
      <c r="X13" s="71">
        <f>('FS-AD Daily '!AK17)*1000</f>
        <v>32800.00000000291</v>
      </c>
      <c r="Y13" s="71">
        <v>93</v>
      </c>
      <c r="Z13" s="104">
        <v>134</v>
      </c>
    </row>
    <row r="14" spans="1:26" x14ac:dyDescent="0.25">
      <c r="A14" s="103" t="s">
        <v>80</v>
      </c>
      <c r="B14" s="69">
        <f t="shared" si="1"/>
        <v>13</v>
      </c>
      <c r="C14" s="70">
        <v>10</v>
      </c>
      <c r="D14" s="69">
        <v>2021</v>
      </c>
      <c r="E14" s="71">
        <f>'FS-AD Daily '!B18</f>
        <v>6798</v>
      </c>
      <c r="F14" s="71">
        <f>'FS-AD Daily '!C18</f>
        <v>4754</v>
      </c>
      <c r="G14" s="71">
        <f>'FS-AD Daily '!D18</f>
        <v>803</v>
      </c>
      <c r="H14" s="71">
        <f>'FS-AD Daily '!E18</f>
        <v>5970</v>
      </c>
      <c r="I14" s="71">
        <f>'FS-AD Daily '!F18</f>
        <v>6143</v>
      </c>
      <c r="J14" s="71">
        <f>'FS-AD Daily '!G18</f>
        <v>2914</v>
      </c>
      <c r="K14" s="71">
        <f>'FS-AD Daily '!H18</f>
        <v>6731</v>
      </c>
      <c r="L14" s="71">
        <f>'FS-AD Daily '!I18</f>
        <v>2492</v>
      </c>
      <c r="M14" s="71">
        <f>'FS-AD Daily '!J18</f>
        <v>7034</v>
      </c>
      <c r="N14" s="71">
        <f>'FS-AD Daily '!T18</f>
        <v>95.177999999999884</v>
      </c>
      <c r="O14" s="71">
        <f>'FS-AD Daily '!R18</f>
        <v>67.563999999987573</v>
      </c>
      <c r="P14" s="71">
        <f>'FS-AD Daily '!Z18</f>
        <v>698</v>
      </c>
      <c r="Q14" s="71">
        <f>'FS-AD Daily '!V18</f>
        <v>222.69999999995343</v>
      </c>
      <c r="R14" s="71">
        <f>'FS-AD Daily '!W18</f>
        <v>142.88999999999942</v>
      </c>
      <c r="S14" s="71">
        <f t="shared" si="0"/>
        <v>332.41000000004715</v>
      </c>
      <c r="T14" s="71">
        <f>'FS-AD Daily '!AD18*3.516</f>
        <v>90683.265600005238</v>
      </c>
      <c r="U14" s="71">
        <f>('FS-AD Daily '!AF18)*1000</f>
        <v>44100.000000005821</v>
      </c>
      <c r="V14" s="71">
        <f>('FS-AD Daily '!AG18)*1000</f>
        <v>27099.999999998545</v>
      </c>
      <c r="W14" s="71">
        <f>'FS-AD Daily '!AH18*1000</f>
        <v>14900.000000001455</v>
      </c>
      <c r="X14" s="71">
        <f>('FS-AD Daily '!AK18)*1000</f>
        <v>30899.999999994179</v>
      </c>
      <c r="Y14" s="71">
        <v>91</v>
      </c>
      <c r="Z14" s="104">
        <v>132</v>
      </c>
    </row>
    <row r="15" spans="1:26" x14ac:dyDescent="0.25">
      <c r="A15" s="103" t="s">
        <v>80</v>
      </c>
      <c r="B15" s="69">
        <f t="shared" si="1"/>
        <v>14</v>
      </c>
      <c r="C15" s="70">
        <v>10</v>
      </c>
      <c r="D15" s="69">
        <v>2021</v>
      </c>
      <c r="E15" s="71">
        <f>'FS-AD Daily '!B19</f>
        <v>6797</v>
      </c>
      <c r="F15" s="71">
        <f>'FS-AD Daily '!C19</f>
        <v>4783</v>
      </c>
      <c r="G15" s="71">
        <f>'FS-AD Daily '!D19</f>
        <v>810</v>
      </c>
      <c r="H15" s="71">
        <f>'FS-AD Daily '!E19</f>
        <v>5883</v>
      </c>
      <c r="I15" s="71">
        <f>'FS-AD Daily '!F19</f>
        <v>6143</v>
      </c>
      <c r="J15" s="71">
        <f>'FS-AD Daily '!G19</f>
        <v>3029</v>
      </c>
      <c r="K15" s="71">
        <f>'FS-AD Daily '!H19</f>
        <v>6817</v>
      </c>
      <c r="L15" s="71">
        <f>'FS-AD Daily '!I19</f>
        <v>2530</v>
      </c>
      <c r="M15" s="71">
        <f>'FS-AD Daily '!J19</f>
        <v>7017</v>
      </c>
      <c r="N15" s="71">
        <f>'FS-AD Daily '!T19</f>
        <v>113.55499999999665</v>
      </c>
      <c r="O15" s="71">
        <f>'FS-AD Daily '!R19</f>
        <v>79.100000000004911</v>
      </c>
      <c r="P15" s="71">
        <f>'FS-AD Daily '!Z19</f>
        <v>725</v>
      </c>
      <c r="Q15" s="71">
        <f>'FS-AD Daily '!V19</f>
        <v>232.5</v>
      </c>
      <c r="R15" s="71">
        <f>'FS-AD Daily '!W19</f>
        <v>151.65000000000873</v>
      </c>
      <c r="S15" s="71">
        <f t="shared" si="0"/>
        <v>340.84999999999127</v>
      </c>
      <c r="T15" s="71">
        <f>'FS-AD Daily '!AD19*3.516</f>
        <v>103380.948</v>
      </c>
      <c r="U15" s="71">
        <f>('FS-AD Daily '!AF19)*1000</f>
        <v>50000</v>
      </c>
      <c r="V15" s="71">
        <f>('FS-AD Daily '!AG19)*1000</f>
        <v>31500</v>
      </c>
      <c r="W15" s="71">
        <f>'FS-AD Daily '!AH19*1000</f>
        <v>15199.99999999709</v>
      </c>
      <c r="X15" s="71">
        <f>('FS-AD Daily '!AK19)*1000</f>
        <v>33600.000000005821</v>
      </c>
      <c r="Y15" s="71">
        <v>92</v>
      </c>
      <c r="Z15" s="104">
        <v>155</v>
      </c>
    </row>
    <row r="16" spans="1:26" x14ac:dyDescent="0.25">
      <c r="A16" s="103" t="s">
        <v>80</v>
      </c>
      <c r="B16" s="69">
        <f t="shared" si="1"/>
        <v>15</v>
      </c>
      <c r="C16" s="70">
        <v>10</v>
      </c>
      <c r="D16" s="69">
        <v>2021</v>
      </c>
      <c r="E16" s="71">
        <f>'FS-AD Daily '!B20</f>
        <v>6671</v>
      </c>
      <c r="F16" s="71">
        <f>'FS-AD Daily '!C20</f>
        <v>4635</v>
      </c>
      <c r="G16" s="71">
        <f>'FS-AD Daily '!D20</f>
        <v>894</v>
      </c>
      <c r="H16" s="71">
        <f>'FS-AD Daily '!E20</f>
        <v>5906</v>
      </c>
      <c r="I16" s="71">
        <f>'FS-AD Daily '!F20</f>
        <v>6330</v>
      </c>
      <c r="J16" s="71">
        <f>'FS-AD Daily '!G20</f>
        <v>3137</v>
      </c>
      <c r="K16" s="71">
        <f>'FS-AD Daily '!H20</f>
        <v>6640</v>
      </c>
      <c r="L16" s="71">
        <f>'FS-AD Daily '!I20</f>
        <v>2449</v>
      </c>
      <c r="M16" s="71">
        <f>'FS-AD Daily '!J20</f>
        <v>7365</v>
      </c>
      <c r="N16" s="71">
        <f>'FS-AD Daily '!T20</f>
        <v>157.71400000000358</v>
      </c>
      <c r="O16" s="71">
        <f>'FS-AD Daily '!R20</f>
        <v>77.376999999997679</v>
      </c>
      <c r="P16" s="71">
        <f>'FS-AD Daily '!Z20</f>
        <v>735</v>
      </c>
      <c r="Q16" s="71">
        <f>'FS-AD Daily '!V20</f>
        <v>234.5</v>
      </c>
      <c r="R16" s="71">
        <f>'FS-AD Daily '!W20</f>
        <v>145.70999999999185</v>
      </c>
      <c r="S16" s="71">
        <f t="shared" si="0"/>
        <v>354.79000000000815</v>
      </c>
      <c r="T16" s="71">
        <f>'FS-AD Daily '!AD20*3.516</f>
        <v>105533.44319999737</v>
      </c>
      <c r="U16" s="71">
        <f>('FS-AD Daily '!AF20)*1000</f>
        <v>52299.999999988358</v>
      </c>
      <c r="V16" s="71">
        <f>('FS-AD Daily '!AG20)*1000</f>
        <v>31500</v>
      </c>
      <c r="W16" s="71">
        <f>'FS-AD Daily '!AH20*1000</f>
        <v>14600.000000002183</v>
      </c>
      <c r="X16" s="71">
        <f>('FS-AD Daily '!AK20)*1000</f>
        <v>32699.99999999709</v>
      </c>
      <c r="Y16" s="71">
        <v>120</v>
      </c>
      <c r="Z16" s="104">
        <v>206</v>
      </c>
    </row>
    <row r="17" spans="1:26" x14ac:dyDescent="0.25">
      <c r="A17" s="103" t="s">
        <v>80</v>
      </c>
      <c r="B17" s="69">
        <f t="shared" si="1"/>
        <v>16</v>
      </c>
      <c r="C17" s="70">
        <v>10</v>
      </c>
      <c r="D17" s="69">
        <v>2021</v>
      </c>
      <c r="E17" s="71">
        <f>'FS-AD Daily '!B21</f>
        <v>6589</v>
      </c>
      <c r="F17" s="71">
        <f>'FS-AD Daily '!C21</f>
        <v>4769</v>
      </c>
      <c r="G17" s="71">
        <f>'FS-AD Daily '!D21</f>
        <v>934</v>
      </c>
      <c r="H17" s="71">
        <f>'FS-AD Daily '!E21</f>
        <v>5839</v>
      </c>
      <c r="I17" s="71">
        <f>'FS-AD Daily '!F21</f>
        <v>6140</v>
      </c>
      <c r="J17" s="71">
        <f>'FS-AD Daily '!G21</f>
        <v>3263</v>
      </c>
      <c r="K17" s="71">
        <f>'FS-AD Daily '!H21</f>
        <v>6775</v>
      </c>
      <c r="L17" s="71">
        <f>'FS-AD Daily '!I21</f>
        <v>2518</v>
      </c>
      <c r="M17" s="71">
        <f>'FS-AD Daily '!J21</f>
        <v>7394</v>
      </c>
      <c r="N17" s="71">
        <f>'FS-AD Daily '!T21</f>
        <v>156.541999999994</v>
      </c>
      <c r="O17" s="71">
        <f>'FS-AD Daily '!R21</f>
        <v>70.262000000009721</v>
      </c>
      <c r="P17" s="71">
        <f>'FS-AD Daily '!Z21</f>
        <v>686</v>
      </c>
      <c r="Q17" s="71">
        <f>'FS-AD Daily '!V21</f>
        <v>227.30000000004657</v>
      </c>
      <c r="R17" s="71">
        <f>'FS-AD Daily '!W21</f>
        <v>142.45000000001164</v>
      </c>
      <c r="S17" s="71">
        <f t="shared" si="0"/>
        <v>316.24999999994179</v>
      </c>
      <c r="T17" s="71">
        <f>'FS-AD Daily '!AD21*3.516</f>
        <v>112216.656</v>
      </c>
      <c r="U17" s="71">
        <f>('FS-AD Daily '!AF21)*1000</f>
        <v>54700.000000011642</v>
      </c>
      <c r="V17" s="71">
        <f>('FS-AD Daily '!AG21)*1000</f>
        <v>33500</v>
      </c>
      <c r="W17" s="71">
        <f>'FS-AD Daily '!AH21*1000</f>
        <v>15500</v>
      </c>
      <c r="X17" s="71">
        <f>('FS-AD Daily '!AK21)*1000</f>
        <v>35000</v>
      </c>
      <c r="Y17" s="71">
        <v>122</v>
      </c>
      <c r="Z17" s="104">
        <v>169</v>
      </c>
    </row>
    <row r="18" spans="1:26" x14ac:dyDescent="0.25">
      <c r="A18" s="103" t="s">
        <v>80</v>
      </c>
      <c r="B18" s="69">
        <f t="shared" si="1"/>
        <v>17</v>
      </c>
      <c r="C18" s="70">
        <v>10</v>
      </c>
      <c r="D18" s="69">
        <v>2021</v>
      </c>
      <c r="E18" s="71">
        <f>'FS-AD Daily '!B22</f>
        <v>6705</v>
      </c>
      <c r="F18" s="71">
        <f>'FS-AD Daily '!C22</f>
        <v>5395</v>
      </c>
      <c r="G18" s="71">
        <f>'FS-AD Daily '!D22</f>
        <v>842</v>
      </c>
      <c r="H18" s="71">
        <f>'FS-AD Daily '!E22</f>
        <v>5935</v>
      </c>
      <c r="I18" s="71">
        <f>'FS-AD Daily '!F22</f>
        <v>6162</v>
      </c>
      <c r="J18" s="71">
        <f>'FS-AD Daily '!G22</f>
        <v>3229</v>
      </c>
      <c r="K18" s="71">
        <f>'FS-AD Daily '!H22</f>
        <v>6783</v>
      </c>
      <c r="L18" s="71">
        <f>'FS-AD Daily '!I22</f>
        <v>2565</v>
      </c>
      <c r="M18" s="71">
        <f>'FS-AD Daily '!J22</f>
        <v>6756</v>
      </c>
      <c r="N18" s="71">
        <f>'FS-AD Daily '!T22</f>
        <v>148.78400000000329</v>
      </c>
      <c r="O18" s="71">
        <f>'FS-AD Daily '!R22</f>
        <v>72.350999999991473</v>
      </c>
      <c r="P18" s="71">
        <f>'FS-AD Daily '!Z22</f>
        <v>728</v>
      </c>
      <c r="Q18" s="71">
        <f>'FS-AD Daily '!V22</f>
        <v>243.5</v>
      </c>
      <c r="R18" s="71">
        <f>'FS-AD Daily '!W22</f>
        <v>154.38999999999942</v>
      </c>
      <c r="S18" s="71">
        <f t="shared" si="0"/>
        <v>330.11000000000058</v>
      </c>
      <c r="T18" s="71">
        <f>'FS-AD Daily '!AD22*3.516</f>
        <v>102681.264</v>
      </c>
      <c r="U18" s="71">
        <f>('FS-AD Daily '!AF22)*1000</f>
        <v>50599.999999991269</v>
      </c>
      <c r="V18" s="71">
        <f>('FS-AD Daily '!AG22)*1000</f>
        <v>31199.99999999709</v>
      </c>
      <c r="W18" s="71">
        <f>'FS-AD Daily '!AH22*1000</f>
        <v>14700.000000000728</v>
      </c>
      <c r="X18" s="71">
        <f>('FS-AD Daily '!AK22)*1000</f>
        <v>32199.99999999709</v>
      </c>
      <c r="Y18" s="71">
        <v>178</v>
      </c>
      <c r="Z18" s="104">
        <v>234</v>
      </c>
    </row>
    <row r="19" spans="1:26" x14ac:dyDescent="0.25">
      <c r="A19" s="103" t="s">
        <v>80</v>
      </c>
      <c r="B19" s="69">
        <f t="shared" si="1"/>
        <v>18</v>
      </c>
      <c r="C19" s="70">
        <v>10</v>
      </c>
      <c r="D19" s="69">
        <v>2021</v>
      </c>
      <c r="E19" s="71">
        <f>'FS-AD Daily '!B23</f>
        <v>7006</v>
      </c>
      <c r="F19" s="71">
        <f>'FS-AD Daily '!C23</f>
        <v>5457</v>
      </c>
      <c r="G19" s="71">
        <f>'FS-AD Daily '!D23</f>
        <v>878</v>
      </c>
      <c r="H19" s="71">
        <f>'FS-AD Daily '!E23</f>
        <v>5955</v>
      </c>
      <c r="I19" s="71">
        <f>'FS-AD Daily '!F23</f>
        <v>6397</v>
      </c>
      <c r="J19" s="71">
        <f>'FS-AD Daily '!G23</f>
        <v>3313</v>
      </c>
      <c r="K19" s="71">
        <f>'FS-AD Daily '!H23</f>
        <v>6807</v>
      </c>
      <c r="L19" s="71">
        <f>'FS-AD Daily '!I23</f>
        <v>2527</v>
      </c>
      <c r="M19" s="71">
        <f>'FS-AD Daily '!J23</f>
        <v>7103</v>
      </c>
      <c r="N19" s="71">
        <f>'FS-AD Daily '!T23</f>
        <v>169.91399999999339</v>
      </c>
      <c r="O19" s="71">
        <f>'FS-AD Daily '!R23</f>
        <v>67.403000000001157</v>
      </c>
      <c r="P19" s="71">
        <f>'FS-AD Daily '!Z23</f>
        <v>748</v>
      </c>
      <c r="Q19" s="71">
        <f>'FS-AD Daily '!V23</f>
        <v>237.39999999996508</v>
      </c>
      <c r="R19" s="71">
        <f>'FS-AD Daily '!W23</f>
        <v>140.38999999999942</v>
      </c>
      <c r="S19" s="71">
        <f t="shared" si="0"/>
        <v>370.21000000003551</v>
      </c>
      <c r="T19" s="71">
        <f>'FS-AD Daily '!AD23*3.516</f>
        <v>110376.03</v>
      </c>
      <c r="U19" s="71">
        <f>('FS-AD Daily '!AF23)*1000</f>
        <v>56100.000000005821</v>
      </c>
      <c r="V19" s="71">
        <f>('FS-AD Daily '!AG23)*1000</f>
        <v>33400.000000001455</v>
      </c>
      <c r="W19" s="71">
        <f>'FS-AD Daily '!AH23*1000</f>
        <v>14699.99999999709</v>
      </c>
      <c r="X19" s="71">
        <f>('FS-AD Daily '!AK23)*1000</f>
        <v>33600.000000005821</v>
      </c>
      <c r="Y19" s="71">
        <v>183</v>
      </c>
      <c r="Z19" s="104">
        <v>239</v>
      </c>
    </row>
    <row r="20" spans="1:26" x14ac:dyDescent="0.25">
      <c r="A20" s="103" t="s">
        <v>80</v>
      </c>
      <c r="B20" s="69">
        <f t="shared" si="1"/>
        <v>19</v>
      </c>
      <c r="C20" s="70">
        <v>10</v>
      </c>
      <c r="D20" s="69">
        <v>2021</v>
      </c>
      <c r="E20" s="71">
        <f>'FS-AD Daily '!B24</f>
        <v>6828</v>
      </c>
      <c r="F20" s="71">
        <f>'FS-AD Daily '!C24</f>
        <v>5310</v>
      </c>
      <c r="G20" s="71">
        <f>'FS-AD Daily '!D24</f>
        <v>906</v>
      </c>
      <c r="H20" s="71">
        <f>'FS-AD Daily '!E24</f>
        <v>6154</v>
      </c>
      <c r="I20" s="71">
        <f>'FS-AD Daily '!F24</f>
        <v>6507</v>
      </c>
      <c r="J20" s="71">
        <f>'FS-AD Daily '!G24</f>
        <v>3285</v>
      </c>
      <c r="K20" s="71">
        <f>'FS-AD Daily '!H24</f>
        <v>6662</v>
      </c>
      <c r="L20" s="71">
        <f>'FS-AD Daily '!I24</f>
        <v>2539</v>
      </c>
      <c r="M20" s="71">
        <f>'FS-AD Daily '!J24</f>
        <v>7183</v>
      </c>
      <c r="N20" s="71">
        <f>'FS-AD Daily '!T24</f>
        <v>202.083000000006</v>
      </c>
      <c r="O20" s="71">
        <f>'FS-AD Daily '!R24</f>
        <v>72.485000000001492</v>
      </c>
      <c r="P20" s="71">
        <f>'FS-AD Daily '!Z24</f>
        <v>770</v>
      </c>
      <c r="Q20" s="71">
        <f>'FS-AD Daily '!V24</f>
        <v>248.20000000001164</v>
      </c>
      <c r="R20" s="71">
        <f>'FS-AD Daily '!W24</f>
        <v>148.22000000000116</v>
      </c>
      <c r="S20" s="71">
        <f t="shared" si="0"/>
        <v>373.57999999998719</v>
      </c>
      <c r="T20" s="71">
        <f>'FS-AD Daily '!AD24*3.516</f>
        <v>110101.43040000131</v>
      </c>
      <c r="U20" s="71">
        <f>('FS-AD Daily '!AF24)*1000</f>
        <v>54899.999999994179</v>
      </c>
      <c r="V20" s="71">
        <f>('FS-AD Daily '!AG24)*1000</f>
        <v>34700.000000004366</v>
      </c>
      <c r="W20" s="71">
        <f>'FS-AD Daily '!AH24*1000</f>
        <v>15000</v>
      </c>
      <c r="X20" s="71">
        <f>('FS-AD Daily '!AK24)*1000</f>
        <v>34000</v>
      </c>
      <c r="Y20" s="71">
        <v>186</v>
      </c>
      <c r="Z20" s="104">
        <v>238</v>
      </c>
    </row>
    <row r="21" spans="1:26" x14ac:dyDescent="0.25">
      <c r="A21" s="103" t="s">
        <v>80</v>
      </c>
      <c r="B21" s="69">
        <f t="shared" si="1"/>
        <v>20</v>
      </c>
      <c r="C21" s="70">
        <v>10</v>
      </c>
      <c r="D21" s="69">
        <v>2021</v>
      </c>
      <c r="E21" s="71">
        <f>'FS-AD Daily '!B25</f>
        <v>6207</v>
      </c>
      <c r="F21" s="71">
        <f>'FS-AD Daily '!C25</f>
        <v>4634</v>
      </c>
      <c r="G21" s="71">
        <f>'FS-AD Daily '!D25</f>
        <v>891</v>
      </c>
      <c r="H21" s="71">
        <f>'FS-AD Daily '!E25</f>
        <v>5671</v>
      </c>
      <c r="I21" s="71">
        <f>'FS-AD Daily '!F25</f>
        <v>5927</v>
      </c>
      <c r="J21" s="71">
        <f>'FS-AD Daily '!G25</f>
        <v>3011</v>
      </c>
      <c r="K21" s="71">
        <f>'FS-AD Daily '!H25</f>
        <v>6458</v>
      </c>
      <c r="L21" s="71">
        <f>'FS-AD Daily '!I25</f>
        <v>2342</v>
      </c>
      <c r="M21" s="71">
        <f>'FS-AD Daily '!J25</f>
        <v>7046</v>
      </c>
      <c r="N21" s="71">
        <f>'FS-AD Daily '!T25</f>
        <v>183.71700000000419</v>
      </c>
      <c r="O21" s="71">
        <f>'FS-AD Daily '!R25</f>
        <v>70.81600000000708</v>
      </c>
      <c r="P21" s="71">
        <f>'FS-AD Daily '!Z25</f>
        <v>696</v>
      </c>
      <c r="Q21" s="71">
        <f>'FS-AD Daily '!V25</f>
        <v>232.70000000001164</v>
      </c>
      <c r="R21" s="71">
        <f>'FS-AD Daily '!W25</f>
        <v>118.10000000000582</v>
      </c>
      <c r="S21" s="71">
        <f t="shared" si="0"/>
        <v>345.19999999998254</v>
      </c>
      <c r="T21" s="71">
        <f>'FS-AD Daily '!AD25*3.516</f>
        <v>102702.00840000132</v>
      </c>
      <c r="U21" s="71">
        <f>('FS-AD Daily '!AF25)*1000</f>
        <v>49900.000000008731</v>
      </c>
      <c r="V21" s="71">
        <f>('FS-AD Daily '!AG25)*1000</f>
        <v>34299.999999995634</v>
      </c>
      <c r="W21" s="71">
        <f>'FS-AD Daily '!AH25*1000</f>
        <v>14500</v>
      </c>
      <c r="X21" s="71">
        <f>('FS-AD Daily '!AK25)*1000</f>
        <v>32599.999999998545</v>
      </c>
      <c r="Y21" s="71">
        <v>177</v>
      </c>
      <c r="Z21" s="104">
        <v>243</v>
      </c>
    </row>
    <row r="22" spans="1:26" x14ac:dyDescent="0.25">
      <c r="A22" s="103" t="s">
        <v>80</v>
      </c>
      <c r="B22" s="69">
        <f t="shared" si="1"/>
        <v>21</v>
      </c>
      <c r="C22" s="70">
        <v>10</v>
      </c>
      <c r="D22" s="69">
        <v>2021</v>
      </c>
      <c r="E22" s="71">
        <f>'FS-AD Daily '!B26</f>
        <v>6562</v>
      </c>
      <c r="F22" s="71">
        <f>'FS-AD Daily '!C26</f>
        <v>5003</v>
      </c>
      <c r="G22" s="71">
        <f>'FS-AD Daily '!D26</f>
        <v>909</v>
      </c>
      <c r="H22" s="71">
        <f>'FS-AD Daily '!E26</f>
        <v>6036</v>
      </c>
      <c r="I22" s="71">
        <f>'FS-AD Daily '!F26</f>
        <v>6374</v>
      </c>
      <c r="J22" s="71">
        <f>'FS-AD Daily '!G26</f>
        <v>3239</v>
      </c>
      <c r="K22" s="71">
        <f>'FS-AD Daily '!H26</f>
        <v>6782</v>
      </c>
      <c r="L22" s="71">
        <f>'FS-AD Daily '!I26</f>
        <v>2429</v>
      </c>
      <c r="M22" s="71">
        <f>'FS-AD Daily '!J26</f>
        <v>7163</v>
      </c>
      <c r="N22" s="71">
        <f>'FS-AD Daily '!T26</f>
        <v>176.23499999998603</v>
      </c>
      <c r="O22" s="71">
        <f>'FS-AD Daily '!R26</f>
        <v>78.748999999994339</v>
      </c>
      <c r="P22" s="71">
        <f>'FS-AD Daily '!Z26</f>
        <v>736</v>
      </c>
      <c r="Q22" s="71">
        <f>'FS-AD Daily '!V26</f>
        <v>249</v>
      </c>
      <c r="R22" s="71">
        <f>'FS-AD Daily '!W26</f>
        <v>139.97999999998137</v>
      </c>
      <c r="S22" s="71">
        <f t="shared" si="0"/>
        <v>347.02000000001863</v>
      </c>
      <c r="T22" s="71">
        <f>'FS-AD Daily '!AD26*3.516</f>
        <v>102452.724</v>
      </c>
      <c r="U22" s="71">
        <f>('FS-AD Daily '!AF26)*1000</f>
        <v>50599.999999991269</v>
      </c>
      <c r="V22" s="71">
        <f>('FS-AD Daily '!AG26)*1000</f>
        <v>34700.000000004366</v>
      </c>
      <c r="W22" s="71">
        <f>'FS-AD Daily '!AH26*1000</f>
        <v>14100.000000002183</v>
      </c>
      <c r="X22" s="71">
        <f>('FS-AD Daily '!AK26)*1000</f>
        <v>33299.999999995634</v>
      </c>
      <c r="Y22" s="71">
        <v>178</v>
      </c>
      <c r="Z22" s="104">
        <v>269</v>
      </c>
    </row>
    <row r="23" spans="1:26" x14ac:dyDescent="0.25">
      <c r="A23" s="103" t="s">
        <v>80</v>
      </c>
      <c r="B23" s="69">
        <f t="shared" si="1"/>
        <v>22</v>
      </c>
      <c r="C23" s="70">
        <v>10</v>
      </c>
      <c r="D23" s="69">
        <v>2021</v>
      </c>
      <c r="E23" s="71">
        <f>'FS-AD Daily '!B27</f>
        <v>6623</v>
      </c>
      <c r="F23" s="71">
        <f>'FS-AD Daily '!C27</f>
        <v>4522</v>
      </c>
      <c r="G23" s="71">
        <f>'FS-AD Daily '!D27</f>
        <v>911</v>
      </c>
      <c r="H23" s="71">
        <f>'FS-AD Daily '!E27</f>
        <v>5924</v>
      </c>
      <c r="I23" s="71">
        <f>'FS-AD Daily '!F27</f>
        <v>6336</v>
      </c>
      <c r="J23" s="71">
        <f>'FS-AD Daily '!G27</f>
        <v>3174</v>
      </c>
      <c r="K23" s="71">
        <f>'FS-AD Daily '!H27</f>
        <v>6698</v>
      </c>
      <c r="L23" s="71">
        <f>'FS-AD Daily '!I27</f>
        <v>2382</v>
      </c>
      <c r="M23" s="71">
        <f>'FS-AD Daily '!J27</f>
        <v>7201</v>
      </c>
      <c r="N23" s="71">
        <f>'FS-AD Daily '!T27</f>
        <v>190.34100000000763</v>
      </c>
      <c r="O23" s="71">
        <f>'FS-AD Daily '!R27</f>
        <v>81.027999999998428</v>
      </c>
      <c r="P23" s="71">
        <f>'FS-AD Daily '!Z27</f>
        <v>792</v>
      </c>
      <c r="Q23" s="71">
        <f>'FS-AD Daily '!V27</f>
        <v>254.59999999997672</v>
      </c>
      <c r="R23" s="71">
        <f>'FS-AD Daily '!W27</f>
        <v>163.75</v>
      </c>
      <c r="S23" s="71">
        <f t="shared" si="0"/>
        <v>373.65000000002328</v>
      </c>
      <c r="T23" s="71">
        <f>'FS-AD Daily '!AD27*3.516</f>
        <v>104159.39039999477</v>
      </c>
      <c r="U23" s="71">
        <f>('FS-AD Daily '!AF27)*1000</f>
        <v>51100.000000005821</v>
      </c>
      <c r="V23" s="71">
        <f>('FS-AD Daily '!AG27)*1000</f>
        <v>34500</v>
      </c>
      <c r="W23" s="71">
        <f>'FS-AD Daily '!AH27*1000</f>
        <v>14099.999999998545</v>
      </c>
      <c r="X23" s="71">
        <f>('FS-AD Daily '!AK27)*1000</f>
        <v>33700.000000004366</v>
      </c>
      <c r="Y23" s="71">
        <v>169</v>
      </c>
      <c r="Z23" s="104">
        <v>257</v>
      </c>
    </row>
    <row r="24" spans="1:26" x14ac:dyDescent="0.25">
      <c r="A24" s="103" t="s">
        <v>80</v>
      </c>
      <c r="B24" s="69">
        <f t="shared" si="1"/>
        <v>23</v>
      </c>
      <c r="C24" s="70">
        <v>10</v>
      </c>
      <c r="D24" s="69">
        <v>2021</v>
      </c>
      <c r="E24" s="71">
        <f>'FS-AD Daily '!B28</f>
        <v>6203</v>
      </c>
      <c r="F24" s="71">
        <f>'FS-AD Daily '!C28</f>
        <v>4153</v>
      </c>
      <c r="G24" s="71">
        <f>'FS-AD Daily '!D28</f>
        <v>860</v>
      </c>
      <c r="H24" s="71">
        <f>'FS-AD Daily '!E28</f>
        <v>5844</v>
      </c>
      <c r="I24" s="71">
        <f>'FS-AD Daily '!F28</f>
        <v>6030</v>
      </c>
      <c r="J24" s="71">
        <f>'FS-AD Daily '!G28</f>
        <v>3091</v>
      </c>
      <c r="K24" s="71">
        <f>'FS-AD Daily '!H28</f>
        <v>6627</v>
      </c>
      <c r="L24" s="71">
        <f>'FS-AD Daily '!I28</f>
        <v>2480</v>
      </c>
      <c r="M24" s="71">
        <f>'FS-AD Daily '!J28</f>
        <v>7031</v>
      </c>
      <c r="N24" s="71">
        <f>'FS-AD Daily '!T28</f>
        <v>177.25500000000466</v>
      </c>
      <c r="O24" s="71">
        <f>'FS-AD Daily '!R28</f>
        <v>68.492000000008375</v>
      </c>
      <c r="P24" s="71">
        <f>'FS-AD Daily '!Z28</f>
        <v>706</v>
      </c>
      <c r="Q24" s="71">
        <f>'FS-AD Daily '!V28</f>
        <v>231.70000000001164</v>
      </c>
      <c r="R24" s="71">
        <f>'FS-AD Daily '!W28</f>
        <v>142.63000000000466</v>
      </c>
      <c r="S24" s="71">
        <f t="shared" si="0"/>
        <v>331.6699999999837</v>
      </c>
      <c r="T24" s="71">
        <f>'FS-AD Daily '!AD28*3.516</f>
        <v>97892.471999999994</v>
      </c>
      <c r="U24" s="71">
        <f>('FS-AD Daily '!AF28)*1000</f>
        <v>45300.00000000291</v>
      </c>
      <c r="V24" s="71">
        <f>('FS-AD Daily '!AG28)*1000</f>
        <v>33899.999999994179</v>
      </c>
      <c r="W24" s="71">
        <f>'FS-AD Daily '!AH28*1000</f>
        <v>13400.000000001455</v>
      </c>
      <c r="X24" s="71">
        <f>('FS-AD Daily '!AK28)*1000</f>
        <v>32799.999999995634</v>
      </c>
      <c r="Y24" s="71">
        <v>127</v>
      </c>
      <c r="Z24" s="104">
        <v>165</v>
      </c>
    </row>
    <row r="25" spans="1:26" x14ac:dyDescent="0.25">
      <c r="A25" s="103" t="s">
        <v>80</v>
      </c>
      <c r="B25" s="69">
        <f t="shared" si="1"/>
        <v>24</v>
      </c>
      <c r="C25" s="70">
        <v>10</v>
      </c>
      <c r="D25" s="69">
        <v>2021</v>
      </c>
      <c r="E25" s="71">
        <f>'FS-AD Daily '!B29</f>
        <v>6473</v>
      </c>
      <c r="F25" s="71">
        <f>'FS-AD Daily '!C29</f>
        <v>4548</v>
      </c>
      <c r="G25" s="71">
        <f>'FS-AD Daily '!D29</f>
        <v>834</v>
      </c>
      <c r="H25" s="71">
        <f>'FS-AD Daily '!E29</f>
        <v>5958</v>
      </c>
      <c r="I25" s="71">
        <f>'FS-AD Daily '!F29</f>
        <v>6304</v>
      </c>
      <c r="J25" s="71">
        <f>'FS-AD Daily '!G29</f>
        <v>3204</v>
      </c>
      <c r="K25" s="71">
        <f>'FS-AD Daily '!H29</f>
        <v>6874</v>
      </c>
      <c r="L25" s="71">
        <f>'FS-AD Daily '!I29</f>
        <v>2582</v>
      </c>
      <c r="M25" s="71">
        <f>'FS-AD Daily '!J29</f>
        <v>7110</v>
      </c>
      <c r="N25" s="71">
        <f>'FS-AD Daily '!T29</f>
        <v>180.42099999999118</v>
      </c>
      <c r="O25" s="71">
        <f>'FS-AD Daily '!R29</f>
        <v>60.545999999990272</v>
      </c>
      <c r="P25" s="71">
        <f>'FS-AD Daily '!Z29</f>
        <v>712</v>
      </c>
      <c r="Q25" s="71">
        <f>'FS-AD Daily '!V29</f>
        <v>233.70000000001164</v>
      </c>
      <c r="R25" s="71">
        <f>'FS-AD Daily '!W29</f>
        <v>155.91000000000349</v>
      </c>
      <c r="S25" s="71">
        <f t="shared" si="0"/>
        <v>322.38999999998487</v>
      </c>
      <c r="T25" s="71">
        <f>'FS-AD Daily '!AD29*3.516</f>
        <v>91484.562000000005</v>
      </c>
      <c r="U25" s="71">
        <f>('FS-AD Daily '!AF29)*1000</f>
        <v>43099.999999991269</v>
      </c>
      <c r="V25" s="71">
        <f>('FS-AD Daily '!AG29)*1000</f>
        <v>32100.000000005821</v>
      </c>
      <c r="W25" s="71">
        <f>'FS-AD Daily '!AH29*1000</f>
        <v>13200.000000000728</v>
      </c>
      <c r="X25" s="71">
        <f>('FS-AD Daily '!AK29)*1000</f>
        <v>33700.000000004366</v>
      </c>
      <c r="Y25" s="71">
        <v>152</v>
      </c>
      <c r="Z25" s="104">
        <v>210</v>
      </c>
    </row>
    <row r="26" spans="1:26" x14ac:dyDescent="0.25">
      <c r="A26" s="103" t="s">
        <v>80</v>
      </c>
      <c r="B26" s="69">
        <f>B25+1</f>
        <v>25</v>
      </c>
      <c r="C26" s="70">
        <v>10</v>
      </c>
      <c r="D26" s="69">
        <v>2021</v>
      </c>
      <c r="E26" s="71">
        <f>'FS-AD Daily '!B30</f>
        <v>6477</v>
      </c>
      <c r="F26" s="71">
        <f>'FS-AD Daily '!C30</f>
        <v>4822</v>
      </c>
      <c r="G26" s="71">
        <f>'FS-AD Daily '!D30</f>
        <v>892</v>
      </c>
      <c r="H26" s="71">
        <f>'FS-AD Daily '!E30</f>
        <v>5988</v>
      </c>
      <c r="I26" s="71">
        <f>'FS-AD Daily '!F30</f>
        <v>6219</v>
      </c>
      <c r="J26" s="71">
        <f>'FS-AD Daily '!G30</f>
        <v>3233</v>
      </c>
      <c r="K26" s="71">
        <f>'FS-AD Daily '!H30</f>
        <v>6799</v>
      </c>
      <c r="L26" s="71">
        <f>'FS-AD Daily '!I30</f>
        <v>2423</v>
      </c>
      <c r="M26" s="71">
        <f>'FS-AD Daily '!J30</f>
        <v>7089</v>
      </c>
      <c r="N26" s="71">
        <f>'FS-AD Daily '!T30</f>
        <v>170.7460000000101</v>
      </c>
      <c r="O26" s="71">
        <f>'FS-AD Daily '!R30</f>
        <v>65.504000000009</v>
      </c>
      <c r="P26" s="71">
        <f>'FS-AD Daily '!Z30</f>
        <v>745</v>
      </c>
      <c r="Q26" s="71">
        <f>'FS-AD Daily '!V30</f>
        <v>235.09999999997672</v>
      </c>
      <c r="R26" s="71">
        <f>'FS-AD Daily '!W30</f>
        <v>142.44000000000233</v>
      </c>
      <c r="S26" s="71">
        <f t="shared" si="0"/>
        <v>367.46000000002095</v>
      </c>
      <c r="T26" s="71">
        <f>'FS-AD Daily '!AD30*3.516</f>
        <v>87769.907999999996</v>
      </c>
      <c r="U26" s="71">
        <f>('FS-AD Daily '!AF30)*1000</f>
        <v>41500</v>
      </c>
      <c r="V26" s="71">
        <f>('FS-AD Daily '!AG30)*1000</f>
        <v>30699.99999999709</v>
      </c>
      <c r="W26" s="71">
        <f>'FS-AD Daily '!AH30*1000</f>
        <v>12599.999999998545</v>
      </c>
      <c r="X26" s="71">
        <f>('FS-AD Daily '!AK30)*1000</f>
        <v>32400.000000001455</v>
      </c>
      <c r="Y26" s="71">
        <v>158</v>
      </c>
      <c r="Z26" s="104">
        <v>216</v>
      </c>
    </row>
    <row r="27" spans="1:26" x14ac:dyDescent="0.25">
      <c r="A27" s="103" t="s">
        <v>80</v>
      </c>
      <c r="B27" s="69">
        <f t="shared" si="1"/>
        <v>26</v>
      </c>
      <c r="C27" s="70">
        <v>10</v>
      </c>
      <c r="D27" s="69">
        <v>2021</v>
      </c>
      <c r="E27" s="71">
        <f>'FS-AD Daily '!B31</f>
        <v>6652</v>
      </c>
      <c r="F27" s="71">
        <f>'FS-AD Daily '!C31</f>
        <v>5040</v>
      </c>
      <c r="G27" s="71">
        <f>'FS-AD Daily '!D31</f>
        <v>870</v>
      </c>
      <c r="H27" s="71">
        <f>'FS-AD Daily '!E31</f>
        <v>6003</v>
      </c>
      <c r="I27" s="71">
        <f>'FS-AD Daily '!F31</f>
        <v>6202</v>
      </c>
      <c r="J27" s="71">
        <f>'FS-AD Daily '!G31</f>
        <v>3109</v>
      </c>
      <c r="K27" s="71">
        <f>'FS-AD Daily '!H31</f>
        <v>6700</v>
      </c>
      <c r="L27" s="71">
        <f>'FS-AD Daily '!I31</f>
        <v>2408</v>
      </c>
      <c r="M27" s="71">
        <f>'FS-AD Daily '!J31</f>
        <v>7098</v>
      </c>
      <c r="N27" s="71">
        <f>'FS-AD Daily '!T31</f>
        <v>177.00199999998949</v>
      </c>
      <c r="O27" s="71">
        <f>'FS-AD Daily '!R31</f>
        <v>73.841999999995096</v>
      </c>
      <c r="P27" s="71">
        <f>'FS-AD Daily '!Z31</f>
        <v>734</v>
      </c>
      <c r="Q27" s="71">
        <f>'FS-AD Daily '!V31</f>
        <v>237.5</v>
      </c>
      <c r="R27" s="71">
        <f>'FS-AD Daily '!W31</f>
        <v>139.02999999999884</v>
      </c>
      <c r="S27" s="71">
        <f t="shared" si="0"/>
        <v>357.47000000000116</v>
      </c>
      <c r="T27" s="71">
        <f>'FS-AD Daily '!AD31*3.516</f>
        <v>86614.550400001317</v>
      </c>
      <c r="U27" s="71">
        <f>('FS-AD Daily '!AF31)*1000</f>
        <v>40600.000000005821</v>
      </c>
      <c r="V27" s="71">
        <f>('FS-AD Daily '!AG31)*1000</f>
        <v>30300.00000000291</v>
      </c>
      <c r="W27" s="71">
        <f>'FS-AD Daily '!AH31*1000</f>
        <v>13099.999999998545</v>
      </c>
      <c r="X27" s="71">
        <f>('FS-AD Daily '!AK31)*1000</f>
        <v>32500</v>
      </c>
      <c r="Y27" s="71">
        <v>160</v>
      </c>
      <c r="Z27" s="104">
        <v>214</v>
      </c>
    </row>
    <row r="28" spans="1:26" x14ac:dyDescent="0.25">
      <c r="A28" s="103" t="s">
        <v>80</v>
      </c>
      <c r="B28" s="69">
        <f t="shared" si="1"/>
        <v>27</v>
      </c>
      <c r="C28" s="70">
        <v>10</v>
      </c>
      <c r="D28" s="69">
        <v>2021</v>
      </c>
      <c r="E28" s="71">
        <f>'FS-AD Daily '!B32</f>
        <v>6603</v>
      </c>
      <c r="F28" s="71">
        <f>'FS-AD Daily '!C32</f>
        <v>4728</v>
      </c>
      <c r="G28" s="71">
        <f>'FS-AD Daily '!D32</f>
        <v>888</v>
      </c>
      <c r="H28" s="71">
        <f>'FS-AD Daily '!E32</f>
        <v>6210</v>
      </c>
      <c r="I28" s="71">
        <f>'FS-AD Daily '!F32</f>
        <v>6274</v>
      </c>
      <c r="J28" s="71">
        <f>'FS-AD Daily '!G32</f>
        <v>3226</v>
      </c>
      <c r="K28" s="71">
        <f>'FS-AD Daily '!H32</f>
        <v>6818</v>
      </c>
      <c r="L28" s="71">
        <f>'FS-AD Daily '!I32</f>
        <v>2520</v>
      </c>
      <c r="M28" s="71">
        <f>'FS-AD Daily '!J32</f>
        <v>7247</v>
      </c>
      <c r="N28" s="71">
        <f>'FS-AD Daily '!T32</f>
        <v>195.39300000000367</v>
      </c>
      <c r="O28" s="71">
        <f>'FS-AD Daily '!R32</f>
        <v>85.203000000004067</v>
      </c>
      <c r="P28" s="71">
        <f>'FS-AD Daily '!Z32</f>
        <v>712</v>
      </c>
      <c r="Q28" s="71">
        <f>'FS-AD Daily '!V32</f>
        <v>246</v>
      </c>
      <c r="R28" s="71">
        <f>'FS-AD Daily '!W32</f>
        <v>139.01999999998952</v>
      </c>
      <c r="S28" s="71">
        <f t="shared" si="0"/>
        <v>326.98000000001048</v>
      </c>
      <c r="T28" s="71">
        <f>'FS-AD Daily '!AD32*3.516</f>
        <v>83060.929200003928</v>
      </c>
      <c r="U28" s="71">
        <f>('FS-AD Daily '!AF32)*1000</f>
        <v>37899.999999994179</v>
      </c>
      <c r="V28" s="71">
        <f>('FS-AD Daily '!AG32)*1000</f>
        <v>29299.999999995634</v>
      </c>
      <c r="W28" s="71">
        <f>'FS-AD Daily '!AH32*1000</f>
        <v>12800.00000000291</v>
      </c>
      <c r="X28" s="71">
        <f>('FS-AD Daily '!AK32)*1000</f>
        <v>30799.999999995634</v>
      </c>
      <c r="Y28" s="71">
        <v>194</v>
      </c>
      <c r="Z28" s="104">
        <v>257</v>
      </c>
    </row>
    <row r="29" spans="1:26" x14ac:dyDescent="0.25">
      <c r="A29" s="103" t="s">
        <v>80</v>
      </c>
      <c r="B29" s="69">
        <f t="shared" si="1"/>
        <v>28</v>
      </c>
      <c r="C29" s="70">
        <v>10</v>
      </c>
      <c r="D29" s="69">
        <v>2021</v>
      </c>
      <c r="E29" s="71">
        <f>'FS-AD Daily '!B33</f>
        <v>6365</v>
      </c>
      <c r="F29" s="71">
        <f>'FS-AD Daily '!C33</f>
        <v>4507</v>
      </c>
      <c r="G29" s="71">
        <f>'FS-AD Daily '!D33</f>
        <v>903</v>
      </c>
      <c r="H29" s="71">
        <f>'FS-AD Daily '!E33</f>
        <v>5755</v>
      </c>
      <c r="I29" s="71">
        <f>'FS-AD Daily '!F33</f>
        <v>5970</v>
      </c>
      <c r="J29" s="71">
        <f>'FS-AD Daily '!G33</f>
        <v>3007</v>
      </c>
      <c r="K29" s="71">
        <f>'FS-AD Daily '!H33</f>
        <v>6504</v>
      </c>
      <c r="L29" s="71">
        <f>'FS-AD Daily '!I33</f>
        <v>2433</v>
      </c>
      <c r="M29" s="71">
        <f>'FS-AD Daily '!J33</f>
        <v>7228</v>
      </c>
      <c r="N29" s="71">
        <f>'FS-AD Daily '!T33</f>
        <v>199.4989999999998</v>
      </c>
      <c r="O29" s="71">
        <f>'FS-AD Daily '!R33</f>
        <v>96.184000000000196</v>
      </c>
      <c r="P29" s="71">
        <f>'FS-AD Daily '!Z33</f>
        <v>780</v>
      </c>
      <c r="Q29" s="71">
        <f>'FS-AD Daily '!V33</f>
        <v>256.40000000002328</v>
      </c>
      <c r="R29" s="71">
        <f>'FS-AD Daily '!W33</f>
        <v>141.96000000002095</v>
      </c>
      <c r="S29" s="71">
        <f t="shared" si="0"/>
        <v>381.63999999995576</v>
      </c>
      <c r="T29" s="71">
        <f>'FS-AD Daily '!AD33*3.516</f>
        <v>87725.957999999999</v>
      </c>
      <c r="U29" s="71">
        <f>('FS-AD Daily '!AF33)*1000</f>
        <v>41400.000000008731</v>
      </c>
      <c r="V29" s="71">
        <f>('FS-AD Daily '!AG33)*1000</f>
        <v>28700.000000004366</v>
      </c>
      <c r="W29" s="71">
        <f>'FS-AD Daily '!AH33*1000</f>
        <v>13000</v>
      </c>
      <c r="X29" s="71">
        <f>('FS-AD Daily '!AK33)*1000</f>
        <v>32300.00000000291</v>
      </c>
      <c r="Y29" s="71">
        <v>175</v>
      </c>
      <c r="Z29" s="104">
        <v>254</v>
      </c>
    </row>
    <row r="30" spans="1:26" x14ac:dyDescent="0.25">
      <c r="A30" s="103" t="s">
        <v>80</v>
      </c>
      <c r="B30" s="69">
        <f t="shared" si="1"/>
        <v>29</v>
      </c>
      <c r="C30" s="70">
        <v>10</v>
      </c>
      <c r="D30" s="69">
        <v>2021</v>
      </c>
      <c r="E30" s="71">
        <f>'FS-AD Daily '!B34</f>
        <v>6258</v>
      </c>
      <c r="F30" s="71">
        <f>'FS-AD Daily '!C34</f>
        <v>3967</v>
      </c>
      <c r="G30" s="71">
        <f>'FS-AD Daily '!D34</f>
        <v>880</v>
      </c>
      <c r="H30" s="71">
        <f>'FS-AD Daily '!E34</f>
        <v>5827</v>
      </c>
      <c r="I30" s="71">
        <f>'FS-AD Daily '!F34</f>
        <v>6293</v>
      </c>
      <c r="J30" s="71">
        <f>'FS-AD Daily '!G34</f>
        <v>3109</v>
      </c>
      <c r="K30" s="71">
        <f>'FS-AD Daily '!H34</f>
        <v>6590</v>
      </c>
      <c r="L30" s="71">
        <f>'FS-AD Daily '!I34</f>
        <v>2366</v>
      </c>
      <c r="M30" s="71">
        <f>'FS-AD Daily '!J34</f>
        <v>7235</v>
      </c>
      <c r="N30" s="71">
        <f>'FS-AD Daily '!T34</f>
        <v>186.1210000000101</v>
      </c>
      <c r="O30" s="71">
        <f>'FS-AD Daily '!R34</f>
        <v>84.75399999999172</v>
      </c>
      <c r="P30" s="71">
        <f>'FS-AD Daily '!Z34</f>
        <v>799</v>
      </c>
      <c r="Q30" s="71">
        <f>'FS-AD Daily '!V34</f>
        <v>265.39999999996508</v>
      </c>
      <c r="R30" s="71">
        <f>'FS-AD Daily '!W34</f>
        <v>154.13999999998487</v>
      </c>
      <c r="S30" s="71">
        <f t="shared" si="0"/>
        <v>379.46000000005006</v>
      </c>
      <c r="T30" s="71">
        <f>'FS-AD Daily '!AD34*3.516</f>
        <v>82312.021199997384</v>
      </c>
      <c r="U30" s="71">
        <f>('FS-AD Daily '!AF34)*1000</f>
        <v>38099.999999991269</v>
      </c>
      <c r="V30" s="71">
        <f>('FS-AD Daily '!AG34)*1000</f>
        <v>28000</v>
      </c>
      <c r="W30" s="71">
        <f>'FS-AD Daily '!AH34*1000</f>
        <v>12299.999999999272</v>
      </c>
      <c r="X30" s="71">
        <f>('FS-AD Daily '!AK34)*1000</f>
        <v>32099.999999998545</v>
      </c>
      <c r="Y30" s="71">
        <v>179</v>
      </c>
      <c r="Z30" s="104">
        <v>263</v>
      </c>
    </row>
    <row r="31" spans="1:26" x14ac:dyDescent="0.25">
      <c r="A31" s="103" t="s">
        <v>80</v>
      </c>
      <c r="B31" s="69">
        <f t="shared" si="1"/>
        <v>30</v>
      </c>
      <c r="C31" s="70">
        <v>10</v>
      </c>
      <c r="D31" s="69">
        <v>2021</v>
      </c>
      <c r="E31" s="71">
        <f>'FS-AD Daily '!B35</f>
        <v>6088</v>
      </c>
      <c r="F31" s="71">
        <f>'FS-AD Daily '!C35</f>
        <v>3923</v>
      </c>
      <c r="G31" s="71">
        <f>'FS-AD Daily '!D35</f>
        <v>913</v>
      </c>
      <c r="H31" s="71">
        <f>'FS-AD Daily '!E35</f>
        <v>5964</v>
      </c>
      <c r="I31" s="71">
        <f>'FS-AD Daily '!F35</f>
        <v>6260</v>
      </c>
      <c r="J31" s="71">
        <f>'FS-AD Daily '!G35</f>
        <v>3126</v>
      </c>
      <c r="K31" s="71">
        <f>'FS-AD Daily '!H35</f>
        <v>6761</v>
      </c>
      <c r="L31" s="71">
        <f>'FS-AD Daily '!I35</f>
        <v>2466</v>
      </c>
      <c r="M31" s="71">
        <f>'FS-AD Daily '!J35</f>
        <v>7086</v>
      </c>
      <c r="N31" s="71">
        <f>'FS-AD Daily '!T35</f>
        <v>196.92999999998938</v>
      </c>
      <c r="O31" s="71">
        <f>'FS-AD Daily '!R35</f>
        <v>68.930000000009386</v>
      </c>
      <c r="P31" s="71">
        <f>'FS-AD Daily '!Z35</f>
        <v>747</v>
      </c>
      <c r="Q31" s="71">
        <f>'FS-AD Daily '!V35</f>
        <v>245.80000000004657</v>
      </c>
      <c r="R31" s="71">
        <f>'FS-AD Daily '!W35</f>
        <v>148.0800000000163</v>
      </c>
      <c r="S31" s="71">
        <f t="shared" ref="S31:S32" si="2">P31-Q31-R31</f>
        <v>353.11999999993714</v>
      </c>
      <c r="T31" s="71">
        <f>'FS-AD Daily '!AD35*3.516</f>
        <v>76094.326800002615</v>
      </c>
      <c r="U31" s="71">
        <f>('FS-AD Daily '!AF35)*1000</f>
        <v>35500</v>
      </c>
      <c r="V31" s="71">
        <f>('FS-AD Daily '!AG35)*1000</f>
        <v>25899.999999994179</v>
      </c>
      <c r="W31" s="71">
        <f>'FS-AD Daily '!AH35*1000</f>
        <v>11899.999999997817</v>
      </c>
      <c r="X31" s="71">
        <f>('FS-AD Daily '!AK35)*1000</f>
        <v>25800.00000000291</v>
      </c>
      <c r="Y31" s="71">
        <v>144</v>
      </c>
      <c r="Z31" s="122">
        <v>208</v>
      </c>
    </row>
    <row r="32" spans="1:26" ht="15.75" thickBot="1" x14ac:dyDescent="0.3">
      <c r="A32" s="103" t="s">
        <v>80</v>
      </c>
      <c r="B32" s="69">
        <f t="shared" si="1"/>
        <v>31</v>
      </c>
      <c r="C32" s="70">
        <v>10</v>
      </c>
      <c r="D32" s="105">
        <v>2021</v>
      </c>
      <c r="E32" s="71">
        <f>'FS-AD Daily '!B36</f>
        <v>5879</v>
      </c>
      <c r="F32" s="71">
        <f>'FS-AD Daily '!C36</f>
        <v>3888</v>
      </c>
      <c r="G32" s="71">
        <f>'FS-AD Daily '!D36</f>
        <v>871</v>
      </c>
      <c r="H32" s="71">
        <f>'FS-AD Daily '!E36</f>
        <v>5929</v>
      </c>
      <c r="I32" s="71">
        <f>'FS-AD Daily '!F36</f>
        <v>5995</v>
      </c>
      <c r="J32" s="71">
        <f>'FS-AD Daily '!G36</f>
        <v>3096</v>
      </c>
      <c r="K32" s="71">
        <f>'FS-AD Daily '!H36</f>
        <v>6634</v>
      </c>
      <c r="L32" s="71">
        <f>'FS-AD Daily '!I36</f>
        <v>2418</v>
      </c>
      <c r="M32" s="71">
        <f>'FS-AD Daily '!J36</f>
        <v>6946</v>
      </c>
      <c r="N32" s="71">
        <f>'FS-AD Daily '!T36</f>
        <v>195.32600000000093</v>
      </c>
      <c r="O32" s="71">
        <f>'FS-AD Daily '!R36</f>
        <v>67.080999999987398</v>
      </c>
      <c r="P32" s="71">
        <f>'FS-AD Daily '!Z36</f>
        <v>731</v>
      </c>
      <c r="Q32" s="71">
        <f>'FS-AD Daily '!V36</f>
        <v>245.19999999995343</v>
      </c>
      <c r="R32" s="71">
        <f>'FS-AD Daily '!W36</f>
        <v>155.00999999998021</v>
      </c>
      <c r="S32" s="71">
        <f t="shared" si="2"/>
        <v>330.79000000006636</v>
      </c>
      <c r="T32" s="71">
        <f>'FS-AD Daily '!AD36*3.516</f>
        <v>85084.035599998693</v>
      </c>
      <c r="U32" s="71">
        <f>('FS-AD Daily '!AF36)*1000</f>
        <v>38300.00000000291</v>
      </c>
      <c r="V32" s="71">
        <f>('FS-AD Daily '!AG36)*1000</f>
        <v>28800.00000000291</v>
      </c>
      <c r="W32" s="71">
        <f>'FS-AD Daily '!AH36*1000</f>
        <v>12200.000000000728</v>
      </c>
      <c r="X32" s="71">
        <f>('FS-AD Daily '!AK36)*1000</f>
        <v>32399.999999994179</v>
      </c>
      <c r="Y32" s="71">
        <v>121</v>
      </c>
      <c r="Z32" s="106">
        <v>159</v>
      </c>
    </row>
    <row r="33" spans="9:26" x14ac:dyDescent="0.25">
      <c r="I33" s="4">
        <f t="shared" ref="I33:W33" si="3">SUM(I2:I32)</f>
        <v>191410</v>
      </c>
      <c r="J33" s="4">
        <f t="shared" si="3"/>
        <v>96931</v>
      </c>
      <c r="K33" s="4">
        <f t="shared" si="3"/>
        <v>208778</v>
      </c>
      <c r="L33" s="4">
        <f t="shared" si="3"/>
        <v>76823</v>
      </c>
      <c r="M33" s="4">
        <f t="shared" si="3"/>
        <v>220044</v>
      </c>
      <c r="N33" s="4">
        <f t="shared" si="3"/>
        <v>4731.3820000000014</v>
      </c>
      <c r="O33" s="4">
        <f t="shared" si="3"/>
        <v>2271.3900000000021</v>
      </c>
      <c r="P33" s="4">
        <f t="shared" si="3"/>
        <v>20530</v>
      </c>
      <c r="Q33" s="4">
        <f t="shared" si="3"/>
        <v>7134.7999999999884</v>
      </c>
      <c r="R33" s="4">
        <f t="shared" si="3"/>
        <v>2889.4599999999919</v>
      </c>
      <c r="S33" s="4">
        <f t="shared" si="3"/>
        <v>10505.74000000002</v>
      </c>
      <c r="T33" s="4">
        <f t="shared" si="3"/>
        <v>3135482.3064000015</v>
      </c>
      <c r="U33" s="4">
        <f t="shared" si="3"/>
        <v>1508699.9999999967</v>
      </c>
      <c r="V33" s="4">
        <f t="shared" si="3"/>
        <v>1014099.9999999987</v>
      </c>
      <c r="W33" s="4">
        <f t="shared" si="3"/>
        <v>449399.99999999779</v>
      </c>
      <c r="X33" s="4">
        <f>'FS-AD Daily '!U38</f>
        <v>19286.337279999996</v>
      </c>
      <c r="Y33" s="4">
        <f>SUM(Y2:Y32)</f>
        <v>3916</v>
      </c>
      <c r="Z33" s="4">
        <f>SUM(Z2:Z32)</f>
        <v>5572</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E29" activePane="bottomRight" state="frozen"/>
      <selection pane="topRight" activeCell="H1" sqref="H1"/>
      <selection pane="bottomLeft" activeCell="A5" sqref="A5"/>
      <selection pane="bottomRight" activeCell="AN26" sqref="AN26:AN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1" t="s">
        <v>14</v>
      </c>
      <c r="C1" s="131"/>
      <c r="D1" s="131"/>
      <c r="E1" s="131"/>
      <c r="F1" s="131"/>
      <c r="G1" s="131"/>
      <c r="H1" s="131"/>
      <c r="I1" s="131"/>
      <c r="J1" s="131"/>
      <c r="K1" s="25" t="s">
        <v>15</v>
      </c>
      <c r="L1" s="26" t="s">
        <v>16</v>
      </c>
      <c r="M1" s="27" t="s">
        <v>17</v>
      </c>
      <c r="N1" s="28" t="s">
        <v>18</v>
      </c>
      <c r="O1" s="28" t="s">
        <v>19</v>
      </c>
      <c r="P1" s="65" t="s">
        <v>20</v>
      </c>
      <c r="Q1" s="30" t="s">
        <v>21</v>
      </c>
      <c r="R1" s="31" t="s">
        <v>22</v>
      </c>
      <c r="S1" s="29" t="s">
        <v>23</v>
      </c>
      <c r="T1" s="32" t="s">
        <v>24</v>
      </c>
      <c r="U1" s="33" t="s">
        <v>25</v>
      </c>
      <c r="V1" s="32" t="s">
        <v>26</v>
      </c>
      <c r="W1" s="32" t="s">
        <v>27</v>
      </c>
      <c r="X1" s="132" t="s">
        <v>28</v>
      </c>
      <c r="Y1" s="132"/>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7" t="s">
        <v>41</v>
      </c>
      <c r="L2" s="126" t="s">
        <v>42</v>
      </c>
      <c r="M2" s="10"/>
      <c r="N2" s="10"/>
      <c r="O2" s="10"/>
      <c r="P2" s="10"/>
      <c r="Q2" s="10"/>
      <c r="R2" s="10"/>
      <c r="S2" s="135"/>
      <c r="T2" s="47"/>
      <c r="U2" s="129"/>
      <c r="V2" s="45"/>
      <c r="W2" s="45"/>
      <c r="X2" s="22">
        <v>1</v>
      </c>
      <c r="Y2" s="22">
        <v>2</v>
      </c>
      <c r="Z2" s="23"/>
      <c r="AA2" s="126" t="s">
        <v>100</v>
      </c>
      <c r="AB2" s="43"/>
      <c r="AC2" s="127" t="s">
        <v>43</v>
      </c>
      <c r="AD2" s="128"/>
      <c r="AE2" s="129" t="s">
        <v>102</v>
      </c>
      <c r="AF2" s="45"/>
      <c r="AG2" s="45"/>
      <c r="AH2" s="45"/>
      <c r="AI2" s="44"/>
      <c r="AJ2" s="44"/>
      <c r="AK2" s="44"/>
      <c r="AL2" s="44"/>
      <c r="AM2" s="129" t="s">
        <v>102</v>
      </c>
      <c r="AN2" s="130"/>
      <c r="AO2" s="125"/>
    </row>
    <row r="3" spans="1:44" ht="15" customHeight="1" x14ac:dyDescent="0.25">
      <c r="A3" s="9"/>
      <c r="B3" s="11" t="s">
        <v>44</v>
      </c>
      <c r="C3" s="11" t="s">
        <v>45</v>
      </c>
      <c r="D3" s="11" t="s">
        <v>46</v>
      </c>
      <c r="E3" s="11" t="s">
        <v>47</v>
      </c>
      <c r="F3" s="11" t="s">
        <v>48</v>
      </c>
      <c r="G3" s="11" t="s">
        <v>49</v>
      </c>
      <c r="H3" s="11" t="s">
        <v>50</v>
      </c>
      <c r="I3" s="11" t="s">
        <v>51</v>
      </c>
      <c r="J3" s="11" t="s">
        <v>52</v>
      </c>
      <c r="K3" s="133"/>
      <c r="L3" s="134"/>
      <c r="M3" s="10"/>
      <c r="N3" s="10"/>
      <c r="O3" s="10"/>
      <c r="P3" s="10"/>
      <c r="Q3" s="10"/>
      <c r="R3" s="10"/>
      <c r="S3" s="135"/>
      <c r="T3" s="47"/>
      <c r="U3" s="129"/>
      <c r="V3" s="45"/>
      <c r="W3" s="45"/>
      <c r="X3" s="11"/>
      <c r="Y3" s="11"/>
      <c r="Z3" s="12"/>
      <c r="AA3" s="126"/>
      <c r="AB3" s="43"/>
      <c r="AC3" s="127"/>
      <c r="AD3" s="128"/>
      <c r="AE3" s="129"/>
      <c r="AF3" s="45"/>
      <c r="AG3" s="45"/>
      <c r="AH3" s="45"/>
      <c r="AI3" s="13"/>
      <c r="AJ3" s="44"/>
      <c r="AK3" s="44"/>
      <c r="AL3" s="44"/>
      <c r="AM3" s="129"/>
      <c r="AN3" s="130"/>
      <c r="AO3" s="125"/>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5"/>
      <c r="T4" s="47"/>
      <c r="U4" s="129"/>
      <c r="V4" s="45"/>
      <c r="W4" s="45"/>
      <c r="X4" s="52"/>
      <c r="Y4" s="87">
        <v>898441</v>
      </c>
      <c r="Z4" s="12"/>
      <c r="AA4" s="126"/>
      <c r="AB4" s="86">
        <v>8669536</v>
      </c>
      <c r="AC4" s="127"/>
      <c r="AD4" s="128"/>
      <c r="AE4" s="129"/>
      <c r="AF4" s="45"/>
      <c r="AG4" s="45"/>
      <c r="AH4" s="45"/>
      <c r="AI4" s="43">
        <v>47560.1</v>
      </c>
      <c r="AJ4" s="43"/>
      <c r="AK4" s="43"/>
      <c r="AL4" s="43"/>
      <c r="AM4" s="129"/>
      <c r="AN4" s="130"/>
      <c r="AO4" s="125"/>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44470</v>
      </c>
      <c r="B6" s="86">
        <f>12582778-12577265</f>
        <v>5513</v>
      </c>
      <c r="C6" s="86">
        <f>8063737-8059204</f>
        <v>4533</v>
      </c>
      <c r="D6" s="86">
        <f>1590186-1589362</f>
        <v>824</v>
      </c>
      <c r="E6" s="86">
        <f>12044718-12038884</f>
        <v>5834</v>
      </c>
      <c r="F6" s="86">
        <f>11979626-11973311</f>
        <v>6315</v>
      </c>
      <c r="G6" s="86">
        <f>8577253-8573975</f>
        <v>3278</v>
      </c>
      <c r="H6" s="86">
        <f>9138422-9131689</f>
        <v>6733</v>
      </c>
      <c r="I6" s="86">
        <f>5403587-5401183</f>
        <v>2404</v>
      </c>
      <c r="J6" s="86">
        <f>12133918-12126357</f>
        <v>7561</v>
      </c>
      <c r="K6" s="63">
        <f>SUM(B6:H6)</f>
        <v>33030</v>
      </c>
      <c r="L6" s="40">
        <f>K6*0.2</f>
        <v>6606</v>
      </c>
      <c r="M6" s="83">
        <f>90134.816-90000.876</f>
        <v>133.94000000000233</v>
      </c>
      <c r="N6" s="83">
        <f>4546.266-4545.132</f>
        <v>1.1340000000000146</v>
      </c>
      <c r="O6" s="83">
        <f>10277.509-10275.31</f>
        <v>2.1990000000005239</v>
      </c>
      <c r="P6" s="82">
        <f>96512.266-96426.377</f>
        <v>85.889000000010128</v>
      </c>
      <c r="Q6" s="83">
        <f>25571.93-25564.842</f>
        <v>7.0879999999997381</v>
      </c>
      <c r="R6" s="84">
        <f t="shared" ref="R6:R34" si="0">N6+O6+P6</f>
        <v>89.222000000010667</v>
      </c>
      <c r="S6" s="84">
        <f t="shared" ref="S6:S34" si="1">(N6+O6+P6)*7.84</f>
        <v>699.5004800000836</v>
      </c>
      <c r="T6" s="64">
        <f t="shared" ref="T6:T34" si="2">M6+Q6</f>
        <v>141.02800000000207</v>
      </c>
      <c r="U6" s="84">
        <f>T6*7.84</f>
        <v>1105.6595200000161</v>
      </c>
      <c r="V6" s="84">
        <f>370323.3-370129.3</f>
        <v>194</v>
      </c>
      <c r="W6" s="64">
        <f>129986.94-129986.94</f>
        <v>0</v>
      </c>
      <c r="X6" s="85" t="s">
        <v>63</v>
      </c>
      <c r="Y6" s="85">
        <v>898977</v>
      </c>
      <c r="Z6" s="61">
        <f>IF((Y6-Y5&lt;0), "0",Y6-Y4)</f>
        <v>536</v>
      </c>
      <c r="AA6" s="90">
        <f>Z6*6.47</f>
        <v>3467.92</v>
      </c>
      <c r="AB6" s="75">
        <v>8703651</v>
      </c>
      <c r="AC6" s="75">
        <f>AB4</f>
        <v>8669536</v>
      </c>
      <c r="AD6" s="41">
        <f t="shared" ref="AD6:AD34" si="3">IF((AB6-AC6&lt;0), "0",AB6-AC6)</f>
        <v>34115</v>
      </c>
      <c r="AE6" s="84">
        <f>AD6*0.332195</f>
        <v>11332.832425000001</v>
      </c>
      <c r="AF6" s="84">
        <f>92390.1-92331.8</f>
        <v>58.30000000000291</v>
      </c>
      <c r="AG6" s="84">
        <f>49329.2-49289.9</f>
        <v>39.299999999995634</v>
      </c>
      <c r="AH6" s="84">
        <f>29218.9-29202.9</f>
        <v>16</v>
      </c>
      <c r="AI6" s="75">
        <f>AI4</f>
        <v>47560.1</v>
      </c>
      <c r="AJ6" s="75">
        <v>47597.1</v>
      </c>
      <c r="AK6" s="59">
        <f>IF((AJ6-AI6)&lt;0, "0",AJ6-AI6)</f>
        <v>37</v>
      </c>
      <c r="AL6" s="121">
        <f t="shared" ref="AL6:AL34" si="4">AK6*(284.34513609)</f>
        <v>10520.770035329999</v>
      </c>
      <c r="AM6" s="84">
        <f>AL6*0.332195</f>
        <v>3494.947201886449</v>
      </c>
      <c r="AN6" s="101">
        <v>87</v>
      </c>
      <c r="AO6" s="77">
        <f t="shared" ref="AO6:AO36" si="5">L6+U6+AA6+AE6</f>
        <v>22512.411945000014</v>
      </c>
    </row>
    <row r="7" spans="1:44" x14ac:dyDescent="0.25">
      <c r="A7" s="79">
        <v>44471</v>
      </c>
      <c r="B7" s="86">
        <f>12588392-12582778</f>
        <v>5614</v>
      </c>
      <c r="C7" s="86">
        <f>8068399-8063737</f>
        <v>4662</v>
      </c>
      <c r="D7" s="86">
        <f>1591053-1590186</f>
        <v>867</v>
      </c>
      <c r="E7" s="86">
        <f>12050545-12044718</f>
        <v>5827</v>
      </c>
      <c r="F7" s="86">
        <f>11985779-11979626</f>
        <v>6153</v>
      </c>
      <c r="G7" s="86">
        <f>8580537-8577253</f>
        <v>3284</v>
      </c>
      <c r="H7" s="86">
        <f>9145265-9138422</f>
        <v>6843</v>
      </c>
      <c r="I7" s="86">
        <f>5406142-5403587</f>
        <v>2555</v>
      </c>
      <c r="J7" s="86">
        <f>12141109-12133918</f>
        <v>7191</v>
      </c>
      <c r="K7" s="86">
        <f>SUM(B7:H7)</f>
        <v>33250</v>
      </c>
      <c r="L7" s="14">
        <f>K7*0.2</f>
        <v>6650</v>
      </c>
      <c r="M7" s="83">
        <f>90267.929-90134.816</f>
        <v>133.11299999999756</v>
      </c>
      <c r="N7" s="83">
        <f>4547.544-4546.266</f>
        <v>1.2780000000002474</v>
      </c>
      <c r="O7" s="83">
        <f>10279.664-10277.509</f>
        <v>2.1550000000006548</v>
      </c>
      <c r="P7" s="82">
        <f>96585.31-96512.266</f>
        <v>73.043999999994412</v>
      </c>
      <c r="Q7" s="83">
        <f>25598.634-25571.93</f>
        <v>26.703999999997905</v>
      </c>
      <c r="R7" s="83">
        <f t="shared" si="0"/>
        <v>76.476999999995314</v>
      </c>
      <c r="S7" s="83">
        <f>(N7+O7+P7)*7.84</f>
        <v>599.57967999996322</v>
      </c>
      <c r="T7" s="83">
        <f>M7+Q7</f>
        <v>159.81699999999546</v>
      </c>
      <c r="U7" s="83">
        <f>T7*7.84</f>
        <v>1252.9652799999644</v>
      </c>
      <c r="V7" s="83">
        <f>370523.3-370323.3</f>
        <v>200</v>
      </c>
      <c r="W7" s="83">
        <f t="shared" ref="W7:W8" si="6">129986.94-129986.94</f>
        <v>0</v>
      </c>
      <c r="X7" s="86" t="s">
        <v>63</v>
      </c>
      <c r="Y7" s="86">
        <v>899483</v>
      </c>
      <c r="Z7" s="5">
        <f>IF((Y7-Y6&lt;0), "0",Y7-Y6)</f>
        <v>506</v>
      </c>
      <c r="AA7" s="14">
        <f t="shared" ref="AA7:AA34" si="7">Z7*6.47</f>
        <v>3273.8199999999997</v>
      </c>
      <c r="AB7" s="87">
        <v>8737227</v>
      </c>
      <c r="AC7" s="87">
        <f>AB6</f>
        <v>8703651</v>
      </c>
      <c r="AD7" s="5">
        <f t="shared" si="3"/>
        <v>33576</v>
      </c>
      <c r="AE7" s="83">
        <f>AD7*0.332195</f>
        <v>11153.779320000001</v>
      </c>
      <c r="AF7" s="83">
        <f>92447.6-92390.1</f>
        <v>57.5</v>
      </c>
      <c r="AG7" s="83">
        <f>49368-49329.2</f>
        <v>38.80000000000291</v>
      </c>
      <c r="AH7" s="83">
        <f>29234.8-29218.9</f>
        <v>15.899999999997817</v>
      </c>
      <c r="AI7" s="87">
        <f>AJ6</f>
        <v>47597.1</v>
      </c>
      <c r="AJ7" s="86">
        <v>47632.5</v>
      </c>
      <c r="AK7" s="48">
        <f t="shared" ref="AK7:AK34" si="8">IF((AJ7-AI7)&lt;0, "0",AJ7-AI7)</f>
        <v>35.400000000001455</v>
      </c>
      <c r="AL7" s="89">
        <f t="shared" si="4"/>
        <v>10065.817817586412</v>
      </c>
      <c r="AM7" s="83">
        <f>AL7*0.332195</f>
        <v>3343.8143499131183</v>
      </c>
      <c r="AN7" s="71">
        <v>76</v>
      </c>
      <c r="AO7" s="78">
        <f t="shared" si="5"/>
        <v>22330.564599999965</v>
      </c>
    </row>
    <row r="8" spans="1:44" x14ac:dyDescent="0.25">
      <c r="A8" s="79">
        <v>44472</v>
      </c>
      <c r="B8" s="86">
        <f>12593903-12588392</f>
        <v>5511</v>
      </c>
      <c r="C8" s="86">
        <f>8073183-8068399</f>
        <v>4784</v>
      </c>
      <c r="D8" s="86">
        <f>1591926-1591053</f>
        <v>873</v>
      </c>
      <c r="E8" s="86">
        <f>12056056-12050545</f>
        <v>5511</v>
      </c>
      <c r="F8" s="86">
        <f>11991706-11985779</f>
        <v>5927</v>
      </c>
      <c r="G8" s="86">
        <f>8583646-8580537</f>
        <v>3109</v>
      </c>
      <c r="H8" s="86">
        <f>9151807-9145265</f>
        <v>6542</v>
      </c>
      <c r="I8" s="86">
        <f>5408575-5406142</f>
        <v>2433</v>
      </c>
      <c r="J8" s="86">
        <f>12147894-12141109</f>
        <v>6785</v>
      </c>
      <c r="K8" s="86">
        <f>SUM(B8:H8)</f>
        <v>32257</v>
      </c>
      <c r="L8" s="14">
        <f t="shared" ref="L8:L34" si="9">K8*0.2</f>
        <v>6451.4000000000005</v>
      </c>
      <c r="M8" s="83">
        <f>90407.638-90267.929</f>
        <v>139.70900000000256</v>
      </c>
      <c r="N8" s="83">
        <f>4549.426-4547.544</f>
        <v>1.8820000000005166</v>
      </c>
      <c r="O8" s="83">
        <f>10283.633-10279.664</f>
        <v>3.9689999999991414</v>
      </c>
      <c r="P8" s="82">
        <f>96647.716-96585.31</f>
        <v>62.406000000002678</v>
      </c>
      <c r="Q8" s="83">
        <f>25604.671-25598.634</f>
        <v>6.0370000000002619</v>
      </c>
      <c r="R8" s="83">
        <f t="shared" si="0"/>
        <v>68.257000000002336</v>
      </c>
      <c r="S8" s="83">
        <f>(N8+O8+P8)*7.84</f>
        <v>535.13488000001826</v>
      </c>
      <c r="T8" s="83">
        <f>M8+Q8</f>
        <v>145.74600000000282</v>
      </c>
      <c r="U8" s="83">
        <f>T8*7.84</f>
        <v>1142.6486400000222</v>
      </c>
      <c r="V8" s="83">
        <f>370747-370523.3</f>
        <v>223.70000000001164</v>
      </c>
      <c r="W8" s="83">
        <f t="shared" si="6"/>
        <v>0</v>
      </c>
      <c r="X8" s="86" t="s">
        <v>63</v>
      </c>
      <c r="Y8" s="86">
        <v>900001</v>
      </c>
      <c r="Z8" s="5">
        <f t="shared" ref="Z8:Z34" si="10">IF((Y8-Y7&lt;0), "0",Y8-Y7)</f>
        <v>518</v>
      </c>
      <c r="AA8" s="14">
        <f t="shared" si="7"/>
        <v>3351.46</v>
      </c>
      <c r="AB8" s="87">
        <v>8767677</v>
      </c>
      <c r="AC8" s="87">
        <f t="shared" ref="AC8:AC34" si="11">AB7</f>
        <v>8737227</v>
      </c>
      <c r="AD8" s="5">
        <f t="shared" si="3"/>
        <v>30450</v>
      </c>
      <c r="AE8" s="83">
        <f t="shared" ref="AE8:AE36" si="12">AD8*0.332195</f>
        <v>10115.337750000001</v>
      </c>
      <c r="AF8" s="83">
        <f>92499.6-92447.6</f>
        <v>52</v>
      </c>
      <c r="AG8" s="83">
        <f>49403.5-49368</f>
        <v>35.5</v>
      </c>
      <c r="AH8" s="83">
        <f>29250.9-29234.8</f>
        <v>16.100000000002183</v>
      </c>
      <c r="AI8" s="87">
        <f t="shared" ref="AI8:AI36" si="13">AJ7</f>
        <v>47632.5</v>
      </c>
      <c r="AJ8" s="86">
        <v>47666.1</v>
      </c>
      <c r="AK8" s="48">
        <f t="shared" si="8"/>
        <v>33.599999999998545</v>
      </c>
      <c r="AL8" s="89">
        <f t="shared" si="4"/>
        <v>9553.996572623586</v>
      </c>
      <c r="AM8" s="83">
        <f t="shared" ref="AM8:AM34" si="14">AL8*0.332195</f>
        <v>3173.7898914426924</v>
      </c>
      <c r="AN8" s="71">
        <v>107</v>
      </c>
      <c r="AO8" s="78">
        <f t="shared" si="5"/>
        <v>21060.846390000021</v>
      </c>
    </row>
    <row r="9" spans="1:44" x14ac:dyDescent="0.25">
      <c r="A9" s="79">
        <v>44473</v>
      </c>
      <c r="B9" s="86">
        <f>12599734-12593903</f>
        <v>5831</v>
      </c>
      <c r="C9" s="86">
        <f>8078260-8073183</f>
        <v>5077</v>
      </c>
      <c r="D9" s="86">
        <f>1592785-1591926</f>
        <v>859</v>
      </c>
      <c r="E9" s="86">
        <f>12061615-12056056</f>
        <v>5559</v>
      </c>
      <c r="F9" s="86">
        <f>11997860-11991706</f>
        <v>6154</v>
      </c>
      <c r="G9" s="86">
        <f>8586824-8583646</f>
        <v>3178</v>
      </c>
      <c r="H9" s="86">
        <f>9158480-9151807</f>
        <v>6673</v>
      </c>
      <c r="I9" s="86">
        <f>5411020-5408575</f>
        <v>2445</v>
      </c>
      <c r="J9" s="86">
        <f>12154789-12147894</f>
        <v>6895</v>
      </c>
      <c r="K9" s="86">
        <f t="shared" ref="K9:K34" si="15">SUM(B9:H9)</f>
        <v>33331</v>
      </c>
      <c r="L9" s="14">
        <f t="shared" si="9"/>
        <v>6666.2000000000007</v>
      </c>
      <c r="M9" s="83">
        <f>90540.379-90407.64</f>
        <v>132.7390000000014</v>
      </c>
      <c r="N9" s="83">
        <f>4550.963-4549.426</f>
        <v>1.5369999999993524</v>
      </c>
      <c r="O9" s="83">
        <f>10287.553-10283.63</f>
        <v>3.9230000000006839</v>
      </c>
      <c r="P9" s="82">
        <f>96713.596-96647.72</f>
        <v>65.876000000003842</v>
      </c>
      <c r="Q9" s="83">
        <f>25618.539-25604.67</f>
        <v>13.869000000002416</v>
      </c>
      <c r="R9" s="83">
        <f t="shared" si="0"/>
        <v>71.336000000003878</v>
      </c>
      <c r="S9" s="83">
        <f t="shared" si="1"/>
        <v>559.27424000003043</v>
      </c>
      <c r="T9" s="83">
        <f t="shared" si="2"/>
        <v>146.60800000000381</v>
      </c>
      <c r="U9" s="83">
        <f t="shared" ref="U9:U37" si="16">T9*7.84</f>
        <v>1149.40672000003</v>
      </c>
      <c r="V9" s="83">
        <f>370976.4-370747</f>
        <v>229.40000000002328</v>
      </c>
      <c r="W9" s="83">
        <f>130023.37-129986.94</f>
        <v>36.429999999993015</v>
      </c>
      <c r="X9" s="86" t="s">
        <v>63</v>
      </c>
      <c r="Y9" s="5">
        <v>900587</v>
      </c>
      <c r="Z9" s="5">
        <f t="shared" si="10"/>
        <v>586</v>
      </c>
      <c r="AA9" s="14">
        <f t="shared" si="7"/>
        <v>3791.42</v>
      </c>
      <c r="AB9" s="87">
        <v>8796667.6999999993</v>
      </c>
      <c r="AC9" s="87">
        <f t="shared" si="11"/>
        <v>8767677</v>
      </c>
      <c r="AD9" s="5">
        <f t="shared" si="3"/>
        <v>28990.699999999255</v>
      </c>
      <c r="AE9" s="83">
        <f t="shared" si="12"/>
        <v>9630.5655864997534</v>
      </c>
      <c r="AF9" s="83">
        <f>92549.3-92499.6</f>
        <v>49.69999999999709</v>
      </c>
      <c r="AG9" s="83">
        <f>49436.3-49403.5</f>
        <v>32.80000000000291</v>
      </c>
      <c r="AH9" s="83">
        <f>29266.5-29250.9</f>
        <v>15.599999999998545</v>
      </c>
      <c r="AI9" s="87">
        <f t="shared" si="13"/>
        <v>47666.1</v>
      </c>
      <c r="AJ9" s="86">
        <v>47699.4</v>
      </c>
      <c r="AK9" s="48">
        <f t="shared" si="8"/>
        <v>33.30000000000291</v>
      </c>
      <c r="AL9" s="89">
        <f t="shared" si="4"/>
        <v>9468.6930317978276</v>
      </c>
      <c r="AM9" s="83">
        <f t="shared" si="14"/>
        <v>3145.4524816980797</v>
      </c>
      <c r="AN9" s="71">
        <v>104</v>
      </c>
      <c r="AO9" s="78">
        <f t="shared" si="5"/>
        <v>21237.592306499784</v>
      </c>
    </row>
    <row r="10" spans="1:44" x14ac:dyDescent="0.25">
      <c r="A10" s="79">
        <v>44474</v>
      </c>
      <c r="B10" s="86">
        <f>12605840-12599734</f>
        <v>6106</v>
      </c>
      <c r="C10" s="86">
        <f>8083061-8078260</f>
        <v>4801</v>
      </c>
      <c r="D10" s="86">
        <f>1593661-1592785</f>
        <v>876</v>
      </c>
      <c r="E10" s="86">
        <f>12067223-12061615</f>
        <v>5608</v>
      </c>
      <c r="F10" s="86">
        <f>12004007-11997860</f>
        <v>6147</v>
      </c>
      <c r="G10" s="86">
        <f>8589870-8586824</f>
        <v>3046</v>
      </c>
      <c r="H10" s="86">
        <f>9165184-9158480</f>
        <v>6704</v>
      </c>
      <c r="I10" s="86">
        <f>5413559-5411020</f>
        <v>2539</v>
      </c>
      <c r="J10" s="86">
        <f>12161417-12154789</f>
        <v>6628</v>
      </c>
      <c r="K10" s="86">
        <f t="shared" si="15"/>
        <v>33288</v>
      </c>
      <c r="L10" s="14">
        <f t="shared" si="9"/>
        <v>6657.6</v>
      </c>
      <c r="M10" s="83">
        <f>90669.107-90540.379</f>
        <v>128.72800000000279</v>
      </c>
      <c r="N10" s="83">
        <f>4552.017-4550.963</f>
        <v>1.0540000000000873</v>
      </c>
      <c r="O10" s="83">
        <f>10289.809-10287.553</f>
        <v>2.2559999999994034</v>
      </c>
      <c r="P10" s="82">
        <f>65518.6-65486</f>
        <v>32.599999999998545</v>
      </c>
      <c r="Q10" s="83">
        <f>25625.026-25618.539</f>
        <v>6.4870000000009895</v>
      </c>
      <c r="R10" s="83">
        <f t="shared" si="0"/>
        <v>35.909999999998035</v>
      </c>
      <c r="S10" s="83">
        <f t="shared" si="1"/>
        <v>281.5343999999846</v>
      </c>
      <c r="T10" s="83">
        <f t="shared" si="2"/>
        <v>135.21500000000378</v>
      </c>
      <c r="U10" s="83">
        <f t="shared" si="16"/>
        <v>1060.0856000000297</v>
      </c>
      <c r="V10" s="83">
        <f>371178-370976.4</f>
        <v>201.59999999997672</v>
      </c>
      <c r="W10" s="83">
        <f>130023.37-130023.37</f>
        <v>0</v>
      </c>
      <c r="X10" s="86" t="s">
        <v>63</v>
      </c>
      <c r="Y10" s="5">
        <v>901107</v>
      </c>
      <c r="Z10" s="5">
        <f t="shared" si="10"/>
        <v>520</v>
      </c>
      <c r="AA10" s="14">
        <f t="shared" si="7"/>
        <v>3364.4</v>
      </c>
      <c r="AB10" s="87">
        <v>8826893.6999999993</v>
      </c>
      <c r="AC10" s="87">
        <f t="shared" si="11"/>
        <v>8796667.6999999993</v>
      </c>
      <c r="AD10" s="5">
        <f t="shared" si="3"/>
        <v>30226</v>
      </c>
      <c r="AE10" s="83">
        <f t="shared" si="12"/>
        <v>10040.926070000001</v>
      </c>
      <c r="AF10" s="83">
        <f>92600.7-92549.3</f>
        <v>51.399999999994179</v>
      </c>
      <c r="AG10" s="83">
        <f>49470.1-49436.3</f>
        <v>33.799999999995634</v>
      </c>
      <c r="AH10" s="83">
        <f>29282.2-29266.5</f>
        <v>15.700000000000728</v>
      </c>
      <c r="AI10" s="87">
        <f t="shared" si="13"/>
        <v>47699.4</v>
      </c>
      <c r="AJ10" s="87">
        <v>47733.599999999999</v>
      </c>
      <c r="AK10" s="48">
        <f t="shared" si="8"/>
        <v>34.19999999999709</v>
      </c>
      <c r="AL10" s="89">
        <f t="shared" si="4"/>
        <v>9724.6036542771726</v>
      </c>
      <c r="AM10" s="83">
        <f t="shared" si="14"/>
        <v>3230.4647109326056</v>
      </c>
      <c r="AN10" s="71">
        <v>117</v>
      </c>
      <c r="AO10" s="78">
        <f t="shared" si="5"/>
        <v>21123.011670000029</v>
      </c>
    </row>
    <row r="11" spans="1:44" x14ac:dyDescent="0.25">
      <c r="A11" s="79">
        <v>44475</v>
      </c>
      <c r="B11" s="86">
        <f>12612271-12605840</f>
        <v>6431</v>
      </c>
      <c r="C11" s="86">
        <f>8087781-8083061</f>
        <v>4720</v>
      </c>
      <c r="D11" s="86">
        <f>1594509-1593661</f>
        <v>848</v>
      </c>
      <c r="E11" s="86">
        <f>12072775-12067223</f>
        <v>5552</v>
      </c>
      <c r="F11" s="86">
        <f>12010094-12004007</f>
        <v>6087</v>
      </c>
      <c r="G11" s="86">
        <f>8592964-8589870</f>
        <v>3094</v>
      </c>
      <c r="H11" s="86">
        <f>9171853-9165184</f>
        <v>6669</v>
      </c>
      <c r="I11" s="86">
        <f>5416030-5413559</f>
        <v>2471</v>
      </c>
      <c r="J11" s="86">
        <f>12168145-12161417</f>
        <v>6728</v>
      </c>
      <c r="K11" s="86">
        <f t="shared" si="15"/>
        <v>33401</v>
      </c>
      <c r="L11" s="14">
        <f t="shared" si="9"/>
        <v>6680.2000000000007</v>
      </c>
      <c r="M11" s="83">
        <f>90809.948-90669.107</f>
        <v>140.84100000000035</v>
      </c>
      <c r="N11" s="83">
        <f>4552.966-4552.017</f>
        <v>0.94900000000052387</v>
      </c>
      <c r="O11" s="83">
        <f>10292.062-10289.809</f>
        <v>2.2530000000006112</v>
      </c>
      <c r="P11" s="82">
        <f>96850.942-96782.539</f>
        <v>68.402999999991152</v>
      </c>
      <c r="Q11" s="83">
        <f>25636.407-25625.026</f>
        <v>11.380999999997584</v>
      </c>
      <c r="R11" s="83">
        <f t="shared" si="0"/>
        <v>71.604999999992287</v>
      </c>
      <c r="S11" s="83">
        <f t="shared" si="1"/>
        <v>561.38319999993951</v>
      </c>
      <c r="T11" s="83">
        <f t="shared" si="2"/>
        <v>152.22199999999793</v>
      </c>
      <c r="U11" s="83">
        <f t="shared" si="16"/>
        <v>1193.4204799999839</v>
      </c>
      <c r="V11" s="83">
        <f>371388.7-371178</f>
        <v>210.70000000001164</v>
      </c>
      <c r="W11" s="83">
        <f t="shared" ref="W11" si="17">130023.37-130023.37</f>
        <v>0</v>
      </c>
      <c r="X11" s="86" t="s">
        <v>63</v>
      </c>
      <c r="Y11" s="5">
        <v>901640</v>
      </c>
      <c r="Z11" s="5">
        <f t="shared" si="10"/>
        <v>533</v>
      </c>
      <c r="AA11" s="14">
        <f t="shared" si="7"/>
        <v>3448.5099999999998</v>
      </c>
      <c r="AB11" s="87">
        <v>8857977.6999999993</v>
      </c>
      <c r="AC11" s="86">
        <f t="shared" si="11"/>
        <v>8826893.6999999993</v>
      </c>
      <c r="AD11" s="5">
        <f t="shared" si="3"/>
        <v>31084</v>
      </c>
      <c r="AE11" s="83">
        <f t="shared" si="12"/>
        <v>10325.94938</v>
      </c>
      <c r="AF11" s="83">
        <f>92653.6-92600.7</f>
        <v>52.900000000008731</v>
      </c>
      <c r="AG11" s="83">
        <f>49505.2-49470.1</f>
        <v>35.099999999998545</v>
      </c>
      <c r="AH11" s="83">
        <f>29297.7-29282.2</f>
        <v>15.5</v>
      </c>
      <c r="AI11" s="87">
        <f t="shared" si="13"/>
        <v>47733.599999999999</v>
      </c>
      <c r="AJ11" s="87">
        <v>47769.3</v>
      </c>
      <c r="AK11" s="48">
        <f t="shared" si="8"/>
        <v>35.700000000004366</v>
      </c>
      <c r="AL11" s="89">
        <f t="shared" si="4"/>
        <v>10151.121358414241</v>
      </c>
      <c r="AM11" s="83">
        <f t="shared" si="14"/>
        <v>3372.151759658419</v>
      </c>
      <c r="AN11" s="71">
        <v>93</v>
      </c>
      <c r="AO11" s="78">
        <f t="shared" si="5"/>
        <v>21648.079859999983</v>
      </c>
    </row>
    <row r="12" spans="1:44" x14ac:dyDescent="0.25">
      <c r="A12" s="79">
        <v>44476</v>
      </c>
      <c r="B12" s="86">
        <f>12618611-12612271</f>
        <v>6340</v>
      </c>
      <c r="C12" s="86">
        <f>8092565-8087781</f>
        <v>4784</v>
      </c>
      <c r="D12" s="86">
        <f>1595395-1594509</f>
        <v>886</v>
      </c>
      <c r="E12" s="86">
        <f>12078455-12072775</f>
        <v>5680</v>
      </c>
      <c r="F12" s="86">
        <f>12016323-12010094</f>
        <v>6229</v>
      </c>
      <c r="G12" s="86">
        <f>8596061-8592964</f>
        <v>3097</v>
      </c>
      <c r="H12" s="86">
        <f>9178723-9171853</f>
        <v>6870</v>
      </c>
      <c r="I12" s="86">
        <f>5418523-5416030</f>
        <v>2493</v>
      </c>
      <c r="J12" s="86">
        <f>12174834-12168145</f>
        <v>6689</v>
      </c>
      <c r="K12" s="86">
        <f t="shared" si="15"/>
        <v>33886</v>
      </c>
      <c r="L12" s="14">
        <f t="shared" si="9"/>
        <v>6777.2000000000007</v>
      </c>
      <c r="M12" s="83">
        <f>90977.137-90809.948</f>
        <v>167.18899999999849</v>
      </c>
      <c r="N12" s="83">
        <f>4554.955-4552.966</f>
        <v>1.988999999999578</v>
      </c>
      <c r="O12" s="83">
        <f>10295.842-10292.062</f>
        <v>3.7800000000006548</v>
      </c>
      <c r="P12" s="82">
        <f>96921.177-96850.942</f>
        <v>70.235000000000582</v>
      </c>
      <c r="Q12" s="83">
        <f>25643.286-25636.407</f>
        <v>6.8790000000008149</v>
      </c>
      <c r="R12" s="83">
        <f t="shared" si="0"/>
        <v>76.004000000000815</v>
      </c>
      <c r="S12" s="83">
        <f t="shared" si="1"/>
        <v>595.87136000000635</v>
      </c>
      <c r="T12" s="83">
        <f t="shared" si="2"/>
        <v>174.0679999999993</v>
      </c>
      <c r="U12" s="83">
        <f t="shared" si="16"/>
        <v>1364.6931199999945</v>
      </c>
      <c r="V12" s="83">
        <f>371611.5-371388.7</f>
        <v>222.79999999998836</v>
      </c>
      <c r="W12" s="83">
        <f>130049.04-130023.37</f>
        <v>25.669999999998254</v>
      </c>
      <c r="X12" s="86" t="s">
        <v>63</v>
      </c>
      <c r="Y12" s="5">
        <v>902211</v>
      </c>
      <c r="Z12" s="5">
        <f t="shared" si="10"/>
        <v>571</v>
      </c>
      <c r="AA12" s="14">
        <f t="shared" si="7"/>
        <v>3694.37</v>
      </c>
      <c r="AB12" s="87">
        <v>8887450.6999999993</v>
      </c>
      <c r="AC12" s="86">
        <f t="shared" si="11"/>
        <v>8857977.6999999993</v>
      </c>
      <c r="AD12" s="5">
        <f t="shared" si="3"/>
        <v>29473</v>
      </c>
      <c r="AE12" s="83">
        <f t="shared" si="12"/>
        <v>9790.7832350000008</v>
      </c>
      <c r="AF12" s="83">
        <f>92703.5-92653.6</f>
        <v>49.899999999994179</v>
      </c>
      <c r="AG12" s="83">
        <f>49538.6-49505.2</f>
        <v>33.400000000001455</v>
      </c>
      <c r="AH12" s="83">
        <f>29313-29297.7</f>
        <v>15.299999999999272</v>
      </c>
      <c r="AI12" s="87">
        <f t="shared" si="13"/>
        <v>47769.3</v>
      </c>
      <c r="AJ12" s="87">
        <v>47803.4</v>
      </c>
      <c r="AK12" s="48">
        <f t="shared" si="8"/>
        <v>34.099999999998545</v>
      </c>
      <c r="AL12" s="89">
        <f t="shared" si="4"/>
        <v>9696.1691406685859</v>
      </c>
      <c r="AM12" s="83">
        <f t="shared" si="14"/>
        <v>3221.0189076844013</v>
      </c>
      <c r="AN12" s="71">
        <v>76</v>
      </c>
      <c r="AO12" s="78">
        <f t="shared" si="5"/>
        <v>21627.046354999999</v>
      </c>
    </row>
    <row r="13" spans="1:44" x14ac:dyDescent="0.25">
      <c r="A13" s="79">
        <v>44477</v>
      </c>
      <c r="B13" s="86">
        <f>12625281-12618611</f>
        <v>6670</v>
      </c>
      <c r="C13" s="86">
        <f>8096863-8092565</f>
        <v>4298</v>
      </c>
      <c r="D13" s="86">
        <f>1596214-1595395</f>
        <v>819</v>
      </c>
      <c r="E13" s="86">
        <f>12084050-12078455</f>
        <v>5595</v>
      </c>
      <c r="F13" s="86">
        <f>12022578-12016323</f>
        <v>6255</v>
      </c>
      <c r="G13" s="86">
        <f>8599134-8596061</f>
        <v>3073</v>
      </c>
      <c r="H13" s="86">
        <f>9185545-9178723</f>
        <v>6822</v>
      </c>
      <c r="I13" s="86">
        <f>5420977-5418523</f>
        <v>2454</v>
      </c>
      <c r="J13" s="86">
        <f>12182964-12174834</f>
        <v>8130</v>
      </c>
      <c r="K13" s="86">
        <f t="shared" si="15"/>
        <v>33532</v>
      </c>
      <c r="L13" s="14">
        <f t="shared" si="9"/>
        <v>6706.4000000000005</v>
      </c>
      <c r="M13" s="83">
        <f>91116.951-90977.137</f>
        <v>139.81399999999849</v>
      </c>
      <c r="N13" s="83">
        <f>4556.179-4554.955</f>
        <v>1.2240000000001601</v>
      </c>
      <c r="O13" s="83">
        <f>10298.891-10295.842</f>
        <v>3.0489999999990687</v>
      </c>
      <c r="P13" s="82">
        <f>97002.768-96921.177</f>
        <v>81.591000000000349</v>
      </c>
      <c r="Q13" s="83">
        <f>25648.646-25643.286</f>
        <v>5.3600000000005821</v>
      </c>
      <c r="R13" s="83">
        <f t="shared" si="0"/>
        <v>85.863999999999578</v>
      </c>
      <c r="S13" s="83">
        <f t="shared" si="1"/>
        <v>673.17375999999672</v>
      </c>
      <c r="T13" s="83">
        <f t="shared" si="2"/>
        <v>145.17399999999907</v>
      </c>
      <c r="U13" s="83">
        <f t="shared" si="16"/>
        <v>1138.1641599999928</v>
      </c>
      <c r="V13" s="83">
        <f>371840-371611.5</f>
        <v>228.5</v>
      </c>
      <c r="W13" s="83">
        <f>130049.04-130049.04</f>
        <v>0</v>
      </c>
      <c r="X13" s="86" t="s">
        <v>63</v>
      </c>
      <c r="Y13" s="5">
        <v>902828</v>
      </c>
      <c r="Z13" s="5">
        <f t="shared" si="10"/>
        <v>617</v>
      </c>
      <c r="AA13" s="14">
        <f t="shared" si="7"/>
        <v>3991.99</v>
      </c>
      <c r="AB13" s="87">
        <v>8920339.6999999993</v>
      </c>
      <c r="AC13" s="86">
        <f t="shared" si="11"/>
        <v>8887450.6999999993</v>
      </c>
      <c r="AD13" s="5">
        <f t="shared" si="3"/>
        <v>32889</v>
      </c>
      <c r="AE13" s="83">
        <f t="shared" si="12"/>
        <v>10925.561355</v>
      </c>
      <c r="AF13" s="83">
        <f>92759.1-92703.5</f>
        <v>55.600000000005821</v>
      </c>
      <c r="AG13" s="83">
        <f>49575.2-49538.6</f>
        <v>36.599999999998545</v>
      </c>
      <c r="AH13" s="83">
        <f>29328.5-29313</f>
        <v>15.5</v>
      </c>
      <c r="AI13" s="87">
        <f t="shared" si="13"/>
        <v>47803.4</v>
      </c>
      <c r="AJ13" s="87">
        <v>47840</v>
      </c>
      <c r="AK13" s="48">
        <f t="shared" si="8"/>
        <v>36.599999999998545</v>
      </c>
      <c r="AL13" s="89">
        <f t="shared" si="4"/>
        <v>10407.031980893586</v>
      </c>
      <c r="AM13" s="83">
        <f t="shared" si="14"/>
        <v>3457.1639888929449</v>
      </c>
      <c r="AN13" s="71">
        <v>72</v>
      </c>
      <c r="AO13" s="78">
        <f t="shared" si="5"/>
        <v>22762.11551499999</v>
      </c>
    </row>
    <row r="14" spans="1:44" x14ac:dyDescent="0.25">
      <c r="A14" s="79">
        <v>44478</v>
      </c>
      <c r="B14" s="86">
        <f>12632133-12625281</f>
        <v>6852</v>
      </c>
      <c r="C14" s="86">
        <f>8101148-8096863</f>
        <v>4285</v>
      </c>
      <c r="D14" s="86">
        <f>1596999-1596214</f>
        <v>785</v>
      </c>
      <c r="E14" s="86">
        <f>12089695-12084050</f>
        <v>5645</v>
      </c>
      <c r="F14" s="86">
        <f>12028626-12022578</f>
        <v>6048</v>
      </c>
      <c r="G14" s="86">
        <f>8602370-8599134</f>
        <v>3236</v>
      </c>
      <c r="H14" s="86">
        <f>9192488-9185545</f>
        <v>6943</v>
      </c>
      <c r="I14" s="86">
        <f>5423550-5420977</f>
        <v>2573</v>
      </c>
      <c r="J14" s="123">
        <f>12189999-12182964</f>
        <v>7035</v>
      </c>
      <c r="K14" s="86">
        <f t="shared" si="15"/>
        <v>33794</v>
      </c>
      <c r="L14" s="14">
        <f t="shared" si="9"/>
        <v>6758.8</v>
      </c>
      <c r="M14" s="83">
        <f>91154.85-91116.951</f>
        <v>37.899000000004889</v>
      </c>
      <c r="N14" s="83">
        <f>4557.511-4556.179</f>
        <v>1.3320000000003347</v>
      </c>
      <c r="O14" s="83">
        <f>10302.092-10298.891</f>
        <v>3.2010000000009313</v>
      </c>
      <c r="P14" s="82">
        <f>97074.037-97002.768</f>
        <v>71.269000000000233</v>
      </c>
      <c r="Q14" s="83">
        <f>25660.96-25648.646</f>
        <v>12.313999999998487</v>
      </c>
      <c r="R14" s="83">
        <f>N14+O14+P14</f>
        <v>75.802000000001499</v>
      </c>
      <c r="S14" s="83">
        <f t="shared" si="1"/>
        <v>594.28768000001173</v>
      </c>
      <c r="T14" s="83">
        <f t="shared" si="2"/>
        <v>50.213000000003376</v>
      </c>
      <c r="U14" s="83">
        <f t="shared" si="16"/>
        <v>393.66992000002648</v>
      </c>
      <c r="V14" s="83">
        <f>372055-371840</f>
        <v>215</v>
      </c>
      <c r="W14" s="83">
        <f t="shared" ref="W14:W16" si="18">130049.04-130049.04</f>
        <v>0</v>
      </c>
      <c r="X14" s="86" t="s">
        <v>63</v>
      </c>
      <c r="Y14" s="5">
        <v>903359</v>
      </c>
      <c r="Z14" s="5">
        <f>IF((Y14-Y13&lt;0), "0",Y14-Y13)</f>
        <v>531</v>
      </c>
      <c r="AA14" s="14">
        <f t="shared" si="7"/>
        <v>3435.5699999999997</v>
      </c>
      <c r="AB14" s="87">
        <v>8954829</v>
      </c>
      <c r="AC14" s="86">
        <f t="shared" si="11"/>
        <v>8920339.6999999993</v>
      </c>
      <c r="AD14" s="5">
        <f t="shared" si="3"/>
        <v>34489.300000000745</v>
      </c>
      <c r="AE14" s="83">
        <f t="shared" si="12"/>
        <v>11457.173013500249</v>
      </c>
      <c r="AF14" s="83">
        <f>92817.1-92759.1</f>
        <v>58</v>
      </c>
      <c r="AG14" s="83">
        <f>49613.2-49575.2</f>
        <v>38</v>
      </c>
      <c r="AH14" s="83">
        <f>29343.9-29328.5</f>
        <v>15.400000000001455</v>
      </c>
      <c r="AI14" s="87">
        <f t="shared" si="13"/>
        <v>47840</v>
      </c>
      <c r="AJ14" s="87">
        <v>47877.9</v>
      </c>
      <c r="AK14" s="48">
        <f t="shared" si="8"/>
        <v>37.900000000001455</v>
      </c>
      <c r="AL14" s="89">
        <f t="shared" si="4"/>
        <v>10776.680657811414</v>
      </c>
      <c r="AM14" s="83">
        <f t="shared" si="14"/>
        <v>3579.9594311216629</v>
      </c>
      <c r="AN14" s="71">
        <v>49</v>
      </c>
      <c r="AO14" s="78">
        <f t="shared" si="5"/>
        <v>22045.212933500276</v>
      </c>
    </row>
    <row r="15" spans="1:44" x14ac:dyDescent="0.25">
      <c r="A15" s="79">
        <v>44479</v>
      </c>
      <c r="B15" s="86">
        <f>12639001-12632133</f>
        <v>6868</v>
      </c>
      <c r="C15" s="86">
        <f>8105417-8101148</f>
        <v>4269</v>
      </c>
      <c r="D15" s="86">
        <f>1597925-1596999</f>
        <v>926</v>
      </c>
      <c r="E15" s="86">
        <f>12095299-12089695</f>
        <v>5604</v>
      </c>
      <c r="F15" s="86">
        <f>12034661-12028626</f>
        <v>6035</v>
      </c>
      <c r="G15" s="86">
        <f>8605348-8602370</f>
        <v>2978</v>
      </c>
      <c r="H15" s="86">
        <f>9199313-9192488</f>
        <v>6825</v>
      </c>
      <c r="I15" s="86">
        <f>5426806-5423550</f>
        <v>3256</v>
      </c>
      <c r="J15" s="86">
        <f>12197105-12189999</f>
        <v>7106</v>
      </c>
      <c r="K15" s="86">
        <f t="shared" si="15"/>
        <v>33505</v>
      </c>
      <c r="L15" s="14">
        <f t="shared" si="9"/>
        <v>6701</v>
      </c>
      <c r="M15" s="83">
        <f>91197.459-91154.85</f>
        <v>42.60899999999674</v>
      </c>
      <c r="N15" s="83">
        <f>4558.743-4557.511</f>
        <v>1.2319999999999709</v>
      </c>
      <c r="O15" s="83">
        <f>10304.818-10302.092</f>
        <v>2.7259999999987485</v>
      </c>
      <c r="P15" s="82">
        <f>97140.063-97074.037</f>
        <v>66.025999999998021</v>
      </c>
      <c r="Q15" s="83">
        <f>25666.635-25660.96</f>
        <v>5.6749999999992724</v>
      </c>
      <c r="R15" s="83">
        <f t="shared" si="0"/>
        <v>69.98399999999674</v>
      </c>
      <c r="S15" s="83">
        <f t="shared" si="1"/>
        <v>548.67455999997446</v>
      </c>
      <c r="T15" s="83">
        <f t="shared" si="2"/>
        <v>48.283999999996013</v>
      </c>
      <c r="U15" s="83">
        <f t="shared" si="16"/>
        <v>378.54655999996874</v>
      </c>
      <c r="V15" s="83">
        <f>372262.3-372055</f>
        <v>207.29999999998836</v>
      </c>
      <c r="W15" s="83">
        <f t="shared" si="18"/>
        <v>0</v>
      </c>
      <c r="X15" s="86" t="s">
        <v>63</v>
      </c>
      <c r="Y15" s="5">
        <v>903871</v>
      </c>
      <c r="Z15" s="5">
        <f t="shared" si="10"/>
        <v>512</v>
      </c>
      <c r="AA15" s="14">
        <f t="shared" si="7"/>
        <v>3312.64</v>
      </c>
      <c r="AB15" s="87">
        <v>8986388</v>
      </c>
      <c r="AC15" s="86">
        <f t="shared" si="11"/>
        <v>8954829</v>
      </c>
      <c r="AD15" s="5">
        <f t="shared" si="3"/>
        <v>31559</v>
      </c>
      <c r="AE15" s="83">
        <f t="shared" si="12"/>
        <v>10483.742005</v>
      </c>
      <c r="AF15" s="83">
        <f>92869.5-92817.1</f>
        <v>52.399999999994179</v>
      </c>
      <c r="AG15" s="83">
        <f>49648.4-49613.2</f>
        <v>35.200000000004366</v>
      </c>
      <c r="AH15" s="83">
        <f>29359.7-29343.9</f>
        <v>15.799999999999272</v>
      </c>
      <c r="AI15" s="87">
        <f t="shared" si="13"/>
        <v>47877.9</v>
      </c>
      <c r="AJ15" s="87">
        <v>47913.9</v>
      </c>
      <c r="AK15" s="48">
        <f t="shared" si="8"/>
        <v>36</v>
      </c>
      <c r="AL15" s="89">
        <f t="shared" si="4"/>
        <v>10236.424899239999</v>
      </c>
      <c r="AM15" s="83">
        <f t="shared" si="14"/>
        <v>3400.4891694030316</v>
      </c>
      <c r="AN15" s="71">
        <v>62</v>
      </c>
      <c r="AO15" s="88">
        <f t="shared" si="5"/>
        <v>20875.928564999969</v>
      </c>
    </row>
    <row r="16" spans="1:44" x14ac:dyDescent="0.25">
      <c r="A16" s="79">
        <v>44480</v>
      </c>
      <c r="B16" s="86">
        <f>12646006-12639001</f>
        <v>7005</v>
      </c>
      <c r="C16" s="86">
        <f>8110136-8105417</f>
        <v>4719</v>
      </c>
      <c r="D16" s="86">
        <f>1598752-1597925</f>
        <v>827</v>
      </c>
      <c r="E16" s="86">
        <f>12101162-12095299</f>
        <v>5863</v>
      </c>
      <c r="F16" s="86">
        <f>12040819-12034661</f>
        <v>6158</v>
      </c>
      <c r="G16" s="86">
        <f>8608282-8605348</f>
        <v>2934</v>
      </c>
      <c r="H16" s="86">
        <f>9206290-9199313</f>
        <v>6977</v>
      </c>
      <c r="I16" s="86">
        <f>5428608-5426806</f>
        <v>1802</v>
      </c>
      <c r="J16" s="86">
        <f>12204099-12197105</f>
        <v>6994</v>
      </c>
      <c r="K16" s="86">
        <f t="shared" si="15"/>
        <v>34483</v>
      </c>
      <c r="L16" s="14">
        <f t="shared" si="9"/>
        <v>6896.6</v>
      </c>
      <c r="M16" s="83">
        <f>91268.975-91197.459</f>
        <v>71.51600000000326</v>
      </c>
      <c r="N16" s="83">
        <f>4560.267-4558.743</f>
        <v>1.5239999999994325</v>
      </c>
      <c r="O16" s="83">
        <f>10308.107-10304.818</f>
        <v>3.2890000000006694</v>
      </c>
      <c r="P16" s="82">
        <f>97207.13-97140.063</f>
        <v>67.067000000010012</v>
      </c>
      <c r="Q16" s="83">
        <f>25683.628-25666.635</f>
        <v>16.993000000002212</v>
      </c>
      <c r="R16" s="83">
        <f t="shared" si="0"/>
        <v>71.880000000010114</v>
      </c>
      <c r="S16" s="83">
        <f t="shared" si="1"/>
        <v>563.53920000007929</v>
      </c>
      <c r="T16" s="83">
        <f t="shared" si="2"/>
        <v>88.509000000005472</v>
      </c>
      <c r="U16" s="83">
        <f t="shared" si="16"/>
        <v>693.91056000004289</v>
      </c>
      <c r="V16" s="83">
        <f>372475.6-372262.3</f>
        <v>213.29999999998836</v>
      </c>
      <c r="W16" s="83">
        <f t="shared" si="18"/>
        <v>0</v>
      </c>
      <c r="X16" s="86" t="s">
        <v>63</v>
      </c>
      <c r="Y16" s="87">
        <v>904398</v>
      </c>
      <c r="Z16" s="5">
        <f t="shared" si="10"/>
        <v>527</v>
      </c>
      <c r="AA16" s="14">
        <f t="shared" si="7"/>
        <v>3409.69</v>
      </c>
      <c r="AB16" s="87">
        <v>9015546.8000000007</v>
      </c>
      <c r="AC16" s="86">
        <f t="shared" si="11"/>
        <v>8986388</v>
      </c>
      <c r="AD16" s="5">
        <f t="shared" si="3"/>
        <v>29158.800000000745</v>
      </c>
      <c r="AE16" s="83">
        <f t="shared" si="12"/>
        <v>9686.4075660002472</v>
      </c>
      <c r="AF16" s="83">
        <f>92917.8-92869.5</f>
        <v>48.30000000000291</v>
      </c>
      <c r="AG16" s="83">
        <f>49680.4-49648.4</f>
        <v>32</v>
      </c>
      <c r="AH16" s="83">
        <f>29375.5-29359.7</f>
        <v>15.799999999999272</v>
      </c>
      <c r="AI16" s="87">
        <f t="shared" si="13"/>
        <v>47913.9</v>
      </c>
      <c r="AJ16" s="87">
        <v>47949.5</v>
      </c>
      <c r="AK16" s="48">
        <f t="shared" si="8"/>
        <v>35.599999999998545</v>
      </c>
      <c r="AL16" s="89">
        <f t="shared" si="4"/>
        <v>10122.686844803586</v>
      </c>
      <c r="AM16" s="83">
        <f t="shared" si="14"/>
        <v>3362.7059564095275</v>
      </c>
      <c r="AN16" s="71">
        <v>74</v>
      </c>
      <c r="AO16" s="78">
        <f t="shared" si="5"/>
        <v>20686.60812600029</v>
      </c>
    </row>
    <row r="17" spans="1:41" x14ac:dyDescent="0.25">
      <c r="A17" s="79">
        <v>44481</v>
      </c>
      <c r="B17" s="86">
        <f>12652599-12646006</f>
        <v>6593</v>
      </c>
      <c r="C17" s="86">
        <f>8114785-8110136</f>
        <v>4649</v>
      </c>
      <c r="D17" s="86">
        <f>1599555-1598752</f>
        <v>803</v>
      </c>
      <c r="E17" s="86">
        <f>12106786-12101162</f>
        <v>5624</v>
      </c>
      <c r="F17" s="86">
        <f>12046715-12040819</f>
        <v>5896</v>
      </c>
      <c r="G17" s="86">
        <f>8611111-8608282</f>
        <v>2829</v>
      </c>
      <c r="H17" s="86">
        <f>9213007-9206290</f>
        <v>6717</v>
      </c>
      <c r="I17" s="86">
        <f>5431137-5428608</f>
        <v>2529</v>
      </c>
      <c r="J17" s="86">
        <f>12211069-12204099</f>
        <v>6970</v>
      </c>
      <c r="K17" s="86">
        <f t="shared" si="15"/>
        <v>33111</v>
      </c>
      <c r="L17" s="14">
        <f t="shared" si="9"/>
        <v>6622.2000000000007</v>
      </c>
      <c r="M17" s="83">
        <f>91328.952-91268.975</f>
        <v>59.976999999998952</v>
      </c>
      <c r="N17" s="83">
        <f>4561.521-4560.267</f>
        <v>1.2539999999999054</v>
      </c>
      <c r="O17" s="83">
        <f>10309.969-10308.107</f>
        <v>1.8619999999991705</v>
      </c>
      <c r="P17" s="82">
        <f>97275.392-97207.13</f>
        <v>68.262000000002445</v>
      </c>
      <c r="Q17" s="83">
        <f>25695.393-25683.628</f>
        <v>11.764999999999418</v>
      </c>
      <c r="R17" s="83">
        <f t="shared" si="0"/>
        <v>71.378000000001521</v>
      </c>
      <c r="S17" s="83">
        <f t="shared" si="1"/>
        <v>559.60352000001194</v>
      </c>
      <c r="T17" s="83">
        <f t="shared" si="2"/>
        <v>71.74199999999837</v>
      </c>
      <c r="U17" s="83">
        <f t="shared" si="16"/>
        <v>562.45727999998724</v>
      </c>
      <c r="V17" s="83">
        <f>372684.9-372475.6</f>
        <v>209.30000000004657</v>
      </c>
      <c r="W17" s="83">
        <f>130110.65-130049.04</f>
        <v>61.610000000000582</v>
      </c>
      <c r="X17" s="86" t="s">
        <v>63</v>
      </c>
      <c r="Y17" s="87">
        <v>904991</v>
      </c>
      <c r="Z17" s="5">
        <f t="shared" si="10"/>
        <v>593</v>
      </c>
      <c r="AA17" s="14">
        <f t="shared" si="7"/>
        <v>3836.71</v>
      </c>
      <c r="AB17" s="87">
        <v>9043016.1999999993</v>
      </c>
      <c r="AC17" s="86">
        <f t="shared" si="11"/>
        <v>9015546.8000000007</v>
      </c>
      <c r="AD17" s="5">
        <f t="shared" si="3"/>
        <v>27469.39999999851</v>
      </c>
      <c r="AE17" s="83">
        <f t="shared" si="12"/>
        <v>9125.1973329995053</v>
      </c>
      <c r="AF17" s="83">
        <f>92964.5-92917.8</f>
        <v>46.69999999999709</v>
      </c>
      <c r="AG17" s="83">
        <f>49709.9-49680.4</f>
        <v>29.5</v>
      </c>
      <c r="AH17" s="83">
        <f>29390.5-29375.5</f>
        <v>15</v>
      </c>
      <c r="AI17" s="87">
        <f t="shared" si="13"/>
        <v>47949.5</v>
      </c>
      <c r="AJ17" s="87">
        <v>47982.3</v>
      </c>
      <c r="AK17" s="48">
        <f t="shared" si="8"/>
        <v>32.80000000000291</v>
      </c>
      <c r="AL17" s="89">
        <f t="shared" si="4"/>
        <v>9326.5204637528277</v>
      </c>
      <c r="AM17" s="83">
        <f t="shared" si="14"/>
        <v>3098.2234654563708</v>
      </c>
      <c r="AN17" s="71">
        <v>93</v>
      </c>
      <c r="AO17" s="78">
        <f t="shared" si="5"/>
        <v>20146.564612999493</v>
      </c>
    </row>
    <row r="18" spans="1:41" x14ac:dyDescent="0.25">
      <c r="A18" s="79">
        <v>44482</v>
      </c>
      <c r="B18" s="86">
        <f>12659397-12652599</f>
        <v>6798</v>
      </c>
      <c r="C18" s="86">
        <f>8119539-8114785</f>
        <v>4754</v>
      </c>
      <c r="D18" s="86">
        <f>1600358-1599555</f>
        <v>803</v>
      </c>
      <c r="E18" s="86">
        <f>12112756-12106786</f>
        <v>5970</v>
      </c>
      <c r="F18" s="86">
        <f>12052858-12046715</f>
        <v>6143</v>
      </c>
      <c r="G18" s="86">
        <f>8614025-8611111</f>
        <v>2914</v>
      </c>
      <c r="H18" s="86">
        <f>9219738-9213007</f>
        <v>6731</v>
      </c>
      <c r="I18" s="86">
        <f>5433629-5431137</f>
        <v>2492</v>
      </c>
      <c r="J18" s="86">
        <f>12218103-12211069</f>
        <v>7034</v>
      </c>
      <c r="K18" s="86">
        <f t="shared" si="15"/>
        <v>34113</v>
      </c>
      <c r="L18" s="14">
        <f t="shared" si="9"/>
        <v>6822.6</v>
      </c>
      <c r="M18" s="83">
        <f>91405.206-91328.952</f>
        <v>76.254000000000815</v>
      </c>
      <c r="N18" s="83">
        <f>4562.54-4561.521</f>
        <v>1.0190000000002328</v>
      </c>
      <c r="O18" s="83">
        <f>10311.298-10309.969</f>
        <v>1.3290000000015425</v>
      </c>
      <c r="P18" s="82">
        <f>97340.608-97275.392</f>
        <v>65.215999999985797</v>
      </c>
      <c r="Q18" s="83">
        <f>25714.317-25695.393</f>
        <v>18.923999999999069</v>
      </c>
      <c r="R18" s="83">
        <f t="shared" si="0"/>
        <v>67.563999999987573</v>
      </c>
      <c r="S18" s="83">
        <f t="shared" si="1"/>
        <v>529.70175999990261</v>
      </c>
      <c r="T18" s="83">
        <f t="shared" si="2"/>
        <v>95.177999999999884</v>
      </c>
      <c r="U18" s="83">
        <f t="shared" si="16"/>
        <v>746.19551999999908</v>
      </c>
      <c r="V18" s="83">
        <f>372907.6-372684.9</f>
        <v>222.69999999995343</v>
      </c>
      <c r="W18" s="83">
        <f>130253.54-130110.65</f>
        <v>142.88999999999942</v>
      </c>
      <c r="X18" s="86" t="s">
        <v>63</v>
      </c>
      <c r="Y18" s="87">
        <v>905689</v>
      </c>
      <c r="Z18" s="5">
        <f t="shared" si="10"/>
        <v>698</v>
      </c>
      <c r="AA18" s="14">
        <f t="shared" si="7"/>
        <v>4516.0599999999995</v>
      </c>
      <c r="AB18" s="87">
        <v>9068807.8000000007</v>
      </c>
      <c r="AC18" s="86">
        <f t="shared" si="11"/>
        <v>9043016.1999999993</v>
      </c>
      <c r="AD18" s="5">
        <f t="shared" si="3"/>
        <v>25791.60000000149</v>
      </c>
      <c r="AE18" s="83">
        <f t="shared" si="12"/>
        <v>8567.840562000496</v>
      </c>
      <c r="AF18" s="82">
        <f>93008.6-92964.5</f>
        <v>44.100000000005821</v>
      </c>
      <c r="AG18" s="82">
        <f>49737-49709.9</f>
        <v>27.099999999998545</v>
      </c>
      <c r="AH18" s="82">
        <f>29405.4-29390.5</f>
        <v>14.900000000001455</v>
      </c>
      <c r="AI18" s="87">
        <f t="shared" si="13"/>
        <v>47982.3</v>
      </c>
      <c r="AJ18" s="87">
        <v>48013.2</v>
      </c>
      <c r="AK18" s="48">
        <f t="shared" si="8"/>
        <v>30.899999999994179</v>
      </c>
      <c r="AL18" s="89">
        <f t="shared" si="4"/>
        <v>8786.2647051793447</v>
      </c>
      <c r="AM18" s="83">
        <f t="shared" si="14"/>
        <v>2918.7532037370524</v>
      </c>
      <c r="AN18" s="71">
        <v>91</v>
      </c>
      <c r="AO18" s="78">
        <f t="shared" si="5"/>
        <v>20652.696082000497</v>
      </c>
    </row>
    <row r="19" spans="1:41" x14ac:dyDescent="0.25">
      <c r="A19" s="79">
        <v>44483</v>
      </c>
      <c r="B19" s="86">
        <f>12666194-12659397</f>
        <v>6797</v>
      </c>
      <c r="C19" s="86">
        <f>8124322-8119539</f>
        <v>4783</v>
      </c>
      <c r="D19" s="86">
        <f>1601168-1600358</f>
        <v>810</v>
      </c>
      <c r="E19" s="86">
        <f>12118639-12112756</f>
        <v>5883</v>
      </c>
      <c r="F19" s="86">
        <f>12059001-12052858</f>
        <v>6143</v>
      </c>
      <c r="G19" s="86">
        <f>8617054-8614025</f>
        <v>3029</v>
      </c>
      <c r="H19" s="86">
        <f>9226555-9219738</f>
        <v>6817</v>
      </c>
      <c r="I19" s="86">
        <f>5436159-5433629</f>
        <v>2530</v>
      </c>
      <c r="J19" s="86">
        <f>12225120-12218103</f>
        <v>7017</v>
      </c>
      <c r="K19" s="86">
        <f t="shared" si="15"/>
        <v>34262</v>
      </c>
      <c r="L19" s="14">
        <f t="shared" si="9"/>
        <v>6852.4000000000005</v>
      </c>
      <c r="M19" s="83">
        <f>91506.5-91405.206</f>
        <v>101.29399999999441</v>
      </c>
      <c r="N19" s="83">
        <f>4563.814-4562.54</f>
        <v>1.274000000000342</v>
      </c>
      <c r="O19" s="83">
        <f>10312.298-10311.31</f>
        <v>0.98800000000119326</v>
      </c>
      <c r="P19" s="82">
        <f>97417.446-97340.608</f>
        <v>76.838000000003376</v>
      </c>
      <c r="Q19" s="83">
        <f>25726.578-25714.317</f>
        <v>12.261000000002241</v>
      </c>
      <c r="R19" s="83">
        <f t="shared" si="0"/>
        <v>79.100000000004911</v>
      </c>
      <c r="S19" s="83">
        <f t="shared" si="1"/>
        <v>620.14400000003855</v>
      </c>
      <c r="T19" s="83">
        <f t="shared" si="2"/>
        <v>113.55499999999665</v>
      </c>
      <c r="U19" s="83">
        <f t="shared" si="16"/>
        <v>890.27119999997376</v>
      </c>
      <c r="V19" s="83">
        <f>373140.1-372907.6</f>
        <v>232.5</v>
      </c>
      <c r="W19" s="83">
        <f>130405.19-130253.54</f>
        <v>151.65000000000873</v>
      </c>
      <c r="X19" s="86" t="s">
        <v>63</v>
      </c>
      <c r="Y19" s="87">
        <v>906414</v>
      </c>
      <c r="Z19" s="5">
        <f t="shared" si="10"/>
        <v>725</v>
      </c>
      <c r="AA19" s="14">
        <f t="shared" si="7"/>
        <v>4690.75</v>
      </c>
      <c r="AB19" s="87">
        <v>9098210.8000000007</v>
      </c>
      <c r="AC19" s="86">
        <f t="shared" si="11"/>
        <v>9068807.8000000007</v>
      </c>
      <c r="AD19" s="5">
        <f t="shared" si="3"/>
        <v>29403</v>
      </c>
      <c r="AE19" s="83">
        <f t="shared" si="12"/>
        <v>9767.5295850000002</v>
      </c>
      <c r="AF19" s="83">
        <f>93058.6-93008.6</f>
        <v>50</v>
      </c>
      <c r="AG19" s="83">
        <f>49768.5-49737</f>
        <v>31.5</v>
      </c>
      <c r="AH19" s="83">
        <f>29420.6-29405.4</f>
        <v>15.19999999999709</v>
      </c>
      <c r="AI19" s="87">
        <f t="shared" si="13"/>
        <v>48013.2</v>
      </c>
      <c r="AJ19" s="87">
        <v>48046.8</v>
      </c>
      <c r="AK19" s="48">
        <f t="shared" si="8"/>
        <v>33.600000000005821</v>
      </c>
      <c r="AL19" s="89">
        <f t="shared" si="4"/>
        <v>9553.9965726256542</v>
      </c>
      <c r="AM19" s="83">
        <f t="shared" si="14"/>
        <v>3173.7898914433795</v>
      </c>
      <c r="AN19" s="71">
        <v>92</v>
      </c>
      <c r="AO19" s="78">
        <f t="shared" si="5"/>
        <v>22200.950784999975</v>
      </c>
    </row>
    <row r="20" spans="1:41" x14ac:dyDescent="0.25">
      <c r="A20" s="79">
        <v>44484</v>
      </c>
      <c r="B20" s="86">
        <f>12672865-12666194</f>
        <v>6671</v>
      </c>
      <c r="C20" s="86">
        <f>8128957-8124322</f>
        <v>4635</v>
      </c>
      <c r="D20" s="86">
        <f>1602062-1601168</f>
        <v>894</v>
      </c>
      <c r="E20" s="86">
        <f>12124545-12118639</f>
        <v>5906</v>
      </c>
      <c r="F20" s="86">
        <f>12065331-12059001</f>
        <v>6330</v>
      </c>
      <c r="G20" s="86">
        <f>8620191-8617054</f>
        <v>3137</v>
      </c>
      <c r="H20" s="86">
        <f>9233195-9226555</f>
        <v>6640</v>
      </c>
      <c r="I20" s="86">
        <f>5438608-5436159</f>
        <v>2449</v>
      </c>
      <c r="J20" s="86">
        <f>12232485-12225120</f>
        <v>7365</v>
      </c>
      <c r="K20" s="86">
        <f t="shared" si="15"/>
        <v>34213</v>
      </c>
      <c r="L20" s="14">
        <f t="shared" si="9"/>
        <v>6842.6</v>
      </c>
      <c r="M20" s="83">
        <f>91653.388-91506.5</f>
        <v>146.88800000000629</v>
      </c>
      <c r="N20" s="83">
        <f>4564.434-4563.814</f>
        <v>0.61999999999989086</v>
      </c>
      <c r="O20" s="83">
        <f>10316.654-10312.298</f>
        <v>4.3559999999997672</v>
      </c>
      <c r="P20" s="82">
        <f>97489.847-97417.446</f>
        <v>72.400999999998021</v>
      </c>
      <c r="Q20" s="83">
        <f>25737.404-25726.578</f>
        <v>10.825999999997293</v>
      </c>
      <c r="R20" s="83">
        <f t="shared" si="0"/>
        <v>77.376999999997679</v>
      </c>
      <c r="S20" s="83">
        <f t="shared" si="1"/>
        <v>606.63567999998179</v>
      </c>
      <c r="T20" s="83">
        <f t="shared" si="2"/>
        <v>157.71400000000358</v>
      </c>
      <c r="U20" s="83">
        <f t="shared" si="16"/>
        <v>1236.477760000028</v>
      </c>
      <c r="V20" s="83">
        <f>373374.6-373140.1</f>
        <v>234.5</v>
      </c>
      <c r="W20" s="83">
        <f>130550.9-130405.19</f>
        <v>145.70999999999185</v>
      </c>
      <c r="X20" s="86" t="s">
        <v>63</v>
      </c>
      <c r="Y20" s="87">
        <v>907149</v>
      </c>
      <c r="Z20" s="5">
        <f t="shared" si="10"/>
        <v>735</v>
      </c>
      <c r="AA20" s="14">
        <f t="shared" si="7"/>
        <v>4755.45</v>
      </c>
      <c r="AB20" s="87">
        <v>9128226</v>
      </c>
      <c r="AC20" s="86">
        <f t="shared" si="11"/>
        <v>9098210.8000000007</v>
      </c>
      <c r="AD20" s="5">
        <f t="shared" si="3"/>
        <v>30015.199999999255</v>
      </c>
      <c r="AE20" s="83">
        <f t="shared" si="12"/>
        <v>9970.8993639997534</v>
      </c>
      <c r="AF20" s="83">
        <f>93110.9-93058.6</f>
        <v>52.299999999988358</v>
      </c>
      <c r="AG20" s="83">
        <f>49800-49768.5</f>
        <v>31.5</v>
      </c>
      <c r="AH20" s="83">
        <f>29435.2-29420.6</f>
        <v>14.600000000002183</v>
      </c>
      <c r="AI20" s="87">
        <f t="shared" si="13"/>
        <v>48046.8</v>
      </c>
      <c r="AJ20" s="87">
        <v>48079.5</v>
      </c>
      <c r="AK20" s="48">
        <f t="shared" si="8"/>
        <v>32.69999999999709</v>
      </c>
      <c r="AL20" s="89">
        <f t="shared" si="4"/>
        <v>9298.085950142171</v>
      </c>
      <c r="AM20" s="83">
        <f t="shared" si="14"/>
        <v>3088.7776622074784</v>
      </c>
      <c r="AN20" s="71">
        <v>120</v>
      </c>
      <c r="AO20" s="78">
        <f t="shared" si="5"/>
        <v>22805.427123999783</v>
      </c>
    </row>
    <row r="21" spans="1:41" x14ac:dyDescent="0.25">
      <c r="A21" s="79">
        <v>44485</v>
      </c>
      <c r="B21" s="86">
        <f>12679454-12672865</f>
        <v>6589</v>
      </c>
      <c r="C21" s="86">
        <f>8133726-8128957</f>
        <v>4769</v>
      </c>
      <c r="D21" s="86">
        <f>1602996-1602062</f>
        <v>934</v>
      </c>
      <c r="E21" s="86">
        <f>12130384-12124545</f>
        <v>5839</v>
      </c>
      <c r="F21" s="86">
        <f>12071471-12065331</f>
        <v>6140</v>
      </c>
      <c r="G21" s="86">
        <f>8623454-8620191</f>
        <v>3263</v>
      </c>
      <c r="H21" s="86">
        <f>9239970-9233195</f>
        <v>6775</v>
      </c>
      <c r="I21" s="86">
        <f>5441126-5438608</f>
        <v>2518</v>
      </c>
      <c r="J21" s="86">
        <f>12239879-12232485</f>
        <v>7394</v>
      </c>
      <c r="K21" s="86">
        <f t="shared" si="15"/>
        <v>34309</v>
      </c>
      <c r="L21" s="14">
        <f t="shared" si="9"/>
        <v>6861.8</v>
      </c>
      <c r="M21" s="83">
        <f>91790.458-91653.388</f>
        <v>137.06999999999243</v>
      </c>
      <c r="N21" s="83">
        <f>4565.595-4564.434</f>
        <v>1.1610000000000582</v>
      </c>
      <c r="O21" s="83">
        <f>10318.828-10316.654</f>
        <v>2.1739999999990687</v>
      </c>
      <c r="P21" s="82">
        <f>97556.774-97489.847</f>
        <v>66.927000000010594</v>
      </c>
      <c r="Q21" s="83">
        <f>25756.876-25737.404</f>
        <v>19.472000000001572</v>
      </c>
      <c r="R21" s="83">
        <f t="shared" si="0"/>
        <v>70.262000000009721</v>
      </c>
      <c r="S21" s="83">
        <f t="shared" si="1"/>
        <v>550.85408000007624</v>
      </c>
      <c r="T21" s="83">
        <f t="shared" si="2"/>
        <v>156.541999999994</v>
      </c>
      <c r="U21" s="83">
        <f t="shared" si="16"/>
        <v>1227.2892799999529</v>
      </c>
      <c r="V21" s="83">
        <f>373601.9-373374.6</f>
        <v>227.30000000004657</v>
      </c>
      <c r="W21" s="83">
        <f>130693.35-130550.9</f>
        <v>142.45000000001164</v>
      </c>
      <c r="X21" s="86" t="s">
        <v>63</v>
      </c>
      <c r="Y21" s="87">
        <v>907835</v>
      </c>
      <c r="Z21" s="5">
        <f t="shared" si="10"/>
        <v>686</v>
      </c>
      <c r="AA21" s="14">
        <f t="shared" si="7"/>
        <v>4438.42</v>
      </c>
      <c r="AB21" s="87">
        <v>9160142</v>
      </c>
      <c r="AC21" s="86">
        <f t="shared" si="11"/>
        <v>9128226</v>
      </c>
      <c r="AD21" s="5">
        <f t="shared" si="3"/>
        <v>31916</v>
      </c>
      <c r="AE21" s="83">
        <f t="shared" si="12"/>
        <v>10602.33562</v>
      </c>
      <c r="AF21" s="83">
        <f>93165.6-93110.9</f>
        <v>54.700000000011642</v>
      </c>
      <c r="AG21" s="83">
        <f>49833.5-49800</f>
        <v>33.5</v>
      </c>
      <c r="AH21" s="83">
        <f>29450.7-29435.2</f>
        <v>15.5</v>
      </c>
      <c r="AI21" s="87">
        <f t="shared" si="13"/>
        <v>48079.5</v>
      </c>
      <c r="AJ21" s="87">
        <v>48114.5</v>
      </c>
      <c r="AK21" s="48">
        <f t="shared" si="8"/>
        <v>35</v>
      </c>
      <c r="AL21" s="89">
        <f t="shared" si="4"/>
        <v>9952.0797631499991</v>
      </c>
      <c r="AM21" s="83">
        <f t="shared" si="14"/>
        <v>3306.0311369196143</v>
      </c>
      <c r="AN21" s="71">
        <v>122</v>
      </c>
      <c r="AO21" s="78">
        <f t="shared" si="5"/>
        <v>23129.844899999953</v>
      </c>
    </row>
    <row r="22" spans="1:41" x14ac:dyDescent="0.25">
      <c r="A22" s="79">
        <v>44486</v>
      </c>
      <c r="B22" s="86">
        <f>12686159-12679454</f>
        <v>6705</v>
      </c>
      <c r="C22" s="86">
        <f>8139121-8133726</f>
        <v>5395</v>
      </c>
      <c r="D22" s="86">
        <f>1603838-1602996</f>
        <v>842</v>
      </c>
      <c r="E22" s="86">
        <f>12136319-12130384</f>
        <v>5935</v>
      </c>
      <c r="F22" s="86">
        <f>12077633-12071471</f>
        <v>6162</v>
      </c>
      <c r="G22" s="86">
        <f>8626683-8623454</f>
        <v>3229</v>
      </c>
      <c r="H22" s="86">
        <f>9246753-9239970</f>
        <v>6783</v>
      </c>
      <c r="I22" s="86">
        <f>5443691-5441126</f>
        <v>2565</v>
      </c>
      <c r="J22" s="86">
        <f>12246635-12239879</f>
        <v>6756</v>
      </c>
      <c r="K22" s="86">
        <f t="shared" si="15"/>
        <v>35051</v>
      </c>
      <c r="L22" s="14">
        <f t="shared" si="9"/>
        <v>7010.2000000000007</v>
      </c>
      <c r="M22" s="83">
        <f>91927.099-91790.458</f>
        <v>136.64100000000326</v>
      </c>
      <c r="N22" s="83">
        <f>4566.88-4565.595</f>
        <v>1.2849999999998545</v>
      </c>
      <c r="O22" s="83">
        <f>10322.506-10318.828</f>
        <v>3.6779999999998836</v>
      </c>
      <c r="P22" s="82">
        <f>97624.162-97556.774</f>
        <v>67.387999999991735</v>
      </c>
      <c r="Q22" s="83">
        <f>25769.019-25756.876</f>
        <v>12.143000000000029</v>
      </c>
      <c r="R22" s="83">
        <f t="shared" si="0"/>
        <v>72.350999999991473</v>
      </c>
      <c r="S22" s="83">
        <f t="shared" si="1"/>
        <v>567.23183999993319</v>
      </c>
      <c r="T22" s="83">
        <f t="shared" si="2"/>
        <v>148.78400000000329</v>
      </c>
      <c r="U22" s="83">
        <f t="shared" si="16"/>
        <v>1166.4665600000258</v>
      </c>
      <c r="V22" s="83">
        <f>373845.4-373601.9</f>
        <v>243.5</v>
      </c>
      <c r="W22" s="83">
        <f>130847.74-130693.35</f>
        <v>154.38999999999942</v>
      </c>
      <c r="X22" s="86" t="s">
        <v>63</v>
      </c>
      <c r="Y22" s="87">
        <v>908563</v>
      </c>
      <c r="Z22" s="5">
        <f t="shared" si="10"/>
        <v>728</v>
      </c>
      <c r="AA22" s="14">
        <f t="shared" si="7"/>
        <v>4710.16</v>
      </c>
      <c r="AB22" s="87">
        <v>9189346</v>
      </c>
      <c r="AC22" s="86">
        <f t="shared" si="11"/>
        <v>9160142</v>
      </c>
      <c r="AD22" s="5">
        <f t="shared" si="3"/>
        <v>29204</v>
      </c>
      <c r="AE22" s="83">
        <f t="shared" si="12"/>
        <v>9701.4227800000008</v>
      </c>
      <c r="AF22" s="83">
        <f>93216.2-93165.6</f>
        <v>50.599999999991269</v>
      </c>
      <c r="AG22" s="83">
        <f>49864.7-49833.5</f>
        <v>31.19999999999709</v>
      </c>
      <c r="AH22" s="83">
        <f>29465.4-29450.7</f>
        <v>14.700000000000728</v>
      </c>
      <c r="AI22" s="87">
        <f t="shared" si="13"/>
        <v>48114.5</v>
      </c>
      <c r="AJ22" s="87">
        <v>48146.7</v>
      </c>
      <c r="AK22" s="48">
        <f t="shared" si="8"/>
        <v>32.19999999999709</v>
      </c>
      <c r="AL22" s="89">
        <f t="shared" si="4"/>
        <v>9155.9133820971711</v>
      </c>
      <c r="AM22" s="83">
        <f t="shared" si="14"/>
        <v>3041.54864596577</v>
      </c>
      <c r="AN22" s="71">
        <v>178</v>
      </c>
      <c r="AO22" s="78">
        <f t="shared" si="5"/>
        <v>22588.249340000028</v>
      </c>
    </row>
    <row r="23" spans="1:41" x14ac:dyDescent="0.25">
      <c r="A23" s="79">
        <v>44487</v>
      </c>
      <c r="B23" s="86">
        <f>12693165-12686159</f>
        <v>7006</v>
      </c>
      <c r="C23" s="86">
        <f>8144578-8139121</f>
        <v>5457</v>
      </c>
      <c r="D23" s="86">
        <f>1604716-1603838</f>
        <v>878</v>
      </c>
      <c r="E23" s="86">
        <f>12142274-12136319</f>
        <v>5955</v>
      </c>
      <c r="F23" s="86">
        <f>12084030-12077633</f>
        <v>6397</v>
      </c>
      <c r="G23" s="86">
        <f>8629996-8626683</f>
        <v>3313</v>
      </c>
      <c r="H23" s="86">
        <f>9253560-9246753</f>
        <v>6807</v>
      </c>
      <c r="I23" s="86">
        <f>5446218-5443691</f>
        <v>2527</v>
      </c>
      <c r="J23" s="86">
        <f>12253738-12246635</f>
        <v>7103</v>
      </c>
      <c r="K23" s="86">
        <f t="shared" si="15"/>
        <v>35813</v>
      </c>
      <c r="L23" s="14">
        <f t="shared" si="9"/>
        <v>7162.6</v>
      </c>
      <c r="M23" s="83">
        <f>92077.999-91927.099</f>
        <v>150.89999999999418</v>
      </c>
      <c r="N23" s="83">
        <f>4567.536-4566.88</f>
        <v>0.65599999999994907</v>
      </c>
      <c r="O23" s="83">
        <f>10323.874-10322.506</f>
        <v>1.3680000000003929</v>
      </c>
      <c r="P23" s="82">
        <f>97689.541-97624.162</f>
        <v>65.379000000000815</v>
      </c>
      <c r="Q23" s="83">
        <f>25788.033-25769.019</f>
        <v>19.013999999999214</v>
      </c>
      <c r="R23" s="83">
        <f t="shared" si="0"/>
        <v>67.403000000001157</v>
      </c>
      <c r="S23" s="83">
        <f t="shared" si="1"/>
        <v>528.43952000000911</v>
      </c>
      <c r="T23" s="83">
        <f t="shared" si="2"/>
        <v>169.91399999999339</v>
      </c>
      <c r="U23" s="83">
        <f t="shared" si="16"/>
        <v>1332.1257599999483</v>
      </c>
      <c r="V23" s="83">
        <f>374082.8-373845.4</f>
        <v>237.39999999996508</v>
      </c>
      <c r="W23" s="83">
        <f>130988.13-130847.74</f>
        <v>140.38999999999942</v>
      </c>
      <c r="X23" s="86" t="s">
        <v>63</v>
      </c>
      <c r="Y23" s="87">
        <v>909311</v>
      </c>
      <c r="Z23" s="5">
        <f t="shared" si="10"/>
        <v>748</v>
      </c>
      <c r="AA23" s="14">
        <f t="shared" si="7"/>
        <v>4839.5599999999995</v>
      </c>
      <c r="AB23" s="87">
        <v>9220738.5</v>
      </c>
      <c r="AC23" s="86">
        <f t="shared" si="11"/>
        <v>9189346</v>
      </c>
      <c r="AD23" s="5">
        <f t="shared" si="3"/>
        <v>31392.5</v>
      </c>
      <c r="AE23" s="83">
        <f t="shared" si="12"/>
        <v>10428.431537500001</v>
      </c>
      <c r="AF23" s="83">
        <f>93272.3-93216.2</f>
        <v>56.100000000005821</v>
      </c>
      <c r="AG23" s="83">
        <f>49898.1-49864.7</f>
        <v>33.400000000001455</v>
      </c>
      <c r="AH23" s="83">
        <f>29480.1-29465.4</f>
        <v>14.69999999999709</v>
      </c>
      <c r="AI23" s="87">
        <f t="shared" si="13"/>
        <v>48146.7</v>
      </c>
      <c r="AJ23" s="87">
        <v>48180.3</v>
      </c>
      <c r="AK23" s="48">
        <f t="shared" si="8"/>
        <v>33.600000000005821</v>
      </c>
      <c r="AL23" s="89">
        <f t="shared" si="4"/>
        <v>9553.9965726256542</v>
      </c>
      <c r="AM23" s="83">
        <f t="shared" si="14"/>
        <v>3173.7898914433795</v>
      </c>
      <c r="AN23" s="71">
        <v>183</v>
      </c>
      <c r="AO23" s="78">
        <f t="shared" si="5"/>
        <v>23762.717297499948</v>
      </c>
    </row>
    <row r="24" spans="1:41" x14ac:dyDescent="0.25">
      <c r="A24" s="79">
        <v>44488</v>
      </c>
      <c r="B24" s="86">
        <f>12699993-12693165</f>
        <v>6828</v>
      </c>
      <c r="C24" s="86">
        <f>8149888-8144578</f>
        <v>5310</v>
      </c>
      <c r="D24" s="86">
        <f>1605622-1604716</f>
        <v>906</v>
      </c>
      <c r="E24" s="86">
        <f>12148428-12142274</f>
        <v>6154</v>
      </c>
      <c r="F24" s="86">
        <f>12090537-12084030</f>
        <v>6507</v>
      </c>
      <c r="G24" s="86">
        <f>8633281-8629996</f>
        <v>3285</v>
      </c>
      <c r="H24" s="86">
        <f>9260222-9253560</f>
        <v>6662</v>
      </c>
      <c r="I24" s="86">
        <f>5448757-5446218</f>
        <v>2539</v>
      </c>
      <c r="J24" s="86">
        <f>12260921-12253738</f>
        <v>7183</v>
      </c>
      <c r="K24" s="86">
        <f t="shared" si="15"/>
        <v>35652</v>
      </c>
      <c r="L24" s="14">
        <f t="shared" si="9"/>
        <v>7130.4000000000005</v>
      </c>
      <c r="M24" s="83">
        <f>92267.777-92077.999</f>
        <v>189.7780000000057</v>
      </c>
      <c r="N24" s="83">
        <f>4569.781-4567.536</f>
        <v>2.2449999999998909</v>
      </c>
      <c r="O24" s="83">
        <f>10326.568-10323.874</f>
        <v>2.6939999999995052</v>
      </c>
      <c r="P24" s="82">
        <f>97757.087-97689.541</f>
        <v>67.546000000002095</v>
      </c>
      <c r="Q24" s="83">
        <f>25800.338-25788.033</f>
        <v>12.305000000000291</v>
      </c>
      <c r="R24" s="83">
        <f t="shared" si="0"/>
        <v>72.485000000001492</v>
      </c>
      <c r="S24" s="83">
        <f t="shared" si="1"/>
        <v>568.28240000001165</v>
      </c>
      <c r="T24" s="83">
        <f t="shared" si="2"/>
        <v>202.083000000006</v>
      </c>
      <c r="U24" s="83">
        <f t="shared" si="16"/>
        <v>1584.330720000047</v>
      </c>
      <c r="V24" s="83">
        <f>374331-374082.8</f>
        <v>248.20000000001164</v>
      </c>
      <c r="W24" s="83">
        <f>131136.35-130988.13</f>
        <v>148.22000000000116</v>
      </c>
      <c r="X24" s="86" t="s">
        <v>63</v>
      </c>
      <c r="Y24" s="87">
        <v>910081</v>
      </c>
      <c r="Z24" s="5">
        <f t="shared" si="10"/>
        <v>770</v>
      </c>
      <c r="AA24" s="14">
        <f t="shared" si="7"/>
        <v>4981.8999999999996</v>
      </c>
      <c r="AB24" s="87">
        <v>9252052.9000000004</v>
      </c>
      <c r="AC24" s="86">
        <f t="shared" si="11"/>
        <v>9220738.5</v>
      </c>
      <c r="AD24" s="5">
        <f t="shared" si="3"/>
        <v>31314.400000000373</v>
      </c>
      <c r="AE24" s="83">
        <f t="shared" si="12"/>
        <v>10402.487108000125</v>
      </c>
      <c r="AF24" s="83">
        <f>93327.2-93272.3</f>
        <v>54.899999999994179</v>
      </c>
      <c r="AG24" s="83">
        <f>49932.8-49898.1</f>
        <v>34.700000000004366</v>
      </c>
      <c r="AH24" s="83">
        <f>29495.1-29480.1</f>
        <v>15</v>
      </c>
      <c r="AI24" s="87">
        <f t="shared" si="13"/>
        <v>48180.3</v>
      </c>
      <c r="AJ24" s="87">
        <v>48214.3</v>
      </c>
      <c r="AK24" s="48">
        <f t="shared" si="8"/>
        <v>34</v>
      </c>
      <c r="AL24" s="89">
        <f t="shared" si="4"/>
        <v>9667.7346270599992</v>
      </c>
      <c r="AM24" s="83">
        <f t="shared" si="14"/>
        <v>3211.5731044361964</v>
      </c>
      <c r="AN24" s="71">
        <v>186</v>
      </c>
      <c r="AO24" s="78">
        <f t="shared" si="5"/>
        <v>24099.11782800017</v>
      </c>
    </row>
    <row r="25" spans="1:41" x14ac:dyDescent="0.25">
      <c r="A25" s="79">
        <v>44489</v>
      </c>
      <c r="B25" s="86">
        <f>12706200-12699993</f>
        <v>6207</v>
      </c>
      <c r="C25" s="86">
        <f>8154522-8149888</f>
        <v>4634</v>
      </c>
      <c r="D25" s="86">
        <f>1606513-1605622</f>
        <v>891</v>
      </c>
      <c r="E25" s="86">
        <f>12154099-12148428</f>
        <v>5671</v>
      </c>
      <c r="F25" s="86">
        <f>12096464-12090537</f>
        <v>5927</v>
      </c>
      <c r="G25" s="86">
        <f>8636292-8633281</f>
        <v>3011</v>
      </c>
      <c r="H25" s="86">
        <f>9266680-9260222</f>
        <v>6458</v>
      </c>
      <c r="I25" s="86">
        <f>5451099-5448757</f>
        <v>2342</v>
      </c>
      <c r="J25" s="86">
        <f>12267967-12260921</f>
        <v>7046</v>
      </c>
      <c r="K25" s="86">
        <f t="shared" si="15"/>
        <v>32799</v>
      </c>
      <c r="L25" s="14">
        <f t="shared" si="9"/>
        <v>6559.8</v>
      </c>
      <c r="M25" s="83">
        <f>92433.225-92267.777</f>
        <v>165.44800000000396</v>
      </c>
      <c r="N25" s="83">
        <f>4570.715-4569.781</f>
        <v>0.93400000000019645</v>
      </c>
      <c r="O25" s="83">
        <f>10328.85-10326.568</f>
        <v>2.2820000000010623</v>
      </c>
      <c r="P25" s="82">
        <f>97824.687-97757.087</f>
        <v>67.600000000005821</v>
      </c>
      <c r="Q25" s="83">
        <f>25818.607-25800.338</f>
        <v>18.269000000000233</v>
      </c>
      <c r="R25" s="83">
        <f t="shared" si="0"/>
        <v>70.81600000000708</v>
      </c>
      <c r="S25" s="83">
        <f t="shared" si="1"/>
        <v>555.19744000005551</v>
      </c>
      <c r="T25" s="83">
        <f t="shared" si="2"/>
        <v>183.71700000000419</v>
      </c>
      <c r="U25" s="83">
        <f t="shared" si="16"/>
        <v>1440.3412800000328</v>
      </c>
      <c r="V25" s="83">
        <f>374563.7-374331</f>
        <v>232.70000000001164</v>
      </c>
      <c r="W25" s="83">
        <f>131254.45-131136.35</f>
        <v>118.10000000000582</v>
      </c>
      <c r="X25" s="86" t="s">
        <v>63</v>
      </c>
      <c r="Y25" s="87">
        <v>910777</v>
      </c>
      <c r="Z25" s="5">
        <f t="shared" si="10"/>
        <v>696</v>
      </c>
      <c r="AA25" s="14">
        <f t="shared" si="7"/>
        <v>4503.12</v>
      </c>
      <c r="AB25" s="87">
        <v>9281262.8000000007</v>
      </c>
      <c r="AC25" s="86">
        <f t="shared" si="11"/>
        <v>9252052.9000000004</v>
      </c>
      <c r="AD25" s="5">
        <f t="shared" si="3"/>
        <v>29209.900000000373</v>
      </c>
      <c r="AE25" s="83">
        <f t="shared" si="12"/>
        <v>9703.382730500125</v>
      </c>
      <c r="AF25" s="83">
        <f>93377.1-93327.2</f>
        <v>49.900000000008731</v>
      </c>
      <c r="AG25" s="83">
        <f>49967.1-49932.8</f>
        <v>34.299999999995634</v>
      </c>
      <c r="AH25" s="83">
        <f>29509.6-29495.1</f>
        <v>14.5</v>
      </c>
      <c r="AI25" s="87">
        <f t="shared" si="13"/>
        <v>48214.3</v>
      </c>
      <c r="AJ25" s="87">
        <v>48246.9</v>
      </c>
      <c r="AK25" s="48">
        <f t="shared" si="8"/>
        <v>32.599999999998545</v>
      </c>
      <c r="AL25" s="89">
        <f t="shared" si="4"/>
        <v>9269.6514365335861</v>
      </c>
      <c r="AM25" s="83">
        <f t="shared" si="14"/>
        <v>3079.331858959275</v>
      </c>
      <c r="AN25" s="71">
        <v>177</v>
      </c>
      <c r="AO25" s="78">
        <f t="shared" si="5"/>
        <v>22206.644010500157</v>
      </c>
    </row>
    <row r="26" spans="1:41" x14ac:dyDescent="0.25">
      <c r="A26" s="79">
        <v>44490</v>
      </c>
      <c r="B26" s="86">
        <f>12712762-12706200</f>
        <v>6562</v>
      </c>
      <c r="C26" s="86">
        <f>8159525-8154522</f>
        <v>5003</v>
      </c>
      <c r="D26" s="86">
        <f>1607422-1606513</f>
        <v>909</v>
      </c>
      <c r="E26" s="86">
        <f>12160135-12154099</f>
        <v>6036</v>
      </c>
      <c r="F26" s="86">
        <f>12102838-12096464</f>
        <v>6374</v>
      </c>
      <c r="G26" s="86">
        <f>8639531-8636292</f>
        <v>3239</v>
      </c>
      <c r="H26" s="86">
        <f>9273462-9266680</f>
        <v>6782</v>
      </c>
      <c r="I26" s="86">
        <f>5453528-5451099</f>
        <v>2429</v>
      </c>
      <c r="J26" s="86">
        <f>12275130-12267967</f>
        <v>7163</v>
      </c>
      <c r="K26" s="86">
        <f t="shared" si="15"/>
        <v>34905</v>
      </c>
      <c r="L26" s="14">
        <f t="shared" si="9"/>
        <v>6981</v>
      </c>
      <c r="M26" s="83">
        <f>92597.752-92433.225</f>
        <v>164.52699999998731</v>
      </c>
      <c r="N26" s="83">
        <f>4571.427-4570.715</f>
        <v>0.71199999999953434</v>
      </c>
      <c r="O26" s="83">
        <f>10330.377-10328.85</f>
        <v>1.5270000000000437</v>
      </c>
      <c r="P26" s="82">
        <f>97901.197-97824.687</f>
        <v>76.509999999994761</v>
      </c>
      <c r="Q26" s="83">
        <f>25830.315-25818.607</f>
        <v>11.707999999998719</v>
      </c>
      <c r="R26" s="83">
        <f t="shared" si="0"/>
        <v>78.748999999994339</v>
      </c>
      <c r="S26" s="83">
        <f t="shared" si="1"/>
        <v>617.39215999995565</v>
      </c>
      <c r="T26" s="83">
        <f t="shared" si="2"/>
        <v>176.23499999998603</v>
      </c>
      <c r="U26" s="83">
        <f t="shared" si="16"/>
        <v>1381.6823999998905</v>
      </c>
      <c r="V26" s="83">
        <f>374812.7-374563.7</f>
        <v>249</v>
      </c>
      <c r="W26" s="83">
        <f>131394.43-131254.45</f>
        <v>139.97999999998137</v>
      </c>
      <c r="X26" s="86" t="s">
        <v>63</v>
      </c>
      <c r="Y26" s="87">
        <v>911513</v>
      </c>
      <c r="Z26" s="5">
        <f t="shared" si="10"/>
        <v>736</v>
      </c>
      <c r="AA26" s="14">
        <f t="shared" si="7"/>
        <v>4761.92</v>
      </c>
      <c r="AB26" s="87">
        <v>9310401.8000000007</v>
      </c>
      <c r="AC26" s="86">
        <f t="shared" si="11"/>
        <v>9281262.8000000007</v>
      </c>
      <c r="AD26" s="5">
        <f t="shared" si="3"/>
        <v>29139</v>
      </c>
      <c r="AE26" s="83">
        <f t="shared" si="12"/>
        <v>9679.8301050000009</v>
      </c>
      <c r="AF26" s="83">
        <f>93427.7-93377.1</f>
        <v>50.599999999991269</v>
      </c>
      <c r="AG26" s="83">
        <f>50001.8-49967.1</f>
        <v>34.700000000004366</v>
      </c>
      <c r="AH26" s="83">
        <f>29523.7-29509.6</f>
        <v>14.100000000002183</v>
      </c>
      <c r="AI26" s="87">
        <f t="shared" si="13"/>
        <v>48246.9</v>
      </c>
      <c r="AJ26" s="87">
        <v>48280.2</v>
      </c>
      <c r="AK26" s="48">
        <f t="shared" si="8"/>
        <v>33.299999999995634</v>
      </c>
      <c r="AL26" s="89">
        <f t="shared" si="4"/>
        <v>9468.6930317957576</v>
      </c>
      <c r="AM26" s="83">
        <f t="shared" si="14"/>
        <v>3145.4524816973917</v>
      </c>
      <c r="AN26" s="71">
        <v>178</v>
      </c>
      <c r="AO26" s="78">
        <f t="shared" si="5"/>
        <v>22804.432504999892</v>
      </c>
    </row>
    <row r="27" spans="1:41" x14ac:dyDescent="0.25">
      <c r="A27" s="79">
        <v>44491</v>
      </c>
      <c r="B27" s="86">
        <f>12719385-12712762</f>
        <v>6623</v>
      </c>
      <c r="C27" s="86">
        <f>8164047-8159525</f>
        <v>4522</v>
      </c>
      <c r="D27" s="86">
        <f>1608333-1607422</f>
        <v>911</v>
      </c>
      <c r="E27" s="86">
        <f>12166059-12160135</f>
        <v>5924</v>
      </c>
      <c r="F27" s="86">
        <f>12109174-12102838</f>
        <v>6336</v>
      </c>
      <c r="G27" s="86">
        <f>8642705-8639531</f>
        <v>3174</v>
      </c>
      <c r="H27" s="86">
        <f>9280160-9273462</f>
        <v>6698</v>
      </c>
      <c r="I27" s="86">
        <f>5455910-5453528</f>
        <v>2382</v>
      </c>
      <c r="J27" s="86">
        <f>12282331-12275130</f>
        <v>7201</v>
      </c>
      <c r="K27" s="86">
        <f t="shared" si="15"/>
        <v>34188</v>
      </c>
      <c r="L27" s="14">
        <f t="shared" si="9"/>
        <v>6837.6</v>
      </c>
      <c r="M27" s="83">
        <f>92776.47-92597.752</f>
        <v>178.71800000000803</v>
      </c>
      <c r="N27" s="83">
        <f>4572.197-4571.427</f>
        <v>0.77000000000043656</v>
      </c>
      <c r="O27" s="83">
        <f>10332.105-10330.377</f>
        <v>1.727999999999156</v>
      </c>
      <c r="P27" s="82">
        <f>97979.727-97901.197</f>
        <v>78.529999999998836</v>
      </c>
      <c r="Q27" s="83">
        <f>25841.938-25830.315</f>
        <v>11.622999999999593</v>
      </c>
      <c r="R27" s="83">
        <f t="shared" si="0"/>
        <v>81.027999999998428</v>
      </c>
      <c r="S27" s="83">
        <f t="shared" si="1"/>
        <v>635.25951999998767</v>
      </c>
      <c r="T27" s="83">
        <f t="shared" si="2"/>
        <v>190.34100000000763</v>
      </c>
      <c r="U27" s="83">
        <f t="shared" si="16"/>
        <v>1492.2734400000597</v>
      </c>
      <c r="V27" s="83">
        <f>375067.3-374812.7</f>
        <v>254.59999999997672</v>
      </c>
      <c r="W27" s="83">
        <f>131558.18-131394.43</f>
        <v>163.75</v>
      </c>
      <c r="X27" s="86" t="s">
        <v>63</v>
      </c>
      <c r="Y27" s="87">
        <v>912305</v>
      </c>
      <c r="Z27" s="5">
        <f t="shared" si="10"/>
        <v>792</v>
      </c>
      <c r="AA27" s="14">
        <f t="shared" si="7"/>
        <v>5124.24</v>
      </c>
      <c r="AB27" s="87">
        <v>9340026.1999999993</v>
      </c>
      <c r="AC27" s="86">
        <f t="shared" si="11"/>
        <v>9310401.8000000007</v>
      </c>
      <c r="AD27" s="5">
        <f t="shared" si="3"/>
        <v>29624.39999999851</v>
      </c>
      <c r="AE27" s="83">
        <f t="shared" si="12"/>
        <v>9841.0775579995061</v>
      </c>
      <c r="AF27" s="83">
        <f>93478.8-93427.7</f>
        <v>51.100000000005821</v>
      </c>
      <c r="AG27" s="83">
        <f>50036.3-50001.8</f>
        <v>34.5</v>
      </c>
      <c r="AH27" s="83">
        <f>29537.8-29523.7</f>
        <v>14.099999999998545</v>
      </c>
      <c r="AI27" s="87">
        <f t="shared" si="13"/>
        <v>48280.2</v>
      </c>
      <c r="AJ27" s="87">
        <v>48313.9</v>
      </c>
      <c r="AK27" s="48">
        <f t="shared" si="8"/>
        <v>33.700000000004366</v>
      </c>
      <c r="AL27" s="89">
        <f t="shared" si="4"/>
        <v>9582.4310862342409</v>
      </c>
      <c r="AM27" s="83">
        <f t="shared" si="14"/>
        <v>3183.2356946915838</v>
      </c>
      <c r="AN27" s="71">
        <v>169</v>
      </c>
      <c r="AO27" s="78">
        <f t="shared" si="5"/>
        <v>23295.190997999565</v>
      </c>
    </row>
    <row r="28" spans="1:41" x14ac:dyDescent="0.25">
      <c r="A28" s="79">
        <v>44492</v>
      </c>
      <c r="B28" s="86">
        <f>12725588-12719385</f>
        <v>6203</v>
      </c>
      <c r="C28" s="86">
        <f>8168200-8164047</f>
        <v>4153</v>
      </c>
      <c r="D28" s="86">
        <f>1609193-1608333</f>
        <v>860</v>
      </c>
      <c r="E28" s="86">
        <f>12171903-12166059</f>
        <v>5844</v>
      </c>
      <c r="F28" s="86">
        <f>12115204-12109174</f>
        <v>6030</v>
      </c>
      <c r="G28" s="86">
        <f>8645796-8642705</f>
        <v>3091</v>
      </c>
      <c r="H28" s="86">
        <f>9286787-9280160</f>
        <v>6627</v>
      </c>
      <c r="I28" s="86">
        <f>5458390-5455910</f>
        <v>2480</v>
      </c>
      <c r="J28" s="86">
        <f>12289362-12282331</f>
        <v>7031</v>
      </c>
      <c r="K28" s="86">
        <f t="shared" si="15"/>
        <v>32808</v>
      </c>
      <c r="L28" s="14">
        <f t="shared" si="9"/>
        <v>6561.6</v>
      </c>
      <c r="M28" s="83">
        <f>92938.622-92776.47</f>
        <v>162.15200000000186</v>
      </c>
      <c r="N28" s="83">
        <f>4573.068-4572.197</f>
        <v>0.87100000000009459</v>
      </c>
      <c r="O28" s="83">
        <f>10333.584-10332.105</f>
        <v>1.4790000000011787</v>
      </c>
      <c r="P28" s="82">
        <f>98045.869-97979.727</f>
        <v>66.142000000007101</v>
      </c>
      <c r="Q28" s="83">
        <f>25857.041-25841.938</f>
        <v>15.103000000002794</v>
      </c>
      <c r="R28" s="83">
        <f t="shared" si="0"/>
        <v>68.492000000008375</v>
      </c>
      <c r="S28" s="83">
        <f t="shared" si="1"/>
        <v>536.97728000006566</v>
      </c>
      <c r="T28" s="83">
        <f t="shared" si="2"/>
        <v>177.25500000000466</v>
      </c>
      <c r="U28" s="83">
        <f t="shared" si="16"/>
        <v>1389.6792000000364</v>
      </c>
      <c r="V28" s="83">
        <f>375299-375067.3</f>
        <v>231.70000000001164</v>
      </c>
      <c r="W28" s="83">
        <f>131700.81-131558.18</f>
        <v>142.63000000000466</v>
      </c>
      <c r="X28" s="86" t="s">
        <v>63</v>
      </c>
      <c r="Y28" s="87">
        <v>913011</v>
      </c>
      <c r="Z28" s="5">
        <f t="shared" si="10"/>
        <v>706</v>
      </c>
      <c r="AA28" s="14">
        <f t="shared" si="7"/>
        <v>4567.82</v>
      </c>
      <c r="AB28" s="87">
        <v>9367868.1999999993</v>
      </c>
      <c r="AC28" s="86">
        <f t="shared" si="11"/>
        <v>9340026.1999999993</v>
      </c>
      <c r="AD28" s="5">
        <f t="shared" si="3"/>
        <v>27842</v>
      </c>
      <c r="AE28" s="83">
        <f t="shared" si="12"/>
        <v>9248.9731900000006</v>
      </c>
      <c r="AF28" s="83">
        <f>93524.1-93478.8</f>
        <v>45.30000000000291</v>
      </c>
      <c r="AG28" s="83">
        <f>50070.2-50036.3</f>
        <v>33.899999999994179</v>
      </c>
      <c r="AH28" s="83">
        <f>29551.2-29537.8</f>
        <v>13.400000000001455</v>
      </c>
      <c r="AI28" s="87">
        <f t="shared" si="13"/>
        <v>48313.9</v>
      </c>
      <c r="AJ28" s="87">
        <v>48346.7</v>
      </c>
      <c r="AK28" s="48">
        <f t="shared" si="8"/>
        <v>32.799999999995634</v>
      </c>
      <c r="AL28" s="89">
        <f t="shared" si="4"/>
        <v>9326.5204637507577</v>
      </c>
      <c r="AM28" s="83">
        <f t="shared" si="14"/>
        <v>3098.2234654556833</v>
      </c>
      <c r="AN28" s="71">
        <v>127</v>
      </c>
      <c r="AO28" s="78">
        <f t="shared" si="5"/>
        <v>21768.072390000038</v>
      </c>
    </row>
    <row r="29" spans="1:41" x14ac:dyDescent="0.25">
      <c r="A29" s="79">
        <v>44493</v>
      </c>
      <c r="B29" s="86">
        <f>12732061-12725588</f>
        <v>6473</v>
      </c>
      <c r="C29" s="86">
        <f>8172748-8168200</f>
        <v>4548</v>
      </c>
      <c r="D29" s="86">
        <f>1610027-1609193</f>
        <v>834</v>
      </c>
      <c r="E29" s="86">
        <f>12177861-12171903</f>
        <v>5958</v>
      </c>
      <c r="F29" s="86">
        <f>12121508-12115204</f>
        <v>6304</v>
      </c>
      <c r="G29" s="86">
        <f>8649000-8645796</f>
        <v>3204</v>
      </c>
      <c r="H29" s="86">
        <f>9293661-9286787</f>
        <v>6874</v>
      </c>
      <c r="I29" s="86">
        <f>5460972-5458390</f>
        <v>2582</v>
      </c>
      <c r="J29" s="86">
        <f>12296472-12289362</f>
        <v>7110</v>
      </c>
      <c r="K29" s="86">
        <f t="shared" si="15"/>
        <v>34195</v>
      </c>
      <c r="L29" s="14">
        <f t="shared" si="9"/>
        <v>6839</v>
      </c>
      <c r="M29" s="83">
        <f>93100.711-92938.622</f>
        <v>162.08899999999267</v>
      </c>
      <c r="N29" s="83">
        <f>4574.108-4573.068</f>
        <v>1.0399999999999636</v>
      </c>
      <c r="O29" s="83">
        <f>10335.543-10333.584</f>
        <v>1.9589999999989232</v>
      </c>
      <c r="P29" s="82">
        <f>98103.416-98045.869</f>
        <v>57.546999999991385</v>
      </c>
      <c r="Q29" s="83">
        <f>25875.373-25857.041</f>
        <v>18.331999999998516</v>
      </c>
      <c r="R29" s="83">
        <f t="shared" si="0"/>
        <v>60.545999999990272</v>
      </c>
      <c r="S29" s="83">
        <f t="shared" si="1"/>
        <v>474.6806399999237</v>
      </c>
      <c r="T29" s="83">
        <f t="shared" si="2"/>
        <v>180.42099999999118</v>
      </c>
      <c r="U29" s="83">
        <f t="shared" si="16"/>
        <v>1414.5006399999309</v>
      </c>
      <c r="V29" s="83">
        <f>375532.7-375299</f>
        <v>233.70000000001164</v>
      </c>
      <c r="W29" s="83">
        <f>131856.72-131700.81</f>
        <v>155.91000000000349</v>
      </c>
      <c r="X29" s="86" t="s">
        <v>63</v>
      </c>
      <c r="Y29" s="87">
        <v>913723</v>
      </c>
      <c r="Z29" s="5">
        <f t="shared" si="10"/>
        <v>712</v>
      </c>
      <c r="AA29" s="14">
        <f t="shared" si="7"/>
        <v>4606.6399999999994</v>
      </c>
      <c r="AB29" s="87">
        <v>9393887.6999999993</v>
      </c>
      <c r="AC29" s="86">
        <f t="shared" si="11"/>
        <v>9367868.1999999993</v>
      </c>
      <c r="AD29" s="5">
        <f t="shared" si="3"/>
        <v>26019.5</v>
      </c>
      <c r="AE29" s="83">
        <f t="shared" si="12"/>
        <v>8643.5478025000011</v>
      </c>
      <c r="AF29" s="83">
        <f>93567.2-93524.1</f>
        <v>43.099999999991269</v>
      </c>
      <c r="AG29" s="83">
        <f>50102.3-50070.2</f>
        <v>32.100000000005821</v>
      </c>
      <c r="AH29" s="83">
        <f>29564.4-29551.2</f>
        <v>13.200000000000728</v>
      </c>
      <c r="AI29" s="87">
        <f t="shared" si="13"/>
        <v>48346.7</v>
      </c>
      <c r="AJ29" s="87">
        <v>48380.4</v>
      </c>
      <c r="AK29" s="48">
        <f t="shared" si="8"/>
        <v>33.700000000004366</v>
      </c>
      <c r="AL29" s="89">
        <f t="shared" si="4"/>
        <v>9582.4310862342409</v>
      </c>
      <c r="AM29" s="83">
        <f t="shared" si="14"/>
        <v>3183.2356946915838</v>
      </c>
      <c r="AN29" s="71">
        <v>152</v>
      </c>
      <c r="AO29" s="78">
        <f t="shared" si="5"/>
        <v>21503.68844249993</v>
      </c>
    </row>
    <row r="30" spans="1:41" x14ac:dyDescent="0.25">
      <c r="A30" s="79">
        <v>44494</v>
      </c>
      <c r="B30" s="86">
        <f>12738538-12732061</f>
        <v>6477</v>
      </c>
      <c r="C30" s="86">
        <f>8177570-8172748</f>
        <v>4822</v>
      </c>
      <c r="D30" s="86">
        <f>1610919-1610027</f>
        <v>892</v>
      </c>
      <c r="E30" s="86">
        <f>12183849-12177861</f>
        <v>5988</v>
      </c>
      <c r="F30" s="86">
        <f>12127727-12121508</f>
        <v>6219</v>
      </c>
      <c r="G30" s="86">
        <f>8652233-8649000</f>
        <v>3233</v>
      </c>
      <c r="H30" s="86">
        <f>9300460-9293661</f>
        <v>6799</v>
      </c>
      <c r="I30" s="86">
        <f>5463395-5460972</f>
        <v>2423</v>
      </c>
      <c r="J30" s="86">
        <f>12303561-12296472</f>
        <v>7089</v>
      </c>
      <c r="K30" s="86">
        <f t="shared" si="15"/>
        <v>34430</v>
      </c>
      <c r="L30" s="14">
        <f t="shared" si="9"/>
        <v>6886</v>
      </c>
      <c r="M30" s="83">
        <f>93259.119-93100.711</f>
        <v>158.40800000001036</v>
      </c>
      <c r="N30" s="83">
        <f>4575.38-4574.108</f>
        <v>1.2719999999999345</v>
      </c>
      <c r="O30" s="83">
        <f>10337.557-10335.543</f>
        <v>2.0140000000010332</v>
      </c>
      <c r="P30" s="82">
        <f>98165.634-98103.416</f>
        <v>62.218000000008033</v>
      </c>
      <c r="Q30" s="83">
        <f>25887.711-25875.373</f>
        <v>12.337999999999738</v>
      </c>
      <c r="R30" s="83">
        <f t="shared" si="0"/>
        <v>65.504000000009</v>
      </c>
      <c r="S30" s="83">
        <f t="shared" si="1"/>
        <v>513.55136000007053</v>
      </c>
      <c r="T30" s="83">
        <f t="shared" si="2"/>
        <v>170.7460000000101</v>
      </c>
      <c r="U30" s="83">
        <f t="shared" si="16"/>
        <v>1338.6486400000792</v>
      </c>
      <c r="V30" s="83">
        <f>375767.8-375532.7</f>
        <v>235.09999999997672</v>
      </c>
      <c r="W30" s="83">
        <f>131999.16-131856.72</f>
        <v>142.44000000000233</v>
      </c>
      <c r="X30" s="86" t="s">
        <v>63</v>
      </c>
      <c r="Y30" s="87">
        <v>914468</v>
      </c>
      <c r="Z30" s="5">
        <f t="shared" si="10"/>
        <v>745</v>
      </c>
      <c r="AA30" s="14">
        <f t="shared" si="7"/>
        <v>4820.1499999999996</v>
      </c>
      <c r="AB30" s="87">
        <v>9418850.6999999993</v>
      </c>
      <c r="AC30" s="86">
        <f t="shared" si="11"/>
        <v>9393887.6999999993</v>
      </c>
      <c r="AD30" s="5">
        <f t="shared" si="3"/>
        <v>24963</v>
      </c>
      <c r="AE30" s="83">
        <f t="shared" si="12"/>
        <v>8292.5837850000007</v>
      </c>
      <c r="AF30" s="83">
        <f>93608.7-93567.2</f>
        <v>41.5</v>
      </c>
      <c r="AG30" s="83">
        <f>50133-50102.3</f>
        <v>30.69999999999709</v>
      </c>
      <c r="AH30" s="83">
        <f>29577-29564.4</f>
        <v>12.599999999998545</v>
      </c>
      <c r="AI30" s="87">
        <f t="shared" si="13"/>
        <v>48380.4</v>
      </c>
      <c r="AJ30" s="87">
        <v>48412.800000000003</v>
      </c>
      <c r="AK30" s="48">
        <f t="shared" si="8"/>
        <v>32.400000000001455</v>
      </c>
      <c r="AL30" s="89">
        <f t="shared" si="4"/>
        <v>9212.7824093164127</v>
      </c>
      <c r="AM30" s="83">
        <f t="shared" si="14"/>
        <v>3060.4402524628658</v>
      </c>
      <c r="AN30" s="71">
        <v>158</v>
      </c>
      <c r="AO30" s="78">
        <f t="shared" si="5"/>
        <v>21337.38242500008</v>
      </c>
    </row>
    <row r="31" spans="1:41" x14ac:dyDescent="0.25">
      <c r="A31" s="79">
        <v>44495</v>
      </c>
      <c r="B31" s="86">
        <f>12745190-12738538</f>
        <v>6652</v>
      </c>
      <c r="C31" s="86">
        <f>8182610-8177570</f>
        <v>5040</v>
      </c>
      <c r="D31" s="86">
        <f>1611789-1610919</f>
        <v>870</v>
      </c>
      <c r="E31" s="86">
        <f>12189852-12183849</f>
        <v>6003</v>
      </c>
      <c r="F31" s="86">
        <f>12133929-12127727</f>
        <v>6202</v>
      </c>
      <c r="G31" s="86">
        <f>8655342-8652233</f>
        <v>3109</v>
      </c>
      <c r="H31" s="86">
        <f>9307160-9300460</f>
        <v>6700</v>
      </c>
      <c r="I31" s="86">
        <f>5465803-5463395</f>
        <v>2408</v>
      </c>
      <c r="J31" s="86">
        <f>12310659-12303561</f>
        <v>7098</v>
      </c>
      <c r="K31" s="86">
        <f t="shared" si="15"/>
        <v>34576</v>
      </c>
      <c r="L31" s="14">
        <f t="shared" si="9"/>
        <v>6915.2000000000007</v>
      </c>
      <c r="M31" s="83">
        <f>93424.419-93259.119</f>
        <v>165.29999999998836</v>
      </c>
      <c r="N31" s="83">
        <f>4576.71-4575.38</f>
        <v>1.3299999999999272</v>
      </c>
      <c r="O31" s="83">
        <f>10339.29-10337.557</f>
        <v>1.7330000000001746</v>
      </c>
      <c r="P31" s="82">
        <f>98236.413-98165.634</f>
        <v>70.778999999994994</v>
      </c>
      <c r="Q31" s="83">
        <f>25899.413-25887.711</f>
        <v>11.702000000001135</v>
      </c>
      <c r="R31" s="83">
        <f t="shared" si="0"/>
        <v>73.841999999995096</v>
      </c>
      <c r="S31" s="83">
        <f t="shared" si="1"/>
        <v>578.9212799999616</v>
      </c>
      <c r="T31" s="83">
        <f t="shared" si="2"/>
        <v>177.00199999998949</v>
      </c>
      <c r="U31" s="83">
        <f t="shared" si="16"/>
        <v>1387.6956799999175</v>
      </c>
      <c r="V31" s="83">
        <f>376005.3-375767.8</f>
        <v>237.5</v>
      </c>
      <c r="W31" s="83">
        <f>132138.19-131999.16</f>
        <v>139.02999999999884</v>
      </c>
      <c r="X31" s="86" t="s">
        <v>63</v>
      </c>
      <c r="Y31" s="87">
        <v>915202</v>
      </c>
      <c r="Z31" s="5">
        <f t="shared" si="10"/>
        <v>734</v>
      </c>
      <c r="AA31" s="14">
        <f t="shared" si="7"/>
        <v>4748.9799999999996</v>
      </c>
      <c r="AB31" s="87">
        <v>9443485.0999999996</v>
      </c>
      <c r="AC31" s="86">
        <f t="shared" si="11"/>
        <v>9418850.6999999993</v>
      </c>
      <c r="AD31" s="5">
        <f t="shared" si="3"/>
        <v>24634.400000000373</v>
      </c>
      <c r="AE31" s="83">
        <f t="shared" si="12"/>
        <v>8183.4245080001238</v>
      </c>
      <c r="AF31" s="83">
        <f>93649.3-93608.7</f>
        <v>40.600000000005821</v>
      </c>
      <c r="AG31" s="83">
        <f>50163.3-50133</f>
        <v>30.30000000000291</v>
      </c>
      <c r="AH31" s="83">
        <f>29590.1-29577</f>
        <v>13.099999999998545</v>
      </c>
      <c r="AI31" s="87">
        <f t="shared" si="13"/>
        <v>48412.800000000003</v>
      </c>
      <c r="AJ31" s="87">
        <v>48445.3</v>
      </c>
      <c r="AK31" s="48">
        <f t="shared" si="8"/>
        <v>32.5</v>
      </c>
      <c r="AL31" s="89">
        <f t="shared" si="4"/>
        <v>9241.2169229249994</v>
      </c>
      <c r="AM31" s="83">
        <f t="shared" si="14"/>
        <v>3069.8860557110702</v>
      </c>
      <c r="AN31" s="71">
        <v>160</v>
      </c>
      <c r="AO31" s="78">
        <f t="shared" si="5"/>
        <v>21235.300188000041</v>
      </c>
    </row>
    <row r="32" spans="1:41" x14ac:dyDescent="0.25">
      <c r="A32" s="79">
        <v>44496</v>
      </c>
      <c r="B32" s="86">
        <f>12751793-12745190</f>
        <v>6603</v>
      </c>
      <c r="C32" s="86">
        <f>8187338-8182610</f>
        <v>4728</v>
      </c>
      <c r="D32" s="86">
        <f>1612677-1611789</f>
        <v>888</v>
      </c>
      <c r="E32" s="86">
        <f>12196062-12189852</f>
        <v>6210</v>
      </c>
      <c r="F32" s="86">
        <f>12140203-12133929</f>
        <v>6274</v>
      </c>
      <c r="G32" s="86">
        <f>8658568-8655342</f>
        <v>3226</v>
      </c>
      <c r="H32" s="86">
        <f>9313978-9307160</f>
        <v>6818</v>
      </c>
      <c r="I32" s="86">
        <f>5468323-5465803</f>
        <v>2520</v>
      </c>
      <c r="J32" s="86">
        <f>12317906-12310659</f>
        <v>7247</v>
      </c>
      <c r="K32" s="86">
        <f t="shared" si="15"/>
        <v>34747</v>
      </c>
      <c r="L32" s="14">
        <f t="shared" si="9"/>
        <v>6949.4000000000005</v>
      </c>
      <c r="M32" s="83">
        <f>93600.113-93424.419</f>
        <v>175.69400000000314</v>
      </c>
      <c r="N32" s="83">
        <f>4577.418-4576.71</f>
        <v>0.70799999999962893</v>
      </c>
      <c r="O32" s="83">
        <f>10340.882-10339.29</f>
        <v>1.591999999998734</v>
      </c>
      <c r="P32" s="82">
        <f>98319.316-98236.413</f>
        <v>82.903000000005704</v>
      </c>
      <c r="Q32" s="83">
        <f>25919.111-25899.412</f>
        <v>19.699000000000524</v>
      </c>
      <c r="R32" s="83">
        <f t="shared" si="0"/>
        <v>85.203000000004067</v>
      </c>
      <c r="S32" s="83">
        <f t="shared" si="1"/>
        <v>667.99152000003187</v>
      </c>
      <c r="T32" s="83">
        <f t="shared" si="2"/>
        <v>195.39300000000367</v>
      </c>
      <c r="U32" s="83">
        <f t="shared" si="16"/>
        <v>1531.8811200000287</v>
      </c>
      <c r="V32" s="83">
        <f>376251.3-376005.3</f>
        <v>246</v>
      </c>
      <c r="W32" s="83">
        <f>132277.21-132138.19</f>
        <v>139.01999999998952</v>
      </c>
      <c r="X32" s="86" t="s">
        <v>63</v>
      </c>
      <c r="Y32" s="87">
        <v>915914</v>
      </c>
      <c r="Z32" s="5">
        <f t="shared" si="10"/>
        <v>712</v>
      </c>
      <c r="AA32" s="14">
        <f t="shared" si="7"/>
        <v>4606.6399999999994</v>
      </c>
      <c r="AB32" s="87">
        <v>9467108.8000000007</v>
      </c>
      <c r="AC32" s="86">
        <f t="shared" si="11"/>
        <v>9443485.0999999996</v>
      </c>
      <c r="AD32" s="5">
        <f t="shared" si="3"/>
        <v>23623.700000001118</v>
      </c>
      <c r="AE32" s="83">
        <f t="shared" si="12"/>
        <v>7847.6750215003713</v>
      </c>
      <c r="AF32" s="83">
        <f>93687.2-93649.3</f>
        <v>37.899999999994179</v>
      </c>
      <c r="AG32" s="83">
        <f>50192.6-50163.3</f>
        <v>29.299999999995634</v>
      </c>
      <c r="AH32" s="83">
        <f>29602.9-29590.1</f>
        <v>12.80000000000291</v>
      </c>
      <c r="AI32" s="87">
        <f t="shared" si="13"/>
        <v>48445.3</v>
      </c>
      <c r="AJ32" s="86">
        <v>48476.1</v>
      </c>
      <c r="AK32" s="48">
        <f t="shared" si="8"/>
        <v>30.799999999995634</v>
      </c>
      <c r="AL32" s="89">
        <f t="shared" si="4"/>
        <v>8757.830191570758</v>
      </c>
      <c r="AM32" s="83">
        <f t="shared" si="14"/>
        <v>2909.3074004888481</v>
      </c>
      <c r="AN32" s="71">
        <v>194</v>
      </c>
      <c r="AO32" s="78">
        <f t="shared" si="5"/>
        <v>20935.596141500399</v>
      </c>
    </row>
    <row r="33" spans="1:41" x14ac:dyDescent="0.25">
      <c r="A33" s="79">
        <v>44497</v>
      </c>
      <c r="B33" s="86">
        <f>12758158-12751793</f>
        <v>6365</v>
      </c>
      <c r="C33" s="86">
        <f>8191845-8187338</f>
        <v>4507</v>
      </c>
      <c r="D33" s="86">
        <f>1613580-1612677</f>
        <v>903</v>
      </c>
      <c r="E33" s="86">
        <f>12201817-12196062</f>
        <v>5755</v>
      </c>
      <c r="F33" s="86">
        <f>12146173-12140203</f>
        <v>5970</v>
      </c>
      <c r="G33" s="86">
        <f>8661575-8658568</f>
        <v>3007</v>
      </c>
      <c r="H33" s="86">
        <f>9320482-9313978</f>
        <v>6504</v>
      </c>
      <c r="I33" s="86">
        <f>5470756-5468323</f>
        <v>2433</v>
      </c>
      <c r="J33" s="86">
        <f>12325134-12317906</f>
        <v>7228</v>
      </c>
      <c r="K33" s="86">
        <f t="shared" si="15"/>
        <v>33011</v>
      </c>
      <c r="L33" s="14">
        <f t="shared" si="9"/>
        <v>6602.2000000000007</v>
      </c>
      <c r="M33" s="83">
        <f>93786.409-93600.113</f>
        <v>186.2960000000021</v>
      </c>
      <c r="N33" s="83">
        <f>4578.327-4577.418</f>
        <v>0.90900000000056025</v>
      </c>
      <c r="O33" s="83">
        <f>10342.354-10340.882</f>
        <v>1.4719999999997526</v>
      </c>
      <c r="P33" s="82">
        <f>98413.119-98319.316</f>
        <v>93.802999999999884</v>
      </c>
      <c r="Q33" s="83">
        <f>25932.314-25919.111</f>
        <v>13.202999999997701</v>
      </c>
      <c r="R33" s="83">
        <f t="shared" si="0"/>
        <v>96.184000000000196</v>
      </c>
      <c r="S33" s="83">
        <f t="shared" si="1"/>
        <v>754.08256000000154</v>
      </c>
      <c r="T33" s="83">
        <f t="shared" si="2"/>
        <v>199.4989999999998</v>
      </c>
      <c r="U33" s="83">
        <f t="shared" si="16"/>
        <v>1564.0721599999983</v>
      </c>
      <c r="V33" s="83">
        <f>376507.7-376251.3</f>
        <v>256.40000000002328</v>
      </c>
      <c r="W33" s="83">
        <f>132419.17-132277.21</f>
        <v>141.96000000002095</v>
      </c>
      <c r="X33" s="86" t="s">
        <v>63</v>
      </c>
      <c r="Y33" s="87">
        <v>916694</v>
      </c>
      <c r="Z33" s="5">
        <f t="shared" si="10"/>
        <v>780</v>
      </c>
      <c r="AA33" s="14">
        <f t="shared" si="7"/>
        <v>5046.5999999999995</v>
      </c>
      <c r="AB33" s="87">
        <v>9492059.3000000007</v>
      </c>
      <c r="AC33" s="86">
        <f t="shared" si="11"/>
        <v>9467108.8000000007</v>
      </c>
      <c r="AD33" s="5">
        <f t="shared" si="3"/>
        <v>24950.5</v>
      </c>
      <c r="AE33" s="83">
        <f t="shared" si="12"/>
        <v>8288.4313474999999</v>
      </c>
      <c r="AF33" s="83">
        <f>93728.6-93687.2</f>
        <v>41.400000000008731</v>
      </c>
      <c r="AG33" s="83">
        <f>50221.3-50192.6</f>
        <v>28.700000000004366</v>
      </c>
      <c r="AH33" s="83">
        <f>29615.9-29602.9</f>
        <v>13</v>
      </c>
      <c r="AI33" s="87">
        <f t="shared" si="13"/>
        <v>48476.1</v>
      </c>
      <c r="AJ33" s="86">
        <v>48508.4</v>
      </c>
      <c r="AK33" s="48">
        <f t="shared" si="8"/>
        <v>32.30000000000291</v>
      </c>
      <c r="AL33" s="89">
        <f t="shared" si="4"/>
        <v>9184.3478957078278</v>
      </c>
      <c r="AM33" s="83">
        <f t="shared" si="14"/>
        <v>3050.9944492146619</v>
      </c>
      <c r="AN33" s="71">
        <v>175</v>
      </c>
      <c r="AO33" s="78">
        <f t="shared" si="5"/>
        <v>21501.303507500001</v>
      </c>
    </row>
    <row r="34" spans="1:41" x14ac:dyDescent="0.25">
      <c r="A34" s="79">
        <v>44498</v>
      </c>
      <c r="B34" s="86">
        <f>12764416-12758158</f>
        <v>6258</v>
      </c>
      <c r="C34" s="86">
        <f>8195812-8191845</f>
        <v>3967</v>
      </c>
      <c r="D34" s="86">
        <f>1614460-1613580</f>
        <v>880</v>
      </c>
      <c r="E34" s="86">
        <f>12207644-12201817</f>
        <v>5827</v>
      </c>
      <c r="F34" s="86">
        <f>12152466-12146173</f>
        <v>6293</v>
      </c>
      <c r="G34" s="86">
        <f>8664684-8661575</f>
        <v>3109</v>
      </c>
      <c r="H34" s="86">
        <f>9327072-9320482</f>
        <v>6590</v>
      </c>
      <c r="I34" s="86">
        <f>5473122-5470756</f>
        <v>2366</v>
      </c>
      <c r="J34" s="86">
        <f>12332369-12325134</f>
        <v>7235</v>
      </c>
      <c r="K34" s="86">
        <f t="shared" si="15"/>
        <v>32924</v>
      </c>
      <c r="L34" s="14">
        <f t="shared" si="9"/>
        <v>6584.8</v>
      </c>
      <c r="M34" s="83">
        <f>93962.214-93786.409</f>
        <v>175.80500000000757</v>
      </c>
      <c r="N34" s="83">
        <f>4579.237-4578.327</f>
        <v>0.90999999999985448</v>
      </c>
      <c r="O34" s="83">
        <f>10343.477-10342.354</f>
        <v>1.1230000000014115</v>
      </c>
      <c r="P34" s="82">
        <f>98495.84-98413.119</f>
        <v>82.720999999990454</v>
      </c>
      <c r="Q34" s="83">
        <f>25942.63-25932.314</f>
        <v>10.316000000002532</v>
      </c>
      <c r="R34" s="83">
        <f t="shared" si="0"/>
        <v>84.75399999999172</v>
      </c>
      <c r="S34" s="83">
        <f t="shared" si="1"/>
        <v>664.47135999993509</v>
      </c>
      <c r="T34" s="83">
        <f t="shared" si="2"/>
        <v>186.1210000000101</v>
      </c>
      <c r="U34" s="83">
        <f t="shared" si="16"/>
        <v>1459.1886400000792</v>
      </c>
      <c r="V34" s="83">
        <f>376773.1-376507.7</f>
        <v>265.39999999996508</v>
      </c>
      <c r="W34" s="83">
        <f>132573.31-132419.17</f>
        <v>154.13999999998487</v>
      </c>
      <c r="X34" s="86" t="s">
        <v>63</v>
      </c>
      <c r="Y34" s="87">
        <v>917493</v>
      </c>
      <c r="Z34" s="5">
        <f t="shared" si="10"/>
        <v>799</v>
      </c>
      <c r="AA34" s="14">
        <f t="shared" si="7"/>
        <v>5169.53</v>
      </c>
      <c r="AB34" s="87">
        <v>9515470</v>
      </c>
      <c r="AC34" s="86">
        <f t="shared" si="11"/>
        <v>9492059.3000000007</v>
      </c>
      <c r="AD34" s="5">
        <f t="shared" si="3"/>
        <v>23410.699999999255</v>
      </c>
      <c r="AE34" s="83">
        <f t="shared" si="12"/>
        <v>7776.9174864997531</v>
      </c>
      <c r="AF34" s="83">
        <f>93766.7-93728.6</f>
        <v>38.099999999991269</v>
      </c>
      <c r="AG34" s="83">
        <f>50249.3-50221.3</f>
        <v>28</v>
      </c>
      <c r="AH34" s="83">
        <f>29628.2-29615.9</f>
        <v>12.299999999999272</v>
      </c>
      <c r="AI34" s="87">
        <f t="shared" si="13"/>
        <v>48508.4</v>
      </c>
      <c r="AJ34" s="87">
        <v>48540.5</v>
      </c>
      <c r="AK34" s="48">
        <f t="shared" si="8"/>
        <v>32.099999999998545</v>
      </c>
      <c r="AL34" s="89">
        <f t="shared" si="4"/>
        <v>9127.4788684885862</v>
      </c>
      <c r="AM34" s="83">
        <f t="shared" si="14"/>
        <v>3032.1028427175661</v>
      </c>
      <c r="AN34" s="71">
        <v>179</v>
      </c>
      <c r="AO34" s="78">
        <f t="shared" si="5"/>
        <v>20990.43612649983</v>
      </c>
    </row>
    <row r="35" spans="1:41" x14ac:dyDescent="0.25">
      <c r="A35" s="79">
        <v>44499</v>
      </c>
      <c r="B35" s="86">
        <f>12770504-12764416</f>
        <v>6088</v>
      </c>
      <c r="C35" s="86">
        <f>8199735-8195812</f>
        <v>3923</v>
      </c>
      <c r="D35" s="86">
        <f>1615373-1614460</f>
        <v>913</v>
      </c>
      <c r="E35" s="86">
        <f>12213608-12207644</f>
        <v>5964</v>
      </c>
      <c r="F35" s="86">
        <f>12158726-12152466</f>
        <v>6260</v>
      </c>
      <c r="G35" s="86">
        <f>8667810-8664684</f>
        <v>3126</v>
      </c>
      <c r="H35" s="86">
        <f>9333833-9327072</f>
        <v>6761</v>
      </c>
      <c r="I35" s="86">
        <f>5475588-5473122</f>
        <v>2466</v>
      </c>
      <c r="J35" s="86">
        <f>12339455-12332369</f>
        <v>7086</v>
      </c>
      <c r="K35" s="86">
        <f t="shared" ref="K35:K36" si="19">SUM(B35:H35)</f>
        <v>33035</v>
      </c>
      <c r="L35" s="14">
        <f t="shared" ref="L35:L36" si="20">K35*0.2</f>
        <v>6607</v>
      </c>
      <c r="M35" s="83">
        <f>94140.113-93962.214</f>
        <v>177.89899999999034</v>
      </c>
      <c r="N35" s="83">
        <f>4580.701-4579.237</f>
        <v>1.4639999999999418</v>
      </c>
      <c r="O35" s="83">
        <f>10345.414-10343.477</f>
        <v>1.9369999999998981</v>
      </c>
      <c r="P35" s="82">
        <f>98561.369-98495.84</f>
        <v>65.529000000009546</v>
      </c>
      <c r="Q35" s="83">
        <f>25961.661-25942.63</f>
        <v>19.03099999999904</v>
      </c>
      <c r="R35" s="83">
        <f t="shared" ref="R35:R36" si="21">N35+O35+P35</f>
        <v>68.930000000009386</v>
      </c>
      <c r="S35" s="83">
        <f t="shared" ref="S35:S36" si="22">(N35+O35+P35)*7.84</f>
        <v>540.41120000007356</v>
      </c>
      <c r="T35" s="83">
        <f t="shared" ref="T35:T36" si="23">M35+Q35</f>
        <v>196.92999999998938</v>
      </c>
      <c r="U35" s="83">
        <f t="shared" ref="U35:U36" si="24">T35*7.84</f>
        <v>1543.9311999999168</v>
      </c>
      <c r="V35" s="83">
        <f>377018.9-376773.1</f>
        <v>245.80000000004657</v>
      </c>
      <c r="W35" s="83">
        <f>132721.39-132573.31</f>
        <v>148.0800000000163</v>
      </c>
      <c r="X35" s="86" t="s">
        <v>63</v>
      </c>
      <c r="Y35" s="87">
        <v>918240</v>
      </c>
      <c r="Z35" s="5">
        <f t="shared" ref="Z35:Z36" si="25">IF((Y35-Y34&lt;0), "0",Y35-Y34)</f>
        <v>747</v>
      </c>
      <c r="AA35" s="14">
        <f t="shared" ref="AA35:AA36" si="26">Z35*6.47</f>
        <v>4833.09</v>
      </c>
      <c r="AB35" s="87">
        <v>9537112.3000000007</v>
      </c>
      <c r="AC35" s="86">
        <f t="shared" ref="AC35:AC36" si="27">AB34</f>
        <v>9515470</v>
      </c>
      <c r="AD35" s="5">
        <f t="shared" ref="AD35:AD36" si="28">IF((AB35-AC35&lt;0), "0",AB35-AC35)</f>
        <v>21642.300000000745</v>
      </c>
      <c r="AE35" s="83">
        <f t="shared" si="12"/>
        <v>7189.4638485002479</v>
      </c>
      <c r="AF35" s="83">
        <f>93802.2-93766.7</f>
        <v>35.5</v>
      </c>
      <c r="AG35" s="83">
        <f>50275.2-50249.3</f>
        <v>25.899999999994179</v>
      </c>
      <c r="AH35" s="83">
        <f>29640.1-29628.2</f>
        <v>11.899999999997817</v>
      </c>
      <c r="AI35" s="87">
        <f t="shared" si="13"/>
        <v>48540.5</v>
      </c>
      <c r="AJ35" s="87">
        <v>48566.3</v>
      </c>
      <c r="AK35" s="48">
        <f t="shared" ref="AK35:AK36" si="29">IF((AJ35-AI35)&lt;0, "0",AJ35-AI35)</f>
        <v>25.80000000000291</v>
      </c>
      <c r="AL35" s="89">
        <f t="shared" ref="AL35:AL36" si="30">AK35*(284.34513609)</f>
        <v>7336.1045111228268</v>
      </c>
      <c r="AM35" s="83">
        <f t="shared" ref="AM35:AM36" si="31">AL35*0.332195</f>
        <v>2437.0172380724475</v>
      </c>
      <c r="AN35" s="71">
        <v>144</v>
      </c>
      <c r="AO35" s="78">
        <f t="shared" si="5"/>
        <v>20173.485048500166</v>
      </c>
    </row>
    <row r="36" spans="1:41" x14ac:dyDescent="0.25">
      <c r="A36" s="79">
        <v>44500</v>
      </c>
      <c r="B36" s="86">
        <f>12776383-12770504</f>
        <v>5879</v>
      </c>
      <c r="C36" s="86">
        <f>8203623-8199735</f>
        <v>3888</v>
      </c>
      <c r="D36" s="86">
        <f>1616244-1615373</f>
        <v>871</v>
      </c>
      <c r="E36" s="86">
        <f>12219537-12213608</f>
        <v>5929</v>
      </c>
      <c r="F36" s="86">
        <f>12164721-12158726</f>
        <v>5995</v>
      </c>
      <c r="G36" s="86">
        <f>8670906-8667810</f>
        <v>3096</v>
      </c>
      <c r="H36" s="86">
        <f>9340467-9333833</f>
        <v>6634</v>
      </c>
      <c r="I36" s="86">
        <f>5478006-5475588</f>
        <v>2418</v>
      </c>
      <c r="J36" s="86">
        <f>12346401-12339455</f>
        <v>6946</v>
      </c>
      <c r="K36" s="86">
        <f t="shared" si="19"/>
        <v>32292</v>
      </c>
      <c r="L36" s="14">
        <f t="shared" si="20"/>
        <v>6458.4000000000005</v>
      </c>
      <c r="M36" s="83">
        <f>94315.666-94140.113</f>
        <v>175.55299999999988</v>
      </c>
      <c r="N36" s="83">
        <f>4581.593-4580.701</f>
        <v>0.89199999999982538</v>
      </c>
      <c r="O36" s="124">
        <f>10347.75-10345.414</f>
        <v>2.3359999999993306</v>
      </c>
      <c r="P36" s="82">
        <f>98625.222-98561.369</f>
        <v>63.852999999988242</v>
      </c>
      <c r="Q36" s="83">
        <f>25981.434-25961.661</f>
        <v>19.773000000001048</v>
      </c>
      <c r="R36" s="83">
        <f t="shared" si="21"/>
        <v>67.080999999987398</v>
      </c>
      <c r="S36" s="83">
        <f t="shared" si="22"/>
        <v>525.91503999990118</v>
      </c>
      <c r="T36" s="83">
        <f t="shared" si="23"/>
        <v>195.32600000000093</v>
      </c>
      <c r="U36" s="83">
        <f t="shared" si="24"/>
        <v>1531.3558400000072</v>
      </c>
      <c r="V36" s="83">
        <f>377264.1-377018.9</f>
        <v>245.19999999995343</v>
      </c>
      <c r="W36" s="83">
        <f>132876.4-132721.39</f>
        <v>155.00999999998021</v>
      </c>
      <c r="X36" s="86" t="s">
        <v>63</v>
      </c>
      <c r="Y36" s="87">
        <v>918971</v>
      </c>
      <c r="Z36" s="5">
        <f t="shared" si="25"/>
        <v>731</v>
      </c>
      <c r="AA36" s="14">
        <f t="shared" si="26"/>
        <v>4729.57</v>
      </c>
      <c r="AB36" s="87">
        <v>9561311.4000000004</v>
      </c>
      <c r="AC36" s="86">
        <f t="shared" si="27"/>
        <v>9537112.3000000007</v>
      </c>
      <c r="AD36" s="5">
        <f t="shared" si="28"/>
        <v>24199.099999999627</v>
      </c>
      <c r="AE36" s="83">
        <f t="shared" si="12"/>
        <v>8038.820024499877</v>
      </c>
      <c r="AF36" s="83">
        <f>93840.5-93802.2</f>
        <v>38.30000000000291</v>
      </c>
      <c r="AG36" s="83">
        <f>50304-50275.2</f>
        <v>28.80000000000291</v>
      </c>
      <c r="AH36" s="83">
        <f>29652.3-29640.1</f>
        <v>12.200000000000728</v>
      </c>
      <c r="AI36" s="87">
        <f t="shared" si="13"/>
        <v>48566.3</v>
      </c>
      <c r="AJ36" s="87">
        <v>48598.7</v>
      </c>
      <c r="AK36" s="48">
        <f t="shared" si="29"/>
        <v>32.399999999994179</v>
      </c>
      <c r="AL36" s="89">
        <f t="shared" si="30"/>
        <v>9212.7824093143445</v>
      </c>
      <c r="AM36" s="83">
        <f t="shared" si="31"/>
        <v>3060.4402524621787</v>
      </c>
      <c r="AN36" s="71">
        <v>121</v>
      </c>
      <c r="AO36" s="78">
        <f t="shared" si="5"/>
        <v>20758.145864499886</v>
      </c>
    </row>
    <row r="37" spans="1:41" x14ac:dyDescent="0.25">
      <c r="A37" s="76"/>
      <c r="D37" s="6">
        <f>SUM(D6:D36)</f>
        <v>26882</v>
      </c>
      <c r="E37" s="6" t="s">
        <v>93</v>
      </c>
      <c r="G37" s="6">
        <f t="shared" ref="G37:L37" si="32">SUM(G6:G36)</f>
        <v>96931</v>
      </c>
      <c r="H37" s="6">
        <f t="shared" si="32"/>
        <v>208778</v>
      </c>
      <c r="I37" s="6">
        <f t="shared" si="32"/>
        <v>76823</v>
      </c>
      <c r="J37" s="6">
        <f t="shared" si="32"/>
        <v>220044</v>
      </c>
      <c r="K37" s="6">
        <f t="shared" si="32"/>
        <v>1048191</v>
      </c>
      <c r="L37" s="15">
        <f t="shared" si="32"/>
        <v>209638.20000000004</v>
      </c>
      <c r="R37" s="16">
        <f>SUM(R6:R36)</f>
        <v>2271.3900000000021</v>
      </c>
      <c r="T37" s="16">
        <f>SUM(T6:T36)</f>
        <v>4731.3820000000014</v>
      </c>
      <c r="U37" s="16">
        <f t="shared" si="16"/>
        <v>37094.034880000014</v>
      </c>
      <c r="Z37" s="17">
        <f>SUM(Z6:Z36)</f>
        <v>20530</v>
      </c>
      <c r="AA37" s="17">
        <f>SUM(AA6:AA36)</f>
        <v>132829.09999999998</v>
      </c>
      <c r="AD37" s="17">
        <f>SUM(AD6:AD36)</f>
        <v>891775.40000000037</v>
      </c>
      <c r="AE37" s="16">
        <f>AD37*0.334569</f>
        <v>298360.40380260011</v>
      </c>
      <c r="AF37" s="16">
        <f>SUM(AF6:AF36)</f>
        <v>1508.6999999999971</v>
      </c>
      <c r="AG37" s="16">
        <f>SUM(AG6:AG36)</f>
        <v>1014.0999999999985</v>
      </c>
      <c r="AH37" s="16">
        <f>SUM(AH6:AH36)</f>
        <v>449.39999999999782</v>
      </c>
      <c r="AK37" s="42">
        <f>SUM(AK6:AK36)</f>
        <v>1038.5999999999985</v>
      </c>
      <c r="AL37" s="42">
        <f>SUM(AL6:AL36)</f>
        <v>295320.85834307357</v>
      </c>
      <c r="AM37" s="42">
        <f>SUM(AM6:AM36)</f>
        <v>98104.112537277353</v>
      </c>
      <c r="AN37" s="42">
        <f>SUM(AN6:AN36)</f>
        <v>3916</v>
      </c>
      <c r="AO37" s="42">
        <f>SUM(AO6:AO36)</f>
        <v>675804.66388300015</v>
      </c>
    </row>
    <row r="38" spans="1:41" x14ac:dyDescent="0.25">
      <c r="D38" s="6" t="e">
        <f>#REF!*24</f>
        <v>#REF!</v>
      </c>
      <c r="E38" s="6" t="s">
        <v>1</v>
      </c>
      <c r="R38" s="16">
        <v>7.84</v>
      </c>
      <c r="T38" s="16" t="s">
        <v>99</v>
      </c>
      <c r="U38" s="16">
        <f>U37-R39</f>
        <v>19286.337279999996</v>
      </c>
    </row>
    <row r="39" spans="1:41" x14ac:dyDescent="0.25">
      <c r="D39" s="6" t="e">
        <f>D38*31</f>
        <v>#REF!</v>
      </c>
      <c r="E39" s="6" t="s">
        <v>2</v>
      </c>
      <c r="F39" s="6" t="s">
        <v>94</v>
      </c>
      <c r="G39" s="6" t="e">
        <f>D39*0.2</f>
        <v>#REF!</v>
      </c>
      <c r="R39" s="16">
        <f>R37*R38</f>
        <v>17807.697600000018</v>
      </c>
      <c r="U39" s="16">
        <f>U38/R38</f>
        <v>2459.9919999999997</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2021-11-02T04:47:48Z</dcterms:modified>
</cp:coreProperties>
</file>