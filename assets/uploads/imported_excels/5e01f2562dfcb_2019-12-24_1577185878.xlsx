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5" i="3" l="1"/>
  <c r="K25" i="3"/>
  <c r="I25" i="3"/>
  <c r="G25" i="3"/>
  <c r="E25" i="3"/>
  <c r="J25" i="2"/>
  <c r="I25" i="2"/>
  <c r="H25" i="2"/>
  <c r="F25" i="2"/>
  <c r="E25" i="2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<sst xmlns="http://schemas.openxmlformats.org/spreadsheetml/2006/main" count="106" uniqueCount="37">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</sst>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4" workbookViewId="0">
      <selection activeCell="F28" sqref="F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9283</v>
      </c>
      <c r="F17" s="25">
        <v>0.11799999999999999</v>
      </c>
      <c r="G17" s="27">
        <f>(('12 - 2019'!E22-'12 - 2019'!E21)+('12 - 2019'!F22-'12 - 2019'!F21)+('12 - 2019'!G22-'12 - 2019'!G21))*1.81</f>
        <v>96.364399999997957</v>
      </c>
      <c r="H17" s="25">
        <v>0.99</v>
      </c>
      <c r="I17" s="27">
        <f>'12 - 2019'!J22-'12 - 2019'!J21</f>
        <v>11486</v>
      </c>
      <c r="J17" s="25">
        <v>8.1000000000000003E-2</v>
      </c>
      <c r="K17" s="27">
        <f>'12 - 2019'!H22-'12 - 2019'!H21</f>
        <v>0</v>
      </c>
      <c r="L17" s="27">
        <f>'12 - 2019'!I22-'12 - 2019'!I21</f>
        <v>77</v>
      </c>
      <c r="M17" s="26">
        <v>4.393629424766913</v>
      </c>
      <c r="N17" s="27">
        <v>66</v>
      </c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9801</v>
      </c>
      <c r="F18" s="25">
        <v>0.11799999999999999</v>
      </c>
      <c r="G18" s="27">
        <f>(('12 - 2019'!E23-'12 - 2019'!E22)+('12 - 2019'!F23-'12 - 2019'!F22)+('12 - 2019'!G23-'12 - 2019'!G22))*1.81</f>
        <v>126.7</v>
      </c>
      <c r="H18" s="25">
        <v>0.99</v>
      </c>
      <c r="I18" s="27">
        <f>'12 - 2019'!J23-'12 - 2019'!J22</f>
        <v>16074</v>
      </c>
      <c r="J18" s="25">
        <v>8.1000000000000003E-2</v>
      </c>
      <c r="K18" s="27">
        <f>'12 - 2019'!H23-'12 - 2019'!H22</f>
        <v>0</v>
      </c>
      <c r="L18" s="27">
        <f>'12 - 2019'!I23-'12 - 2019'!I22</f>
        <v>106</v>
      </c>
      <c r="M18" s="26">
        <v>4.393629424766913</v>
      </c>
      <c r="N18" s="27">
        <v>73</v>
      </c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10068</v>
      </c>
      <c r="F19" s="25">
        <v>0.11799999999999999</v>
      </c>
      <c r="G19" s="27">
        <f>(('12 - 2019'!E24-'12 - 2019'!E23)+('12 - 2019'!F24-'12 - 2019'!F23)+('12 - 2019'!G24-'12 - 2019'!G23))*1.81</f>
        <v>128.51</v>
      </c>
      <c r="H19" s="25">
        <v>0.99</v>
      </c>
      <c r="I19" s="27">
        <f>'12 - 2019'!J24-'12 - 2019'!J23</f>
        <v>17199</v>
      </c>
      <c r="J19" s="25">
        <v>8.1000000000000003E-2</v>
      </c>
      <c r="K19" s="27">
        <f>'12 - 2019'!H24-'12 - 2019'!H23</f>
        <v>0</v>
      </c>
      <c r="L19" s="27">
        <f>'12 - 2019'!I24-'12 - 2019'!I23</f>
        <v>101</v>
      </c>
      <c r="M19" s="26">
        <v>4.393629424766913</v>
      </c>
      <c r="N19" s="27">
        <v>92</v>
      </c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11035</v>
      </c>
      <c r="F20" s="25">
        <v>0.11799999999999999</v>
      </c>
      <c r="G20" s="27">
        <f>(('12 - 2019'!E25-'12 - 2019'!E24)+('12 - 2019'!F25-'12 - 2019'!F24)+('12 - 2019'!G25-'12 - 2019'!G24))*1.81</f>
        <v>129.63219999999939</v>
      </c>
      <c r="H20" s="25">
        <v>0.99</v>
      </c>
      <c r="I20" s="27">
        <f>'12 - 2019'!J25-'12 - 2019'!J24</f>
        <v>19690</v>
      </c>
      <c r="J20" s="25">
        <v>8.1000000000000003E-2</v>
      </c>
      <c r="K20" s="27">
        <f>'12 - 2019'!H25-'12 - 2019'!H24</f>
        <v>0</v>
      </c>
      <c r="L20" s="27">
        <f>'12 - 2019'!I25-'12 - 2019'!I24</f>
        <v>117</v>
      </c>
      <c r="M20" s="26">
        <v>4.393629424766913</v>
      </c>
      <c r="N20" s="27">
        <v>87</v>
      </c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9622</v>
      </c>
      <c r="F21" s="25">
        <v>0.11799999999999999</v>
      </c>
      <c r="G21" s="27">
        <f>(('12 - 2019'!E26-'12 - 2019'!E25)+('12 - 2019'!F26-'12 - 2019'!F25)+('12 - 2019'!G26-'12 - 2019'!G25))*1.81</f>
        <v>143.82260000000008</v>
      </c>
      <c r="H21" s="25">
        <v>0.99</v>
      </c>
      <c r="I21" s="27">
        <f>'12 - 2019'!J26-'12 - 2019'!J25</f>
        <v>14817</v>
      </c>
      <c r="J21" s="25">
        <v>8.1000000000000003E-2</v>
      </c>
      <c r="K21" s="27">
        <f>'12 - 2019'!H26-'12 - 2019'!H25</f>
        <v>0</v>
      </c>
      <c r="L21" s="27">
        <f>'12 - 2019'!I26-'12 - 2019'!I25</f>
        <v>118</v>
      </c>
      <c r="M21" s="26">
        <v>4.393629424766913</v>
      </c>
      <c r="N21" s="6">
        <v>84</v>
      </c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9987</v>
      </c>
      <c r="F22" s="25">
        <v>0.11799999999999999</v>
      </c>
      <c r="G22" s="27">
        <f>(('12 - 2019'!E27-'12 - 2019'!E26)+('12 - 2019'!F27-'12 - 2019'!F26)+('12 - 2019'!G27-'12 - 2019'!G26))*1.81</f>
        <v>133.34270000000177</v>
      </c>
      <c r="H22" s="25">
        <v>0.99</v>
      </c>
      <c r="I22" s="27">
        <f>'12 - 2019'!J27-'12 - 2019'!J26</f>
        <v>12479</v>
      </c>
      <c r="J22" s="25">
        <v>8.1000000000000003E-2</v>
      </c>
      <c r="K22" s="27">
        <f>'12 - 2019'!H27-'12 - 2019'!H26</f>
        <v>0</v>
      </c>
      <c r="L22" s="27">
        <f>'12 - 2019'!I27-'12 - 2019'!I26</f>
        <v>110</v>
      </c>
      <c r="M22" s="26">
        <v>4.393629424766913</v>
      </c>
      <c r="N22" s="6">
        <v>63</v>
      </c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9713</v>
      </c>
      <c r="F23" s="25">
        <v>0.11799999999999999</v>
      </c>
      <c r="G23" s="27">
        <f>(('12 - 2019'!E28-'12 - 2019'!E27)+('12 - 2019'!F28-'12 - 2019'!F27)+('12 - 2019'!G28-'12 - 2019'!G27))*1.81</f>
        <v>126.26559999999876</v>
      </c>
      <c r="H23" s="25">
        <v>0.99</v>
      </c>
      <c r="I23" s="27">
        <f>'12 - 2019'!J28-'12 - 2019'!J27</f>
        <v>11951</v>
      </c>
      <c r="J23" s="25">
        <v>8.1000000000000003E-2</v>
      </c>
      <c r="K23" s="27">
        <f>'12 - 2019'!H28-'12 - 2019'!H27</f>
        <v>0</v>
      </c>
      <c r="L23" s="27">
        <f>'12 - 2019'!I28-'12 - 2019'!I27</f>
        <v>112</v>
      </c>
      <c r="M23" s="26">
        <v>4.393629424766913</v>
      </c>
      <c r="N23" s="6">
        <v>51</v>
      </c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10141</v>
      </c>
      <c r="F24" s="25">
        <v>0.11799999999999999</v>
      </c>
      <c r="G24" s="27">
        <f>(('12 - 2019'!E29-'12 - 2019'!E28)+('12 - 2019'!F29-'12 - 2019'!F28)+('12 - 2019'!G29-'12 - 2019'!G28))*1.81</f>
        <v>125.48730000000151</v>
      </c>
      <c r="H24" s="25">
        <v>0.99</v>
      </c>
      <c r="I24" s="27">
        <f>'12 - 2019'!J29-'12 - 2019'!J28</f>
        <v>12376</v>
      </c>
      <c r="J24" s="25">
        <v>8.1000000000000003E-2</v>
      </c>
      <c r="K24" s="27">
        <f>'12 - 2019'!H29-'12 - 2019'!H28</f>
        <v>0</v>
      </c>
      <c r="L24" s="27">
        <f>'12 - 2019'!I29-'12 - 2019'!I28</f>
        <v>117</v>
      </c>
      <c r="M24" s="26">
        <v>4.393629424766913</v>
      </c>
      <c r="N24" s="6">
        <v>41</v>
      </c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9902</v>
      </c>
      <c r="F25" s="25">
        <v>0.11799999999999999</v>
      </c>
      <c r="G25" s="27">
        <f>(('12 - 2019'!E30-'12 - 2019'!E29)+('12 - 2019'!F30-'12 - 2019'!F29)+('12 - 2019'!G30-'12 - 2019'!G29))*1.81</f>
        <v>131.33359999999868</v>
      </c>
      <c r="H25" s="25">
        <v>0.99</v>
      </c>
      <c r="I25" s="27">
        <f>'12 - 2019'!J30-'12 - 2019'!J29</f>
        <v>12196</v>
      </c>
      <c r="J25" s="25">
        <v>8.1000000000000003E-2</v>
      </c>
      <c r="K25" s="27">
        <f>'12 - 2019'!H30-'12 - 2019'!H29</f>
        <v>0</v>
      </c>
      <c r="L25" s="27">
        <f>'12 - 2019'!I30-'12 - 2019'!I29</f>
        <v>106</v>
      </c>
      <c r="M25" s="26">
        <v>4.393629424766913</v>
      </c>
      <c r="N25" s="6">
        <v>45</v>
      </c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v>0</v>
      </c>
      <c r="F26" s="25">
        <v>0.11799999999999999</v>
      </c>
      <c r="G26" s="27">
        <v>0</v>
      </c>
      <c r="H26" s="25">
        <v>0.99</v>
      </c>
      <c r="I26" s="27">
        <v>0</v>
      </c>
      <c r="J26" s="25">
        <v>8.1000000000000003E-2</v>
      </c>
      <c r="K26" s="27">
        <v>0</v>
      </c>
      <c r="L26" s="27"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6" sqref="J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3469</v>
      </c>
      <c r="F17" s="27">
        <f>'12 - 2019'!C22-'12 - 2019'!C21</f>
        <v>5814</v>
      </c>
      <c r="G17" s="25">
        <v>0.11799999999999999</v>
      </c>
      <c r="H17" s="27">
        <f>'12 - 2019'!E22-'12 - 2019'!E21</f>
        <v>23.799999999999272</v>
      </c>
      <c r="I17" s="27">
        <f>'12 - 2019'!F22-'12 - 2019'!F21</f>
        <v>3.7100000000000364</v>
      </c>
      <c r="J17" s="27">
        <f>'12 - 2019'!G22-'12 - 2019'!G21</f>
        <v>25.729999999999563</v>
      </c>
      <c r="K17" s="25">
        <v>0.74</v>
      </c>
      <c r="L17" s="27">
        <v>66</v>
      </c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3654</v>
      </c>
      <c r="F18" s="27">
        <f>'12 - 2019'!C23-'12 - 2019'!C22</f>
        <v>6147</v>
      </c>
      <c r="G18" s="25">
        <v>0.11799999999999999</v>
      </c>
      <c r="H18" s="27">
        <f>'12 - 2019'!E23-'12 - 2019'!E22</f>
        <v>26</v>
      </c>
      <c r="I18" s="27">
        <f>'12 - 2019'!F23-'12 - 2019'!F22</f>
        <v>6</v>
      </c>
      <c r="J18" s="27">
        <f>'12 - 2019'!G23-'12 - 2019'!G22</f>
        <v>38</v>
      </c>
      <c r="K18" s="25">
        <v>0.74</v>
      </c>
      <c r="L18" s="27">
        <v>73</v>
      </c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3740</v>
      </c>
      <c r="F19" s="27">
        <f>'12 - 2019'!C24-'12 - 2019'!C23</f>
        <v>6328</v>
      </c>
      <c r="G19" s="25">
        <v>0.11799999999999999</v>
      </c>
      <c r="H19" s="27">
        <f>'12 - 2019'!E24-'12 - 2019'!E23</f>
        <v>27</v>
      </c>
      <c r="I19" s="27">
        <f>'12 - 2019'!F24-'12 - 2019'!F23</f>
        <v>6</v>
      </c>
      <c r="J19" s="27">
        <f>'12 - 2019'!G24-'12 - 2019'!G23</f>
        <v>38</v>
      </c>
      <c r="K19" s="25">
        <v>0.74</v>
      </c>
      <c r="L19" s="6">
        <v>92</v>
      </c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4084</v>
      </c>
      <c r="F20" s="27">
        <f>'12 - 2019'!C25-'12 - 2019'!C24</f>
        <v>6951</v>
      </c>
      <c r="G20" s="25">
        <v>0.11799999999999999</v>
      </c>
      <c r="H20" s="27">
        <f>'12 - 2019'!E25-'12 - 2019'!E24</f>
        <v>25.549999999999272</v>
      </c>
      <c r="I20" s="27">
        <f>'12 - 2019'!F25-'12 - 2019'!F24</f>
        <v>5.2200000000000273</v>
      </c>
      <c r="J20" s="27">
        <f>'12 - 2019'!G25-'12 - 2019'!G24</f>
        <v>40.850000000000364</v>
      </c>
      <c r="K20" s="25">
        <v>0.74</v>
      </c>
      <c r="L20" s="6">
        <v>87</v>
      </c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3790</v>
      </c>
      <c r="F21" s="27">
        <f>'12 - 2019'!C26-'12 - 2019'!C25</f>
        <v>5832</v>
      </c>
      <c r="G21" s="25">
        <v>0.11799999999999999</v>
      </c>
      <c r="H21" s="27">
        <f>'12 - 2019'!E26-'12 - 2019'!E25</f>
        <v>26.540000000000873</v>
      </c>
      <c r="I21" s="27">
        <f>'12 - 2019'!F26-'12 - 2019'!F25</f>
        <v>6.8699999999998909</v>
      </c>
      <c r="J21" s="27">
        <f>'12 - 2019'!G26-'12 - 2019'!G25</f>
        <v>46.049999999999272</v>
      </c>
      <c r="K21" s="25">
        <v>0.74</v>
      </c>
      <c r="L21" s="6">
        <v>84</v>
      </c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3867</v>
      </c>
      <c r="F22" s="27">
        <f>'12 - 2019'!C27-'12 - 2019'!C26</f>
        <v>6120</v>
      </c>
      <c r="G22" s="25">
        <v>0.11799999999999999</v>
      </c>
      <c r="H22" s="27">
        <f>'12 - 2019'!E27-'12 - 2019'!E26</f>
        <v>25.530000000000655</v>
      </c>
      <c r="I22" s="27">
        <f>'12 - 2019'!F27-'12 - 2019'!F26</f>
        <v>6.3800000000001091</v>
      </c>
      <c r="J22" s="27">
        <f>'12 - 2019'!G27-'12 - 2019'!G26</f>
        <v>41.760000000000218</v>
      </c>
      <c r="K22" s="25">
        <v>0.74</v>
      </c>
      <c r="L22" s="27">
        <v>63</v>
      </c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3756</v>
      </c>
      <c r="F23" s="27">
        <f>'12 - 2019'!C28-'12 - 2019'!C27</f>
        <v>5957</v>
      </c>
      <c r="G23" s="25">
        <v>0.11799999999999999</v>
      </c>
      <c r="H23" s="27">
        <f>'12 - 2019'!E28-'12 - 2019'!E27</f>
        <v>25.949999999998909</v>
      </c>
      <c r="I23" s="27">
        <f>'12 - 2019'!F28-'12 - 2019'!F27</f>
        <v>5.1199999999998909</v>
      </c>
      <c r="J23" s="27">
        <f>'12 - 2019'!G28-'12 - 2019'!G27</f>
        <v>38.690000000000509</v>
      </c>
      <c r="K23" s="25">
        <v>0.74</v>
      </c>
      <c r="L23" s="27">
        <v>51</v>
      </c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3995</v>
      </c>
      <c r="F24" s="27">
        <f>'12 - 2019'!C29-'12 - 2019'!C28</f>
        <v>6146</v>
      </c>
      <c r="G24" s="25">
        <v>0.11799999999999999</v>
      </c>
      <c r="H24" s="27">
        <f>'12 - 2019'!E29-'12 - 2019'!E28</f>
        <v>25.700000000000728</v>
      </c>
      <c r="I24" s="27">
        <f>'12 - 2019'!F29-'12 - 2019'!F28</f>
        <v>6.3000000000001819</v>
      </c>
      <c r="J24" s="27">
        <f>'12 - 2019'!G29-'12 - 2019'!G28</f>
        <v>37.329999999999927</v>
      </c>
      <c r="K24" s="25">
        <v>0.74</v>
      </c>
      <c r="L24" s="27">
        <v>41</v>
      </c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3881</v>
      </c>
      <c r="F25" s="27">
        <f>'12 - 2019'!C30-'12 - 2019'!C29</f>
        <v>6021</v>
      </c>
      <c r="G25" s="25">
        <v>0.11799999999999999</v>
      </c>
      <c r="H25" s="27">
        <f>'12 - 2019'!E30-'12 - 2019'!E29</f>
        <v>23.680000000000291</v>
      </c>
      <c r="I25" s="27">
        <f>'12 - 2019'!F30-'12 - 2019'!F29</f>
        <v>5.8399999999999181</v>
      </c>
      <c r="J25" s="27">
        <f>'12 - 2019'!G30-'12 - 2019'!G29</f>
        <v>43.039999999999054</v>
      </c>
      <c r="K25" s="25">
        <v>0.74</v>
      </c>
      <c r="L25" s="6">
        <v>45</v>
      </c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v>0</v>
      </c>
      <c r="F26" s="27">
        <v>0</v>
      </c>
      <c r="G26" s="25">
        <v>0.11799999999999999</v>
      </c>
      <c r="H26" s="27">
        <v>0</v>
      </c>
      <c r="I26" s="27">
        <v>0</v>
      </c>
      <c r="J26" s="27"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C37" sqref="C3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>
        <v>312425</v>
      </c>
      <c r="C22" s="22">
        <v>170517</v>
      </c>
      <c r="D22" s="17">
        <v>0.42</v>
      </c>
      <c r="E22" s="30">
        <v>8368</v>
      </c>
      <c r="F22" s="30">
        <v>1563</v>
      </c>
      <c r="G22" s="18">
        <v>14531</v>
      </c>
      <c r="H22" s="16">
        <v>14528</v>
      </c>
      <c r="I22" s="16">
        <v>81868</v>
      </c>
      <c r="J22" s="16">
        <v>37013542</v>
      </c>
      <c r="K22" s="28"/>
      <c r="L22" s="34"/>
    </row>
    <row r="23" spans="1:16" ht="12.75" customHeight="1" x14ac:dyDescent="0.25">
      <c r="A23" s="49">
        <v>43816</v>
      </c>
      <c r="B23" s="22">
        <v>316079</v>
      </c>
      <c r="C23" s="22">
        <v>176664</v>
      </c>
      <c r="D23" s="17">
        <v>0.37</v>
      </c>
      <c r="E23" s="30">
        <v>8394</v>
      </c>
      <c r="F23" s="30">
        <v>1569</v>
      </c>
      <c r="G23" s="18">
        <v>14569</v>
      </c>
      <c r="H23" s="16">
        <v>14528</v>
      </c>
      <c r="I23" s="16">
        <v>81974</v>
      </c>
      <c r="J23" s="16">
        <v>37029616</v>
      </c>
      <c r="K23" s="19"/>
      <c r="L23" s="35"/>
    </row>
    <row r="24" spans="1:16" ht="12.75" customHeight="1" x14ac:dyDescent="0.25">
      <c r="A24" s="49">
        <v>43817</v>
      </c>
      <c r="B24" s="18">
        <v>319819</v>
      </c>
      <c r="C24" s="18">
        <v>182992</v>
      </c>
      <c r="D24" s="29">
        <v>0.85</v>
      </c>
      <c r="E24" s="30">
        <v>8421</v>
      </c>
      <c r="F24" s="30">
        <v>1575</v>
      </c>
      <c r="G24" s="18">
        <v>14607</v>
      </c>
      <c r="H24" s="16">
        <v>14528</v>
      </c>
      <c r="I24" s="16">
        <v>82075</v>
      </c>
      <c r="J24" s="16">
        <v>37046815</v>
      </c>
      <c r="K24" s="28">
        <v>4000</v>
      </c>
      <c r="L24" s="35"/>
    </row>
    <row r="25" spans="1:16" ht="12.75" customHeight="1" x14ac:dyDescent="0.25">
      <c r="A25" s="49">
        <v>43818</v>
      </c>
      <c r="B25" s="18">
        <v>323903</v>
      </c>
      <c r="C25" s="18">
        <v>189943</v>
      </c>
      <c r="D25" s="29">
        <v>0.78</v>
      </c>
      <c r="E25" s="30">
        <v>8446.5499999999993</v>
      </c>
      <c r="F25" s="30">
        <v>1580.22</v>
      </c>
      <c r="G25" s="18">
        <v>14647.85</v>
      </c>
      <c r="H25" s="16">
        <v>14528</v>
      </c>
      <c r="I25" s="16">
        <v>82192</v>
      </c>
      <c r="J25" s="16">
        <v>37066505</v>
      </c>
      <c r="K25" s="28"/>
      <c r="L25" s="35"/>
    </row>
    <row r="26" spans="1:16" ht="12.75" customHeight="1" x14ac:dyDescent="0.25">
      <c r="A26" s="49">
        <v>43819</v>
      </c>
      <c r="B26" s="16">
        <v>327693</v>
      </c>
      <c r="C26" s="16">
        <v>195775</v>
      </c>
      <c r="D26" s="17">
        <v>0.7</v>
      </c>
      <c r="E26" s="30">
        <v>8473.09</v>
      </c>
      <c r="F26" s="30">
        <v>1587.09</v>
      </c>
      <c r="G26" s="18">
        <v>14693.9</v>
      </c>
      <c r="H26" s="16">
        <v>14528</v>
      </c>
      <c r="I26" s="16">
        <v>82310</v>
      </c>
      <c r="J26" s="16">
        <v>37081322</v>
      </c>
      <c r="K26" s="19"/>
      <c r="L26" s="34"/>
    </row>
    <row r="27" spans="1:16" ht="12.75" customHeight="1" x14ac:dyDescent="0.25">
      <c r="A27" s="49">
        <v>43820</v>
      </c>
      <c r="B27" s="16">
        <v>331560</v>
      </c>
      <c r="C27" s="16">
        <v>201895</v>
      </c>
      <c r="D27" s="17">
        <v>0.64</v>
      </c>
      <c r="E27" s="30">
        <v>8498.6200000000008</v>
      </c>
      <c r="F27" s="30">
        <v>1593.47</v>
      </c>
      <c r="G27" s="18">
        <v>14735.66</v>
      </c>
      <c r="H27" s="16">
        <v>14528</v>
      </c>
      <c r="I27" s="16">
        <v>82420</v>
      </c>
      <c r="J27" s="16">
        <v>37093801</v>
      </c>
      <c r="K27" s="19"/>
      <c r="L27" s="34"/>
    </row>
    <row r="28" spans="1:16" ht="12.75" customHeight="1" x14ac:dyDescent="0.25">
      <c r="A28" s="49">
        <v>43821</v>
      </c>
      <c r="B28" s="16">
        <v>335316</v>
      </c>
      <c r="C28" s="16">
        <v>207852</v>
      </c>
      <c r="D28" s="17">
        <v>0.56000000000000005</v>
      </c>
      <c r="E28" s="30">
        <v>8524.57</v>
      </c>
      <c r="F28" s="30">
        <v>1598.59</v>
      </c>
      <c r="G28" s="18">
        <v>14774.35</v>
      </c>
      <c r="H28" s="16">
        <v>14528</v>
      </c>
      <c r="I28" s="16">
        <v>82532</v>
      </c>
      <c r="J28" s="16">
        <v>37105752</v>
      </c>
      <c r="K28" s="19"/>
      <c r="L28" s="34"/>
      <c r="P28" s="6"/>
    </row>
    <row r="29" spans="1:16" ht="12.75" customHeight="1" x14ac:dyDescent="0.25">
      <c r="A29" s="49">
        <v>43822</v>
      </c>
      <c r="B29" s="16">
        <v>339311</v>
      </c>
      <c r="C29" s="16">
        <v>213998</v>
      </c>
      <c r="D29" s="17">
        <v>0.5</v>
      </c>
      <c r="E29" s="30">
        <v>8550.27</v>
      </c>
      <c r="F29" s="30">
        <v>1604.89</v>
      </c>
      <c r="G29" s="18">
        <v>14811.68</v>
      </c>
      <c r="H29" s="16">
        <v>14528</v>
      </c>
      <c r="I29" s="16">
        <v>82649</v>
      </c>
      <c r="J29" s="16">
        <v>37118128</v>
      </c>
      <c r="K29" s="19"/>
      <c r="L29" s="34"/>
      <c r="P29" s="6"/>
    </row>
    <row r="30" spans="1:16" ht="12.75" customHeight="1" x14ac:dyDescent="0.25">
      <c r="A30" s="49">
        <v>43823</v>
      </c>
      <c r="B30" s="16">
        <v>343192</v>
      </c>
      <c r="C30" s="16">
        <v>220019</v>
      </c>
      <c r="D30" s="17">
        <v>0.44</v>
      </c>
      <c r="E30" s="30">
        <v>8573.9500000000007</v>
      </c>
      <c r="F30" s="30">
        <v>1610.73</v>
      </c>
      <c r="G30" s="18">
        <v>14854.72</v>
      </c>
      <c r="H30" s="16">
        <v>14528</v>
      </c>
      <c r="I30" s="16">
        <v>82755</v>
      </c>
      <c r="J30" s="16">
        <v>37130324</v>
      </c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8200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2019-12-24T11:09:44Z</dcterms:modified>
</cp:coreProperties>
</file>