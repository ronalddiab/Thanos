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<sst xmlns="http://schemas.openxmlformats.org/spreadsheetml/2006/main" count="129" uniqueCount="50">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</sst>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27270</v>
      </c>
      <c r="F2" s="11">
        <v>5.0000000000000001E-3</v>
      </c>
      <c r="G2" s="12">
        <f>Submetering!R2</f>
        <v>0</v>
      </c>
      <c r="H2" s="11">
        <v>0.52800000000000002</v>
      </c>
      <c r="I2" s="12">
        <f>Hotel!B7</f>
        <v>35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65910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81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59830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163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62260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241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65950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248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66360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230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64120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132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61790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86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58980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99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61170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97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62314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153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65696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168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72390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176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67250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115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67150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133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67320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153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64550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139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67150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149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68200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196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69660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201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70320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197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72060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231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5</v>
      </c>
      <c r="D2" s="11">
        <v>2022</v>
      </c>
      <c r="E2" s="4">
        <f>Hotel!Q7</f>
        <v>6170</v>
      </c>
      <c r="F2" s="4" t="str">
        <f>Hotel!R7</f>
        <v>0</v>
      </c>
      <c r="G2" s="4">
        <f>Hotel!S7</f>
        <v>0</v>
      </c>
      <c r="H2" s="4">
        <f>Hotel!T7</f>
        <v>680</v>
      </c>
      <c r="I2" s="4">
        <f>Hotel!U7</f>
        <v>2060</v>
      </c>
      <c r="J2" s="4">
        <f>Hotel!V7</f>
        <v>2070</v>
      </c>
      <c r="K2" s="4">
        <f>Hotel!W7</f>
        <v>1890</v>
      </c>
      <c r="L2" s="4">
        <f>Hotel!X7</f>
        <v>2140</v>
      </c>
      <c r="M2" s="4">
        <f>Hotel!Y7</f>
        <v>1700</v>
      </c>
      <c r="N2" s="4">
        <f>Hotel!Z7</f>
        <v>1140</v>
      </c>
      <c r="O2" s="4">
        <f>Hotel!AA7</f>
        <v>1180</v>
      </c>
      <c r="P2" s="4">
        <f>Hotel!AB7</f>
        <v>3360</v>
      </c>
      <c r="Q2" s="4">
        <f>Hotel!AC7</f>
        <v>4880</v>
      </c>
      <c r="R2" s="4">
        <f>Hotel!AV7*0.00378541*100</f>
        <v>0</v>
      </c>
      <c r="S2" s="4">
        <f>Hotel!B7</f>
        <v>35</v>
      </c>
    </row>
    <row r="3" spans="1:19" x14ac:dyDescent="0.25">
      <c r="A3" s="21" t="s">
        <v>31</v>
      </c>
      <c r="B3" s="2">
        <f>B2+1</f>
        <v>2</v>
      </c>
      <c r="C3" s="3">
        <v>5</v>
      </c>
      <c r="D3" s="11">
        <v>2022</v>
      </c>
      <c r="E3" s="4">
        <f>Hotel!Q8</f>
        <v>12130</v>
      </c>
      <c r="F3" s="4">
        <f>Hotel!R8</f>
        <v>10820</v>
      </c>
      <c r="G3" s="4">
        <f>Hotel!S8</f>
        <v>0</v>
      </c>
      <c r="H3" s="4">
        <f>Hotel!T8</f>
        <v>1470</v>
      </c>
      <c r="I3" s="4">
        <f>Hotel!U8</f>
        <v>4340</v>
      </c>
      <c r="J3" s="4">
        <f>Hotel!V8</f>
        <v>3910</v>
      </c>
      <c r="K3" s="4">
        <f>Hotel!W8</f>
        <v>2920</v>
      </c>
      <c r="L3" s="4">
        <f>Hotel!X8</f>
        <v>4430</v>
      </c>
      <c r="M3" s="4">
        <f>Hotel!Y8</f>
        <v>3730</v>
      </c>
      <c r="N3" s="4">
        <f>Hotel!Z8</f>
        <v>2510</v>
      </c>
      <c r="O3" s="4">
        <f>Hotel!AA8</f>
        <v>2600</v>
      </c>
      <c r="P3" s="4">
        <f>Hotel!AB8</f>
        <v>6880</v>
      </c>
      <c r="Q3" s="4">
        <f>Hotel!AC8</f>
        <v>10170</v>
      </c>
      <c r="R3" s="4">
        <f>Hotel!AV8*0.00378541*100</f>
        <v>0</v>
      </c>
      <c r="S3" s="4">
        <f>Hotel!B8</f>
        <v>81</v>
      </c>
    </row>
    <row r="4" spans="1:19" x14ac:dyDescent="0.25">
      <c r="A4" s="21" t="s">
        <v>31</v>
      </c>
      <c r="B4" s="2">
        <f t="shared" ref="B4:B29" si="0">B3+1</f>
        <v>3</v>
      </c>
      <c r="C4" s="3">
        <v>5</v>
      </c>
      <c r="D4" s="11">
        <v>2022</v>
      </c>
      <c r="E4" s="4">
        <f>Hotel!Q9</f>
        <v>12700</v>
      </c>
      <c r="F4" s="4">
        <f>Hotel!R9</f>
        <v>1890</v>
      </c>
      <c r="G4" s="4">
        <f>Hotel!S9</f>
        <v>0</v>
      </c>
      <c r="H4" s="4">
        <f>Hotel!T9</f>
        <v>1510</v>
      </c>
      <c r="I4" s="4">
        <f>Hotel!U9</f>
        <v>4710</v>
      </c>
      <c r="J4" s="4">
        <f>Hotel!V9</f>
        <v>4120</v>
      </c>
      <c r="K4" s="4">
        <f>Hotel!W9</f>
        <v>2820</v>
      </c>
      <c r="L4" s="4">
        <f>Hotel!X9</f>
        <v>4660</v>
      </c>
      <c r="M4" s="4">
        <f>Hotel!Y9</f>
        <v>4050</v>
      </c>
      <c r="N4" s="4">
        <f>Hotel!Z9</f>
        <v>2770</v>
      </c>
      <c r="O4" s="4">
        <f>Hotel!AA9</f>
        <v>3230</v>
      </c>
      <c r="P4" s="4">
        <f>Hotel!AB9</f>
        <v>7320</v>
      </c>
      <c r="Q4" s="4">
        <f>Hotel!AC9</f>
        <v>10050</v>
      </c>
      <c r="R4" s="4">
        <f>Hotel!AV9*0.00378541*100</f>
        <v>0</v>
      </c>
      <c r="S4" s="4">
        <f>Hotel!B9</f>
        <v>163</v>
      </c>
    </row>
    <row r="5" spans="1:19" x14ac:dyDescent="0.25">
      <c r="A5" s="21" t="s">
        <v>31</v>
      </c>
      <c r="B5" s="2">
        <f t="shared" si="0"/>
        <v>4</v>
      </c>
      <c r="C5" s="3">
        <v>5</v>
      </c>
      <c r="D5" s="11">
        <v>2022</v>
      </c>
      <c r="E5" s="4">
        <f>Hotel!Q10</f>
        <v>13500</v>
      </c>
      <c r="F5" s="4">
        <f>Hotel!R10</f>
        <v>1860</v>
      </c>
      <c r="G5" s="4">
        <f>Hotel!S10</f>
        <v>60</v>
      </c>
      <c r="H5" s="4">
        <f>Hotel!T10</f>
        <v>1520</v>
      </c>
      <c r="I5" s="4">
        <f>Hotel!U10</f>
        <v>4970</v>
      </c>
      <c r="J5" s="4">
        <f>Hotel!V10</f>
        <v>4250</v>
      </c>
      <c r="K5" s="4">
        <f>Hotel!W10</f>
        <v>3020</v>
      </c>
      <c r="L5" s="4">
        <f>Hotel!X10</f>
        <v>4760</v>
      </c>
      <c r="M5" s="4">
        <f>Hotel!Y10</f>
        <v>4660</v>
      </c>
      <c r="N5" s="4">
        <f>Hotel!Z10</f>
        <v>2940</v>
      </c>
      <c r="O5" s="4">
        <f>Hotel!AA10</f>
        <v>3510</v>
      </c>
      <c r="P5" s="4">
        <f>Hotel!AB10</f>
        <v>7200</v>
      </c>
      <c r="Q5" s="4">
        <f>Hotel!AC10</f>
        <v>10010</v>
      </c>
      <c r="R5" s="4">
        <f>Hotel!AV10*0.00378541*100</f>
        <v>0</v>
      </c>
      <c r="S5" s="4">
        <f>Hotel!B10</f>
        <v>241</v>
      </c>
    </row>
    <row r="6" spans="1:19" x14ac:dyDescent="0.25">
      <c r="A6" s="21" t="s">
        <v>31</v>
      </c>
      <c r="B6" s="2">
        <f t="shared" si="0"/>
        <v>5</v>
      </c>
      <c r="C6" s="3">
        <v>5</v>
      </c>
      <c r="D6" s="11">
        <v>2022</v>
      </c>
      <c r="E6" s="4">
        <f>Hotel!Q11</f>
        <v>11270</v>
      </c>
      <c r="F6" s="4">
        <f>Hotel!R11</f>
        <v>3170</v>
      </c>
      <c r="G6" s="4">
        <f>Hotel!S11</f>
        <v>2330</v>
      </c>
      <c r="H6" s="4">
        <f>Hotel!T11</f>
        <v>1600</v>
      </c>
      <c r="I6" s="4">
        <f>Hotel!U11</f>
        <v>5300</v>
      </c>
      <c r="J6" s="4">
        <f>Hotel!V11</f>
        <v>4210</v>
      </c>
      <c r="K6" s="4">
        <f>Hotel!W11</f>
        <v>3490</v>
      </c>
      <c r="L6" s="4">
        <f>Hotel!X11</f>
        <v>4440</v>
      </c>
      <c r="M6" s="4">
        <f>Hotel!Y11</f>
        <v>5850</v>
      </c>
      <c r="N6" s="4">
        <f>Hotel!Z11</f>
        <v>3000</v>
      </c>
      <c r="O6" s="4">
        <f>Hotel!AA11</f>
        <v>3710</v>
      </c>
      <c r="P6" s="4">
        <f>Hotel!AB11</f>
        <v>6940</v>
      </c>
      <c r="Q6" s="4">
        <f>Hotel!AC11</f>
        <v>10640</v>
      </c>
      <c r="R6" s="4">
        <f>Hotel!AV11*0.00378541*100</f>
        <v>0</v>
      </c>
      <c r="S6" s="4">
        <f>Hotel!B11</f>
        <v>248</v>
      </c>
    </row>
    <row r="7" spans="1:19" x14ac:dyDescent="0.25">
      <c r="A7" s="21" t="s">
        <v>31</v>
      </c>
      <c r="B7" s="2">
        <f t="shared" si="0"/>
        <v>6</v>
      </c>
      <c r="C7" s="3">
        <v>5</v>
      </c>
      <c r="D7" s="11">
        <v>2022</v>
      </c>
      <c r="E7" s="4">
        <f>Hotel!Q12</f>
        <v>9540</v>
      </c>
      <c r="F7" s="4">
        <f>Hotel!R12</f>
        <v>3780</v>
      </c>
      <c r="G7" s="4">
        <f>Hotel!S12</f>
        <v>3090</v>
      </c>
      <c r="H7" s="4">
        <f>Hotel!T12</f>
        <v>1590</v>
      </c>
      <c r="I7" s="4">
        <f>Hotel!U12</f>
        <v>5250</v>
      </c>
      <c r="J7" s="4">
        <f>Hotel!V12</f>
        <v>4440</v>
      </c>
      <c r="K7" s="4">
        <f>Hotel!W12</f>
        <v>3850</v>
      </c>
      <c r="L7" s="4">
        <f>Hotel!X12</f>
        <v>4480</v>
      </c>
      <c r="M7" s="4">
        <f>Hotel!Y12</f>
        <v>5260</v>
      </c>
      <c r="N7" s="4">
        <f>Hotel!Z12</f>
        <v>3050</v>
      </c>
      <c r="O7" s="4">
        <f>Hotel!AA12</f>
        <v>3830</v>
      </c>
      <c r="P7" s="4">
        <f>Hotel!AB12</f>
        <v>7310</v>
      </c>
      <c r="Q7" s="4">
        <f>Hotel!AC12</f>
        <v>10890</v>
      </c>
      <c r="R7" s="4">
        <f>Hotel!AV12*0.00378541*100</f>
        <v>0</v>
      </c>
      <c r="S7" s="4">
        <f>Hotel!B12</f>
        <v>230</v>
      </c>
    </row>
    <row r="8" spans="1:19" x14ac:dyDescent="0.25">
      <c r="A8" s="21" t="s">
        <v>31</v>
      </c>
      <c r="B8" s="2">
        <f t="shared" si="0"/>
        <v>7</v>
      </c>
      <c r="C8" s="3">
        <v>5</v>
      </c>
      <c r="D8" s="11">
        <v>2022</v>
      </c>
      <c r="E8" s="4">
        <f>Hotel!Q13</f>
        <v>9240</v>
      </c>
      <c r="F8" s="4">
        <f>Hotel!R13</f>
        <v>3730</v>
      </c>
      <c r="G8" s="4">
        <f>Hotel!S13</f>
        <v>2980</v>
      </c>
      <c r="H8" s="4">
        <f>Hotel!T13</f>
        <v>1630</v>
      </c>
      <c r="I8" s="4">
        <f>Hotel!U13</f>
        <v>4950</v>
      </c>
      <c r="J8" s="4">
        <f>Hotel!V13</f>
        <v>4230</v>
      </c>
      <c r="K8" s="4">
        <f>Hotel!W13</f>
        <v>3330</v>
      </c>
      <c r="L8" s="4">
        <f>Hotel!X13</f>
        <v>4170</v>
      </c>
      <c r="M8" s="4">
        <f>Hotel!Y13</f>
        <v>5620</v>
      </c>
      <c r="N8" s="4">
        <f>Hotel!Z13</f>
        <v>2830</v>
      </c>
      <c r="O8" s="4">
        <f>Hotel!AA13</f>
        <v>3520</v>
      </c>
      <c r="P8" s="4">
        <f>Hotel!AB13</f>
        <v>7310</v>
      </c>
      <c r="Q8" s="4">
        <f>Hotel!AC13</f>
        <v>10580</v>
      </c>
      <c r="R8" s="4">
        <f>Hotel!AV13*0.00378541*100</f>
        <v>0</v>
      </c>
      <c r="S8" s="4">
        <f>Hotel!B13</f>
        <v>132</v>
      </c>
    </row>
    <row r="9" spans="1:19" x14ac:dyDescent="0.25">
      <c r="A9" s="21" t="s">
        <v>31</v>
      </c>
      <c r="B9" s="2">
        <f t="shared" si="0"/>
        <v>8</v>
      </c>
      <c r="C9" s="3">
        <v>5</v>
      </c>
      <c r="D9" s="11">
        <v>2022</v>
      </c>
      <c r="E9" s="4">
        <f>Hotel!Q14</f>
        <v>3780</v>
      </c>
      <c r="F9" s="4">
        <f>Hotel!R14</f>
        <v>9300</v>
      </c>
      <c r="G9" s="4">
        <f>Hotel!S14</f>
        <v>1370</v>
      </c>
      <c r="H9" s="4">
        <f>Hotel!T14</f>
        <v>1660</v>
      </c>
      <c r="I9" s="4">
        <f>Hotel!U14</f>
        <v>4670</v>
      </c>
      <c r="J9" s="4">
        <f>Hotel!V14</f>
        <v>4030</v>
      </c>
      <c r="K9" s="4">
        <f>Hotel!W14</f>
        <v>3030</v>
      </c>
      <c r="L9" s="4">
        <f>Hotel!X14</f>
        <v>3940</v>
      </c>
      <c r="M9" s="4">
        <f>Hotel!Y14</f>
        <v>5410</v>
      </c>
      <c r="N9" s="4">
        <f>Hotel!Z14</f>
        <v>2560</v>
      </c>
      <c r="O9" s="4">
        <f>Hotel!AA14</f>
        <v>3260</v>
      </c>
      <c r="P9" s="4">
        <f>Hotel!AB14</f>
        <v>7490</v>
      </c>
      <c r="Q9" s="4">
        <f>Hotel!AC14</f>
        <v>11290</v>
      </c>
      <c r="R9" s="4">
        <f>Hotel!AV14*0.00378541*100</f>
        <v>0</v>
      </c>
      <c r="S9" s="4">
        <f>Hotel!B14</f>
        <v>86</v>
      </c>
    </row>
    <row r="10" spans="1:19" x14ac:dyDescent="0.25">
      <c r="A10" s="21" t="s">
        <v>31</v>
      </c>
      <c r="B10" s="2">
        <f t="shared" si="0"/>
        <v>9</v>
      </c>
      <c r="C10" s="3">
        <v>5</v>
      </c>
      <c r="D10" s="11">
        <v>2022</v>
      </c>
      <c r="E10" s="4">
        <f>Hotel!Q15</f>
        <v>510</v>
      </c>
      <c r="F10" s="4">
        <f>Hotel!R15</f>
        <v>13020</v>
      </c>
      <c r="G10" s="4">
        <f>Hotel!S15</f>
        <v>80</v>
      </c>
      <c r="H10" s="4">
        <f>Hotel!T15</f>
        <v>1610</v>
      </c>
      <c r="I10" s="4">
        <f>Hotel!U15</f>
        <v>4370</v>
      </c>
      <c r="J10" s="4">
        <f>Hotel!V15</f>
        <v>3950</v>
      </c>
      <c r="K10" s="4">
        <f>Hotel!W15</f>
        <v>3120</v>
      </c>
      <c r="L10" s="4">
        <f>Hotel!X15</f>
        <v>4070</v>
      </c>
      <c r="M10" s="4">
        <f>Hotel!Y15</f>
        <v>5140</v>
      </c>
      <c r="N10" s="4">
        <f>Hotel!Z15</f>
        <v>2510</v>
      </c>
      <c r="O10" s="4">
        <f>Hotel!AA15</f>
        <v>3020</v>
      </c>
      <c r="P10" s="4">
        <f>Hotel!AB15</f>
        <v>7090</v>
      </c>
      <c r="Q10" s="4">
        <f>Hotel!AC15</f>
        <v>10490</v>
      </c>
      <c r="R10" s="4">
        <f>Hotel!AV15*0.00378541*100</f>
        <v>0</v>
      </c>
      <c r="S10" s="4">
        <f>Hotel!B15</f>
        <v>99</v>
      </c>
    </row>
    <row r="11" spans="1:19" x14ac:dyDescent="0.25">
      <c r="A11" s="21" t="s">
        <v>31</v>
      </c>
      <c r="B11" s="2">
        <f t="shared" si="0"/>
        <v>10</v>
      </c>
      <c r="C11" s="3">
        <v>5</v>
      </c>
      <c r="D11" s="11">
        <v>2022</v>
      </c>
      <c r="E11" s="4">
        <f>Hotel!Q16</f>
        <v>510</v>
      </c>
      <c r="F11" s="4">
        <f>Hotel!R16</f>
        <v>13840</v>
      </c>
      <c r="G11" s="4">
        <f>Hotel!S16</f>
        <v>80</v>
      </c>
      <c r="H11" s="4">
        <f>Hotel!T16</f>
        <v>1630</v>
      </c>
      <c r="I11" s="4">
        <f>Hotel!U16</f>
        <v>4510</v>
      </c>
      <c r="J11" s="4">
        <f>Hotel!V16</f>
        <v>3890</v>
      </c>
      <c r="K11" s="4">
        <f>Hotel!W16</f>
        <v>3300</v>
      </c>
      <c r="L11" s="4">
        <f>Hotel!X16</f>
        <v>4110</v>
      </c>
      <c r="M11" s="4">
        <f>Hotel!Y16</f>
        <v>5360</v>
      </c>
      <c r="N11" s="4">
        <f>Hotel!Z16</f>
        <v>2610</v>
      </c>
      <c r="O11" s="4">
        <f>Hotel!AA16</f>
        <v>2910</v>
      </c>
      <c r="P11" s="4">
        <f>Hotel!AB16</f>
        <v>7470</v>
      </c>
      <c r="Q11" s="4">
        <f>Hotel!AC16</f>
        <v>10950</v>
      </c>
      <c r="R11" s="4">
        <f>Hotel!AV16*0.00378541*100</f>
        <v>0</v>
      </c>
      <c r="S11" s="4">
        <f>Hotel!B16</f>
        <v>97</v>
      </c>
    </row>
    <row r="12" spans="1:19" x14ac:dyDescent="0.25">
      <c r="A12" s="21" t="s">
        <v>31</v>
      </c>
      <c r="B12" s="2">
        <f t="shared" si="0"/>
        <v>11</v>
      </c>
      <c r="C12" s="3">
        <v>5</v>
      </c>
      <c r="D12" s="11">
        <v>2022</v>
      </c>
      <c r="E12" s="4">
        <f>Hotel!Q17</f>
        <v>1860</v>
      </c>
      <c r="F12" s="4">
        <f>Hotel!R17</f>
        <v>14320</v>
      </c>
      <c r="G12" s="4">
        <f>Hotel!S17</f>
        <v>100</v>
      </c>
      <c r="H12" s="4">
        <f>Hotel!T17</f>
        <v>1600</v>
      </c>
      <c r="I12" s="4">
        <f>Hotel!U17</f>
        <v>4200</v>
      </c>
      <c r="J12" s="4">
        <f>Hotel!V17</f>
        <v>4020</v>
      </c>
      <c r="K12" s="4">
        <f>Hotel!W17</f>
        <v>3300</v>
      </c>
      <c r="L12" s="4">
        <f>Hotel!X17</f>
        <v>4010</v>
      </c>
      <c r="M12" s="4">
        <f>Hotel!Y17</f>
        <v>5280</v>
      </c>
      <c r="N12" s="4">
        <f>Hotel!Z17</f>
        <v>2680</v>
      </c>
      <c r="O12" s="4">
        <f>Hotel!AA17</f>
        <v>2870</v>
      </c>
      <c r="P12" s="4">
        <f>Hotel!AB17</f>
        <v>7280</v>
      </c>
      <c r="Q12" s="4">
        <f>Hotel!AC17</f>
        <v>10794</v>
      </c>
      <c r="R12" s="4">
        <f>Hotel!AV17*0.00378541*100</f>
        <v>0</v>
      </c>
      <c r="S12" s="4">
        <f>Hotel!B17</f>
        <v>153</v>
      </c>
    </row>
    <row r="13" spans="1:19" x14ac:dyDescent="0.25">
      <c r="A13" s="21" t="s">
        <v>31</v>
      </c>
      <c r="B13" s="2">
        <f t="shared" si="0"/>
        <v>12</v>
      </c>
      <c r="C13" s="3">
        <v>5</v>
      </c>
      <c r="D13" s="11">
        <v>2022</v>
      </c>
      <c r="E13" s="4">
        <f>Hotel!Q18</f>
        <v>1990</v>
      </c>
      <c r="F13" s="4">
        <f>Hotel!R18</f>
        <v>16160</v>
      </c>
      <c r="G13" s="4">
        <f>Hotel!S18</f>
        <v>140</v>
      </c>
      <c r="H13" s="4">
        <f>Hotel!T18</f>
        <v>1630</v>
      </c>
      <c r="I13" s="4">
        <f>Hotel!U18</f>
        <v>4610</v>
      </c>
      <c r="J13" s="4">
        <f>Hotel!V18</f>
        <v>4120</v>
      </c>
      <c r="K13" s="4">
        <f>Hotel!W18</f>
        <v>3560</v>
      </c>
      <c r="L13" s="4">
        <f>Hotel!X18</f>
        <v>4310</v>
      </c>
      <c r="M13" s="4">
        <f>Hotel!Y18</f>
        <v>5560</v>
      </c>
      <c r="N13" s="4">
        <f>Hotel!Z18</f>
        <v>2830</v>
      </c>
      <c r="O13" s="4">
        <f>Hotel!AA18</f>
        <v>3300</v>
      </c>
      <c r="P13" s="4">
        <f>Hotel!AB18</f>
        <v>7650</v>
      </c>
      <c r="Q13" s="4">
        <f>Hotel!AC18</f>
        <v>9836</v>
      </c>
      <c r="R13" s="4">
        <f>Hotel!AV18*0.00378541*100</f>
        <v>0</v>
      </c>
      <c r="S13" s="4">
        <f>Hotel!B18</f>
        <v>168</v>
      </c>
    </row>
    <row r="14" spans="1:19" x14ac:dyDescent="0.25">
      <c r="A14" s="21" t="s">
        <v>31</v>
      </c>
      <c r="B14" s="2">
        <f t="shared" si="0"/>
        <v>13</v>
      </c>
      <c r="C14" s="3">
        <v>5</v>
      </c>
      <c r="D14" s="11">
        <v>2022</v>
      </c>
      <c r="E14" s="4">
        <f>Hotel!Q19</f>
        <v>9160</v>
      </c>
      <c r="F14" s="4">
        <f>Hotel!R19</f>
        <v>12550</v>
      </c>
      <c r="G14" s="4">
        <f>Hotel!S19</f>
        <v>100</v>
      </c>
      <c r="H14" s="4">
        <f>Hotel!T19</f>
        <v>1630</v>
      </c>
      <c r="I14" s="4">
        <f>Hotel!U19</f>
        <v>4890</v>
      </c>
      <c r="J14" s="4">
        <f>Hotel!V19</f>
        <v>4210</v>
      </c>
      <c r="K14" s="4">
        <f>Hotel!W19</f>
        <v>3420</v>
      </c>
      <c r="L14" s="4">
        <f>Hotel!X19</f>
        <v>4420</v>
      </c>
      <c r="M14" s="4">
        <f>Hotel!Y19</f>
        <v>5650</v>
      </c>
      <c r="N14" s="4">
        <f>Hotel!Z19</f>
        <v>3010</v>
      </c>
      <c r="O14" s="4">
        <f>Hotel!AA19</f>
        <v>3460</v>
      </c>
      <c r="P14" s="4">
        <f>Hotel!AB19</f>
        <v>7530</v>
      </c>
      <c r="Q14" s="4">
        <f>Hotel!AC19</f>
        <v>12360</v>
      </c>
      <c r="R14" s="4">
        <f>Hotel!AV19*0.00378541*100</f>
        <v>0</v>
      </c>
      <c r="S14" s="4">
        <f>Hotel!B19</f>
        <v>176</v>
      </c>
    </row>
    <row r="15" spans="1:19" x14ac:dyDescent="0.25">
      <c r="A15" s="21" t="s">
        <v>31</v>
      </c>
      <c r="B15" s="2">
        <f t="shared" si="0"/>
        <v>14</v>
      </c>
      <c r="C15" s="3">
        <v>5</v>
      </c>
      <c r="D15" s="11">
        <v>2022</v>
      </c>
      <c r="E15" s="4">
        <f>Hotel!Q20</f>
        <v>8380</v>
      </c>
      <c r="F15" s="4">
        <f>Hotel!R20</f>
        <v>11600</v>
      </c>
      <c r="G15" s="4">
        <f>Hotel!S20</f>
        <v>110</v>
      </c>
      <c r="H15" s="4">
        <f>Hotel!T20</f>
        <v>1550</v>
      </c>
      <c r="I15" s="4">
        <f>Hotel!U20</f>
        <v>4570</v>
      </c>
      <c r="J15" s="4">
        <f>Hotel!V20</f>
        <v>4100</v>
      </c>
      <c r="K15" s="4">
        <f>Hotel!W20</f>
        <v>2930</v>
      </c>
      <c r="L15" s="4">
        <f>Hotel!X20</f>
        <v>4280</v>
      </c>
      <c r="M15" s="4">
        <f>Hotel!Y20</f>
        <v>4890</v>
      </c>
      <c r="N15" s="4">
        <f>Hotel!Z20</f>
        <v>2670</v>
      </c>
      <c r="O15" s="4">
        <f>Hotel!AA20</f>
        <v>3200</v>
      </c>
      <c r="P15" s="4">
        <f>Hotel!AB20</f>
        <v>7030</v>
      </c>
      <c r="Q15" s="4">
        <f>Hotel!AC20</f>
        <v>11940</v>
      </c>
      <c r="R15" s="4">
        <f>Hotel!AV20*0.00378541*100</f>
        <v>0</v>
      </c>
      <c r="S15" s="4">
        <f>Hotel!B20</f>
        <v>115</v>
      </c>
    </row>
    <row r="16" spans="1:19" x14ac:dyDescent="0.25">
      <c r="A16" s="21" t="s">
        <v>31</v>
      </c>
      <c r="B16" s="2">
        <f t="shared" si="0"/>
        <v>15</v>
      </c>
      <c r="C16" s="3">
        <v>5</v>
      </c>
      <c r="D16" s="11">
        <v>2022</v>
      </c>
      <c r="E16" s="4">
        <f>Hotel!Q21</f>
        <v>8650</v>
      </c>
      <c r="F16" s="4">
        <f>Hotel!R21</f>
        <v>11900</v>
      </c>
      <c r="G16" s="4">
        <f>Hotel!S21</f>
        <v>150</v>
      </c>
      <c r="H16" s="4">
        <f>Hotel!T21</f>
        <v>1590</v>
      </c>
      <c r="I16" s="4">
        <f>Hotel!U21</f>
        <v>4530</v>
      </c>
      <c r="J16" s="4">
        <f>Hotel!V21</f>
        <v>3840</v>
      </c>
      <c r="K16" s="4">
        <f>Hotel!W21</f>
        <v>2740</v>
      </c>
      <c r="L16" s="4">
        <f>Hotel!X21</f>
        <v>4110</v>
      </c>
      <c r="M16" s="4">
        <f>Hotel!Y21</f>
        <v>5110</v>
      </c>
      <c r="N16" s="4">
        <f>Hotel!Z21</f>
        <v>2710</v>
      </c>
      <c r="O16" s="4">
        <f>Hotel!AA21</f>
        <v>3170</v>
      </c>
      <c r="P16" s="4">
        <f>Hotel!AB21</f>
        <v>7350</v>
      </c>
      <c r="Q16" s="4">
        <f>Hotel!AC21</f>
        <v>11300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5</v>
      </c>
      <c r="D17" s="11">
        <v>2022</v>
      </c>
      <c r="E17" s="4">
        <f>Hotel!Q22</f>
        <v>9270</v>
      </c>
      <c r="F17" s="4">
        <f>Hotel!R22</f>
        <v>12550</v>
      </c>
      <c r="G17" s="4">
        <f>Hotel!S22</f>
        <v>130</v>
      </c>
      <c r="H17" s="4">
        <f>Hotel!T22</f>
        <v>1590</v>
      </c>
      <c r="I17" s="4">
        <f>Hotel!U22</f>
        <v>4530</v>
      </c>
      <c r="J17" s="4">
        <f>Hotel!V22</f>
        <v>3810</v>
      </c>
      <c r="K17" s="4">
        <f>Hotel!W22</f>
        <v>2870</v>
      </c>
      <c r="L17" s="4">
        <f>Hotel!X22</f>
        <v>4260</v>
      </c>
      <c r="M17" s="4">
        <f>Hotel!Y22</f>
        <v>4870</v>
      </c>
      <c r="N17" s="4">
        <f>Hotel!Z22</f>
        <v>2780</v>
      </c>
      <c r="O17" s="4">
        <f>Hotel!AA22</f>
        <v>3170</v>
      </c>
      <c r="P17" s="4">
        <f>Hotel!AB22</f>
        <v>7210</v>
      </c>
      <c r="Q17" s="4">
        <f>Hotel!AC22</f>
        <v>10280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5</v>
      </c>
      <c r="D18" s="11">
        <v>2022</v>
      </c>
      <c r="E18" s="4">
        <f>Hotel!Q23</f>
        <v>8580</v>
      </c>
      <c r="F18" s="4">
        <f>Hotel!R23</f>
        <v>11790</v>
      </c>
      <c r="G18" s="4">
        <f>Hotel!S23</f>
        <v>110</v>
      </c>
      <c r="H18" s="4">
        <f>Hotel!T23</f>
        <v>1510</v>
      </c>
      <c r="I18" s="4">
        <f>Hotel!U23</f>
        <v>4430</v>
      </c>
      <c r="J18" s="4">
        <f>Hotel!V23</f>
        <v>3880</v>
      </c>
      <c r="K18" s="4">
        <f>Hotel!W23</f>
        <v>2890</v>
      </c>
      <c r="L18" s="4">
        <f>Hotel!X23</f>
        <v>4180</v>
      </c>
      <c r="M18" s="4">
        <f>Hotel!Y23</f>
        <v>4250</v>
      </c>
      <c r="N18" s="4">
        <f>Hotel!Z23</f>
        <v>2570</v>
      </c>
      <c r="O18" s="4">
        <f>Hotel!AA23</f>
        <v>3100</v>
      </c>
      <c r="P18" s="4">
        <f>Hotel!AB23</f>
        <v>6690</v>
      </c>
      <c r="Q18" s="4">
        <f>Hotel!AC23</f>
        <v>10570</v>
      </c>
      <c r="R18" s="4">
        <f>Hotel!AV23*0.00378541*100</f>
        <v>0</v>
      </c>
      <c r="S18" s="4">
        <f>Hotel!B23</f>
        <v>139</v>
      </c>
    </row>
    <row r="19" spans="1:19" x14ac:dyDescent="0.25">
      <c r="A19" s="21" t="s">
        <v>31</v>
      </c>
      <c r="B19" s="2">
        <f t="shared" si="0"/>
        <v>18</v>
      </c>
      <c r="C19" s="3">
        <v>5</v>
      </c>
      <c r="D19" s="11">
        <v>2022</v>
      </c>
      <c r="E19" s="4">
        <f>Hotel!Q24</f>
        <v>9060</v>
      </c>
      <c r="F19" s="4">
        <f>Hotel!R24</f>
        <v>12320</v>
      </c>
      <c r="G19" s="4">
        <f>Hotel!S24</f>
        <v>120</v>
      </c>
      <c r="H19" s="4">
        <f>Hotel!T24</f>
        <v>1580</v>
      </c>
      <c r="I19" s="4">
        <f>Hotel!U24</f>
        <v>4430</v>
      </c>
      <c r="J19" s="4">
        <f>Hotel!V24</f>
        <v>4030</v>
      </c>
      <c r="K19" s="4">
        <f>Hotel!W24</f>
        <v>3200</v>
      </c>
      <c r="L19" s="4">
        <f>Hotel!X24</f>
        <v>4470</v>
      </c>
      <c r="M19" s="4">
        <f>Hotel!Y24</f>
        <v>4970</v>
      </c>
      <c r="N19" s="4">
        <f>Hotel!Z24</f>
        <v>2620</v>
      </c>
      <c r="O19" s="4">
        <f>Hotel!AA24</f>
        <v>3040</v>
      </c>
      <c r="P19" s="4">
        <f>Hotel!AB24</f>
        <v>7150</v>
      </c>
      <c r="Q19" s="4">
        <f>Hotel!AC24</f>
        <v>10160</v>
      </c>
      <c r="R19" s="4">
        <f>Hotel!AV24*0.00378541*100</f>
        <v>0</v>
      </c>
      <c r="S19" s="4">
        <f>Hotel!B24</f>
        <v>149</v>
      </c>
    </row>
    <row r="20" spans="1:19" x14ac:dyDescent="0.25">
      <c r="A20" s="21" t="s">
        <v>31</v>
      </c>
      <c r="B20" s="2">
        <f t="shared" si="0"/>
        <v>19</v>
      </c>
      <c r="C20" s="3">
        <v>5</v>
      </c>
      <c r="D20" s="11">
        <v>2022</v>
      </c>
      <c r="E20" s="4">
        <f>Hotel!Q25</f>
        <v>9360</v>
      </c>
      <c r="F20" s="4">
        <f>Hotel!R25</f>
        <v>12630</v>
      </c>
      <c r="G20" s="4">
        <f>Hotel!S25</f>
        <v>130</v>
      </c>
      <c r="H20" s="4">
        <f>Hotel!T25</f>
        <v>1610</v>
      </c>
      <c r="I20" s="4">
        <f>Hotel!U25</f>
        <v>4610</v>
      </c>
      <c r="J20" s="4">
        <f>Hotel!V25</f>
        <v>4070</v>
      </c>
      <c r="K20" s="4">
        <f>Hotel!W25</f>
        <v>3210</v>
      </c>
      <c r="L20" s="4">
        <f>Hotel!X25</f>
        <v>4370</v>
      </c>
      <c r="M20" s="4">
        <f>Hotel!Y25</f>
        <v>5400</v>
      </c>
      <c r="N20" s="4">
        <f>Hotel!Z25</f>
        <v>2710</v>
      </c>
      <c r="O20" s="4">
        <f>Hotel!AA25</f>
        <v>3110</v>
      </c>
      <c r="P20" s="4">
        <f>Hotel!AB25</f>
        <v>7450</v>
      </c>
      <c r="Q20" s="4">
        <f>Hotel!AC25</f>
        <v>9540</v>
      </c>
      <c r="R20" s="4">
        <f>Hotel!AV25*0.00378541*100</f>
        <v>0</v>
      </c>
      <c r="S20" s="4">
        <f>Hotel!B25</f>
        <v>196</v>
      </c>
    </row>
    <row r="21" spans="1:19" x14ac:dyDescent="0.25">
      <c r="A21" s="21" t="s">
        <v>31</v>
      </c>
      <c r="B21" s="2">
        <f t="shared" si="0"/>
        <v>20</v>
      </c>
      <c r="C21" s="3">
        <v>5</v>
      </c>
      <c r="D21" s="11">
        <v>2022</v>
      </c>
      <c r="E21" s="4">
        <f>Hotel!Q26</f>
        <v>9470</v>
      </c>
      <c r="F21" s="4">
        <f>Hotel!R26</f>
        <v>12770</v>
      </c>
      <c r="G21" s="4">
        <f>Hotel!S26</f>
        <v>140</v>
      </c>
      <c r="H21" s="4">
        <f>Hotel!T26</f>
        <v>1630</v>
      </c>
      <c r="I21" s="4">
        <f>Hotel!U26</f>
        <v>4850</v>
      </c>
      <c r="J21" s="4">
        <f>Hotel!V26</f>
        <v>4090</v>
      </c>
      <c r="K21" s="4">
        <f>Hotel!W26</f>
        <v>3380</v>
      </c>
      <c r="L21" s="4">
        <f>Hotel!X26</f>
        <v>4500</v>
      </c>
      <c r="M21" s="4">
        <f>Hotel!Y26</f>
        <v>5390</v>
      </c>
      <c r="N21" s="4">
        <f>Hotel!Z26</f>
        <v>2800</v>
      </c>
      <c r="O21" s="4">
        <f>Hotel!AA26</f>
        <v>3420</v>
      </c>
      <c r="P21" s="4">
        <f>Hotel!AB26</f>
        <v>9330</v>
      </c>
      <c r="Q21" s="4">
        <f>Hotel!AC26</f>
        <v>7890</v>
      </c>
      <c r="R21" s="4">
        <f>Hotel!AV26*0.00378541*100</f>
        <v>0</v>
      </c>
      <c r="S21" s="4">
        <f>Hotel!B26</f>
        <v>201</v>
      </c>
    </row>
    <row r="22" spans="1:19" x14ac:dyDescent="0.25">
      <c r="A22" s="21" t="s">
        <v>31</v>
      </c>
      <c r="B22" s="2">
        <f t="shared" si="0"/>
        <v>21</v>
      </c>
      <c r="C22" s="3">
        <v>5</v>
      </c>
      <c r="D22" s="11">
        <v>2022</v>
      </c>
      <c r="E22" s="4">
        <f>Hotel!Q27</f>
        <v>9950</v>
      </c>
      <c r="F22" s="4">
        <f>Hotel!R27</f>
        <v>13300</v>
      </c>
      <c r="G22" s="4">
        <f>Hotel!S27</f>
        <v>140</v>
      </c>
      <c r="H22" s="4">
        <f>Hotel!T27</f>
        <v>1660</v>
      </c>
      <c r="I22" s="4">
        <f>Hotel!U27</f>
        <v>4840</v>
      </c>
      <c r="J22" s="4">
        <f>Hotel!V27</f>
        <v>4240</v>
      </c>
      <c r="K22" s="4">
        <f>Hotel!W27</f>
        <v>3450</v>
      </c>
      <c r="L22" s="4">
        <f>Hotel!X27</f>
        <v>4680</v>
      </c>
      <c r="M22" s="4">
        <f>Hotel!Y27</f>
        <v>5340</v>
      </c>
      <c r="N22" s="4">
        <f>Hotel!Z27</f>
        <v>2900</v>
      </c>
      <c r="O22" s="4">
        <f>Hotel!AA27</f>
        <v>3610</v>
      </c>
      <c r="P22" s="4">
        <f>Hotel!AB27</f>
        <v>5930</v>
      </c>
      <c r="Q22" s="4">
        <f>Hotel!AC27</f>
        <v>10280</v>
      </c>
      <c r="R22" s="4">
        <f>Hotel!AV27*0.00378541*100</f>
        <v>0</v>
      </c>
      <c r="S22" s="4">
        <f>Hotel!B27</f>
        <v>197</v>
      </c>
    </row>
    <row r="23" spans="1:19" x14ac:dyDescent="0.25">
      <c r="A23" s="21" t="s">
        <v>31</v>
      </c>
      <c r="B23" s="2">
        <f t="shared" si="0"/>
        <v>22</v>
      </c>
      <c r="C23" s="3">
        <v>5</v>
      </c>
      <c r="D23" s="11">
        <v>2022</v>
      </c>
      <c r="E23" s="4">
        <f>Hotel!Q28</f>
        <v>9350</v>
      </c>
      <c r="F23" s="4">
        <f>Hotel!R28</f>
        <v>12640</v>
      </c>
      <c r="G23" s="4">
        <f>Hotel!S28</f>
        <v>130</v>
      </c>
      <c r="H23" s="4">
        <f>Hotel!T28</f>
        <v>1630</v>
      </c>
      <c r="I23" s="4">
        <f>Hotel!U28</f>
        <v>4470</v>
      </c>
      <c r="J23" s="4">
        <f>Hotel!V28</f>
        <v>4090</v>
      </c>
      <c r="K23" s="4">
        <f>Hotel!W28</f>
        <v>3730</v>
      </c>
      <c r="L23" s="4">
        <f>Hotel!X28</f>
        <v>4640</v>
      </c>
      <c r="M23" s="4">
        <f>Hotel!Y28</f>
        <v>5180</v>
      </c>
      <c r="N23" s="4">
        <f>Hotel!Z28</f>
        <v>2970</v>
      </c>
      <c r="O23" s="4">
        <f>Hotel!AA28</f>
        <v>3490</v>
      </c>
      <c r="P23" s="4">
        <f>Hotel!AB28</f>
        <v>7430</v>
      </c>
      <c r="Q23" s="4">
        <f>Hotel!AC28</f>
        <v>12310</v>
      </c>
      <c r="R23" s="4">
        <f>Hotel!AV28*0.00378541*100</f>
        <v>0</v>
      </c>
      <c r="S23" s="4">
        <f>Hotel!B28</f>
        <v>231</v>
      </c>
    </row>
    <row r="24" spans="1:19" x14ac:dyDescent="0.25">
      <c r="A24" s="21" t="s">
        <v>31</v>
      </c>
      <c r="B24" s="2">
        <f t="shared" si="0"/>
        <v>23</v>
      </c>
      <c r="C24" s="3">
        <v>5</v>
      </c>
      <c r="D24" s="11">
        <v>2022</v>
      </c>
      <c r="E24" s="4" t="str">
        <f>Hotel!Q29</f>
        <v>0</v>
      </c>
      <c r="F24" s="4" t="str">
        <f>Hotel!R29</f>
        <v>0</v>
      </c>
      <c r="G24" s="4" t="str">
        <f>Hotel!S29</f>
        <v>0</v>
      </c>
      <c r="H24" s="4" t="str">
        <f>Hotel!T29</f>
        <v>0</v>
      </c>
      <c r="I24" s="4" t="str">
        <f>Hotel!U29</f>
        <v>0</v>
      </c>
      <c r="J24" s="4" t="str">
        <f>Hotel!V29</f>
        <v>0</v>
      </c>
      <c r="K24" s="4" t="str">
        <f>Hotel!W29</f>
        <v>0</v>
      </c>
      <c r="L24" s="4" t="str">
        <f>Hotel!X29</f>
        <v>0</v>
      </c>
      <c r="M24" s="4" t="str">
        <f>Hotel!Y29</f>
        <v>0</v>
      </c>
      <c r="N24" s="4" t="str">
        <f>Hotel!Z29</f>
        <v>0</v>
      </c>
      <c r="O24" s="4" t="str">
        <f>Hotel!AA29</f>
        <v>0</v>
      </c>
      <c r="P24" s="4" t="str">
        <f>Hotel!AB29</f>
        <v>0</v>
      </c>
      <c r="Q24" s="4" t="str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5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5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5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5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5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5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5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5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zoomScale="93" zoomScaleNormal="93" workbookViewId="0">
      <selection activeCell="D30" sqref="D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44681</v>
      </c>
      <c r="B2" s="40">
        <v>27</v>
      </c>
      <c r="C2" s="24">
        <v>7956030</v>
      </c>
      <c r="D2" s="24">
        <v>18564890</v>
      </c>
      <c r="E2" s="24">
        <v>3201530</v>
      </c>
      <c r="F2" s="24">
        <v>4006030</v>
      </c>
      <c r="G2" s="24">
        <v>11913290</v>
      </c>
      <c r="H2" s="24">
        <v>6787870</v>
      </c>
      <c r="I2" s="24">
        <v>5951340</v>
      </c>
      <c r="J2" s="52">
        <v>7335500</v>
      </c>
      <c r="K2" s="24">
        <v>10879590</v>
      </c>
      <c r="L2" s="24">
        <v>4674760</v>
      </c>
      <c r="M2" s="24">
        <v>8915390</v>
      </c>
      <c r="N2" s="24">
        <v>14369050</v>
      </c>
      <c r="O2" s="24">
        <v>20090400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663505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5" t="s">
        <v>28</v>
      </c>
      <c r="AV4" s="56" t="s">
        <v>29</v>
      </c>
      <c r="AW4" s="56" t="s">
        <v>48</v>
      </c>
      <c r="AX4" s="58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7"/>
      <c r="AW5" s="57"/>
      <c r="AX5" s="58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663505</v>
      </c>
    </row>
    <row r="7" spans="1:50" x14ac:dyDescent="0.25">
      <c r="A7" s="23">
        <v>44682</v>
      </c>
      <c r="B7" s="40">
        <v>35</v>
      </c>
      <c r="C7" s="24">
        <v>7962200</v>
      </c>
      <c r="D7" s="24">
        <v>18556680</v>
      </c>
      <c r="E7" s="24">
        <v>3201530</v>
      </c>
      <c r="F7" s="24">
        <v>4006710</v>
      </c>
      <c r="G7" s="24">
        <v>11915350</v>
      </c>
      <c r="H7" s="24">
        <v>6789940</v>
      </c>
      <c r="I7" s="24">
        <v>5953230</v>
      </c>
      <c r="J7" s="24">
        <v>7337640</v>
      </c>
      <c r="K7" s="24">
        <v>10881290</v>
      </c>
      <c r="L7" s="24">
        <v>4675900</v>
      </c>
      <c r="M7" s="24">
        <v>8916570</v>
      </c>
      <c r="N7" s="24">
        <v>14372410</v>
      </c>
      <c r="O7" s="24">
        <v>20095280</v>
      </c>
      <c r="Q7" s="37">
        <f>IF((C7-C2&lt;0), "0",C7-C2)</f>
        <v>6170</v>
      </c>
      <c r="R7" s="37" t="str">
        <f t="shared" ref="R7:AC7" si="0">IF((D7-D2&lt;0), "0",D7-D2)</f>
        <v>0</v>
      </c>
      <c r="S7" s="37">
        <f>IF((E7-E2&lt;0), "0",E7-E2)</f>
        <v>0</v>
      </c>
      <c r="T7" s="37">
        <f t="shared" si="0"/>
        <v>680</v>
      </c>
      <c r="U7" s="37">
        <f t="shared" si="0"/>
        <v>2060</v>
      </c>
      <c r="V7" s="37">
        <f t="shared" si="0"/>
        <v>2070</v>
      </c>
      <c r="W7" s="37">
        <f t="shared" si="0"/>
        <v>1890</v>
      </c>
      <c r="X7" s="37">
        <f t="shared" si="0"/>
        <v>2140</v>
      </c>
      <c r="Y7" s="37">
        <f t="shared" si="0"/>
        <v>1700</v>
      </c>
      <c r="Z7" s="37">
        <f t="shared" si="0"/>
        <v>1140</v>
      </c>
      <c r="AA7" s="37">
        <f t="shared" si="0"/>
        <v>1180</v>
      </c>
      <c r="AB7" s="37">
        <f t="shared" si="0"/>
        <v>3360</v>
      </c>
      <c r="AC7" s="37">
        <f t="shared" si="0"/>
        <v>4880</v>
      </c>
      <c r="AD7" s="34">
        <f>SUM(Q7:AC7)</f>
        <v>27270</v>
      </c>
      <c r="AF7" s="20">
        <f t="shared" ref="AF7:AF36" si="1">Q7*$D$39</f>
        <v>30.85</v>
      </c>
      <c r="AG7" s="20">
        <f t="shared" ref="AG7:AG36" si="2">R7*$D$39</f>
        <v>0</v>
      </c>
      <c r="AH7" s="20">
        <f t="shared" ref="AH7:AH36" si="3">S7*$D$39</f>
        <v>0</v>
      </c>
      <c r="AI7" s="20">
        <f t="shared" ref="AI7:AI36" si="4">T7*$D$39</f>
        <v>3.4</v>
      </c>
      <c r="AJ7" s="20">
        <f t="shared" ref="AJ7:AJ36" si="5">U7*$D$39</f>
        <v>10.3</v>
      </c>
      <c r="AK7" s="20">
        <f t="shared" ref="AK7:AK36" si="6">V7*$D$39</f>
        <v>10.35</v>
      </c>
      <c r="AL7" s="20">
        <f t="shared" ref="AL7:AL36" si="7">W7*$D$39</f>
        <v>9.4500000000000011</v>
      </c>
      <c r="AM7" s="20">
        <f t="shared" ref="AM7:AM36" si="8">X7*$D$39</f>
        <v>10.700000000000001</v>
      </c>
      <c r="AN7" s="20">
        <f t="shared" ref="AN7:AN36" si="9">Y7*$D$39</f>
        <v>8.5</v>
      </c>
      <c r="AO7" s="20">
        <f t="shared" ref="AO7:AO36" si="10">Z7*$D$39</f>
        <v>5.7</v>
      </c>
      <c r="AP7" s="20">
        <f t="shared" ref="AP7:AP36" si="11">AA7*$D$39</f>
        <v>5.9</v>
      </c>
      <c r="AQ7" s="20">
        <f t="shared" ref="AQ7:AQ36" si="12">AB7*$D$39</f>
        <v>16.8</v>
      </c>
      <c r="AR7" s="20">
        <f t="shared" ref="AR7:AR36" si="13">AC7*$D$39</f>
        <v>24.400000000000002</v>
      </c>
      <c r="AS7" s="35">
        <f>SUM(AF7:AR7)</f>
        <v>136.35</v>
      </c>
      <c r="AU7" s="47">
        <v>663505</v>
      </c>
      <c r="AV7" s="37">
        <f>IF((AU7-AU6&lt;0),"0",AU7-AU6)</f>
        <v>0</v>
      </c>
      <c r="AW7" s="37">
        <f>AV7*100*AV44</f>
        <v>0</v>
      </c>
      <c r="AX7" s="35">
        <f t="shared" ref="AX7:AX35" si="14">AV7*$D$40</f>
        <v>0</v>
      </c>
    </row>
    <row r="8" spans="1:50" x14ac:dyDescent="0.25">
      <c r="A8" s="23">
        <v>44683</v>
      </c>
      <c r="B8" s="40">
        <v>81</v>
      </c>
      <c r="C8" s="24">
        <v>7974330</v>
      </c>
      <c r="D8" s="24">
        <v>18567500</v>
      </c>
      <c r="E8" s="24">
        <v>3201530</v>
      </c>
      <c r="F8" s="24">
        <v>4008180</v>
      </c>
      <c r="G8" s="24">
        <v>11919690</v>
      </c>
      <c r="H8" s="24">
        <v>6793850</v>
      </c>
      <c r="I8" s="24">
        <v>5956150</v>
      </c>
      <c r="J8" s="24">
        <v>7342070</v>
      </c>
      <c r="K8" s="24">
        <v>10885020</v>
      </c>
      <c r="L8" s="24">
        <v>4678410</v>
      </c>
      <c r="M8" s="24">
        <v>8919170</v>
      </c>
      <c r="N8" s="24">
        <v>14379290</v>
      </c>
      <c r="O8" s="24">
        <v>20105450</v>
      </c>
      <c r="Q8" s="37">
        <f>IF((C8-C7&lt;0), "0",C8-C7)</f>
        <v>12130</v>
      </c>
      <c r="R8" s="37">
        <f t="shared" ref="R8:AC8" si="15">IF((D8-D7&lt;0), "0",D8-D7)</f>
        <v>10820</v>
      </c>
      <c r="S8" s="37">
        <f t="shared" ref="S8:S35" si="16">IF((E8-E7&lt;0), "0",E8-E7)</f>
        <v>0</v>
      </c>
      <c r="T8" s="37">
        <f t="shared" si="15"/>
        <v>1470</v>
      </c>
      <c r="U8" s="37">
        <f t="shared" si="15"/>
        <v>4340</v>
      </c>
      <c r="V8" s="37">
        <f t="shared" si="15"/>
        <v>3910</v>
      </c>
      <c r="W8" s="37">
        <f t="shared" si="15"/>
        <v>2920</v>
      </c>
      <c r="X8" s="37">
        <f t="shared" si="15"/>
        <v>4430</v>
      </c>
      <c r="Y8" s="37">
        <f t="shared" si="15"/>
        <v>3730</v>
      </c>
      <c r="Z8" s="37">
        <f t="shared" si="15"/>
        <v>2510</v>
      </c>
      <c r="AA8" s="37">
        <f t="shared" si="15"/>
        <v>2600</v>
      </c>
      <c r="AB8" s="37">
        <f t="shared" si="15"/>
        <v>6880</v>
      </c>
      <c r="AC8" s="37">
        <f t="shared" si="15"/>
        <v>10170</v>
      </c>
      <c r="AD8" s="35">
        <f>SUM(Q8:AC8)</f>
        <v>65910</v>
      </c>
      <c r="AF8" s="20">
        <f t="shared" si="1"/>
        <v>60.65</v>
      </c>
      <c r="AG8" s="20">
        <f t="shared" si="2"/>
        <v>54.1</v>
      </c>
      <c r="AH8" s="20">
        <f t="shared" si="3"/>
        <v>0</v>
      </c>
      <c r="AI8" s="20">
        <f t="shared" si="4"/>
        <v>7.3500000000000005</v>
      </c>
      <c r="AJ8" s="20">
        <f t="shared" si="5"/>
        <v>21.7</v>
      </c>
      <c r="AK8" s="20">
        <f t="shared" si="6"/>
        <v>19.55</v>
      </c>
      <c r="AL8" s="20">
        <f t="shared" si="7"/>
        <v>14.6</v>
      </c>
      <c r="AM8" s="20">
        <f t="shared" si="8"/>
        <v>22.150000000000002</v>
      </c>
      <c r="AN8" s="20">
        <f t="shared" si="9"/>
        <v>18.650000000000002</v>
      </c>
      <c r="AO8" s="20">
        <f t="shared" si="10"/>
        <v>12.55</v>
      </c>
      <c r="AP8" s="20">
        <f t="shared" si="11"/>
        <v>13</v>
      </c>
      <c r="AQ8" s="20">
        <f t="shared" si="12"/>
        <v>34.4</v>
      </c>
      <c r="AR8" s="20">
        <f t="shared" si="13"/>
        <v>50.85</v>
      </c>
      <c r="AS8" s="35">
        <f>SUM(AF8:AR8)</f>
        <v>329.55</v>
      </c>
      <c r="AU8" s="47">
        <v>663505</v>
      </c>
      <c r="AV8" s="37">
        <f>IF((AU8-AU7&lt;0),"0",AU8-AU7)</f>
        <v>0</v>
      </c>
      <c r="AW8" s="37">
        <f>AV8*100*AV44</f>
        <v>0</v>
      </c>
      <c r="AX8" s="35">
        <f t="shared" si="14"/>
        <v>0</v>
      </c>
    </row>
    <row r="9" spans="1:50" x14ac:dyDescent="0.25">
      <c r="A9" s="23">
        <v>44684</v>
      </c>
      <c r="B9" s="40">
        <v>163</v>
      </c>
      <c r="C9" s="24">
        <v>7987030</v>
      </c>
      <c r="D9" s="24">
        <v>18569390</v>
      </c>
      <c r="E9" s="24">
        <v>3201530</v>
      </c>
      <c r="F9" s="24">
        <v>4009690</v>
      </c>
      <c r="G9" s="24">
        <v>11924400</v>
      </c>
      <c r="H9" s="24">
        <v>6797970</v>
      </c>
      <c r="I9" s="24">
        <v>5958970</v>
      </c>
      <c r="J9" s="24">
        <v>7346730</v>
      </c>
      <c r="K9" s="24">
        <v>10889070</v>
      </c>
      <c r="L9" s="24">
        <v>4681180</v>
      </c>
      <c r="M9" s="24">
        <v>8922400</v>
      </c>
      <c r="N9" s="24">
        <v>14386610</v>
      </c>
      <c r="O9" s="24">
        <v>20115500</v>
      </c>
      <c r="Q9" s="37">
        <f t="shared" ref="Q9:Q30" si="17">IF((C9-C8&lt;0), "0",C9-C8)</f>
        <v>12700</v>
      </c>
      <c r="R9" s="37">
        <f t="shared" ref="R9:R37" si="18">IF((D9-D8&lt;0), "0",D9-D8)</f>
        <v>1890</v>
      </c>
      <c r="S9" s="37">
        <f t="shared" si="16"/>
        <v>0</v>
      </c>
      <c r="T9" s="37">
        <f t="shared" ref="T9:T35" si="19">IF((F9-F8&lt;0), "0",F9-F8)</f>
        <v>1510</v>
      </c>
      <c r="U9" s="37">
        <f t="shared" ref="U9:U35" si="20">IF((G9-G8&lt;0), "0",G9-G8)</f>
        <v>4710</v>
      </c>
      <c r="V9" s="37">
        <f t="shared" ref="V9:V35" si="21">IF((H9-H8&lt;0), "0",H9-H8)</f>
        <v>4120</v>
      </c>
      <c r="W9" s="37">
        <f t="shared" ref="W9:W35" si="22">IF((I9-I8&lt;0), "0",I9-I8)</f>
        <v>2820</v>
      </c>
      <c r="X9" s="37">
        <f t="shared" ref="X9:X37" si="23">IF((J9-J8&lt;0), "0",J9-J8)</f>
        <v>4660</v>
      </c>
      <c r="Y9" s="37">
        <f t="shared" ref="Y9:Y35" si="24">IF((K9-K8&lt;0), "0",K9-K8)</f>
        <v>4050</v>
      </c>
      <c r="Z9" s="37">
        <f t="shared" ref="Z9:Z35" si="25">IF((L9-L8&lt;0), "0",L9-L8)</f>
        <v>2770</v>
      </c>
      <c r="AA9" s="37">
        <f t="shared" ref="AA9:AA35" si="26">IF((M9-M8&lt;0), "0",M9-M8)</f>
        <v>3230</v>
      </c>
      <c r="AB9" s="37">
        <f t="shared" ref="AB9:AB37" si="27">IF((N9-N8&lt;0), "0",N9-N8)</f>
        <v>7320</v>
      </c>
      <c r="AC9" s="37">
        <f t="shared" ref="AC9:AC37" si="28">IF((O9-O8&lt;0), "0",O9-O8)</f>
        <v>10050</v>
      </c>
      <c r="AD9" s="35">
        <f t="shared" ref="AD9:AD37" si="29">SUM(Q9:AC9)</f>
        <v>59830</v>
      </c>
      <c r="AF9" s="20">
        <f t="shared" si="1"/>
        <v>63.5</v>
      </c>
      <c r="AG9" s="20">
        <f t="shared" si="2"/>
        <v>9.4500000000000011</v>
      </c>
      <c r="AH9" s="20">
        <f t="shared" si="3"/>
        <v>0</v>
      </c>
      <c r="AI9" s="20">
        <f t="shared" si="4"/>
        <v>7.55</v>
      </c>
      <c r="AJ9" s="20">
        <f t="shared" si="5"/>
        <v>23.55</v>
      </c>
      <c r="AK9" s="20">
        <f t="shared" si="6"/>
        <v>20.6</v>
      </c>
      <c r="AL9" s="20">
        <f t="shared" si="7"/>
        <v>14.1</v>
      </c>
      <c r="AM9" s="20">
        <f t="shared" si="8"/>
        <v>23.3</v>
      </c>
      <c r="AN9" s="20">
        <f t="shared" si="9"/>
        <v>20.25</v>
      </c>
      <c r="AO9" s="20">
        <f t="shared" si="10"/>
        <v>13.85</v>
      </c>
      <c r="AP9" s="20">
        <f t="shared" si="11"/>
        <v>16.149999999999999</v>
      </c>
      <c r="AQ9" s="20">
        <f t="shared" si="12"/>
        <v>36.6</v>
      </c>
      <c r="AR9" s="20">
        <f t="shared" si="13"/>
        <v>50.25</v>
      </c>
      <c r="AS9" s="35">
        <f t="shared" ref="AS9:AS33" si="30">SUM(AF9:AR9)</f>
        <v>299.14999999999998</v>
      </c>
      <c r="AU9" s="47">
        <v>663505</v>
      </c>
      <c r="AV9" s="37">
        <f>IF((AU9-AU8&lt;0),"0",AU9-AU8)</f>
        <v>0</v>
      </c>
      <c r="AW9" s="37">
        <f>AV9*100*AV44</f>
        <v>0</v>
      </c>
      <c r="AX9" s="35">
        <f t="shared" si="14"/>
        <v>0</v>
      </c>
    </row>
    <row r="10" spans="1:50" x14ac:dyDescent="0.25">
      <c r="A10" s="23">
        <v>44685</v>
      </c>
      <c r="B10" s="40">
        <v>241</v>
      </c>
      <c r="C10" s="24">
        <v>8000530</v>
      </c>
      <c r="D10" s="24">
        <v>18571250</v>
      </c>
      <c r="E10" s="24">
        <v>3201590</v>
      </c>
      <c r="F10" s="24">
        <v>4011210</v>
      </c>
      <c r="G10" s="24">
        <v>11929370</v>
      </c>
      <c r="H10" s="24">
        <v>6802220</v>
      </c>
      <c r="I10" s="24">
        <v>5961990</v>
      </c>
      <c r="J10" s="24">
        <v>7351490</v>
      </c>
      <c r="K10" s="24">
        <v>10893730</v>
      </c>
      <c r="L10" s="24">
        <v>4684120</v>
      </c>
      <c r="M10" s="24">
        <v>8925910</v>
      </c>
      <c r="N10" s="24">
        <v>14393810</v>
      </c>
      <c r="O10" s="24">
        <v>20125510</v>
      </c>
      <c r="Q10" s="37">
        <f t="shared" si="17"/>
        <v>13500</v>
      </c>
      <c r="R10" s="37">
        <f t="shared" si="18"/>
        <v>1860</v>
      </c>
      <c r="S10" s="37">
        <f t="shared" si="16"/>
        <v>60</v>
      </c>
      <c r="T10" s="37">
        <f t="shared" si="19"/>
        <v>1520</v>
      </c>
      <c r="U10" s="37">
        <f t="shared" si="20"/>
        <v>4970</v>
      </c>
      <c r="V10" s="37">
        <f t="shared" si="21"/>
        <v>4250</v>
      </c>
      <c r="W10" s="37">
        <f t="shared" si="22"/>
        <v>3020</v>
      </c>
      <c r="X10" s="37">
        <f t="shared" si="23"/>
        <v>4760</v>
      </c>
      <c r="Y10" s="37">
        <f t="shared" si="24"/>
        <v>4660</v>
      </c>
      <c r="Z10" s="37">
        <f t="shared" si="25"/>
        <v>2940</v>
      </c>
      <c r="AA10" s="37">
        <f t="shared" si="26"/>
        <v>3510</v>
      </c>
      <c r="AB10" s="37">
        <f t="shared" si="27"/>
        <v>7200</v>
      </c>
      <c r="AC10" s="37">
        <f t="shared" si="28"/>
        <v>10010</v>
      </c>
      <c r="AD10" s="35">
        <f t="shared" si="29"/>
        <v>62260</v>
      </c>
      <c r="AF10" s="20">
        <f t="shared" si="1"/>
        <v>67.5</v>
      </c>
      <c r="AG10" s="20">
        <f t="shared" si="2"/>
        <v>9.3000000000000007</v>
      </c>
      <c r="AH10" s="20">
        <f t="shared" si="3"/>
        <v>0.3</v>
      </c>
      <c r="AI10" s="20">
        <f t="shared" si="4"/>
        <v>7.6000000000000005</v>
      </c>
      <c r="AJ10" s="20">
        <f t="shared" si="5"/>
        <v>24.85</v>
      </c>
      <c r="AK10" s="20">
        <f t="shared" si="6"/>
        <v>21.25</v>
      </c>
      <c r="AL10" s="20">
        <f t="shared" si="7"/>
        <v>15.1</v>
      </c>
      <c r="AM10" s="20">
        <f t="shared" si="8"/>
        <v>23.8</v>
      </c>
      <c r="AN10" s="20">
        <f t="shared" si="9"/>
        <v>23.3</v>
      </c>
      <c r="AO10" s="20">
        <f t="shared" si="10"/>
        <v>14.700000000000001</v>
      </c>
      <c r="AP10" s="20">
        <f t="shared" si="11"/>
        <v>17.55</v>
      </c>
      <c r="AQ10" s="20">
        <f t="shared" si="12"/>
        <v>36</v>
      </c>
      <c r="AR10" s="20">
        <f t="shared" si="13"/>
        <v>50.050000000000004</v>
      </c>
      <c r="AS10" s="35">
        <f t="shared" si="30"/>
        <v>311.3</v>
      </c>
      <c r="AU10" s="47">
        <v>663505</v>
      </c>
      <c r="AV10" s="37">
        <f t="shared" ref="AV10:AV26" si="31">IF((AU10-AU9&lt;0),"0",AU10-AU9)</f>
        <v>0</v>
      </c>
      <c r="AW10" s="37">
        <f>AV10*100*AV44</f>
        <v>0</v>
      </c>
      <c r="AX10" s="35">
        <f t="shared" si="14"/>
        <v>0</v>
      </c>
    </row>
    <row r="11" spans="1:50" x14ac:dyDescent="0.25">
      <c r="A11" s="23">
        <v>44686</v>
      </c>
      <c r="B11" s="40">
        <v>248</v>
      </c>
      <c r="C11" s="24">
        <v>8011800</v>
      </c>
      <c r="D11" s="24">
        <v>18574420</v>
      </c>
      <c r="E11" s="24">
        <v>3203920</v>
      </c>
      <c r="F11" s="24">
        <v>4012810</v>
      </c>
      <c r="G11" s="24">
        <v>11934670</v>
      </c>
      <c r="H11" s="24">
        <v>6806430</v>
      </c>
      <c r="I11" s="24">
        <v>5965480</v>
      </c>
      <c r="J11" s="24">
        <v>7355930</v>
      </c>
      <c r="K11" s="24">
        <v>10899580</v>
      </c>
      <c r="L11" s="24">
        <v>4687120</v>
      </c>
      <c r="M11" s="24">
        <v>8929620</v>
      </c>
      <c r="N11" s="24">
        <v>14400750</v>
      </c>
      <c r="O11" s="24">
        <v>20136150</v>
      </c>
      <c r="Q11" s="37">
        <f t="shared" si="17"/>
        <v>11270</v>
      </c>
      <c r="R11" s="37">
        <f t="shared" si="18"/>
        <v>3170</v>
      </c>
      <c r="S11" s="37">
        <f t="shared" si="16"/>
        <v>2330</v>
      </c>
      <c r="T11" s="37">
        <f t="shared" si="19"/>
        <v>1600</v>
      </c>
      <c r="U11" s="37">
        <f t="shared" si="20"/>
        <v>5300</v>
      </c>
      <c r="V11" s="37">
        <f t="shared" si="21"/>
        <v>4210</v>
      </c>
      <c r="W11" s="37">
        <f t="shared" si="22"/>
        <v>3490</v>
      </c>
      <c r="X11" s="37">
        <f t="shared" si="23"/>
        <v>4440</v>
      </c>
      <c r="Y11" s="37">
        <f t="shared" si="24"/>
        <v>5850</v>
      </c>
      <c r="Z11" s="37">
        <f t="shared" si="25"/>
        <v>3000</v>
      </c>
      <c r="AA11" s="37">
        <f t="shared" si="26"/>
        <v>3710</v>
      </c>
      <c r="AB11" s="37">
        <f t="shared" si="27"/>
        <v>6940</v>
      </c>
      <c r="AC11" s="37">
        <f t="shared" si="28"/>
        <v>10640</v>
      </c>
      <c r="AD11" s="35">
        <f t="shared" si="29"/>
        <v>65950</v>
      </c>
      <c r="AF11" s="20">
        <f t="shared" si="1"/>
        <v>56.35</v>
      </c>
      <c r="AG11" s="20">
        <f t="shared" si="2"/>
        <v>15.85</v>
      </c>
      <c r="AH11" s="20">
        <f t="shared" si="3"/>
        <v>11.65</v>
      </c>
      <c r="AI11" s="20">
        <f t="shared" si="4"/>
        <v>8</v>
      </c>
      <c r="AJ11" s="20">
        <f t="shared" si="5"/>
        <v>26.5</v>
      </c>
      <c r="AK11" s="20">
        <f t="shared" si="6"/>
        <v>21.05</v>
      </c>
      <c r="AL11" s="20">
        <f t="shared" si="7"/>
        <v>17.45</v>
      </c>
      <c r="AM11" s="20">
        <f t="shared" si="8"/>
        <v>22.2</v>
      </c>
      <c r="AN11" s="20">
        <f t="shared" si="9"/>
        <v>29.25</v>
      </c>
      <c r="AO11" s="20">
        <f t="shared" si="10"/>
        <v>15</v>
      </c>
      <c r="AP11" s="20">
        <f t="shared" si="11"/>
        <v>18.55</v>
      </c>
      <c r="AQ11" s="20">
        <f t="shared" si="12"/>
        <v>34.700000000000003</v>
      </c>
      <c r="AR11" s="20">
        <f t="shared" si="13"/>
        <v>53.2</v>
      </c>
      <c r="AS11" s="35">
        <f t="shared" si="30"/>
        <v>329.75</v>
      </c>
      <c r="AU11" s="47">
        <v>663505</v>
      </c>
      <c r="AV11" s="37">
        <f t="shared" si="31"/>
        <v>0</v>
      </c>
      <c r="AW11" s="37">
        <f>AV11*100*AV44</f>
        <v>0</v>
      </c>
      <c r="AX11" s="35">
        <f t="shared" si="14"/>
        <v>0</v>
      </c>
    </row>
    <row r="12" spans="1:50" x14ac:dyDescent="0.25">
      <c r="A12" s="23">
        <v>44687</v>
      </c>
      <c r="B12" s="40">
        <v>230</v>
      </c>
      <c r="C12" s="49">
        <v>8021340</v>
      </c>
      <c r="D12" s="24">
        <v>18578200</v>
      </c>
      <c r="E12" s="24">
        <v>3207010</v>
      </c>
      <c r="F12" s="24">
        <v>4014400</v>
      </c>
      <c r="G12" s="24">
        <v>11939920</v>
      </c>
      <c r="H12" s="24">
        <v>6810870</v>
      </c>
      <c r="I12" s="24">
        <v>5969330</v>
      </c>
      <c r="J12" s="24">
        <v>7360410</v>
      </c>
      <c r="K12" s="24">
        <v>10904840</v>
      </c>
      <c r="L12" s="24">
        <v>4690170</v>
      </c>
      <c r="M12" s="24">
        <v>8933450</v>
      </c>
      <c r="N12" s="24">
        <v>14408060</v>
      </c>
      <c r="O12" s="24">
        <v>20147040</v>
      </c>
      <c r="Q12" s="37">
        <f t="shared" si="17"/>
        <v>9540</v>
      </c>
      <c r="R12" s="37">
        <f t="shared" si="18"/>
        <v>3780</v>
      </c>
      <c r="S12" s="37">
        <f t="shared" si="16"/>
        <v>3090</v>
      </c>
      <c r="T12" s="37">
        <f t="shared" ref="T12:W14" si="32">IF((F12-F11&lt;0), "0",F12-F11)</f>
        <v>1590</v>
      </c>
      <c r="U12" s="37">
        <f t="shared" si="32"/>
        <v>5250</v>
      </c>
      <c r="V12" s="37">
        <f t="shared" si="32"/>
        <v>4440</v>
      </c>
      <c r="W12" s="37">
        <f t="shared" si="32"/>
        <v>3850</v>
      </c>
      <c r="X12" s="37">
        <f t="shared" si="23"/>
        <v>4480</v>
      </c>
      <c r="Y12" s="37">
        <f t="shared" si="24"/>
        <v>5260</v>
      </c>
      <c r="Z12" s="37">
        <f>IF((L12-L11&lt;0), "0",L12-L11)</f>
        <v>3050</v>
      </c>
      <c r="AA12" s="37">
        <f t="shared" si="26"/>
        <v>3830</v>
      </c>
      <c r="AB12" s="37">
        <f t="shared" si="27"/>
        <v>7310</v>
      </c>
      <c r="AC12" s="37">
        <f t="shared" si="28"/>
        <v>10890</v>
      </c>
      <c r="AD12" s="35">
        <f t="shared" si="29"/>
        <v>66360</v>
      </c>
      <c r="AF12" s="20">
        <f t="shared" si="1"/>
        <v>47.7</v>
      </c>
      <c r="AG12" s="20">
        <f t="shared" si="2"/>
        <v>18.900000000000002</v>
      </c>
      <c r="AH12" s="20">
        <f t="shared" si="3"/>
        <v>15.450000000000001</v>
      </c>
      <c r="AI12" s="20">
        <f t="shared" si="4"/>
        <v>7.95</v>
      </c>
      <c r="AJ12" s="20">
        <f t="shared" si="5"/>
        <v>26.25</v>
      </c>
      <c r="AK12" s="20">
        <f t="shared" si="6"/>
        <v>22.2</v>
      </c>
      <c r="AL12" s="20">
        <f t="shared" si="7"/>
        <v>19.25</v>
      </c>
      <c r="AM12" s="20">
        <f t="shared" si="8"/>
        <v>22.400000000000002</v>
      </c>
      <c r="AN12" s="20">
        <f t="shared" si="9"/>
        <v>26.3</v>
      </c>
      <c r="AO12" s="20">
        <f t="shared" si="10"/>
        <v>15.25</v>
      </c>
      <c r="AP12" s="20">
        <f t="shared" si="11"/>
        <v>19.150000000000002</v>
      </c>
      <c r="AQ12" s="20">
        <f t="shared" si="12"/>
        <v>36.550000000000004</v>
      </c>
      <c r="AR12" s="20">
        <f t="shared" si="13"/>
        <v>54.45</v>
      </c>
      <c r="AS12" s="35">
        <f t="shared" si="30"/>
        <v>331.8</v>
      </c>
      <c r="AU12" s="47">
        <v>663505</v>
      </c>
      <c r="AV12" s="37">
        <f t="shared" si="31"/>
        <v>0</v>
      </c>
      <c r="AW12" s="37">
        <f>AV12*100*AV44</f>
        <v>0</v>
      </c>
      <c r="AX12" s="35">
        <f t="shared" si="14"/>
        <v>0</v>
      </c>
    </row>
    <row r="13" spans="1:50" x14ac:dyDescent="0.25">
      <c r="A13" s="23">
        <v>44688</v>
      </c>
      <c r="B13" s="40">
        <v>132</v>
      </c>
      <c r="C13" s="24">
        <v>8030580</v>
      </c>
      <c r="D13" s="24">
        <v>18581930</v>
      </c>
      <c r="E13" s="24">
        <v>3209990</v>
      </c>
      <c r="F13" s="24">
        <v>4016030</v>
      </c>
      <c r="G13" s="24">
        <v>11944870</v>
      </c>
      <c r="H13" s="24">
        <v>6815100</v>
      </c>
      <c r="I13" s="24">
        <v>5972660</v>
      </c>
      <c r="J13" s="24">
        <v>7364580</v>
      </c>
      <c r="K13" s="24">
        <v>10910460</v>
      </c>
      <c r="L13" s="24">
        <v>4693000</v>
      </c>
      <c r="M13" s="24">
        <v>8936970</v>
      </c>
      <c r="N13" s="24">
        <v>14415370</v>
      </c>
      <c r="O13" s="24">
        <v>20157620</v>
      </c>
      <c r="Q13" s="37">
        <f t="shared" si="17"/>
        <v>9240</v>
      </c>
      <c r="R13" s="37">
        <f t="shared" si="18"/>
        <v>3730</v>
      </c>
      <c r="S13" s="37">
        <f t="shared" si="16"/>
        <v>2980</v>
      </c>
      <c r="T13" s="37">
        <f t="shared" si="32"/>
        <v>1630</v>
      </c>
      <c r="U13" s="37">
        <f t="shared" si="32"/>
        <v>4950</v>
      </c>
      <c r="V13" s="37">
        <f t="shared" si="32"/>
        <v>4230</v>
      </c>
      <c r="W13" s="37">
        <f t="shared" si="32"/>
        <v>3330</v>
      </c>
      <c r="X13" s="37">
        <f t="shared" si="23"/>
        <v>4170</v>
      </c>
      <c r="Y13" s="37">
        <f t="shared" si="24"/>
        <v>5620</v>
      </c>
      <c r="Z13" s="37">
        <f>IF((L13-L12&lt;0), "0",L13-L12)</f>
        <v>2830</v>
      </c>
      <c r="AA13" s="37">
        <f t="shared" si="26"/>
        <v>3520</v>
      </c>
      <c r="AB13" s="37">
        <f t="shared" si="27"/>
        <v>7310</v>
      </c>
      <c r="AC13" s="37">
        <f t="shared" si="28"/>
        <v>10580</v>
      </c>
      <c r="AD13" s="35">
        <f t="shared" si="29"/>
        <v>64120</v>
      </c>
      <c r="AF13" s="20">
        <f t="shared" si="1"/>
        <v>46.2</v>
      </c>
      <c r="AG13" s="20">
        <f t="shared" si="2"/>
        <v>18.650000000000002</v>
      </c>
      <c r="AH13" s="20">
        <f t="shared" si="3"/>
        <v>14.9</v>
      </c>
      <c r="AI13" s="20">
        <f t="shared" si="4"/>
        <v>8.15</v>
      </c>
      <c r="AJ13" s="20">
        <f t="shared" si="5"/>
        <v>24.75</v>
      </c>
      <c r="AK13" s="20">
        <f t="shared" si="6"/>
        <v>21.150000000000002</v>
      </c>
      <c r="AL13" s="20">
        <f t="shared" si="7"/>
        <v>16.649999999999999</v>
      </c>
      <c r="AM13" s="20">
        <f t="shared" si="8"/>
        <v>20.85</v>
      </c>
      <c r="AN13" s="20">
        <f t="shared" si="9"/>
        <v>28.1</v>
      </c>
      <c r="AO13" s="20">
        <f t="shared" si="10"/>
        <v>14.15</v>
      </c>
      <c r="AP13" s="20">
        <f t="shared" si="11"/>
        <v>17.600000000000001</v>
      </c>
      <c r="AQ13" s="20">
        <f t="shared" si="12"/>
        <v>36.550000000000004</v>
      </c>
      <c r="AR13" s="20">
        <f t="shared" si="13"/>
        <v>52.9</v>
      </c>
      <c r="AS13" s="35">
        <f t="shared" si="30"/>
        <v>320.59999999999997</v>
      </c>
      <c r="AU13" s="47">
        <v>663505</v>
      </c>
      <c r="AV13" s="37">
        <f t="shared" si="31"/>
        <v>0</v>
      </c>
      <c r="AW13" s="37">
        <f>AV13*100*AV44</f>
        <v>0</v>
      </c>
      <c r="AX13" s="35">
        <f t="shared" si="14"/>
        <v>0</v>
      </c>
    </row>
    <row r="14" spans="1:50" x14ac:dyDescent="0.25">
      <c r="A14" s="23">
        <v>44689</v>
      </c>
      <c r="B14" s="40">
        <v>86</v>
      </c>
      <c r="C14" s="24">
        <v>8034360</v>
      </c>
      <c r="D14" s="24">
        <v>18591230</v>
      </c>
      <c r="E14" s="24">
        <v>3211360</v>
      </c>
      <c r="F14" s="24">
        <v>4017690</v>
      </c>
      <c r="G14" s="24">
        <v>11949540</v>
      </c>
      <c r="H14" s="24">
        <v>6819130</v>
      </c>
      <c r="I14" s="24">
        <v>5975690</v>
      </c>
      <c r="J14" s="24">
        <v>7368520</v>
      </c>
      <c r="K14" s="24">
        <v>10915870</v>
      </c>
      <c r="L14" s="24">
        <v>4695560</v>
      </c>
      <c r="M14" s="24">
        <v>8940230</v>
      </c>
      <c r="N14" s="24">
        <v>14422860</v>
      </c>
      <c r="O14" s="24">
        <v>20168910</v>
      </c>
      <c r="P14" s="53"/>
      <c r="Q14" s="37">
        <f t="shared" si="17"/>
        <v>3780</v>
      </c>
      <c r="R14" s="37">
        <f t="shared" si="18"/>
        <v>9300</v>
      </c>
      <c r="S14" s="37">
        <f t="shared" si="16"/>
        <v>1370</v>
      </c>
      <c r="T14" s="37">
        <f t="shared" si="32"/>
        <v>1660</v>
      </c>
      <c r="U14" s="37">
        <f t="shared" si="32"/>
        <v>4670</v>
      </c>
      <c r="V14" s="37">
        <f t="shared" si="32"/>
        <v>4030</v>
      </c>
      <c r="W14" s="37">
        <f t="shared" si="32"/>
        <v>3030</v>
      </c>
      <c r="X14" s="37">
        <f t="shared" si="23"/>
        <v>3940</v>
      </c>
      <c r="Y14" s="37">
        <f t="shared" si="24"/>
        <v>5410</v>
      </c>
      <c r="Z14" s="37">
        <f>IF((L14-L13&lt;0), "0",L14-L13)</f>
        <v>2560</v>
      </c>
      <c r="AA14" s="37">
        <f t="shared" si="26"/>
        <v>3260</v>
      </c>
      <c r="AB14" s="37">
        <f t="shared" si="27"/>
        <v>7490</v>
      </c>
      <c r="AC14" s="37">
        <f t="shared" si="28"/>
        <v>11290</v>
      </c>
      <c r="AD14" s="35">
        <f t="shared" si="29"/>
        <v>61790</v>
      </c>
      <c r="AF14" s="20">
        <f t="shared" si="1"/>
        <v>18.900000000000002</v>
      </c>
      <c r="AG14" s="20">
        <f t="shared" si="2"/>
        <v>46.5</v>
      </c>
      <c r="AH14" s="20">
        <f t="shared" si="3"/>
        <v>6.8500000000000005</v>
      </c>
      <c r="AI14" s="20">
        <f t="shared" si="4"/>
        <v>8.3000000000000007</v>
      </c>
      <c r="AJ14" s="20">
        <f t="shared" si="5"/>
        <v>23.35</v>
      </c>
      <c r="AK14" s="20">
        <f t="shared" si="6"/>
        <v>20.150000000000002</v>
      </c>
      <c r="AL14" s="20">
        <f t="shared" si="7"/>
        <v>15.15</v>
      </c>
      <c r="AM14" s="20">
        <f t="shared" si="8"/>
        <v>19.7</v>
      </c>
      <c r="AN14" s="20">
        <f t="shared" si="9"/>
        <v>27.05</v>
      </c>
      <c r="AO14" s="20">
        <f t="shared" si="10"/>
        <v>12.8</v>
      </c>
      <c r="AP14" s="20">
        <f t="shared" si="11"/>
        <v>16.3</v>
      </c>
      <c r="AQ14" s="20">
        <f t="shared" si="12"/>
        <v>37.450000000000003</v>
      </c>
      <c r="AR14" s="20">
        <f t="shared" si="13"/>
        <v>56.45</v>
      </c>
      <c r="AS14" s="35">
        <f t="shared" si="30"/>
        <v>308.95000000000005</v>
      </c>
      <c r="AU14" s="47">
        <v>663505</v>
      </c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44690</v>
      </c>
      <c r="B15" s="40">
        <v>99</v>
      </c>
      <c r="C15" s="24">
        <v>8034870</v>
      </c>
      <c r="D15" s="24">
        <v>18604250</v>
      </c>
      <c r="E15" s="24">
        <v>3211440</v>
      </c>
      <c r="F15" s="24">
        <v>4019300</v>
      </c>
      <c r="G15" s="24">
        <v>11953910</v>
      </c>
      <c r="H15" s="24">
        <v>6823080</v>
      </c>
      <c r="I15" s="24">
        <v>5978810</v>
      </c>
      <c r="J15" s="24">
        <v>7372590</v>
      </c>
      <c r="K15" s="24">
        <v>10921010</v>
      </c>
      <c r="L15" s="24">
        <v>4698070</v>
      </c>
      <c r="M15" s="24">
        <v>8943250</v>
      </c>
      <c r="N15" s="24">
        <v>14429950</v>
      </c>
      <c r="O15" s="24">
        <v>20179400</v>
      </c>
      <c r="Q15" s="37">
        <f t="shared" si="17"/>
        <v>510</v>
      </c>
      <c r="R15" s="37">
        <f t="shared" si="18"/>
        <v>13020</v>
      </c>
      <c r="S15" s="37">
        <f t="shared" si="16"/>
        <v>80</v>
      </c>
      <c r="T15" s="37">
        <f t="shared" si="19"/>
        <v>1610</v>
      </c>
      <c r="U15" s="37">
        <f t="shared" si="20"/>
        <v>4370</v>
      </c>
      <c r="V15" s="37">
        <f t="shared" si="21"/>
        <v>3950</v>
      </c>
      <c r="W15" s="37">
        <f t="shared" si="22"/>
        <v>3120</v>
      </c>
      <c r="X15" s="37">
        <f t="shared" si="23"/>
        <v>4070</v>
      </c>
      <c r="Y15" s="37">
        <f t="shared" si="24"/>
        <v>5140</v>
      </c>
      <c r="Z15" s="37">
        <f t="shared" si="25"/>
        <v>2510</v>
      </c>
      <c r="AA15" s="37">
        <f t="shared" si="26"/>
        <v>3020</v>
      </c>
      <c r="AB15" s="37">
        <f t="shared" si="27"/>
        <v>7090</v>
      </c>
      <c r="AC15" s="37">
        <f t="shared" si="28"/>
        <v>10490</v>
      </c>
      <c r="AD15" s="35">
        <f t="shared" si="29"/>
        <v>58980</v>
      </c>
      <c r="AF15" s="20">
        <f t="shared" si="1"/>
        <v>2.5500000000000003</v>
      </c>
      <c r="AG15" s="20">
        <f t="shared" si="2"/>
        <v>65.099999999999994</v>
      </c>
      <c r="AH15" s="20">
        <f t="shared" si="3"/>
        <v>0.4</v>
      </c>
      <c r="AI15" s="20">
        <f t="shared" si="4"/>
        <v>8.0500000000000007</v>
      </c>
      <c r="AJ15" s="20">
        <f t="shared" si="5"/>
        <v>21.85</v>
      </c>
      <c r="AK15" s="20">
        <f t="shared" si="6"/>
        <v>19.75</v>
      </c>
      <c r="AL15" s="20">
        <f t="shared" si="7"/>
        <v>15.6</v>
      </c>
      <c r="AM15" s="20">
        <f t="shared" si="8"/>
        <v>20.350000000000001</v>
      </c>
      <c r="AN15" s="20">
        <f t="shared" si="9"/>
        <v>25.7</v>
      </c>
      <c r="AO15" s="20">
        <f t="shared" si="10"/>
        <v>12.55</v>
      </c>
      <c r="AP15" s="20">
        <f t="shared" si="11"/>
        <v>15.1</v>
      </c>
      <c r="AQ15" s="20">
        <f t="shared" si="12"/>
        <v>35.450000000000003</v>
      </c>
      <c r="AR15" s="20">
        <f t="shared" si="13"/>
        <v>52.45</v>
      </c>
      <c r="AS15" s="35">
        <f t="shared" si="30"/>
        <v>294.89999999999998</v>
      </c>
      <c r="AU15" s="47">
        <v>663505</v>
      </c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44691</v>
      </c>
      <c r="B16" s="40">
        <v>97</v>
      </c>
      <c r="C16" s="24">
        <v>8035380</v>
      </c>
      <c r="D16" s="24">
        <v>18618090</v>
      </c>
      <c r="E16" s="24">
        <v>3211520</v>
      </c>
      <c r="F16" s="24">
        <v>4020930</v>
      </c>
      <c r="G16" s="24">
        <v>11958420</v>
      </c>
      <c r="H16" s="24">
        <v>6826970</v>
      </c>
      <c r="I16" s="24">
        <v>5982110</v>
      </c>
      <c r="J16" s="24">
        <v>7376700</v>
      </c>
      <c r="K16" s="24">
        <v>10926370</v>
      </c>
      <c r="L16" s="24">
        <v>4700680</v>
      </c>
      <c r="M16" s="24">
        <v>8946160</v>
      </c>
      <c r="N16" s="24">
        <v>14437420</v>
      </c>
      <c r="O16" s="24">
        <v>20190350</v>
      </c>
      <c r="Q16" s="37">
        <f t="shared" si="17"/>
        <v>510</v>
      </c>
      <c r="R16" s="37">
        <f t="shared" si="18"/>
        <v>13840</v>
      </c>
      <c r="S16" s="37">
        <f t="shared" si="16"/>
        <v>80</v>
      </c>
      <c r="T16" s="37">
        <f t="shared" si="19"/>
        <v>1630</v>
      </c>
      <c r="U16" s="37">
        <f t="shared" si="20"/>
        <v>4510</v>
      </c>
      <c r="V16" s="37">
        <f t="shared" si="21"/>
        <v>3890</v>
      </c>
      <c r="W16" s="37">
        <f t="shared" si="22"/>
        <v>3300</v>
      </c>
      <c r="X16" s="37">
        <f t="shared" si="23"/>
        <v>4110</v>
      </c>
      <c r="Y16" s="37">
        <f t="shared" si="24"/>
        <v>5360</v>
      </c>
      <c r="Z16" s="37">
        <f t="shared" si="25"/>
        <v>2610</v>
      </c>
      <c r="AA16" s="37">
        <f t="shared" si="26"/>
        <v>2910</v>
      </c>
      <c r="AB16" s="37">
        <f t="shared" si="27"/>
        <v>7470</v>
      </c>
      <c r="AC16" s="37">
        <f t="shared" si="28"/>
        <v>10950</v>
      </c>
      <c r="AD16" s="35">
        <f t="shared" si="29"/>
        <v>61170</v>
      </c>
      <c r="AF16" s="20">
        <f t="shared" si="1"/>
        <v>2.5500000000000003</v>
      </c>
      <c r="AG16" s="20">
        <f t="shared" si="2"/>
        <v>69.2</v>
      </c>
      <c r="AH16" s="20">
        <f t="shared" si="3"/>
        <v>0.4</v>
      </c>
      <c r="AI16" s="20">
        <f t="shared" si="4"/>
        <v>8.15</v>
      </c>
      <c r="AJ16" s="20">
        <f t="shared" si="5"/>
        <v>22.55</v>
      </c>
      <c r="AK16" s="20">
        <f t="shared" si="6"/>
        <v>19.45</v>
      </c>
      <c r="AL16" s="20">
        <f t="shared" si="7"/>
        <v>16.5</v>
      </c>
      <c r="AM16" s="20">
        <f t="shared" si="8"/>
        <v>20.55</v>
      </c>
      <c r="AN16" s="20">
        <f t="shared" si="9"/>
        <v>26.8</v>
      </c>
      <c r="AO16" s="20">
        <f t="shared" si="10"/>
        <v>13.05</v>
      </c>
      <c r="AP16" s="20">
        <f t="shared" si="11"/>
        <v>14.55</v>
      </c>
      <c r="AQ16" s="20">
        <f t="shared" si="12"/>
        <v>37.35</v>
      </c>
      <c r="AR16" s="20">
        <f t="shared" si="13"/>
        <v>54.75</v>
      </c>
      <c r="AS16" s="35">
        <f t="shared" si="30"/>
        <v>305.85000000000002</v>
      </c>
      <c r="AU16" s="47">
        <v>663505</v>
      </c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44692</v>
      </c>
      <c r="B17" s="40">
        <v>153</v>
      </c>
      <c r="C17" s="24">
        <v>8037240</v>
      </c>
      <c r="D17" s="24">
        <v>18632410</v>
      </c>
      <c r="E17" s="24">
        <v>3211620</v>
      </c>
      <c r="F17" s="24">
        <v>4022530</v>
      </c>
      <c r="G17" s="24">
        <v>11962620</v>
      </c>
      <c r="H17" s="24">
        <v>6830990</v>
      </c>
      <c r="I17" s="24">
        <v>5985410</v>
      </c>
      <c r="J17" s="24">
        <v>7380710</v>
      </c>
      <c r="K17" s="24">
        <v>10931650</v>
      </c>
      <c r="L17" s="24">
        <v>4703360</v>
      </c>
      <c r="M17" s="24">
        <v>8949030</v>
      </c>
      <c r="N17" s="24">
        <v>14444700</v>
      </c>
      <c r="O17" s="24">
        <v>20201144</v>
      </c>
      <c r="Q17" s="37">
        <f t="shared" si="17"/>
        <v>1860</v>
      </c>
      <c r="R17" s="37">
        <f t="shared" si="18"/>
        <v>14320</v>
      </c>
      <c r="S17" s="37">
        <f t="shared" si="16"/>
        <v>100</v>
      </c>
      <c r="T17" s="37">
        <f t="shared" si="19"/>
        <v>1600</v>
      </c>
      <c r="U17" s="37">
        <f t="shared" si="20"/>
        <v>4200</v>
      </c>
      <c r="V17" s="37">
        <f t="shared" si="21"/>
        <v>4020</v>
      </c>
      <c r="W17" s="37">
        <f t="shared" si="22"/>
        <v>3300</v>
      </c>
      <c r="X17" s="37">
        <f t="shared" si="23"/>
        <v>4010</v>
      </c>
      <c r="Y17" s="37">
        <f t="shared" si="24"/>
        <v>5280</v>
      </c>
      <c r="Z17" s="37">
        <f t="shared" si="25"/>
        <v>2680</v>
      </c>
      <c r="AA17" s="37">
        <f t="shared" si="26"/>
        <v>2870</v>
      </c>
      <c r="AB17" s="37">
        <f t="shared" si="27"/>
        <v>7280</v>
      </c>
      <c r="AC17" s="37">
        <f t="shared" si="28"/>
        <v>10794</v>
      </c>
      <c r="AD17" s="35">
        <f t="shared" si="29"/>
        <v>62314</v>
      </c>
      <c r="AF17" s="20">
        <f t="shared" si="1"/>
        <v>9.3000000000000007</v>
      </c>
      <c r="AG17" s="20">
        <f t="shared" si="2"/>
        <v>71.600000000000009</v>
      </c>
      <c r="AH17" s="20">
        <f t="shared" si="3"/>
        <v>0.5</v>
      </c>
      <c r="AI17" s="20">
        <f t="shared" si="4"/>
        <v>8</v>
      </c>
      <c r="AJ17" s="20">
        <f t="shared" si="5"/>
        <v>21</v>
      </c>
      <c r="AK17" s="20">
        <f t="shared" si="6"/>
        <v>20.100000000000001</v>
      </c>
      <c r="AL17" s="20">
        <f t="shared" si="7"/>
        <v>16.5</v>
      </c>
      <c r="AM17" s="20">
        <f t="shared" si="8"/>
        <v>20.05</v>
      </c>
      <c r="AN17" s="20">
        <f t="shared" si="9"/>
        <v>26.400000000000002</v>
      </c>
      <c r="AO17" s="20">
        <f t="shared" si="10"/>
        <v>13.4</v>
      </c>
      <c r="AP17" s="20">
        <f t="shared" si="11"/>
        <v>14.35</v>
      </c>
      <c r="AQ17" s="20">
        <f t="shared" si="12"/>
        <v>36.4</v>
      </c>
      <c r="AR17" s="20">
        <f t="shared" si="13"/>
        <v>53.97</v>
      </c>
      <c r="AS17" s="35">
        <f t="shared" si="30"/>
        <v>311.57000000000005</v>
      </c>
      <c r="AU17" s="47">
        <v>663505</v>
      </c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44693</v>
      </c>
      <c r="B18" s="40">
        <v>168</v>
      </c>
      <c r="C18" s="24">
        <v>8039230</v>
      </c>
      <c r="D18" s="24">
        <v>18648570</v>
      </c>
      <c r="E18" s="24">
        <v>3211760</v>
      </c>
      <c r="F18" s="24">
        <v>4024160</v>
      </c>
      <c r="G18" s="24">
        <v>11967230</v>
      </c>
      <c r="H18" s="24">
        <v>6835110</v>
      </c>
      <c r="I18" s="24">
        <v>5988970</v>
      </c>
      <c r="J18" s="24">
        <v>7385020</v>
      </c>
      <c r="K18" s="24">
        <v>10937210</v>
      </c>
      <c r="L18" s="24">
        <v>4706190</v>
      </c>
      <c r="M18" s="24">
        <v>8952330</v>
      </c>
      <c r="N18" s="24">
        <v>14452350</v>
      </c>
      <c r="O18" s="24">
        <v>20210980</v>
      </c>
      <c r="Q18" s="37">
        <f t="shared" si="17"/>
        <v>1990</v>
      </c>
      <c r="R18" s="37">
        <f t="shared" si="18"/>
        <v>16160</v>
      </c>
      <c r="S18" s="37">
        <f t="shared" si="16"/>
        <v>140</v>
      </c>
      <c r="T18" s="37">
        <f t="shared" si="19"/>
        <v>1630</v>
      </c>
      <c r="U18" s="37">
        <f t="shared" si="20"/>
        <v>4610</v>
      </c>
      <c r="V18" s="37">
        <f t="shared" si="21"/>
        <v>4120</v>
      </c>
      <c r="W18" s="37">
        <f t="shared" si="22"/>
        <v>3560</v>
      </c>
      <c r="X18" s="37">
        <f t="shared" si="23"/>
        <v>4310</v>
      </c>
      <c r="Y18" s="37">
        <f t="shared" si="24"/>
        <v>5560</v>
      </c>
      <c r="Z18" s="37">
        <f t="shared" si="25"/>
        <v>2830</v>
      </c>
      <c r="AA18" s="37">
        <f t="shared" si="26"/>
        <v>3300</v>
      </c>
      <c r="AB18" s="37">
        <f t="shared" si="27"/>
        <v>7650</v>
      </c>
      <c r="AC18" s="37">
        <f t="shared" si="28"/>
        <v>9836</v>
      </c>
      <c r="AD18" s="35">
        <f t="shared" si="29"/>
        <v>65696</v>
      </c>
      <c r="AF18" s="20">
        <f t="shared" si="1"/>
        <v>9.9500000000000011</v>
      </c>
      <c r="AG18" s="20">
        <f t="shared" si="2"/>
        <v>80.8</v>
      </c>
      <c r="AH18" s="20">
        <f t="shared" si="3"/>
        <v>0.70000000000000007</v>
      </c>
      <c r="AI18" s="20">
        <f t="shared" si="4"/>
        <v>8.15</v>
      </c>
      <c r="AJ18" s="20">
        <f t="shared" si="5"/>
        <v>23.05</v>
      </c>
      <c r="AK18" s="20">
        <f t="shared" si="6"/>
        <v>20.6</v>
      </c>
      <c r="AL18" s="20">
        <f t="shared" si="7"/>
        <v>17.8</v>
      </c>
      <c r="AM18" s="20">
        <f t="shared" si="8"/>
        <v>21.55</v>
      </c>
      <c r="AN18" s="20">
        <f t="shared" si="9"/>
        <v>27.8</v>
      </c>
      <c r="AO18" s="20">
        <f t="shared" si="10"/>
        <v>14.15</v>
      </c>
      <c r="AP18" s="20">
        <f t="shared" si="11"/>
        <v>16.5</v>
      </c>
      <c r="AQ18" s="20">
        <f t="shared" si="12"/>
        <v>38.25</v>
      </c>
      <c r="AR18" s="20">
        <f t="shared" si="13"/>
        <v>49.18</v>
      </c>
      <c r="AS18" s="35">
        <f t="shared" si="30"/>
        <v>328.48000000000008</v>
      </c>
      <c r="AU18" s="47">
        <v>663505</v>
      </c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44694</v>
      </c>
      <c r="B19" s="40">
        <v>176</v>
      </c>
      <c r="C19" s="24">
        <v>8048390</v>
      </c>
      <c r="D19" s="24">
        <v>18661120</v>
      </c>
      <c r="E19" s="24">
        <v>3211860</v>
      </c>
      <c r="F19" s="24">
        <v>4025790</v>
      </c>
      <c r="G19" s="24">
        <v>11972120</v>
      </c>
      <c r="H19" s="24">
        <v>6839320</v>
      </c>
      <c r="I19" s="24">
        <v>5992390</v>
      </c>
      <c r="J19" s="24">
        <v>7389440</v>
      </c>
      <c r="K19" s="24">
        <v>10942860</v>
      </c>
      <c r="L19" s="24">
        <v>4709200</v>
      </c>
      <c r="M19" s="24">
        <v>8955790</v>
      </c>
      <c r="N19" s="24">
        <v>14459880</v>
      </c>
      <c r="O19" s="24">
        <v>20223340</v>
      </c>
      <c r="Q19" s="37">
        <f t="shared" si="17"/>
        <v>9160</v>
      </c>
      <c r="R19" s="37">
        <f t="shared" si="18"/>
        <v>12550</v>
      </c>
      <c r="S19" s="37">
        <f t="shared" si="16"/>
        <v>100</v>
      </c>
      <c r="T19" s="37">
        <f t="shared" si="19"/>
        <v>1630</v>
      </c>
      <c r="U19" s="37">
        <f t="shared" si="20"/>
        <v>4890</v>
      </c>
      <c r="V19" s="37">
        <f t="shared" si="21"/>
        <v>4210</v>
      </c>
      <c r="W19" s="37">
        <f t="shared" si="22"/>
        <v>3420</v>
      </c>
      <c r="X19" s="37">
        <f t="shared" si="23"/>
        <v>4420</v>
      </c>
      <c r="Y19" s="37">
        <f t="shared" si="24"/>
        <v>5650</v>
      </c>
      <c r="Z19" s="37">
        <f t="shared" si="25"/>
        <v>3010</v>
      </c>
      <c r="AA19" s="37">
        <f t="shared" si="26"/>
        <v>3460</v>
      </c>
      <c r="AB19" s="37">
        <f t="shared" si="27"/>
        <v>7530</v>
      </c>
      <c r="AC19" s="37">
        <f t="shared" si="28"/>
        <v>12360</v>
      </c>
      <c r="AD19" s="35">
        <f t="shared" si="29"/>
        <v>72390</v>
      </c>
      <c r="AF19" s="20">
        <f t="shared" si="1"/>
        <v>45.800000000000004</v>
      </c>
      <c r="AG19" s="20">
        <f t="shared" si="2"/>
        <v>62.75</v>
      </c>
      <c r="AH19" s="20">
        <f t="shared" si="3"/>
        <v>0.5</v>
      </c>
      <c r="AI19" s="20">
        <f t="shared" si="4"/>
        <v>8.15</v>
      </c>
      <c r="AJ19" s="20">
        <f t="shared" si="5"/>
        <v>24.45</v>
      </c>
      <c r="AK19" s="20">
        <f t="shared" si="6"/>
        <v>21.05</v>
      </c>
      <c r="AL19" s="20">
        <f t="shared" si="7"/>
        <v>17.100000000000001</v>
      </c>
      <c r="AM19" s="20">
        <f t="shared" si="8"/>
        <v>22.1</v>
      </c>
      <c r="AN19" s="20">
        <f t="shared" si="9"/>
        <v>28.25</v>
      </c>
      <c r="AO19" s="20">
        <f t="shared" si="10"/>
        <v>15.05</v>
      </c>
      <c r="AP19" s="20">
        <f t="shared" si="11"/>
        <v>17.3</v>
      </c>
      <c r="AQ19" s="20">
        <f t="shared" si="12"/>
        <v>37.65</v>
      </c>
      <c r="AR19" s="20">
        <f t="shared" si="13"/>
        <v>61.800000000000004</v>
      </c>
      <c r="AS19" s="35">
        <f t="shared" si="30"/>
        <v>361.95</v>
      </c>
      <c r="AU19" s="47">
        <v>663505</v>
      </c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44695</v>
      </c>
      <c r="B20" s="40">
        <v>115</v>
      </c>
      <c r="C20" s="24">
        <v>8056770</v>
      </c>
      <c r="D20" s="24">
        <v>18672720</v>
      </c>
      <c r="E20" s="24">
        <v>3211970</v>
      </c>
      <c r="F20" s="24">
        <v>4027340</v>
      </c>
      <c r="G20" s="24">
        <v>11976690</v>
      </c>
      <c r="H20" s="24">
        <v>6843420</v>
      </c>
      <c r="I20" s="24">
        <v>5995320</v>
      </c>
      <c r="J20" s="24">
        <v>7393720</v>
      </c>
      <c r="K20" s="24">
        <v>10947750</v>
      </c>
      <c r="L20" s="24">
        <v>4711870</v>
      </c>
      <c r="M20" s="24">
        <v>8958990</v>
      </c>
      <c r="N20" s="24">
        <v>14466910</v>
      </c>
      <c r="O20" s="24">
        <v>20235280</v>
      </c>
      <c r="Q20" s="37">
        <f t="shared" si="17"/>
        <v>8380</v>
      </c>
      <c r="R20" s="37">
        <f t="shared" si="18"/>
        <v>11600</v>
      </c>
      <c r="S20" s="37">
        <f t="shared" si="16"/>
        <v>110</v>
      </c>
      <c r="T20" s="37">
        <f t="shared" si="19"/>
        <v>1550</v>
      </c>
      <c r="U20" s="37">
        <f t="shared" si="20"/>
        <v>4570</v>
      </c>
      <c r="V20" s="37">
        <f t="shared" si="21"/>
        <v>4100</v>
      </c>
      <c r="W20" s="37">
        <f t="shared" si="22"/>
        <v>2930</v>
      </c>
      <c r="X20" s="37">
        <f t="shared" si="23"/>
        <v>4280</v>
      </c>
      <c r="Y20" s="37">
        <f t="shared" si="24"/>
        <v>4890</v>
      </c>
      <c r="Z20" s="37">
        <f t="shared" si="25"/>
        <v>2670</v>
      </c>
      <c r="AA20" s="37">
        <f t="shared" si="26"/>
        <v>3200</v>
      </c>
      <c r="AB20" s="37">
        <f t="shared" si="27"/>
        <v>7030</v>
      </c>
      <c r="AC20" s="37">
        <f t="shared" si="28"/>
        <v>11940</v>
      </c>
      <c r="AD20" s="35">
        <f t="shared" si="29"/>
        <v>67250</v>
      </c>
      <c r="AF20" s="20">
        <f t="shared" si="1"/>
        <v>41.9</v>
      </c>
      <c r="AG20" s="20">
        <f t="shared" si="2"/>
        <v>58</v>
      </c>
      <c r="AH20" s="20">
        <f t="shared" si="3"/>
        <v>0.55000000000000004</v>
      </c>
      <c r="AI20" s="20">
        <f t="shared" si="4"/>
        <v>7.75</v>
      </c>
      <c r="AJ20" s="20">
        <f t="shared" si="5"/>
        <v>22.85</v>
      </c>
      <c r="AK20" s="20">
        <f t="shared" si="6"/>
        <v>20.5</v>
      </c>
      <c r="AL20" s="20">
        <f t="shared" si="7"/>
        <v>14.65</v>
      </c>
      <c r="AM20" s="20">
        <f t="shared" si="8"/>
        <v>21.400000000000002</v>
      </c>
      <c r="AN20" s="20">
        <f t="shared" si="9"/>
        <v>24.45</v>
      </c>
      <c r="AO20" s="20">
        <f t="shared" si="10"/>
        <v>13.35</v>
      </c>
      <c r="AP20" s="20">
        <f t="shared" si="11"/>
        <v>16</v>
      </c>
      <c r="AQ20" s="20">
        <f t="shared" si="12"/>
        <v>35.15</v>
      </c>
      <c r="AR20" s="20">
        <f t="shared" si="13"/>
        <v>59.7</v>
      </c>
      <c r="AS20" s="35">
        <f t="shared" si="30"/>
        <v>336.25</v>
      </c>
      <c r="AU20" s="47">
        <v>663505</v>
      </c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44696</v>
      </c>
      <c r="B21" s="40">
        <v>133</v>
      </c>
      <c r="C21" s="24">
        <v>8065420</v>
      </c>
      <c r="D21" s="24">
        <v>18684620</v>
      </c>
      <c r="E21" s="24">
        <v>3212120</v>
      </c>
      <c r="F21" s="24">
        <v>4028930</v>
      </c>
      <c r="G21" s="24">
        <v>11981220</v>
      </c>
      <c r="H21" s="24">
        <v>6847260</v>
      </c>
      <c r="I21" s="24">
        <v>5998060</v>
      </c>
      <c r="J21" s="24">
        <v>7397830</v>
      </c>
      <c r="K21" s="24">
        <v>10952860</v>
      </c>
      <c r="L21" s="24">
        <v>4714580</v>
      </c>
      <c r="M21" s="24">
        <v>8962160</v>
      </c>
      <c r="N21" s="24">
        <v>14474260</v>
      </c>
      <c r="O21" s="24">
        <v>20246580</v>
      </c>
      <c r="Q21" s="37">
        <f t="shared" si="17"/>
        <v>8650</v>
      </c>
      <c r="R21" s="37">
        <f t="shared" si="18"/>
        <v>11900</v>
      </c>
      <c r="S21" s="37">
        <f t="shared" si="16"/>
        <v>150</v>
      </c>
      <c r="T21" s="37">
        <f t="shared" si="19"/>
        <v>1590</v>
      </c>
      <c r="U21" s="37">
        <f t="shared" si="20"/>
        <v>4530</v>
      </c>
      <c r="V21" s="37">
        <f t="shared" si="21"/>
        <v>3840</v>
      </c>
      <c r="W21" s="37">
        <f t="shared" si="22"/>
        <v>2740</v>
      </c>
      <c r="X21" s="37">
        <f t="shared" si="23"/>
        <v>4110</v>
      </c>
      <c r="Y21" s="37">
        <f t="shared" si="24"/>
        <v>5110</v>
      </c>
      <c r="Z21" s="37">
        <f t="shared" si="25"/>
        <v>2710</v>
      </c>
      <c r="AA21" s="37">
        <f t="shared" si="26"/>
        <v>3170</v>
      </c>
      <c r="AB21" s="37">
        <f t="shared" si="27"/>
        <v>7350</v>
      </c>
      <c r="AC21" s="37">
        <f t="shared" si="28"/>
        <v>11300</v>
      </c>
      <c r="AD21" s="35">
        <f t="shared" si="29"/>
        <v>67150</v>
      </c>
      <c r="AF21" s="20">
        <f t="shared" si="1"/>
        <v>43.25</v>
      </c>
      <c r="AG21" s="20">
        <f t="shared" si="2"/>
        <v>59.5</v>
      </c>
      <c r="AH21" s="20">
        <f t="shared" si="3"/>
        <v>0.75</v>
      </c>
      <c r="AI21" s="20">
        <f t="shared" si="4"/>
        <v>7.95</v>
      </c>
      <c r="AJ21" s="20">
        <f t="shared" si="5"/>
        <v>22.650000000000002</v>
      </c>
      <c r="AK21" s="20">
        <f t="shared" si="6"/>
        <v>19.2</v>
      </c>
      <c r="AL21" s="20">
        <f t="shared" si="7"/>
        <v>13.700000000000001</v>
      </c>
      <c r="AM21" s="20">
        <f t="shared" si="8"/>
        <v>20.55</v>
      </c>
      <c r="AN21" s="20">
        <f t="shared" si="9"/>
        <v>25.55</v>
      </c>
      <c r="AO21" s="20">
        <f t="shared" si="10"/>
        <v>13.55</v>
      </c>
      <c r="AP21" s="20">
        <f t="shared" si="11"/>
        <v>15.85</v>
      </c>
      <c r="AQ21" s="20">
        <f t="shared" si="12"/>
        <v>36.75</v>
      </c>
      <c r="AR21" s="20">
        <f t="shared" si="13"/>
        <v>56.5</v>
      </c>
      <c r="AS21" s="35">
        <f t="shared" si="30"/>
        <v>335.75</v>
      </c>
      <c r="AU21" s="47">
        <v>663505</v>
      </c>
      <c r="AV21" s="37">
        <f t="shared" si="31"/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44697</v>
      </c>
      <c r="B22" s="40">
        <v>153</v>
      </c>
      <c r="C22" s="24">
        <v>8074690</v>
      </c>
      <c r="D22" s="24">
        <v>18697170</v>
      </c>
      <c r="E22" s="24">
        <v>3212250</v>
      </c>
      <c r="F22" s="24">
        <v>4030520</v>
      </c>
      <c r="G22" s="24">
        <v>11985750</v>
      </c>
      <c r="H22" s="24">
        <v>6851070</v>
      </c>
      <c r="I22" s="24">
        <v>6000930</v>
      </c>
      <c r="J22" s="44">
        <v>7402090</v>
      </c>
      <c r="K22" s="24">
        <v>10957730</v>
      </c>
      <c r="L22" s="24">
        <v>4717360</v>
      </c>
      <c r="M22" s="24">
        <v>8965330</v>
      </c>
      <c r="N22" s="24">
        <v>14481470</v>
      </c>
      <c r="O22" s="44">
        <v>20256860</v>
      </c>
      <c r="Q22" s="37">
        <f t="shared" si="17"/>
        <v>9270</v>
      </c>
      <c r="R22" s="37">
        <f t="shared" si="18"/>
        <v>12550</v>
      </c>
      <c r="S22" s="37">
        <f t="shared" si="16"/>
        <v>130</v>
      </c>
      <c r="T22" s="37">
        <f t="shared" si="19"/>
        <v>1590</v>
      </c>
      <c r="U22" s="37">
        <f t="shared" si="20"/>
        <v>4530</v>
      </c>
      <c r="V22" s="37">
        <f t="shared" si="21"/>
        <v>3810</v>
      </c>
      <c r="W22" s="37">
        <f t="shared" si="22"/>
        <v>2870</v>
      </c>
      <c r="X22" s="37">
        <f t="shared" si="23"/>
        <v>4260</v>
      </c>
      <c r="Y22" s="37">
        <f t="shared" si="24"/>
        <v>4870</v>
      </c>
      <c r="Z22" s="37">
        <f t="shared" si="25"/>
        <v>2780</v>
      </c>
      <c r="AA22" s="37">
        <f t="shared" si="26"/>
        <v>3170</v>
      </c>
      <c r="AB22" s="37">
        <f t="shared" si="27"/>
        <v>7210</v>
      </c>
      <c r="AC22" s="37">
        <f t="shared" si="28"/>
        <v>10280</v>
      </c>
      <c r="AD22" s="35">
        <f t="shared" si="29"/>
        <v>67320</v>
      </c>
      <c r="AF22" s="20">
        <f t="shared" si="1"/>
        <v>46.35</v>
      </c>
      <c r="AG22" s="20">
        <f t="shared" si="2"/>
        <v>62.75</v>
      </c>
      <c r="AH22" s="20">
        <f t="shared" si="3"/>
        <v>0.65</v>
      </c>
      <c r="AI22" s="20">
        <f t="shared" si="4"/>
        <v>7.95</v>
      </c>
      <c r="AJ22" s="20">
        <f t="shared" si="5"/>
        <v>22.650000000000002</v>
      </c>
      <c r="AK22" s="20">
        <f t="shared" si="6"/>
        <v>19.05</v>
      </c>
      <c r="AL22" s="20">
        <f t="shared" si="7"/>
        <v>14.35</v>
      </c>
      <c r="AM22" s="20">
        <f t="shared" si="8"/>
        <v>21.3</v>
      </c>
      <c r="AN22" s="20">
        <f t="shared" si="9"/>
        <v>24.35</v>
      </c>
      <c r="AO22" s="20">
        <f t="shared" si="10"/>
        <v>13.9</v>
      </c>
      <c r="AP22" s="20">
        <f t="shared" si="11"/>
        <v>15.85</v>
      </c>
      <c r="AQ22" s="20">
        <f t="shared" si="12"/>
        <v>36.050000000000004</v>
      </c>
      <c r="AR22" s="20">
        <f t="shared" si="13"/>
        <v>51.4</v>
      </c>
      <c r="AS22" s="35">
        <f t="shared" si="30"/>
        <v>336.59999999999997</v>
      </c>
      <c r="AU22" s="47">
        <v>663505</v>
      </c>
      <c r="AV22" s="37">
        <f t="shared" si="31"/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44698</v>
      </c>
      <c r="B23" s="40">
        <v>139</v>
      </c>
      <c r="C23" s="24">
        <v>8083270</v>
      </c>
      <c r="D23" s="24">
        <v>18708960</v>
      </c>
      <c r="E23" s="24">
        <v>3212360</v>
      </c>
      <c r="F23" s="24">
        <v>4032030</v>
      </c>
      <c r="G23" s="24">
        <v>11990180</v>
      </c>
      <c r="H23" s="24">
        <v>6854950</v>
      </c>
      <c r="I23" s="24">
        <v>6003820</v>
      </c>
      <c r="J23" s="24">
        <v>7406270</v>
      </c>
      <c r="K23" s="24">
        <v>10961980</v>
      </c>
      <c r="L23" s="24">
        <v>4719930</v>
      </c>
      <c r="M23" s="24">
        <v>8968430</v>
      </c>
      <c r="N23" s="24">
        <v>14488160</v>
      </c>
      <c r="O23" s="24">
        <v>20267430</v>
      </c>
      <c r="Q23" s="37">
        <f t="shared" si="17"/>
        <v>8580</v>
      </c>
      <c r="R23" s="37">
        <f t="shared" si="18"/>
        <v>11790</v>
      </c>
      <c r="S23" s="37">
        <f t="shared" si="16"/>
        <v>110</v>
      </c>
      <c r="T23" s="37">
        <f t="shared" si="19"/>
        <v>1510</v>
      </c>
      <c r="U23" s="37">
        <f t="shared" si="20"/>
        <v>4430</v>
      </c>
      <c r="V23" s="37">
        <f t="shared" si="21"/>
        <v>3880</v>
      </c>
      <c r="W23" s="37">
        <f t="shared" si="22"/>
        <v>2890</v>
      </c>
      <c r="X23" s="37">
        <f t="shared" si="23"/>
        <v>4180</v>
      </c>
      <c r="Y23" s="37">
        <f t="shared" si="24"/>
        <v>4250</v>
      </c>
      <c r="Z23" s="37">
        <f t="shared" si="25"/>
        <v>2570</v>
      </c>
      <c r="AA23" s="37">
        <f t="shared" si="26"/>
        <v>3100</v>
      </c>
      <c r="AB23" s="37">
        <f t="shared" si="27"/>
        <v>6690</v>
      </c>
      <c r="AC23" s="37">
        <f t="shared" si="28"/>
        <v>10570</v>
      </c>
      <c r="AD23" s="35">
        <f t="shared" si="29"/>
        <v>64550</v>
      </c>
      <c r="AF23" s="20">
        <f t="shared" si="1"/>
        <v>42.9</v>
      </c>
      <c r="AG23" s="20">
        <f t="shared" si="2"/>
        <v>58.95</v>
      </c>
      <c r="AH23" s="20">
        <f t="shared" si="3"/>
        <v>0.55000000000000004</v>
      </c>
      <c r="AI23" s="20">
        <f t="shared" si="4"/>
        <v>7.55</v>
      </c>
      <c r="AJ23" s="20">
        <f t="shared" si="5"/>
        <v>22.150000000000002</v>
      </c>
      <c r="AK23" s="20">
        <f t="shared" si="6"/>
        <v>19.400000000000002</v>
      </c>
      <c r="AL23" s="20">
        <f t="shared" si="7"/>
        <v>14.450000000000001</v>
      </c>
      <c r="AM23" s="20">
        <f t="shared" si="8"/>
        <v>20.900000000000002</v>
      </c>
      <c r="AN23" s="20">
        <f t="shared" si="9"/>
        <v>21.25</v>
      </c>
      <c r="AO23" s="20">
        <f t="shared" si="10"/>
        <v>12.85</v>
      </c>
      <c r="AP23" s="20">
        <f t="shared" si="11"/>
        <v>15.5</v>
      </c>
      <c r="AQ23" s="20">
        <f t="shared" si="12"/>
        <v>33.450000000000003</v>
      </c>
      <c r="AR23" s="20">
        <f t="shared" si="13"/>
        <v>52.85</v>
      </c>
      <c r="AS23" s="35">
        <f t="shared" si="30"/>
        <v>322.75</v>
      </c>
      <c r="AU23" s="47">
        <v>663505</v>
      </c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44699</v>
      </c>
      <c r="B24" s="40">
        <v>149</v>
      </c>
      <c r="C24" s="24">
        <v>8092330</v>
      </c>
      <c r="D24" s="24">
        <v>18721280</v>
      </c>
      <c r="E24" s="24">
        <v>3212480</v>
      </c>
      <c r="F24" s="24">
        <v>4033610</v>
      </c>
      <c r="G24" s="24">
        <v>11994610</v>
      </c>
      <c r="H24" s="24">
        <v>6858980</v>
      </c>
      <c r="I24" s="24">
        <v>6007020</v>
      </c>
      <c r="J24" s="24">
        <v>7410740</v>
      </c>
      <c r="K24" s="24">
        <v>10966950</v>
      </c>
      <c r="L24" s="24">
        <v>4722550</v>
      </c>
      <c r="M24" s="24">
        <v>8971470</v>
      </c>
      <c r="N24" s="24">
        <v>14495310</v>
      </c>
      <c r="O24" s="24">
        <v>20277590</v>
      </c>
      <c r="Q24" s="37">
        <f t="shared" si="17"/>
        <v>9060</v>
      </c>
      <c r="R24" s="37">
        <f t="shared" si="18"/>
        <v>12320</v>
      </c>
      <c r="S24" s="37">
        <f t="shared" si="16"/>
        <v>120</v>
      </c>
      <c r="T24" s="37">
        <f t="shared" si="19"/>
        <v>1580</v>
      </c>
      <c r="U24" s="37">
        <f t="shared" si="20"/>
        <v>4430</v>
      </c>
      <c r="V24" s="37">
        <f t="shared" si="21"/>
        <v>4030</v>
      </c>
      <c r="W24" s="37">
        <f t="shared" si="22"/>
        <v>3200</v>
      </c>
      <c r="X24" s="37">
        <f t="shared" si="23"/>
        <v>4470</v>
      </c>
      <c r="Y24" s="37">
        <f t="shared" si="24"/>
        <v>4970</v>
      </c>
      <c r="Z24" s="37">
        <f t="shared" si="25"/>
        <v>2620</v>
      </c>
      <c r="AA24" s="37">
        <f t="shared" si="26"/>
        <v>3040</v>
      </c>
      <c r="AB24" s="37">
        <f t="shared" si="27"/>
        <v>7150</v>
      </c>
      <c r="AC24" s="37">
        <f t="shared" si="28"/>
        <v>10160</v>
      </c>
      <c r="AD24" s="35">
        <f t="shared" si="29"/>
        <v>67150</v>
      </c>
      <c r="AF24" s="20">
        <f t="shared" si="1"/>
        <v>45.300000000000004</v>
      </c>
      <c r="AG24" s="20">
        <f t="shared" si="2"/>
        <v>61.6</v>
      </c>
      <c r="AH24" s="20">
        <f t="shared" si="3"/>
        <v>0.6</v>
      </c>
      <c r="AI24" s="20">
        <f t="shared" si="4"/>
        <v>7.9</v>
      </c>
      <c r="AJ24" s="20">
        <f t="shared" si="5"/>
        <v>22.150000000000002</v>
      </c>
      <c r="AK24" s="20">
        <f t="shared" si="6"/>
        <v>20.150000000000002</v>
      </c>
      <c r="AL24" s="20">
        <f t="shared" si="7"/>
        <v>16</v>
      </c>
      <c r="AM24" s="20">
        <f t="shared" si="8"/>
        <v>22.35</v>
      </c>
      <c r="AN24" s="20">
        <f t="shared" si="9"/>
        <v>24.85</v>
      </c>
      <c r="AO24" s="20">
        <f t="shared" si="10"/>
        <v>13.1</v>
      </c>
      <c r="AP24" s="20">
        <f t="shared" si="11"/>
        <v>15.200000000000001</v>
      </c>
      <c r="AQ24" s="20">
        <f t="shared" si="12"/>
        <v>35.75</v>
      </c>
      <c r="AR24" s="20">
        <f t="shared" si="13"/>
        <v>50.800000000000004</v>
      </c>
      <c r="AS24" s="35">
        <f t="shared" si="30"/>
        <v>335.75</v>
      </c>
      <c r="AU24" s="47">
        <v>663505</v>
      </c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44700</v>
      </c>
      <c r="B25" s="40">
        <v>196</v>
      </c>
      <c r="C25" s="24">
        <v>8101690</v>
      </c>
      <c r="D25" s="24">
        <v>18733910</v>
      </c>
      <c r="E25" s="24">
        <v>3212610</v>
      </c>
      <c r="F25" s="24">
        <v>4035220</v>
      </c>
      <c r="G25" s="24">
        <v>11999220</v>
      </c>
      <c r="H25" s="24">
        <v>6863050</v>
      </c>
      <c r="I25" s="24">
        <v>6010230</v>
      </c>
      <c r="J25" s="24">
        <v>7415110</v>
      </c>
      <c r="K25" s="24">
        <v>10972350</v>
      </c>
      <c r="L25" s="24">
        <v>4725260</v>
      </c>
      <c r="M25" s="24">
        <v>8974580</v>
      </c>
      <c r="N25" s="24">
        <v>14502760</v>
      </c>
      <c r="O25" s="24">
        <v>20287130</v>
      </c>
      <c r="Q25" s="37">
        <f t="shared" ref="Q25:AC27" si="33">IF((C25-C24&lt;0), "0",C25-C24)</f>
        <v>9360</v>
      </c>
      <c r="R25" s="37">
        <f t="shared" si="18"/>
        <v>12630</v>
      </c>
      <c r="S25" s="37">
        <f t="shared" si="33"/>
        <v>130</v>
      </c>
      <c r="T25" s="37">
        <f t="shared" si="33"/>
        <v>1610</v>
      </c>
      <c r="U25" s="37">
        <f t="shared" si="33"/>
        <v>4610</v>
      </c>
      <c r="V25" s="37">
        <f t="shared" si="33"/>
        <v>4070</v>
      </c>
      <c r="W25" s="37">
        <f t="shared" si="33"/>
        <v>3210</v>
      </c>
      <c r="X25" s="37">
        <f t="shared" si="33"/>
        <v>4370</v>
      </c>
      <c r="Y25" s="37">
        <f t="shared" si="33"/>
        <v>5400</v>
      </c>
      <c r="Z25" s="37">
        <f t="shared" si="33"/>
        <v>2710</v>
      </c>
      <c r="AA25" s="37">
        <f t="shared" si="33"/>
        <v>3110</v>
      </c>
      <c r="AB25" s="37">
        <f t="shared" si="33"/>
        <v>7450</v>
      </c>
      <c r="AC25" s="37">
        <f t="shared" si="33"/>
        <v>9540</v>
      </c>
      <c r="AD25" s="35">
        <f t="shared" si="29"/>
        <v>68200</v>
      </c>
      <c r="AF25" s="20">
        <f t="shared" si="1"/>
        <v>46.800000000000004</v>
      </c>
      <c r="AG25" s="20">
        <f t="shared" si="2"/>
        <v>63.15</v>
      </c>
      <c r="AH25" s="20">
        <f t="shared" si="3"/>
        <v>0.65</v>
      </c>
      <c r="AI25" s="20">
        <f t="shared" si="4"/>
        <v>8.0500000000000007</v>
      </c>
      <c r="AJ25" s="20">
        <f t="shared" si="5"/>
        <v>23.05</v>
      </c>
      <c r="AK25" s="20">
        <f t="shared" si="6"/>
        <v>20.350000000000001</v>
      </c>
      <c r="AL25" s="20">
        <f t="shared" si="7"/>
        <v>16.05</v>
      </c>
      <c r="AM25" s="20">
        <f t="shared" si="8"/>
        <v>21.85</v>
      </c>
      <c r="AN25" s="20">
        <f t="shared" si="9"/>
        <v>27</v>
      </c>
      <c r="AO25" s="20">
        <f t="shared" si="10"/>
        <v>13.55</v>
      </c>
      <c r="AP25" s="20">
        <f t="shared" si="11"/>
        <v>15.55</v>
      </c>
      <c r="AQ25" s="20">
        <f t="shared" si="12"/>
        <v>37.25</v>
      </c>
      <c r="AR25" s="20">
        <f t="shared" si="13"/>
        <v>47.7</v>
      </c>
      <c r="AS25" s="35">
        <f t="shared" si="30"/>
        <v>341</v>
      </c>
      <c r="AU25" s="47">
        <v>663505</v>
      </c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44701</v>
      </c>
      <c r="B26" s="40">
        <v>201</v>
      </c>
      <c r="C26" s="24">
        <v>8111160</v>
      </c>
      <c r="D26" s="24">
        <v>18746680</v>
      </c>
      <c r="E26" s="24">
        <v>3212750</v>
      </c>
      <c r="F26" s="24">
        <v>4036850</v>
      </c>
      <c r="G26" s="24">
        <v>12004070</v>
      </c>
      <c r="H26" s="24">
        <v>6867140</v>
      </c>
      <c r="I26" s="24">
        <v>6013610</v>
      </c>
      <c r="J26" s="24">
        <v>7419610</v>
      </c>
      <c r="K26" s="24">
        <v>10977740</v>
      </c>
      <c r="L26" s="24">
        <v>4728060</v>
      </c>
      <c r="M26" s="24">
        <v>8978000</v>
      </c>
      <c r="N26" s="24">
        <v>14512090</v>
      </c>
      <c r="O26" s="24">
        <v>20295020</v>
      </c>
      <c r="Q26" s="37">
        <f t="shared" si="33"/>
        <v>9470</v>
      </c>
      <c r="R26" s="37">
        <f t="shared" si="18"/>
        <v>12770</v>
      </c>
      <c r="S26" s="37">
        <f t="shared" si="33"/>
        <v>140</v>
      </c>
      <c r="T26" s="37">
        <f t="shared" si="33"/>
        <v>1630</v>
      </c>
      <c r="U26" s="37">
        <f t="shared" si="33"/>
        <v>4850</v>
      </c>
      <c r="V26" s="37">
        <f t="shared" si="33"/>
        <v>4090</v>
      </c>
      <c r="W26" s="37">
        <f t="shared" si="33"/>
        <v>3380</v>
      </c>
      <c r="X26" s="37">
        <f t="shared" si="33"/>
        <v>4500</v>
      </c>
      <c r="Y26" s="37">
        <f t="shared" si="33"/>
        <v>5390</v>
      </c>
      <c r="Z26" s="37">
        <f t="shared" si="33"/>
        <v>2800</v>
      </c>
      <c r="AA26" s="37">
        <f t="shared" si="33"/>
        <v>3420</v>
      </c>
      <c r="AB26" s="37">
        <f t="shared" si="33"/>
        <v>9330</v>
      </c>
      <c r="AC26" s="37">
        <f t="shared" si="33"/>
        <v>7890</v>
      </c>
      <c r="AD26" s="35">
        <f t="shared" si="29"/>
        <v>69660</v>
      </c>
      <c r="AF26" s="20">
        <f t="shared" si="1"/>
        <v>47.35</v>
      </c>
      <c r="AG26" s="20">
        <f t="shared" si="2"/>
        <v>63.85</v>
      </c>
      <c r="AH26" s="20">
        <f t="shared" si="3"/>
        <v>0.70000000000000007</v>
      </c>
      <c r="AI26" s="20">
        <f t="shared" si="4"/>
        <v>8.15</v>
      </c>
      <c r="AJ26" s="20">
        <f t="shared" si="5"/>
        <v>24.25</v>
      </c>
      <c r="AK26" s="20">
        <f t="shared" si="6"/>
        <v>20.45</v>
      </c>
      <c r="AL26" s="20">
        <f t="shared" si="7"/>
        <v>16.899999999999999</v>
      </c>
      <c r="AM26" s="20">
        <f t="shared" si="8"/>
        <v>22.5</v>
      </c>
      <c r="AN26" s="20">
        <f t="shared" si="9"/>
        <v>26.95</v>
      </c>
      <c r="AO26" s="20">
        <f t="shared" si="10"/>
        <v>14</v>
      </c>
      <c r="AP26" s="20">
        <f t="shared" si="11"/>
        <v>17.100000000000001</v>
      </c>
      <c r="AQ26" s="20">
        <f t="shared" si="12"/>
        <v>46.65</v>
      </c>
      <c r="AR26" s="20">
        <f t="shared" si="13"/>
        <v>39.450000000000003</v>
      </c>
      <c r="AS26" s="35">
        <f t="shared" si="30"/>
        <v>348.29999999999995</v>
      </c>
      <c r="AU26" s="47">
        <v>663505</v>
      </c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44702</v>
      </c>
      <c r="B27" s="40">
        <v>197</v>
      </c>
      <c r="C27" s="24">
        <v>8121110</v>
      </c>
      <c r="D27" s="24">
        <v>18759980</v>
      </c>
      <c r="E27" s="24">
        <v>3212890</v>
      </c>
      <c r="F27" s="24">
        <v>4038510</v>
      </c>
      <c r="G27" s="24">
        <v>12008910</v>
      </c>
      <c r="H27" s="24">
        <v>6871380</v>
      </c>
      <c r="I27" s="24">
        <v>6017060</v>
      </c>
      <c r="J27" s="24">
        <v>7424290</v>
      </c>
      <c r="K27" s="24">
        <v>10983080</v>
      </c>
      <c r="L27" s="24">
        <v>4730960</v>
      </c>
      <c r="M27" s="24">
        <v>8981610</v>
      </c>
      <c r="N27" s="24">
        <v>14518020</v>
      </c>
      <c r="O27" s="24">
        <v>20305300</v>
      </c>
      <c r="Q27" s="37">
        <f t="shared" si="33"/>
        <v>9950</v>
      </c>
      <c r="R27" s="37">
        <f t="shared" si="18"/>
        <v>13300</v>
      </c>
      <c r="S27" s="37">
        <f t="shared" si="33"/>
        <v>140</v>
      </c>
      <c r="T27" s="37">
        <f t="shared" si="33"/>
        <v>1660</v>
      </c>
      <c r="U27" s="37">
        <f t="shared" si="33"/>
        <v>4840</v>
      </c>
      <c r="V27" s="37">
        <f t="shared" si="33"/>
        <v>4240</v>
      </c>
      <c r="W27" s="37">
        <f t="shared" si="33"/>
        <v>3450</v>
      </c>
      <c r="X27" s="37">
        <f t="shared" si="33"/>
        <v>4680</v>
      </c>
      <c r="Y27" s="37">
        <f t="shared" si="33"/>
        <v>5340</v>
      </c>
      <c r="Z27" s="37">
        <f t="shared" si="33"/>
        <v>2900</v>
      </c>
      <c r="AA27" s="37">
        <f t="shared" si="33"/>
        <v>3610</v>
      </c>
      <c r="AB27" s="37">
        <f t="shared" si="33"/>
        <v>5930</v>
      </c>
      <c r="AC27" s="37">
        <f t="shared" si="33"/>
        <v>10280</v>
      </c>
      <c r="AD27" s="35">
        <f t="shared" si="29"/>
        <v>70320</v>
      </c>
      <c r="AF27" s="20">
        <f t="shared" si="1"/>
        <v>49.75</v>
      </c>
      <c r="AG27" s="20">
        <f t="shared" si="2"/>
        <v>66.5</v>
      </c>
      <c r="AH27" s="20">
        <f t="shared" si="3"/>
        <v>0.70000000000000007</v>
      </c>
      <c r="AI27" s="20">
        <f t="shared" si="4"/>
        <v>8.3000000000000007</v>
      </c>
      <c r="AJ27" s="20">
        <f t="shared" si="5"/>
        <v>24.2</v>
      </c>
      <c r="AK27" s="20">
        <f t="shared" si="6"/>
        <v>21.2</v>
      </c>
      <c r="AL27" s="20">
        <f t="shared" si="7"/>
        <v>17.25</v>
      </c>
      <c r="AM27" s="20">
        <f t="shared" si="8"/>
        <v>23.400000000000002</v>
      </c>
      <c r="AN27" s="20">
        <f t="shared" si="9"/>
        <v>26.7</v>
      </c>
      <c r="AO27" s="20">
        <f t="shared" si="10"/>
        <v>14.5</v>
      </c>
      <c r="AP27" s="20">
        <f t="shared" si="11"/>
        <v>18.05</v>
      </c>
      <c r="AQ27" s="20">
        <f t="shared" si="12"/>
        <v>29.650000000000002</v>
      </c>
      <c r="AR27" s="20">
        <f t="shared" si="13"/>
        <v>51.4</v>
      </c>
      <c r="AS27" s="35">
        <f t="shared" si="30"/>
        <v>351.59999999999991</v>
      </c>
      <c r="AU27" s="47">
        <v>663505</v>
      </c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44703</v>
      </c>
      <c r="B28" s="40">
        <v>231</v>
      </c>
      <c r="C28" s="24">
        <v>8130460</v>
      </c>
      <c r="D28" s="24">
        <v>18772620</v>
      </c>
      <c r="E28" s="24">
        <v>3213020</v>
      </c>
      <c r="F28" s="24">
        <v>4040140</v>
      </c>
      <c r="G28" s="24">
        <v>12013380</v>
      </c>
      <c r="H28" s="24">
        <v>6875470</v>
      </c>
      <c r="I28" s="24">
        <v>6020790</v>
      </c>
      <c r="J28" s="24">
        <v>7428930</v>
      </c>
      <c r="K28" s="24">
        <v>10988260</v>
      </c>
      <c r="L28" s="24">
        <v>4733930</v>
      </c>
      <c r="M28" s="24">
        <v>8985100</v>
      </c>
      <c r="N28" s="24">
        <v>14525450</v>
      </c>
      <c r="O28" s="24">
        <v>20317610</v>
      </c>
      <c r="Q28" s="37">
        <f t="shared" si="17"/>
        <v>9350</v>
      </c>
      <c r="R28" s="37">
        <f t="shared" si="18"/>
        <v>12640</v>
      </c>
      <c r="S28" s="37">
        <f t="shared" si="16"/>
        <v>130</v>
      </c>
      <c r="T28" s="37">
        <f t="shared" si="19"/>
        <v>1630</v>
      </c>
      <c r="U28" s="37">
        <f t="shared" si="20"/>
        <v>4470</v>
      </c>
      <c r="V28" s="37">
        <f t="shared" si="21"/>
        <v>4090</v>
      </c>
      <c r="W28" s="37">
        <f t="shared" si="22"/>
        <v>3730</v>
      </c>
      <c r="X28" s="37">
        <f t="shared" si="23"/>
        <v>4640</v>
      </c>
      <c r="Y28" s="37">
        <f t="shared" si="24"/>
        <v>5180</v>
      </c>
      <c r="Z28" s="37">
        <f t="shared" si="25"/>
        <v>2970</v>
      </c>
      <c r="AA28" s="37">
        <f t="shared" si="26"/>
        <v>3490</v>
      </c>
      <c r="AB28" s="37">
        <f t="shared" si="27"/>
        <v>7430</v>
      </c>
      <c r="AC28" s="37">
        <f t="shared" si="28"/>
        <v>12310</v>
      </c>
      <c r="AD28" s="35">
        <f t="shared" si="29"/>
        <v>72060</v>
      </c>
      <c r="AF28" s="20">
        <f t="shared" si="1"/>
        <v>46.75</v>
      </c>
      <c r="AG28" s="20">
        <f t="shared" si="2"/>
        <v>63.2</v>
      </c>
      <c r="AH28" s="20">
        <f t="shared" si="3"/>
        <v>0.65</v>
      </c>
      <c r="AI28" s="20">
        <f t="shared" si="4"/>
        <v>8.15</v>
      </c>
      <c r="AJ28" s="20">
        <f t="shared" si="5"/>
        <v>22.35</v>
      </c>
      <c r="AK28" s="20">
        <f t="shared" si="6"/>
        <v>20.45</v>
      </c>
      <c r="AL28" s="20">
        <f t="shared" si="7"/>
        <v>18.650000000000002</v>
      </c>
      <c r="AM28" s="20">
        <f t="shared" si="8"/>
        <v>23.2</v>
      </c>
      <c r="AN28" s="20">
        <f t="shared" si="9"/>
        <v>25.900000000000002</v>
      </c>
      <c r="AO28" s="20">
        <f t="shared" si="10"/>
        <v>14.85</v>
      </c>
      <c r="AP28" s="20">
        <f t="shared" si="11"/>
        <v>17.45</v>
      </c>
      <c r="AQ28" s="20">
        <f t="shared" si="12"/>
        <v>37.15</v>
      </c>
      <c r="AR28" s="20">
        <f t="shared" si="13"/>
        <v>61.550000000000004</v>
      </c>
      <c r="AS28" s="35">
        <f t="shared" si="30"/>
        <v>360.3</v>
      </c>
      <c r="AU28" s="47">
        <v>663505</v>
      </c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44704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 t="str">
        <f t="shared" si="17"/>
        <v>0</v>
      </c>
      <c r="R29" s="37" t="str">
        <f t="shared" si="18"/>
        <v>0</v>
      </c>
      <c r="S29" s="37" t="str">
        <f t="shared" si="16"/>
        <v>0</v>
      </c>
      <c r="T29" s="37" t="str">
        <f t="shared" si="19"/>
        <v>0</v>
      </c>
      <c r="U29" s="37" t="str">
        <f t="shared" si="20"/>
        <v>0</v>
      </c>
      <c r="V29" s="37" t="str">
        <f t="shared" si="21"/>
        <v>0</v>
      </c>
      <c r="W29" s="37" t="str">
        <f t="shared" si="22"/>
        <v>0</v>
      </c>
      <c r="X29" s="37" t="str">
        <f t="shared" si="23"/>
        <v>0</v>
      </c>
      <c r="Y29" s="37" t="str">
        <f t="shared" si="24"/>
        <v>0</v>
      </c>
      <c r="Z29" s="37" t="str">
        <f t="shared" si="25"/>
        <v>0</v>
      </c>
      <c r="AA29" s="37" t="str">
        <f t="shared" si="26"/>
        <v>0</v>
      </c>
      <c r="AB29" s="37" t="str">
        <f t="shared" si="27"/>
        <v>0</v>
      </c>
      <c r="AC29" s="37" t="str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 t="str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44705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44706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44707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44708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44709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44710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44711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44712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174430</v>
      </c>
      <c r="R38" s="38">
        <f t="shared" ref="R38:AD38" si="60">SUM(R7:R37)</f>
        <v>215940</v>
      </c>
      <c r="S38" s="38">
        <f t="shared" si="60"/>
        <v>11490</v>
      </c>
      <c r="T38" s="38">
        <f t="shared" si="60"/>
        <v>34110</v>
      </c>
      <c r="U38" s="38">
        <f t="shared" si="60"/>
        <v>100090</v>
      </c>
      <c r="V38" s="38">
        <f t="shared" si="60"/>
        <v>87600</v>
      </c>
      <c r="W38" s="38">
        <f t="shared" si="60"/>
        <v>69450</v>
      </c>
      <c r="X38" s="38">
        <f t="shared" si="60"/>
        <v>93430</v>
      </c>
      <c r="Y38" s="38">
        <f t="shared" si="60"/>
        <v>108670</v>
      </c>
      <c r="Z38" s="38">
        <f t="shared" si="60"/>
        <v>59170</v>
      </c>
      <c r="AA38" s="38">
        <f t="shared" si="60"/>
        <v>69710</v>
      </c>
      <c r="AB38" s="38">
        <f t="shared" si="60"/>
        <v>156400</v>
      </c>
      <c r="AC38" s="38">
        <f t="shared" si="60"/>
        <v>227210</v>
      </c>
      <c r="AD38" s="38">
        <f t="shared" si="60"/>
        <v>1407700</v>
      </c>
      <c r="AF38" s="35">
        <f>SUM(AF7:AF37)</f>
        <v>872.15</v>
      </c>
      <c r="AG38" s="35">
        <f t="shared" ref="AG38:AS38" si="61">SUM(AG7:AG37)</f>
        <v>1079.7</v>
      </c>
      <c r="AH38" s="35">
        <f t="shared" si="61"/>
        <v>57.45</v>
      </c>
      <c r="AI38" s="35">
        <f t="shared" si="61"/>
        <v>170.55000000000007</v>
      </c>
      <c r="AJ38" s="35">
        <f t="shared" si="61"/>
        <v>500.44999999999993</v>
      </c>
      <c r="AK38" s="35">
        <f t="shared" si="61"/>
        <v>437.99999999999994</v>
      </c>
      <c r="AL38" s="35">
        <f t="shared" si="61"/>
        <v>347.24999999999994</v>
      </c>
      <c r="AM38" s="35">
        <f t="shared" si="61"/>
        <v>467.15000000000003</v>
      </c>
      <c r="AN38" s="35">
        <f t="shared" si="61"/>
        <v>543.35</v>
      </c>
      <c r="AO38" s="35">
        <f t="shared" si="61"/>
        <v>295.85000000000008</v>
      </c>
      <c r="AP38" s="35">
        <f t="shared" si="61"/>
        <v>348.55000000000007</v>
      </c>
      <c r="AQ38" s="35">
        <f t="shared" si="61"/>
        <v>781.99999999999989</v>
      </c>
      <c r="AR38" s="35">
        <f t="shared" si="61"/>
        <v>1136.05</v>
      </c>
      <c r="AS38" s="35">
        <f t="shared" si="61"/>
        <v>7038.5000000000009</v>
      </c>
      <c r="AU38" s="48"/>
      <c r="AV38" s="34">
        <f>SUM(AV7:AV37)</f>
        <v>0</v>
      </c>
      <c r="AW38" s="34">
        <f>SUM(AW7:AW37)</f>
        <v>0</v>
      </c>
      <c r="AX38" s="35">
        <f>SUM(AX7:AX37)</f>
        <v>0</v>
      </c>
    </row>
    <row r="39" spans="1:50" x14ac:dyDescent="0.25">
      <c r="B39" s="39">
        <f>SUM(B7:B36)</f>
        <v>3423</v>
      </c>
      <c r="D39">
        <v>5.0000000000000001E-3</v>
      </c>
      <c r="AV39" s="36"/>
      <c r="AW39" s="54">
        <f>AW38/31</f>
        <v>0</v>
      </c>
    </row>
    <row r="40" spans="1:50" x14ac:dyDescent="0.25">
      <c r="D40">
        <v>2E-3</v>
      </c>
    </row>
    <row r="44" spans="1:50" x14ac:dyDescent="0.25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2022-05-23T07:55:57Z</dcterms:modified>
</cp:coreProperties>
</file>