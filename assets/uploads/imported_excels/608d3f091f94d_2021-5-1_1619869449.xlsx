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/>
  <c r="S25"/>
  <c r="E20" i="3" l="1"/>
  <c r="E21"/>
  <c r="M19" i="12"/>
  <c r="M20"/>
  <c r="S26" i="1"/>
  <c r="S27"/>
  <c r="S28"/>
  <c r="S29"/>
  <c r="S30"/>
  <c r="S31"/>
  <c r="S32"/>
  <c r="S33"/>
  <c r="S34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AJ32"/>
  <c r="AJ33"/>
  <c r="AJ34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E43"/>
  <c r="G43" s="1"/>
  <c r="B43"/>
  <c r="D43" s="1"/>
  <c r="G42"/>
  <c r="E42"/>
  <c r="B42"/>
  <c r="D42" s="1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Q24" s="1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G43"/>
  <c r="I43" s="1"/>
  <c r="K43" s="1"/>
  <c r="B43"/>
  <c r="D43" s="1"/>
  <c r="F43" s="1"/>
  <c r="G42"/>
  <c r="I42" s="1"/>
  <c r="K42" s="1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43" l="1"/>
  <c r="L39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2" i="1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J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37" l="1"/>
  <c r="J34"/>
  <c r="J28"/>
  <c r="J24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2" i="23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F19"/>
  <c r="F20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37" i="14" l="1"/>
  <c r="R21"/>
  <c r="T31" i="18"/>
  <c r="Y31" s="1"/>
  <c r="T27"/>
  <c r="Y27" s="1"/>
  <c r="Y23"/>
  <c r="T23"/>
  <c r="T19"/>
  <c r="Y19" s="1"/>
  <c r="Y15"/>
  <c r="T15"/>
  <c r="T11"/>
  <c r="Y11" s="1"/>
  <c r="Y7"/>
  <c r="T7"/>
  <c r="T12"/>
  <c r="Y12" s="1"/>
  <c r="Y32"/>
  <c r="T32"/>
  <c r="T28"/>
  <c r="Y28" s="1"/>
  <c r="Y20"/>
  <c r="T20"/>
  <c r="T16"/>
  <c r="Y16" s="1"/>
  <c r="Y8"/>
  <c r="T8"/>
  <c r="T33"/>
  <c r="Y33" s="1"/>
  <c r="Y29"/>
  <c r="T29"/>
  <c r="T25"/>
  <c r="Y25" s="1"/>
  <c r="Y21"/>
  <c r="T21"/>
  <c r="T17"/>
  <c r="Y17" s="1"/>
  <c r="Y13"/>
  <c r="T13"/>
  <c r="T9"/>
  <c r="Y9" s="1"/>
  <c r="Y5"/>
  <c r="T5"/>
  <c r="T34"/>
  <c r="Y34" s="1"/>
  <c r="Y30"/>
  <c r="T30"/>
  <c r="T26"/>
  <c r="Y26" s="1"/>
  <c r="Y22"/>
  <c r="T22"/>
  <c r="T18"/>
  <c r="Y18" s="1"/>
  <c r="Y14"/>
  <c r="T14"/>
  <c r="T10"/>
  <c r="Y10" s="1"/>
  <c r="Y6"/>
  <c r="T6"/>
  <c r="H34" i="24"/>
  <c r="H36" i="23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J19" l="1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C9" i="1" l="1"/>
  <c r="C11" s="1"/>
  <c r="AT11" l="1"/>
  <c r="C12"/>
  <c r="J5" i="11"/>
  <c r="E5" i="23"/>
  <c r="H6" i="13"/>
  <c r="H3"/>
  <c r="AT12" i="1" l="1"/>
  <c r="C13"/>
  <c r="J6" i="11"/>
  <c r="H7" i="13"/>
  <c r="E6" i="23"/>
  <c r="C14" i="1" l="1"/>
  <c r="AT13"/>
  <c r="E7" i="23"/>
  <c r="J7" i="11"/>
  <c r="H8" i="13"/>
  <c r="AT14" i="1" l="1"/>
  <c r="C15"/>
  <c r="H9" i="13"/>
  <c r="J8" i="11"/>
  <c r="E8" i="23"/>
  <c r="AT15" i="1" l="1"/>
  <c r="C16"/>
  <c r="H10" i="13"/>
  <c r="J9" i="11"/>
  <c r="E9" i="23"/>
  <c r="AT16" i="1" l="1"/>
  <c r="C17"/>
  <c r="J10" i="11"/>
  <c r="H11" i="13"/>
  <c r="E10" i="23"/>
  <c r="AT17" i="1" l="1"/>
  <c r="C18"/>
  <c r="H12" i="13"/>
  <c r="J11" i="11"/>
  <c r="E11" i="23"/>
  <c r="AT18" i="1" l="1"/>
  <c r="C19"/>
  <c r="E12" i="23"/>
  <c r="H13" i="13"/>
  <c r="J12" i="11"/>
  <c r="AT19" i="1" l="1"/>
  <c r="C20"/>
  <c r="J13" i="11"/>
  <c r="H14" i="13"/>
  <c r="E13" i="23"/>
  <c r="AT20" i="1" l="1"/>
  <c r="C21"/>
  <c r="J14" i="11"/>
  <c r="H15" i="13"/>
  <c r="E14" i="23"/>
  <c r="AT21" i="1" l="1"/>
  <c r="C22"/>
  <c r="E15" i="23"/>
  <c r="J15" i="11"/>
  <c r="H16" i="13"/>
  <c r="AT22" i="1" l="1"/>
  <c r="C23"/>
  <c r="H17" i="13"/>
  <c r="J16" i="11"/>
  <c r="E16" i="23"/>
  <c r="AT23" i="1" l="1"/>
  <c r="C24"/>
  <c r="E17" i="23"/>
  <c r="J17" i="11"/>
  <c r="H18" i="13"/>
  <c r="AT24" i="1" l="1"/>
  <c r="C25"/>
  <c r="J18" i="11"/>
  <c r="H19" i="13"/>
  <c r="E18" i="23"/>
  <c r="C26" i="1" l="1"/>
  <c r="AT25"/>
  <c r="J19" i="11"/>
  <c r="E19" i="23"/>
  <c r="H20" i="13"/>
  <c r="C27" i="1" l="1"/>
  <c r="AT26"/>
  <c r="J20" i="11"/>
  <c r="H21" i="13"/>
  <c r="E20" i="23"/>
  <c r="C28" i="1" l="1"/>
  <c r="AT27"/>
  <c r="H22" i="13"/>
  <c r="J21" i="11"/>
  <c r="E21" i="23"/>
  <c r="C29" i="1" l="1"/>
  <c r="AT28"/>
  <c r="J22" i="11"/>
  <c r="H23" i="13"/>
  <c r="E22" i="23"/>
  <c r="AT29" i="1" l="1"/>
  <c r="C30"/>
  <c r="J23" i="11"/>
  <c r="H24" i="13"/>
  <c r="E23" i="23"/>
  <c r="C31" i="1" l="1"/>
  <c r="AT30"/>
  <c r="E24" i="23"/>
  <c r="J24" i="11"/>
  <c r="H25" i="13"/>
  <c r="AT31" i="1" l="1"/>
  <c r="C32"/>
  <c r="J25" i="11"/>
  <c r="H26" i="13"/>
  <c r="E25" i="23"/>
  <c r="C33" i="1" l="1"/>
  <c r="AT32"/>
  <c r="H27" i="13"/>
  <c r="J26" i="11"/>
  <c r="E26" i="23"/>
  <c r="C34" i="1" l="1"/>
  <c r="AT33"/>
  <c r="J27" i="11"/>
  <c r="E27" i="23"/>
  <c r="H28" i="13"/>
  <c r="C35" i="1" l="1"/>
  <c r="AT34"/>
  <c r="H29" i="13"/>
  <c r="J28" i="11"/>
  <c r="E28" i="23"/>
  <c r="AT35" i="1" l="1"/>
  <c r="C36"/>
  <c r="H30" i="13"/>
  <c r="E29" i="23"/>
  <c r="J29" i="11"/>
  <c r="C37" i="1" l="1"/>
  <c r="AT36"/>
  <c r="H31" i="13"/>
  <c r="E30" i="23"/>
  <c r="J30" i="11"/>
  <c r="C38" i="1" l="1"/>
  <c r="AT37"/>
  <c r="E31" i="23"/>
  <c r="J31" i="11"/>
  <c r="H32" i="13"/>
  <c r="C39" i="1" l="1"/>
  <c r="AT38"/>
  <c r="J32" i="11"/>
  <c r="H33" i="13"/>
  <c r="E32" i="23"/>
  <c r="AT39" i="1" l="1"/>
  <c r="C40"/>
  <c r="E33" i="23"/>
  <c r="J33" i="11"/>
  <c r="H34" i="13"/>
  <c r="C41" i="1" l="1"/>
  <c r="AT40"/>
  <c r="H35" i="13"/>
  <c r="J34" i="11"/>
  <c r="E34" i="23"/>
  <c r="C42" i="1" l="1"/>
  <c r="AT41"/>
  <c r="E35" i="23"/>
  <c r="J35" i="11"/>
  <c r="H36" i="13"/>
  <c r="C43" i="1" l="1"/>
  <c r="AT43" s="1"/>
  <c r="AT42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S1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17lts is pump error</t>
        </r>
      </text>
    </comment>
    <comment ref="S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2lts is for pump error. and the pump number one is stop from this point until the problem be fixed.</t>
        </r>
      </text>
    </commen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Green land vehicle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Albahi vehicle paid</t>
        </r>
      </text>
    </comment>
  </commentList>
</comments>
</file>

<file path=xl/comments2.xml><?xml version="1.0" encoding="utf-8"?>
<comments xmlns="http://schemas.openxmlformats.org/spreadsheetml/2006/main">
  <authors>
    <author>michael.wendo</author>
    <author>Josephat.Mnganya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  <comment ref="F42" authorId="1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19lts is for pump error</t>
        </r>
      </text>
    </comment>
  </commentList>
</comments>
</file>

<file path=xl/sharedStrings.xml><?xml version="1.0" encoding="utf-8"?>
<sst xmlns="http://schemas.openxmlformats.org/spreadsheetml/2006/main" count="606" uniqueCount="350">
  <si>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</si>
  <si>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</si>
  <si>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</si>
  <si>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</si>
  <si>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</si>
  <si>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</si>
  <si>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</si>
  <si>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</si>
  <si>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</si>
  <si>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</si>
  <si>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</si>
  <si>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</si>
  <si>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</si>
  <si>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</si>
  <si>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</si>
  <si>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</si>
  <si>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</si>
  <si>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</si>
  <si>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</si>
  <si>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</si>
  <si>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</si>
  <si>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</si>
  <si>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</si>
  <si>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</si>
  <si>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</si>
  <si>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</si>
  <si>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</si>
  <si>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</si>
  <si>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</si>
  <si>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</si>
  <si>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</si>
  <si>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</si>
  <si>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</si>
  <si>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</si>
  <si>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</si>
  <si>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</si>
  <si>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</si>
  <si>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</si>
  <si>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</si>
  <si>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</si>
  <si>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</si>
  <si>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</si>
  <si>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</si>
  <si>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</si>
  <si>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</si>
  <si>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</si>
  <si>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</si>
  <si>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</si>
  <si>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</si>
  <si>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</si>
  <si>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</si>
  <si>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</si>
  <si>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</si>
  <si>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</si>
  <si>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</si>
  <si>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</si>
  <si>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</si>
  <si>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</si>
  <si>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</si>
  <si>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</si>
  <si>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</si>
  <si>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</si>
  <si>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</si>
  <si>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</si>
  <si>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</si>
  <si>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</si>
  <si>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</si>
  <si>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</si>
  <si>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</si>
  <si>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</si>
  <si>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</si>
  <si>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</si>
  <si>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</si>
  <si>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</si>
  <si>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</si>
  <si>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</si>
  <si>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</si>
  <si>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</si>
  <si>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</si>
  <si>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</si>
  <si>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</si>
  <si>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</si>
  <si>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</si>
  <si>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</si>
  <si>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</si>
  <si>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</si>
  <si>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</si>
  <si>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</si>
  <si>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</si>
  <si>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</si>
  <si>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</si>
  <si>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</si>
  <si>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</si>
  <si>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</si>
  <si>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</si>
  <si>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</si>
  <si>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</si>
  <si>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</si>
  <si>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</si>
  <si>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</si>
  <si>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</si>
  <si>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</si>
  <si>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</si>
  <si>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</si>
  <si>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</si>
  <si>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</si>
  <si>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</si>
  <si>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</si>
  <si>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</si>
  <si>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</si>
  <si>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</si>
  <si>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</si>
  <si>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</si>
  <si>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</si>
  <si>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</si>
  <si>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</si>
  <si>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</si>
  <si>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</si>
  <si>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</si>
  <si>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</si>
  <si>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</si>
  <si>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</si>
  <si>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</si>
  <si>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</si>
  <si>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</si>
  <si>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</si>
  <si>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</si>
  <si>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</si>
  <si>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</si>
  <si>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</si>
  <si>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</si>
  <si>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</si>
  <si>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</si>
  <si>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</si>
  <si>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</si>
  <si>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</si>
  <si>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</si>
  <si>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</si>
  <si>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</si>
  <si>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</si>
  <si>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</si>
  <si>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</si>
  <si>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</si>
  <si>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</si>
  <si>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</si>
  <si>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</si>
  <si>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</si>
  <si>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</si>
  <si>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</si>
  <si>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</si>
  <si>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</si>
  <si>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</si>
  <si>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</si>
  <si>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</si>
  <si>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</si>
  <si>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</si>
  <si>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</si>
  <si>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</si>
  <si>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</si>
  <si>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</si>
  <si>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</si>
  <si>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</si>
  <si>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</si>
  <si>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</si>
  <si>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</si>
  <si>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</si>
  <si>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</si>
  <si>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</si>
  <si>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</si>
  <si>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</si>
  <si>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</si>
  <si>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</si>
  <si>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</si>
  <si>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</si>
  <si>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</si>
  <si>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</si>
  <si>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</si>
  <si>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</si>
  <si>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</si>
  <si>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</si>
  <si>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</si>
  <si>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</si>
  <si>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</si>
  <si>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</si>
  <si>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</si>
  <si>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</si>
  <si>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</si>
  <si>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</si>
  <si>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</si>
  <si>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</si>
  <si>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</si>
  <si>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</si>
  <si>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</si>
  <si>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</si>
  <si>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</si>
  <si>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</si>
  <si>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</si>
  <si>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</si>
  <si>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</si>
  <si>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</si>
  <si>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</si>
  <si>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</si>
  <si>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</si>
  <si>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</si>
  <si>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</si>
  <si>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</si>
  <si>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</si>
  <si>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</si>
  <si>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</si>
  <si>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</si>
  <si>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</si>
  <si>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</si>
  <si>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</si>
  <si>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</si>
  <si>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</si>
  <si>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</si>
  <si>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</si>
  <si>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</si>
  <si>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</si>
  <si>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</si>
  <si>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</si>
  <si>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</si>
  <si>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</si>
  <si>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</si>
  <si>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</si>
  <si>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</si>
  <si>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</si>
  <si>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</si>
  <si>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</si>
  <si>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</si>
  <si>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</si>
  <si>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</si>
  <si>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</si>
  <si>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</si>
  <si>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</si>
  <si>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</si>
  <si>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</si>
  <si>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</si>
  <si>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</si>
  <si>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</si>
  <si>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</si>
  <si>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</si>
  <si>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</si>
  <si>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</si>
  <si>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</si>
  <si>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</si>
  <si>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</si>
  <si>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</si>
  <si>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</si>
  <si>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</si>
  <si>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</si>
  <si>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</si>
  <si>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</si>
  <si>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</si>
  <si>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</si>
  <si>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</si>
  <si>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</si>
  <si>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</si>
  <si>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</si>
  <si>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</si>
  <si>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</si>
  <si>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</si>
  <si>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</si>
  <si>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</si>
  <si>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</si>
  <si>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</si>
  <si>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</si>
  <si>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</si>
  <si>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</si>
  <si>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</si>
  <si>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</si>
  <si>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</si>
  <si>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</si>
  <si>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</si>
  <si>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</si>
  <si>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</si>
  <si>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</si>
  <si>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</si>
  <si>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</si>
  <si>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</si>
  <si>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</si>
  <si>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</si>
  <si>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</si>
  <si>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</si>
  <si>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</si>
  <si>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</si>
  <si>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</si>
  <si>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</si>
  <si>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</si>
  <si>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</si>
  <si>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</si>
  <si>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</si>
  <si>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</si>
  <si>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</si>
  <si>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</si>
  <si>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</si>
  <si>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</si>
  <si>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</si>
  <si>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</si>
  <si>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</si>
  <si>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</si>
  <si>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</si>
  <si>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</si>
  <si>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</si>
  <si>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</si>
  <si>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</si>
  <si>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</si>
  <si>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</si>
  <si>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</si>
  <si>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</si>
  <si>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</si>
  <si>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</si>
  <si>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</si>
  <si>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</si>
  <si>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</si>
  <si>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</si>
  <si>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</si>
  <si>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VODACOM POWER METER READING</t>
  </si>
  <si>
    <t>AITEL POWER METER READING</t>
  </si>
  <si>
    <t>RAHA</t>
  </si>
  <si>
    <t>T880DKQ</t>
  </si>
  <si>
    <t>Gurisha</t>
  </si>
  <si>
    <t>T165DKR</t>
  </si>
  <si>
    <t>Chande</t>
  </si>
  <si>
    <t>T899DUQ</t>
  </si>
  <si>
    <t>Abdul</t>
  </si>
  <si>
    <t>Noel</t>
  </si>
  <si>
    <t>paid</t>
  </si>
  <si>
    <t>T248AUV</t>
  </si>
  <si>
    <t>Deo</t>
  </si>
  <si>
    <t>T111CWQ</t>
  </si>
  <si>
    <t>Wolfgang</t>
  </si>
  <si>
    <t>T106CWQ</t>
  </si>
  <si>
    <t>Kessi</t>
  </si>
  <si>
    <t>Hassan</t>
  </si>
  <si>
    <t>T364AHF</t>
  </si>
  <si>
    <t>T132CWQ</t>
  </si>
  <si>
    <t>Othuman</t>
  </si>
  <si>
    <t>T882DKQ</t>
  </si>
  <si>
    <t>Gudlack</t>
  </si>
  <si>
    <t>T391DKR</t>
  </si>
  <si>
    <t>Kaswa</t>
  </si>
  <si>
    <t>T840DDW</t>
  </si>
  <si>
    <t>Godlisen</t>
  </si>
  <si>
    <t>GAS TANK  A</t>
  </si>
  <si>
    <t>GAS TANK  B</t>
  </si>
  <si>
    <t>GAS TANK  C</t>
  </si>
  <si>
    <t>T675ANT</t>
  </si>
  <si>
    <t>Fadhili</t>
  </si>
  <si>
    <t>Godluck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</si>
</sst>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101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0" fontId="0" fillId="0" borderId="6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Fill="1" applyBorder="1"/>
    <xf numFmtId="0" fontId="23" fillId="0" borderId="60" xfId="0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/>
    </xf>
    <xf numFmtId="9" fontId="23" fillId="0" borderId="0" xfId="0" applyNumberFormat="1" applyFont="1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 applyBorder="1" applyAlignment="1"/>
    <xf numFmtId="0" fontId="23" fillId="0" borderId="60" xfId="0" applyFont="1" applyFill="1" applyBorder="1" applyAlignment="1">
      <alignment horizontal="center" vertical="center" wrapText="1"/>
    </xf>
    <xf numFmtId="0" fontId="23" fillId="0" borderId="80" xfId="0" applyFont="1" applyFill="1" applyBorder="1" applyAlignment="1">
      <alignment horizontal="center" vertical="center"/>
    </xf>
    <xf numFmtId="169" fontId="5" fillId="0" borderId="104" xfId="0" applyNumberFormat="1" applyFont="1" applyFill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Fill="1" applyBorder="1" applyAlignment="1">
      <alignment horizontal="center" vertical="center" wrapText="1"/>
    </xf>
    <xf numFmtId="0" fontId="0" fillId="0" borderId="22" xfId="0" applyFill="1" applyBorder="1"/>
    <xf numFmtId="2" fontId="0" fillId="0" borderId="0" xfId="0" applyNumberFormat="1" applyFill="1" applyBorder="1"/>
    <xf numFmtId="2" fontId="64" fillId="0" borderId="0" xfId="0" applyNumberFormat="1" applyFont="1" applyFill="1" applyBorder="1" applyAlignment="1">
      <alignment horizontal="right"/>
    </xf>
    <xf numFmtId="0" fontId="49" fillId="0" borderId="43" xfId="0" applyFont="1" applyBorder="1" applyAlignment="1">
      <alignment horizontal="center" vertical="center" wrapText="1"/>
    </xf>
    <xf numFmtId="0" fontId="0" fillId="0" borderId="15" xfId="0" applyBorder="1"/>
    <xf numFmtId="0" fontId="0" fillId="0" borderId="25" xfId="0" applyBorder="1"/>
    <xf numFmtId="0" fontId="0" fillId="0" borderId="24" xfId="0" applyBorder="1"/>
    <xf numFmtId="0" fontId="0" fillId="0" borderId="23" xfId="0" applyBorder="1"/>
    <xf numFmtId="0" fontId="37" fillId="0" borderId="5" xfId="0" applyFont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11" xfId="0" applyFont="1" applyBorder="1" applyAlignment="1">
      <alignment horizontal="center" vertical="center"/>
    </xf>
    <xf numFmtId="0" fontId="50" fillId="0" borderId="12" xfId="0" applyFont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0" fillId="0" borderId="28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3187</c:v>
                </c:pt>
                <c:pt idx="1">
                  <c:v>3546</c:v>
                </c:pt>
                <c:pt idx="2">
                  <c:v>3328</c:v>
                </c:pt>
                <c:pt idx="3">
                  <c:v>3250</c:v>
                </c:pt>
                <c:pt idx="4">
                  <c:v>3070</c:v>
                </c:pt>
                <c:pt idx="5">
                  <c:v>3363</c:v>
                </c:pt>
                <c:pt idx="6">
                  <c:v>3146</c:v>
                </c:pt>
                <c:pt idx="7">
                  <c:v>3314</c:v>
                </c:pt>
                <c:pt idx="8">
                  <c:v>3168</c:v>
                </c:pt>
                <c:pt idx="9">
                  <c:v>3237</c:v>
                </c:pt>
                <c:pt idx="10">
                  <c:v>3269</c:v>
                </c:pt>
                <c:pt idx="11">
                  <c:v>2665</c:v>
                </c:pt>
                <c:pt idx="12">
                  <c:v>2643</c:v>
                </c:pt>
                <c:pt idx="13">
                  <c:v>2618</c:v>
                </c:pt>
                <c:pt idx="14">
                  <c:v>2546</c:v>
                </c:pt>
                <c:pt idx="15">
                  <c:v>2694</c:v>
                </c:pt>
                <c:pt idx="16">
                  <c:v>2839</c:v>
                </c:pt>
                <c:pt idx="17">
                  <c:v>2733</c:v>
                </c:pt>
                <c:pt idx="18">
                  <c:v>2856</c:v>
                </c:pt>
                <c:pt idx="19">
                  <c:v>2700</c:v>
                </c:pt>
                <c:pt idx="20">
                  <c:v>2593</c:v>
                </c:pt>
                <c:pt idx="21">
                  <c:v>2657</c:v>
                </c:pt>
                <c:pt idx="22">
                  <c:v>2629</c:v>
                </c:pt>
                <c:pt idx="23">
                  <c:v>2890</c:v>
                </c:pt>
                <c:pt idx="24">
                  <c:v>2691</c:v>
                </c:pt>
                <c:pt idx="25">
                  <c:v>2733</c:v>
                </c:pt>
                <c:pt idx="26">
                  <c:v>2725</c:v>
                </c:pt>
                <c:pt idx="27">
                  <c:v>2813</c:v>
                </c:pt>
                <c:pt idx="28">
                  <c:v>2731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8357376"/>
        <c:axId val="13836326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2.6</c:v>
                </c:pt>
                <c:pt idx="1">
                  <c:v>2.6</c:v>
                </c:pt>
                <c:pt idx="2">
                  <c:v>5.19</c:v>
                </c:pt>
                <c:pt idx="3">
                  <c:v>7.79</c:v>
                </c:pt>
                <c:pt idx="4">
                  <c:v>5.19</c:v>
                </c:pt>
                <c:pt idx="5">
                  <c:v>11.69</c:v>
                </c:pt>
                <c:pt idx="6">
                  <c:v>12.99</c:v>
                </c:pt>
                <c:pt idx="7">
                  <c:v>15.58</c:v>
                </c:pt>
                <c:pt idx="8">
                  <c:v>15.58</c:v>
                </c:pt>
                <c:pt idx="9">
                  <c:v>11.69</c:v>
                </c:pt>
                <c:pt idx="10">
                  <c:v>12.99</c:v>
                </c:pt>
                <c:pt idx="11">
                  <c:v>14.29</c:v>
                </c:pt>
                <c:pt idx="12">
                  <c:v>14.29</c:v>
                </c:pt>
                <c:pt idx="13">
                  <c:v>9.09</c:v>
                </c:pt>
                <c:pt idx="14">
                  <c:v>7.79</c:v>
                </c:pt>
                <c:pt idx="15">
                  <c:v>6.49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8364800"/>
        <c:axId val="138366336"/>
      </c:lineChart>
      <c:catAx>
        <c:axId val="1383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3264"/>
        <c:crosses val="autoZero"/>
        <c:auto val="1"/>
        <c:lblAlgn val="ctr"/>
        <c:lblOffset val="100"/>
      </c:catAx>
      <c:valAx>
        <c:axId val="13836326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57376"/>
        <c:crosses val="autoZero"/>
        <c:crossBetween val="between"/>
        <c:majorUnit val="200"/>
      </c:valAx>
      <c:catAx>
        <c:axId val="138364800"/>
        <c:scaling>
          <c:orientation val="minMax"/>
        </c:scaling>
        <c:delete val="1"/>
        <c:axPos val="b"/>
        <c:tickLblPos val="none"/>
        <c:crossAx val="138366336"/>
        <c:crosses val="autoZero"/>
        <c:auto val="1"/>
        <c:lblAlgn val="ctr"/>
        <c:lblOffset val="100"/>
      </c:catAx>
      <c:valAx>
        <c:axId val="13836633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364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8400512"/>
        <c:axId val="1384020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8403840"/>
        <c:axId val="138405376"/>
      </c:lineChart>
      <c:catAx>
        <c:axId val="13840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2048"/>
        <c:crosses val="autoZero"/>
        <c:auto val="1"/>
        <c:lblAlgn val="ctr"/>
        <c:lblOffset val="100"/>
      </c:catAx>
      <c:valAx>
        <c:axId val="138402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0512"/>
        <c:crosses val="autoZero"/>
        <c:crossBetween val="between"/>
        <c:majorUnit val="200"/>
      </c:valAx>
      <c:catAx>
        <c:axId val="138403840"/>
        <c:scaling>
          <c:orientation val="minMax"/>
        </c:scaling>
        <c:delete val="1"/>
        <c:axPos val="b"/>
        <c:tickLblPos val="none"/>
        <c:crossAx val="138405376"/>
        <c:crosses val="autoZero"/>
        <c:auto val="1"/>
        <c:lblAlgn val="ctr"/>
        <c:lblOffset val="100"/>
      </c:catAx>
      <c:valAx>
        <c:axId val="13840537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038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2725</c:v>
                </c:pt>
                <c:pt idx="30">
                  <c:v>2813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95061888"/>
        <c:axId val="95063424"/>
      </c:lineChart>
      <c:catAx>
        <c:axId val="9506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63424"/>
        <c:crosses val="autoZero"/>
        <c:auto val="1"/>
        <c:lblAlgn val="ctr"/>
        <c:lblOffset val="200"/>
        <c:tickLblSkip val="1"/>
      </c:catAx>
      <c:valAx>
        <c:axId val="950634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6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0.01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95088000"/>
        <c:axId val="95511680"/>
      </c:lineChart>
      <c:catAx>
        <c:axId val="9508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511680"/>
        <c:crosses val="autoZero"/>
        <c:auto val="1"/>
        <c:lblAlgn val="ctr"/>
        <c:lblOffset val="100"/>
      </c:catAx>
      <c:valAx>
        <c:axId val="955116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8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0.42960000000000004</c:v>
                </c:pt>
                <c:pt idx="28">
                  <c:v>0.39306078919303239</c:v>
                </c:pt>
                <c:pt idx="29">
                  <c:v>0.40999267667521055</c:v>
                </c:pt>
                <c:pt idx="30">
                  <c:v>0.39306078919303239</c:v>
                </c:pt>
                <c:pt idx="31">
                  <c:v>0.40999267667521055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95958144"/>
        <c:axId val="95960064"/>
      </c:lineChart>
      <c:catAx>
        <c:axId val="959581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60064"/>
        <c:crosses val="autoZero"/>
        <c:auto val="1"/>
        <c:lblAlgn val="ctr"/>
        <c:lblOffset val="100"/>
      </c:catAx>
      <c:valAx>
        <c:axId val="959600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581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61</c:v>
                </c:pt>
                <c:pt idx="28">
                  <c:v>53</c:v>
                </c:pt>
                <c:pt idx="29">
                  <c:v>58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95993216"/>
        <c:axId val="96007680"/>
      </c:lineChart>
      <c:catAx>
        <c:axId val="95993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07680"/>
        <c:crosses val="autoZero"/>
        <c:auto val="1"/>
        <c:lblAlgn val="ctr"/>
        <c:lblOffset val="100"/>
      </c:catAx>
      <c:valAx>
        <c:axId val="96007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9932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84.4799999999872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62.347999999992325</c:v>
                </c:pt>
                <c:pt idx="29">
                  <c:v>62.656000000023056</c:v>
                </c:pt>
                <c:pt idx="30">
                  <c:v>57.023999999964147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36071040"/>
        <c:axId val="136072576"/>
      </c:lineChart>
      <c:catAx>
        <c:axId val="136071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72576"/>
        <c:crosses val="autoZero"/>
        <c:auto val="1"/>
        <c:lblAlgn val="ctr"/>
        <c:lblOffset val="100"/>
      </c:catAx>
      <c:valAx>
        <c:axId val="136072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71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36114560"/>
        <c:axId val="136116096"/>
      </c:lineChart>
      <c:catAx>
        <c:axId val="1361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16096"/>
        <c:crosses val="autoZero"/>
        <c:auto val="1"/>
        <c:lblAlgn val="ctr"/>
        <c:lblOffset val="100"/>
      </c:catAx>
      <c:valAx>
        <c:axId val="13611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1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2725</c:v>
                </c:pt>
                <c:pt idx="30">
                  <c:v>2813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96581120"/>
        <c:axId val="96582656"/>
      </c:lineChart>
      <c:catAx>
        <c:axId val="96581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2656"/>
        <c:crosses val="autoZero"/>
        <c:auto val="1"/>
        <c:lblAlgn val="ctr"/>
        <c:lblOffset val="100"/>
      </c:catAx>
      <c:valAx>
        <c:axId val="96582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81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11"/>
          <c:y val="7.471324705112365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97143808"/>
        <c:axId val="97149696"/>
      </c:lineChart>
      <c:catAx>
        <c:axId val="971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9696"/>
        <c:crosses val="autoZero"/>
        <c:auto val="1"/>
        <c:lblAlgn val="ctr"/>
        <c:lblOffset val="200"/>
        <c:tickLblSkip val="1"/>
      </c:catAx>
      <c:valAx>
        <c:axId val="971496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97186944"/>
        <c:axId val="97188480"/>
      </c:lineChart>
      <c:catAx>
        <c:axId val="9718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88480"/>
        <c:crosses val="autoZero"/>
        <c:auto val="1"/>
        <c:lblAlgn val="ctr"/>
        <c:lblOffset val="100"/>
      </c:catAx>
      <c:valAx>
        <c:axId val="97188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18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97340032"/>
        <c:axId val="97649408"/>
      </c:lineChart>
      <c:catAx>
        <c:axId val="97340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49408"/>
        <c:crosses val="autoZero"/>
        <c:auto val="1"/>
        <c:lblAlgn val="ctr"/>
        <c:lblOffset val="100"/>
      </c:catAx>
      <c:valAx>
        <c:axId val="97649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40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97698944"/>
        <c:axId val="97700864"/>
      </c:lineChart>
      <c:catAx>
        <c:axId val="97698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700864"/>
        <c:crosses val="autoZero"/>
        <c:auto val="1"/>
        <c:lblAlgn val="ctr"/>
        <c:lblOffset val="100"/>
      </c:catAx>
      <c:valAx>
        <c:axId val="97700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6989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97926528"/>
        <c:axId val="97932416"/>
      </c:lineChart>
      <c:catAx>
        <c:axId val="9792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32416"/>
        <c:crosses val="autoZero"/>
        <c:auto val="1"/>
        <c:lblAlgn val="ctr"/>
        <c:lblOffset val="100"/>
      </c:catAx>
      <c:valAx>
        <c:axId val="9793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2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97970048"/>
        <c:axId val="97971584"/>
      </c:lineChart>
      <c:catAx>
        <c:axId val="9797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1584"/>
        <c:crosses val="autoZero"/>
        <c:auto val="1"/>
        <c:lblAlgn val="ctr"/>
        <c:lblOffset val="100"/>
      </c:catAx>
      <c:valAx>
        <c:axId val="9797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7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98135040"/>
        <c:axId val="98145024"/>
      </c:lineChart>
      <c:catAx>
        <c:axId val="981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45024"/>
        <c:crosses val="autoZero"/>
        <c:auto val="1"/>
        <c:lblAlgn val="ctr"/>
        <c:lblOffset val="100"/>
      </c:catAx>
      <c:valAx>
        <c:axId val="98145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844"/>
          <c:y val="7.471324705112408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98441088"/>
        <c:axId val="9844262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98448512"/>
        <c:axId val="98450048"/>
      </c:lineChart>
      <c:catAx>
        <c:axId val="98441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2624"/>
        <c:crosses val="autoZero"/>
        <c:lblAlgn val="ctr"/>
        <c:lblOffset val="100"/>
        <c:tickMarkSkip val="1"/>
      </c:catAx>
      <c:valAx>
        <c:axId val="98442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1088"/>
        <c:crosses val="autoZero"/>
        <c:crossBetween val="between"/>
      </c:valAx>
      <c:catAx>
        <c:axId val="98448512"/>
        <c:scaling>
          <c:orientation val="minMax"/>
        </c:scaling>
        <c:delete val="1"/>
        <c:axPos val="b"/>
        <c:numFmt formatCode="[$-409]d\-mmm\-yy;@" sourceLinked="1"/>
        <c:tickLblPos val="none"/>
        <c:crossAx val="98450048"/>
        <c:crosses val="autoZero"/>
        <c:lblAlgn val="ctr"/>
        <c:lblOffset val="100"/>
      </c:catAx>
      <c:valAx>
        <c:axId val="9845004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485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98491008"/>
        <c:axId val="98742656"/>
      </c:lineChart>
      <c:catAx>
        <c:axId val="98491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742656"/>
        <c:crosses val="autoZero"/>
        <c:auto val="1"/>
        <c:lblAlgn val="ctr"/>
        <c:lblOffset val="100"/>
      </c:catAx>
      <c:valAx>
        <c:axId val="9874265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91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98910592"/>
        <c:axId val="98912128"/>
      </c:lineChart>
      <c:catAx>
        <c:axId val="98910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12128"/>
        <c:crosses val="autoZero"/>
        <c:auto val="1"/>
        <c:lblAlgn val="ctr"/>
        <c:lblOffset val="100"/>
      </c:catAx>
      <c:valAx>
        <c:axId val="9891212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10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98939264"/>
        <c:axId val="989408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98942336"/>
        <c:axId val="94774400"/>
      </c:lineChart>
      <c:catAx>
        <c:axId val="98939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0800"/>
        <c:crosses val="autoZero"/>
        <c:lblAlgn val="ctr"/>
        <c:lblOffset val="100"/>
        <c:tickMarkSkip val="1"/>
      </c:catAx>
      <c:valAx>
        <c:axId val="98940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39264"/>
        <c:crosses val="autoZero"/>
        <c:crossBetween val="between"/>
      </c:valAx>
      <c:catAx>
        <c:axId val="98942336"/>
        <c:scaling>
          <c:orientation val="minMax"/>
        </c:scaling>
        <c:delete val="1"/>
        <c:axPos val="b"/>
        <c:numFmt formatCode="General" sourceLinked="1"/>
        <c:tickLblPos val="none"/>
        <c:crossAx val="94774400"/>
        <c:crosses val="autoZero"/>
        <c:lblAlgn val="ctr"/>
        <c:lblOffset val="100"/>
      </c:catAx>
      <c:valAx>
        <c:axId val="947744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9423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94810880"/>
        <c:axId val="94812416"/>
      </c:lineChart>
      <c:catAx>
        <c:axId val="94810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2416"/>
        <c:crosses val="autoZero"/>
        <c:auto val="1"/>
        <c:lblAlgn val="ctr"/>
        <c:lblOffset val="100"/>
      </c:catAx>
      <c:valAx>
        <c:axId val="9481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1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01132544"/>
        <c:axId val="101154816"/>
      </c:lineChart>
      <c:catAx>
        <c:axId val="101132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54816"/>
        <c:crosses val="autoZero"/>
        <c:auto val="1"/>
        <c:lblAlgn val="ctr"/>
        <c:lblOffset val="100"/>
      </c:catAx>
      <c:valAx>
        <c:axId val="10115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32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6711552"/>
        <c:axId val="1367174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6718976"/>
        <c:axId val="136733056"/>
      </c:lineChart>
      <c:catAx>
        <c:axId val="1367115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17440"/>
        <c:crosses val="autoZero"/>
        <c:lblAlgn val="ctr"/>
        <c:lblOffset val="100"/>
        <c:tickMarkSkip val="1"/>
      </c:catAx>
      <c:valAx>
        <c:axId val="1367174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11552"/>
        <c:crosses val="autoZero"/>
        <c:crossBetween val="between"/>
      </c:valAx>
      <c:catAx>
        <c:axId val="136718976"/>
        <c:scaling>
          <c:orientation val="minMax"/>
        </c:scaling>
        <c:delete val="1"/>
        <c:axPos val="b"/>
        <c:numFmt formatCode="[$-409]d\-mmm\-yy;@" sourceLinked="1"/>
        <c:tickLblPos val="none"/>
        <c:crossAx val="136733056"/>
        <c:crosses val="autoZero"/>
        <c:lblAlgn val="ctr"/>
        <c:lblOffset val="100"/>
      </c:catAx>
      <c:valAx>
        <c:axId val="13673305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189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36763264"/>
        <c:axId val="13676480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2368384"/>
        <c:axId val="102369920"/>
      </c:lineChart>
      <c:catAx>
        <c:axId val="13676326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64800"/>
        <c:crosses val="autoZero"/>
        <c:lblAlgn val="ctr"/>
        <c:lblOffset val="100"/>
        <c:tickMarkSkip val="1"/>
      </c:catAx>
      <c:valAx>
        <c:axId val="136764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763264"/>
        <c:crosses val="autoZero"/>
        <c:crossBetween val="between"/>
      </c:valAx>
      <c:catAx>
        <c:axId val="102368384"/>
        <c:scaling>
          <c:orientation val="minMax"/>
        </c:scaling>
        <c:delete val="1"/>
        <c:axPos val="b"/>
        <c:numFmt formatCode="General" sourceLinked="1"/>
        <c:tickLblPos val="none"/>
        <c:crossAx val="102369920"/>
        <c:crosses val="autoZero"/>
        <c:lblAlgn val="ctr"/>
        <c:lblOffset val="100"/>
      </c:catAx>
      <c:valAx>
        <c:axId val="1023699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368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01393536"/>
        <c:axId val="1013950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44287</c:v>
                </c:pt>
                <c:pt idx="1">
                  <c:v>44288</c:v>
                </c:pt>
                <c:pt idx="2">
                  <c:v>44289</c:v>
                </c:pt>
                <c:pt idx="3">
                  <c:v>44290</c:v>
                </c:pt>
                <c:pt idx="4">
                  <c:v>44291</c:v>
                </c:pt>
                <c:pt idx="5">
                  <c:v>44292</c:v>
                </c:pt>
                <c:pt idx="6">
                  <c:v>44293</c:v>
                </c:pt>
                <c:pt idx="7">
                  <c:v>44294</c:v>
                </c:pt>
                <c:pt idx="8">
                  <c:v>44295</c:v>
                </c:pt>
                <c:pt idx="9">
                  <c:v>44296</c:v>
                </c:pt>
                <c:pt idx="10">
                  <c:v>44297</c:v>
                </c:pt>
                <c:pt idx="11">
                  <c:v>44298</c:v>
                </c:pt>
                <c:pt idx="12">
                  <c:v>44299</c:v>
                </c:pt>
                <c:pt idx="13">
                  <c:v>44300</c:v>
                </c:pt>
                <c:pt idx="14">
                  <c:v>44301</c:v>
                </c:pt>
                <c:pt idx="15">
                  <c:v>44302</c:v>
                </c:pt>
                <c:pt idx="16">
                  <c:v>44303</c:v>
                </c:pt>
                <c:pt idx="17">
                  <c:v>44304</c:v>
                </c:pt>
                <c:pt idx="18">
                  <c:v>44305</c:v>
                </c:pt>
                <c:pt idx="19">
                  <c:v>44306</c:v>
                </c:pt>
                <c:pt idx="20">
                  <c:v>44307</c:v>
                </c:pt>
                <c:pt idx="21">
                  <c:v>44308</c:v>
                </c:pt>
                <c:pt idx="22">
                  <c:v>44309</c:v>
                </c:pt>
                <c:pt idx="23">
                  <c:v>44310</c:v>
                </c:pt>
                <c:pt idx="24">
                  <c:v>44311</c:v>
                </c:pt>
                <c:pt idx="25">
                  <c:v>44312</c:v>
                </c:pt>
                <c:pt idx="26">
                  <c:v>44313</c:v>
                </c:pt>
                <c:pt idx="27">
                  <c:v>44314</c:v>
                </c:pt>
                <c:pt idx="28">
                  <c:v>44315</c:v>
                </c:pt>
                <c:pt idx="29">
                  <c:v>44316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01405056"/>
        <c:axId val="101406592"/>
      </c:lineChart>
      <c:catAx>
        <c:axId val="1013935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5072"/>
        <c:crosses val="autoZero"/>
        <c:lblAlgn val="ctr"/>
        <c:lblOffset val="100"/>
        <c:tickMarkSkip val="1"/>
      </c:catAx>
      <c:valAx>
        <c:axId val="101395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93536"/>
        <c:crosses val="autoZero"/>
        <c:crossBetween val="between"/>
      </c:valAx>
      <c:catAx>
        <c:axId val="101405056"/>
        <c:scaling>
          <c:orientation val="minMax"/>
        </c:scaling>
        <c:delete val="1"/>
        <c:axPos val="b"/>
        <c:numFmt formatCode="[$-409]d\-mmm\-yy;@" sourceLinked="1"/>
        <c:tickLblPos val="none"/>
        <c:crossAx val="101406592"/>
        <c:crosses val="autoZero"/>
        <c:lblAlgn val="ctr"/>
        <c:lblOffset val="100"/>
      </c:catAx>
      <c:valAx>
        <c:axId val="1014065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050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01440896"/>
        <c:axId val="1014426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01444224"/>
        <c:axId val="164106624"/>
      </c:lineChart>
      <c:catAx>
        <c:axId val="1014408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2688"/>
        <c:crosses val="autoZero"/>
        <c:lblAlgn val="ctr"/>
        <c:lblOffset val="100"/>
        <c:tickMarkSkip val="1"/>
      </c:catAx>
      <c:valAx>
        <c:axId val="101442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0896"/>
        <c:crosses val="autoZero"/>
        <c:crossBetween val="between"/>
      </c:valAx>
      <c:catAx>
        <c:axId val="101444224"/>
        <c:scaling>
          <c:orientation val="minMax"/>
        </c:scaling>
        <c:delete val="1"/>
        <c:axPos val="b"/>
        <c:numFmt formatCode="General" sourceLinked="1"/>
        <c:tickLblPos val="none"/>
        <c:crossAx val="164106624"/>
        <c:crosses val="autoZero"/>
        <c:lblAlgn val="ctr"/>
        <c:lblOffset val="100"/>
      </c:catAx>
      <c:valAx>
        <c:axId val="164106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42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0.42960000000000004</c:v>
                </c:pt>
                <c:pt idx="28">
                  <c:v>0.39306078919303239</c:v>
                </c:pt>
                <c:pt idx="29">
                  <c:v>0.40999267667521055</c:v>
                </c:pt>
                <c:pt idx="30">
                  <c:v>0.39306078919303239</c:v>
                </c:pt>
                <c:pt idx="31">
                  <c:v>0.40999267667521055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5462784"/>
        <c:axId val="165464704"/>
      </c:lineChart>
      <c:catAx>
        <c:axId val="165462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4704"/>
        <c:crosses val="autoZero"/>
        <c:auto val="1"/>
        <c:lblAlgn val="ctr"/>
        <c:lblOffset val="100"/>
      </c:catAx>
      <c:valAx>
        <c:axId val="1654647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27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61</c:v>
                </c:pt>
                <c:pt idx="28">
                  <c:v>53</c:v>
                </c:pt>
                <c:pt idx="29">
                  <c:v>58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5358592"/>
        <c:axId val="165397632"/>
      </c:lineChart>
      <c:catAx>
        <c:axId val="165358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97632"/>
        <c:crosses val="autoZero"/>
        <c:auto val="1"/>
        <c:lblAlgn val="ctr"/>
        <c:lblOffset val="100"/>
      </c:catAx>
      <c:valAx>
        <c:axId val="1653976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58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2725</c:v>
                </c:pt>
                <c:pt idx="30">
                  <c:v>2813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65697024"/>
        <c:axId val="165698560"/>
      </c:lineChart>
      <c:catAx>
        <c:axId val="16569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98560"/>
        <c:crosses val="autoZero"/>
        <c:auto val="1"/>
        <c:lblAlgn val="ctr"/>
        <c:lblOffset val="200"/>
        <c:tickLblSkip val="1"/>
      </c:catAx>
      <c:valAx>
        <c:axId val="1656985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9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0.01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5731328"/>
        <c:axId val="165733120"/>
      </c:lineChart>
      <c:catAx>
        <c:axId val="16573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3120"/>
        <c:crosses val="autoZero"/>
        <c:auto val="1"/>
        <c:lblAlgn val="ctr"/>
        <c:lblOffset val="100"/>
      </c:catAx>
      <c:valAx>
        <c:axId val="1657331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3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84.4799999999872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62.347999999992325</c:v>
                </c:pt>
                <c:pt idx="29">
                  <c:v>62.656000000023056</c:v>
                </c:pt>
                <c:pt idx="30">
                  <c:v>57.023999999964147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6155008"/>
        <c:axId val="166156544"/>
      </c:lineChart>
      <c:catAx>
        <c:axId val="166155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6544"/>
        <c:crosses val="autoZero"/>
        <c:auto val="1"/>
        <c:lblAlgn val="ctr"/>
        <c:lblOffset val="100"/>
      </c:catAx>
      <c:valAx>
        <c:axId val="1661565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55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0.41777952755905512</c:v>
                </c:pt>
                <c:pt idx="1">
                  <c:v>0.4106777533730781</c:v>
                </c:pt>
                <c:pt idx="2">
                  <c:v>0.40227580372250421</c:v>
                </c:pt>
                <c:pt idx="3">
                  <c:v>0.40958834134615379</c:v>
                </c:pt>
                <c:pt idx="4">
                  <c:v>0.40968615384615387</c:v>
                </c:pt>
                <c:pt idx="5">
                  <c:v>0.41273615635179151</c:v>
                </c:pt>
                <c:pt idx="6">
                  <c:v>0.40155218554861732</c:v>
                </c:pt>
                <c:pt idx="7">
                  <c:v>0.40188175460902731</c:v>
                </c:pt>
                <c:pt idx="8">
                  <c:v>0.39417320458660227</c:v>
                </c:pt>
                <c:pt idx="9">
                  <c:v>0.39324810606060606</c:v>
                </c:pt>
                <c:pt idx="10">
                  <c:v>0.39665739882607354</c:v>
                </c:pt>
                <c:pt idx="11">
                  <c:v>0.35691342918323649</c:v>
                </c:pt>
                <c:pt idx="12">
                  <c:v>0.406656660412758</c:v>
                </c:pt>
                <c:pt idx="13">
                  <c:v>0.40256905032160423</c:v>
                </c:pt>
                <c:pt idx="14">
                  <c:v>0.4014820473644003</c:v>
                </c:pt>
                <c:pt idx="15">
                  <c:v>0.40802435192458758</c:v>
                </c:pt>
                <c:pt idx="16">
                  <c:v>0.40934669636228654</c:v>
                </c:pt>
                <c:pt idx="17">
                  <c:v>0.41046143008101443</c:v>
                </c:pt>
                <c:pt idx="18">
                  <c:v>0.42041712403951703</c:v>
                </c:pt>
                <c:pt idx="19">
                  <c:v>0.41581932773109243</c:v>
                </c:pt>
                <c:pt idx="20">
                  <c:v>0.41387407407407406</c:v>
                </c:pt>
                <c:pt idx="21">
                  <c:v>0.41092942537601235</c:v>
                </c:pt>
                <c:pt idx="22">
                  <c:v>0.40950696273993226</c:v>
                </c:pt>
                <c:pt idx="23">
                  <c:v>0.39966527196652718</c:v>
                </c:pt>
                <c:pt idx="24">
                  <c:v>0.39691349480968857</c:v>
                </c:pt>
                <c:pt idx="25">
                  <c:v>0.41366406540319589</c:v>
                </c:pt>
                <c:pt idx="26">
                  <c:v>0.40857665568971829</c:v>
                </c:pt>
                <c:pt idx="27">
                  <c:v>0.42960000000000004</c:v>
                </c:pt>
                <c:pt idx="28">
                  <c:v>0.39306078919303239</c:v>
                </c:pt>
                <c:pt idx="29">
                  <c:v>0.40999267667521055</c:v>
                </c:pt>
                <c:pt idx="30">
                  <c:v>0.39306078919303239</c:v>
                </c:pt>
                <c:pt idx="31">
                  <c:v>0.40999267667521055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7192832"/>
        <c:axId val="167215488"/>
      </c:lineChart>
      <c:catAx>
        <c:axId val="1671928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15488"/>
        <c:crosses val="autoZero"/>
        <c:auto val="1"/>
        <c:lblAlgn val="ctr"/>
        <c:lblOffset val="100"/>
      </c:catAx>
      <c:valAx>
        <c:axId val="1672154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192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89</c:v>
                </c:pt>
                <c:pt idx="1">
                  <c:v>117</c:v>
                </c:pt>
                <c:pt idx="2">
                  <c:v>167</c:v>
                </c:pt>
                <c:pt idx="3">
                  <c:v>70</c:v>
                </c:pt>
                <c:pt idx="4">
                  <c:v>59</c:v>
                </c:pt>
                <c:pt idx="5">
                  <c:v>210</c:v>
                </c:pt>
                <c:pt idx="6">
                  <c:v>60</c:v>
                </c:pt>
                <c:pt idx="7">
                  <c:v>75</c:v>
                </c:pt>
                <c:pt idx="8">
                  <c:v>47</c:v>
                </c:pt>
                <c:pt idx="9">
                  <c:v>46</c:v>
                </c:pt>
                <c:pt idx="10">
                  <c:v>50</c:v>
                </c:pt>
                <c:pt idx="11">
                  <c:v>61</c:v>
                </c:pt>
                <c:pt idx="12">
                  <c:v>181</c:v>
                </c:pt>
                <c:pt idx="13">
                  <c:v>46</c:v>
                </c:pt>
                <c:pt idx="14">
                  <c:v>47</c:v>
                </c:pt>
                <c:pt idx="15">
                  <c:v>40</c:v>
                </c:pt>
                <c:pt idx="16">
                  <c:v>52</c:v>
                </c:pt>
                <c:pt idx="17">
                  <c:v>53</c:v>
                </c:pt>
                <c:pt idx="18">
                  <c:v>58</c:v>
                </c:pt>
                <c:pt idx="19">
                  <c:v>66</c:v>
                </c:pt>
                <c:pt idx="20">
                  <c:v>47</c:v>
                </c:pt>
                <c:pt idx="21">
                  <c:v>50</c:v>
                </c:pt>
                <c:pt idx="22">
                  <c:v>47</c:v>
                </c:pt>
                <c:pt idx="23">
                  <c:v>56</c:v>
                </c:pt>
                <c:pt idx="24">
                  <c:v>46</c:v>
                </c:pt>
                <c:pt idx="25">
                  <c:v>53</c:v>
                </c:pt>
                <c:pt idx="26">
                  <c:v>43</c:v>
                </c:pt>
                <c:pt idx="27">
                  <c:v>61</c:v>
                </c:pt>
                <c:pt idx="28">
                  <c:v>53</c:v>
                </c:pt>
                <c:pt idx="29">
                  <c:v>58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6724352"/>
        <c:axId val="166726272"/>
      </c:lineChart>
      <c:catAx>
        <c:axId val="166724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6272"/>
        <c:crosses val="autoZero"/>
        <c:auto val="1"/>
        <c:lblAlgn val="ctr"/>
        <c:lblOffset val="100"/>
      </c:catAx>
      <c:valAx>
        <c:axId val="166726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24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3175</c:v>
                </c:pt>
                <c:pt idx="3">
                  <c:v>3187</c:v>
                </c:pt>
                <c:pt idx="4">
                  <c:v>3546</c:v>
                </c:pt>
                <c:pt idx="5">
                  <c:v>3328</c:v>
                </c:pt>
                <c:pt idx="6">
                  <c:v>3250</c:v>
                </c:pt>
                <c:pt idx="7">
                  <c:v>3070</c:v>
                </c:pt>
                <c:pt idx="8">
                  <c:v>3363</c:v>
                </c:pt>
                <c:pt idx="9">
                  <c:v>3146</c:v>
                </c:pt>
                <c:pt idx="10">
                  <c:v>3314</c:v>
                </c:pt>
                <c:pt idx="11">
                  <c:v>3168</c:v>
                </c:pt>
                <c:pt idx="12">
                  <c:v>3237</c:v>
                </c:pt>
                <c:pt idx="13">
                  <c:v>3269</c:v>
                </c:pt>
                <c:pt idx="14">
                  <c:v>2665</c:v>
                </c:pt>
                <c:pt idx="15">
                  <c:v>2643</c:v>
                </c:pt>
                <c:pt idx="16">
                  <c:v>2618</c:v>
                </c:pt>
                <c:pt idx="17">
                  <c:v>2546</c:v>
                </c:pt>
                <c:pt idx="18">
                  <c:v>2694</c:v>
                </c:pt>
                <c:pt idx="19">
                  <c:v>2839</c:v>
                </c:pt>
                <c:pt idx="20">
                  <c:v>2733</c:v>
                </c:pt>
                <c:pt idx="21">
                  <c:v>2856</c:v>
                </c:pt>
                <c:pt idx="22">
                  <c:v>2700</c:v>
                </c:pt>
                <c:pt idx="23">
                  <c:v>2593</c:v>
                </c:pt>
                <c:pt idx="24">
                  <c:v>2657</c:v>
                </c:pt>
                <c:pt idx="25">
                  <c:v>2629</c:v>
                </c:pt>
                <c:pt idx="26">
                  <c:v>2890</c:v>
                </c:pt>
                <c:pt idx="27">
                  <c:v>2691</c:v>
                </c:pt>
                <c:pt idx="28">
                  <c:v>2733</c:v>
                </c:pt>
                <c:pt idx="29">
                  <c:v>2725</c:v>
                </c:pt>
                <c:pt idx="30">
                  <c:v>2813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6185984"/>
        <c:axId val="166748928"/>
      </c:lineChart>
      <c:catAx>
        <c:axId val="166185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748928"/>
        <c:crosses val="autoZero"/>
        <c:auto val="1"/>
        <c:lblAlgn val="ctr"/>
        <c:lblOffset val="200"/>
        <c:tickLblSkip val="1"/>
      </c:catAx>
      <c:valAx>
        <c:axId val="1667489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18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0.156</c:v>
                </c:pt>
                <c:pt idx="1">
                  <c:v>0.16900000000000001</c:v>
                </c:pt>
                <c:pt idx="2">
                  <c:v>0.23</c:v>
                </c:pt>
                <c:pt idx="3">
                  <c:v>0.247</c:v>
                </c:pt>
                <c:pt idx="4">
                  <c:v>0.13</c:v>
                </c:pt>
                <c:pt idx="5">
                  <c:v>9.0999999999999998E-2</c:v>
                </c:pt>
                <c:pt idx="6">
                  <c:v>6.5000000000000002E-2</c:v>
                </c:pt>
                <c:pt idx="7">
                  <c:v>9.0999999999999998E-2</c:v>
                </c:pt>
                <c:pt idx="8">
                  <c:v>6.5000000000000002E-2</c:v>
                </c:pt>
                <c:pt idx="9">
                  <c:v>5.1999999999999998E-2</c:v>
                </c:pt>
                <c:pt idx="10">
                  <c:v>0.104</c:v>
                </c:pt>
                <c:pt idx="11">
                  <c:v>0.104</c:v>
                </c:pt>
                <c:pt idx="12">
                  <c:v>1.2999999999999999E-2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1.2999999999999999E-2</c:v>
                </c:pt>
                <c:pt idx="17">
                  <c:v>3.9E-2</c:v>
                </c:pt>
                <c:pt idx="18">
                  <c:v>6.5000000000000002E-2</c:v>
                </c:pt>
                <c:pt idx="19">
                  <c:v>5.1999999999999998E-2</c:v>
                </c:pt>
                <c:pt idx="20">
                  <c:v>2.5999999999999999E-2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2.5999999999999999E-2</c:v>
                </c:pt>
                <c:pt idx="24">
                  <c:v>5.1999999999999998E-2</c:v>
                </c:pt>
                <c:pt idx="25">
                  <c:v>5.1999999999999998E-2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2.5999999999999999E-2</c:v>
                </c:pt>
                <c:pt idx="29">
                  <c:v>0.01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7236352"/>
        <c:axId val="167237888"/>
      </c:lineChart>
      <c:catAx>
        <c:axId val="16723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7888"/>
        <c:crosses val="autoZero"/>
        <c:auto val="1"/>
        <c:lblAlgn val="ctr"/>
        <c:lblOffset val="100"/>
      </c:catAx>
      <c:valAx>
        <c:axId val="1672378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23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84.4799999999872</c:v>
                </c:pt>
                <c:pt idx="1">
                  <c:v>86.547999999992328</c:v>
                </c:pt>
                <c:pt idx="2">
                  <c:v>88.968000000005134</c:v>
                </c:pt>
                <c:pt idx="3">
                  <c:v>86.372000000020492</c:v>
                </c:pt>
                <c:pt idx="4">
                  <c:v>88.527999999979514</c:v>
                </c:pt>
                <c:pt idx="5">
                  <c:v>82.895999999984639</c:v>
                </c:pt>
                <c:pt idx="6">
                  <c:v>80.212000000046103</c:v>
                </c:pt>
                <c:pt idx="7">
                  <c:v>83.995999999984633</c:v>
                </c:pt>
                <c:pt idx="8">
                  <c:v>44</c:v>
                </c:pt>
                <c:pt idx="9">
                  <c:v>88</c:v>
                </c:pt>
                <c:pt idx="10">
                  <c:v>57.243999999976957</c:v>
                </c:pt>
                <c:pt idx="11">
                  <c:v>64.328000000043545</c:v>
                </c:pt>
                <c:pt idx="12">
                  <c:v>63.227999999979517</c:v>
                </c:pt>
                <c:pt idx="13">
                  <c:v>59.708000000030736</c:v>
                </c:pt>
                <c:pt idx="14">
                  <c:v>59.091999999969268</c:v>
                </c:pt>
                <c:pt idx="15">
                  <c:v>44</c:v>
                </c:pt>
                <c:pt idx="16">
                  <c:v>56.847999999992318</c:v>
                </c:pt>
                <c:pt idx="17">
                  <c:v>61.952000000007686</c:v>
                </c:pt>
                <c:pt idx="18">
                  <c:v>67.804000000015378</c:v>
                </c:pt>
                <c:pt idx="19">
                  <c:v>65.955999999959033</c:v>
                </c:pt>
                <c:pt idx="20">
                  <c:v>65.560000000038428</c:v>
                </c:pt>
                <c:pt idx="21">
                  <c:v>58.211999999982076</c:v>
                </c:pt>
                <c:pt idx="22">
                  <c:v>41.140000000025616</c:v>
                </c:pt>
                <c:pt idx="23">
                  <c:v>62.787999999953904</c:v>
                </c:pt>
                <c:pt idx="24">
                  <c:v>66.131999999994889</c:v>
                </c:pt>
                <c:pt idx="25">
                  <c:v>66.352000000007692</c:v>
                </c:pt>
                <c:pt idx="26">
                  <c:v>68.508000000030734</c:v>
                </c:pt>
                <c:pt idx="27">
                  <c:v>66.484000000002567</c:v>
                </c:pt>
                <c:pt idx="28">
                  <c:v>62.347999999992325</c:v>
                </c:pt>
                <c:pt idx="29">
                  <c:v>62.656000000023056</c:v>
                </c:pt>
                <c:pt idx="30">
                  <c:v>57.023999999964147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7799040"/>
        <c:axId val="167821312"/>
      </c:lineChart>
      <c:catAx>
        <c:axId val="167799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21312"/>
        <c:crosses val="autoZero"/>
        <c:auto val="1"/>
        <c:lblAlgn val="ctr"/>
        <c:lblOffset val="100"/>
      </c:catAx>
      <c:valAx>
        <c:axId val="1678213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99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8988672"/>
        <c:axId val="168990592"/>
      </c:lineChart>
      <c:catAx>
        <c:axId val="168988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90592"/>
        <c:crosses val="autoZero"/>
        <c:auto val="1"/>
        <c:lblAlgn val="ctr"/>
        <c:lblOffset val="100"/>
      </c:catAx>
      <c:valAx>
        <c:axId val="168990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88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9191680"/>
        <c:axId val="169193856"/>
      </c:lineChart>
      <c:catAx>
        <c:axId val="169191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93856"/>
        <c:crosses val="autoZero"/>
        <c:auto val="1"/>
        <c:lblAlgn val="ctr"/>
        <c:lblOffset val="100"/>
      </c:catAx>
      <c:valAx>
        <c:axId val="1691938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91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8887040"/>
        <c:axId val="168888576"/>
      </c:lineChart>
      <c:catAx>
        <c:axId val="16888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8576"/>
        <c:crosses val="autoZero"/>
        <c:auto val="1"/>
        <c:lblAlgn val="ctr"/>
        <c:lblOffset val="200"/>
        <c:tickLblSkip val="1"/>
      </c:catAx>
      <c:valAx>
        <c:axId val="168888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88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8909056"/>
        <c:axId val="168914944"/>
      </c:lineChart>
      <c:catAx>
        <c:axId val="1689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14944"/>
        <c:crosses val="autoZero"/>
        <c:auto val="1"/>
        <c:lblAlgn val="ctr"/>
        <c:lblOffset val="100"/>
      </c:catAx>
      <c:valAx>
        <c:axId val="168914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9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9484288"/>
        <c:axId val="169485824"/>
      </c:lineChart>
      <c:catAx>
        <c:axId val="1694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85824"/>
        <c:crosses val="autoZero"/>
        <c:auto val="1"/>
        <c:lblAlgn val="ctr"/>
        <c:lblOffset val="100"/>
      </c:catAx>
      <c:valAx>
        <c:axId val="16948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4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9514496"/>
        <c:axId val="169516416"/>
      </c:lineChart>
      <c:catAx>
        <c:axId val="16951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16416"/>
        <c:crosses val="autoZero"/>
        <c:auto val="1"/>
        <c:lblAlgn val="ctr"/>
        <c:lblOffset val="100"/>
      </c:catAx>
      <c:valAx>
        <c:axId val="169516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514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9844736"/>
        <c:axId val="169846656"/>
      </c:lineChart>
      <c:catAx>
        <c:axId val="169844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46656"/>
        <c:crosses val="autoZero"/>
        <c:auto val="1"/>
        <c:lblAlgn val="ctr"/>
        <c:lblOffset val="100"/>
      </c:catAx>
      <c:valAx>
        <c:axId val="1698466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447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9867520"/>
        <c:axId val="170225664"/>
      </c:lineChart>
      <c:catAx>
        <c:axId val="16986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25664"/>
        <c:crosses val="autoZero"/>
        <c:auto val="1"/>
        <c:lblAlgn val="ctr"/>
        <c:lblOffset val="200"/>
        <c:tickLblSkip val="1"/>
      </c:catAx>
      <c:valAx>
        <c:axId val="1702256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8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70250240"/>
        <c:axId val="170251776"/>
      </c:lineChart>
      <c:catAx>
        <c:axId val="170250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51776"/>
        <c:crosses val="autoZero"/>
        <c:auto val="1"/>
        <c:lblAlgn val="ctr"/>
        <c:lblOffset val="100"/>
      </c:catAx>
      <c:valAx>
        <c:axId val="17025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250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70026496"/>
        <c:axId val="170028032"/>
      </c:lineChart>
      <c:catAx>
        <c:axId val="1700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28032"/>
        <c:crosses val="autoZero"/>
        <c:auto val="1"/>
        <c:lblAlgn val="ctr"/>
        <c:lblOffset val="100"/>
      </c:catAx>
      <c:valAx>
        <c:axId val="170028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2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68037</xdr:colOff>
      <xdr:row>45</xdr:row>
      <xdr:rowOff>0</xdr:rowOff>
    </xdr:from>
    <xdr:to>
      <xdr:col>2</xdr:col>
      <xdr:colOff>1047751</xdr:colOff>
      <xdr:row>56</xdr:row>
      <xdr:rowOff>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6930" y="10477500"/>
          <a:ext cx="2245178" cy="1796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54429</xdr:colOff>
      <xdr:row>44</xdr:row>
      <xdr:rowOff>136069</xdr:rowOff>
    </xdr:from>
    <xdr:to>
      <xdr:col>5</xdr:col>
      <xdr:colOff>1102178</xdr:colOff>
      <xdr:row>55</xdr:row>
      <xdr:rowOff>149678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360965" y="10450283"/>
          <a:ext cx="2149927" cy="1809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149679</xdr:colOff>
      <xdr:row>44</xdr:row>
      <xdr:rowOff>95250</xdr:rowOff>
    </xdr:from>
    <xdr:to>
      <xdr:col>7</xdr:col>
      <xdr:colOff>1047750</xdr:colOff>
      <xdr:row>55</xdr:row>
      <xdr:rowOff>149679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687786" y="10409464"/>
          <a:ext cx="2313214" cy="18505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77</xdr:row>
      <xdr:rowOff>9525</xdr:rowOff>
    </xdr:from>
    <xdr:to>
      <xdr:col>6</xdr:col>
      <xdr:colOff>714375</xdr:colOff>
      <xdr:row>84</xdr:row>
      <xdr:rowOff>85725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76600" y="12887325"/>
          <a:ext cx="232410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171449</xdr:colOff>
      <xdr:row>76</xdr:row>
      <xdr:rowOff>161924</xdr:rowOff>
    </xdr:from>
    <xdr:to>
      <xdr:col>3</xdr:col>
      <xdr:colOff>828674</xdr:colOff>
      <xdr:row>84</xdr:row>
      <xdr:rowOff>57150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7724" y="12877799"/>
          <a:ext cx="2314575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352425</xdr:colOff>
      <xdr:row>76</xdr:row>
      <xdr:rowOff>76200</xdr:rowOff>
    </xdr:from>
    <xdr:to>
      <xdr:col>11</xdr:col>
      <xdr:colOff>438150</xdr:colOff>
      <xdr:row>85</xdr:row>
      <xdr:rowOff>9525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15175" y="12782550"/>
          <a:ext cx="3705225" cy="1390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428625</xdr:colOff>
      <xdr:row>77</xdr:row>
      <xdr:rowOff>57151</xdr:rowOff>
    </xdr:from>
    <xdr:to>
      <xdr:col>4</xdr:col>
      <xdr:colOff>552450</xdr:colOff>
      <xdr:row>85</xdr:row>
      <xdr:rowOff>76201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04900" y="12925426"/>
          <a:ext cx="3305175" cy="1314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%20MARCH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34515.97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B45" sqref="B45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4</v>
      </c>
      <c r="D2" s="416">
        <v>2021</v>
      </c>
      <c r="E2" s="417">
        <f>'UTILITY REPORT 1'!F3</f>
        <v>3175</v>
      </c>
      <c r="F2" s="418">
        <f>('UTILITY REPORT 1'!E3*'UTILITY REPORT 1'!D3)/'UTILITY REPORT 1'!F3</f>
        <v>0.41777952755905512</v>
      </c>
      <c r="G2" s="418">
        <f>IF('Utility summery'!M6&lt;0,"0",'Utility summery'!M6)</f>
        <v>84.4799999999872</v>
      </c>
      <c r="H2" s="423">
        <v>0</v>
      </c>
      <c r="I2" s="418">
        <f>IF('UTILITY REPORT 1'!G3&lt;0,"0",'UTILITY REPORT 1'!G3)</f>
        <v>89</v>
      </c>
      <c r="J2" s="423">
        <v>0</v>
      </c>
      <c r="K2" s="417">
        <f>'UTILITY REPORT 1'!C3</f>
        <v>1.3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4</v>
      </c>
      <c r="D3" s="416">
        <v>2021</v>
      </c>
      <c r="E3" s="417">
        <f>'UTILITY REPORT 1'!F4</f>
        <v>3187</v>
      </c>
      <c r="F3" s="418">
        <f>('UTILITY REPORT 1'!E4*'UTILITY REPORT 1'!D4)/'UTILITY REPORT 1'!F4</f>
        <v>0.4106777533730781</v>
      </c>
      <c r="G3" s="418">
        <f>IF('Utility summery'!M7&lt;0,"0",'Utility summery'!M7)</f>
        <v>86.547999999992328</v>
      </c>
      <c r="H3" s="423">
        <v>0</v>
      </c>
      <c r="I3" s="418">
        <f>IF('UTILITY REPORT 1'!G4&lt;0,"0",'UTILITY REPORT 1'!G4)</f>
        <v>117</v>
      </c>
      <c r="J3" s="423">
        <v>0</v>
      </c>
      <c r="K3" s="417">
        <f>'UTILITY REPORT 1'!C4</f>
        <v>2.6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4</v>
      </c>
      <c r="D4" s="416">
        <v>2021</v>
      </c>
      <c r="E4" s="417">
        <f>'UTILITY REPORT 1'!F5</f>
        <v>3546</v>
      </c>
      <c r="F4" s="418">
        <f>('UTILITY REPORT 1'!E5*'UTILITY REPORT 1'!D5)/'UTILITY REPORT 1'!F5</f>
        <v>0.40227580372250421</v>
      </c>
      <c r="G4" s="418">
        <f>IF('Utility summery'!M8&lt;0,"0",'Utility summery'!M8)</f>
        <v>88.968000000005134</v>
      </c>
      <c r="H4" s="423">
        <v>0</v>
      </c>
      <c r="I4" s="418">
        <f>IF('UTILITY REPORT 1'!G5&lt;0,"0",'UTILITY REPORT 1'!G5)</f>
        <v>167</v>
      </c>
      <c r="J4" s="423">
        <v>0</v>
      </c>
      <c r="K4" s="417">
        <f>'UTILITY REPORT 1'!C5</f>
        <v>2.6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4</v>
      </c>
      <c r="D5" s="416">
        <v>2021</v>
      </c>
      <c r="E5" s="417">
        <f>'UTILITY REPORT 1'!F6</f>
        <v>3328</v>
      </c>
      <c r="F5" s="418">
        <f>('UTILITY REPORT 1'!E6*'UTILITY REPORT 1'!D6)/'UTILITY REPORT 1'!F6</f>
        <v>0.40958834134615379</v>
      </c>
      <c r="G5" s="418">
        <f>IF('Utility summery'!M9&lt;0,"0",'Utility summery'!M9)</f>
        <v>86.372000000020492</v>
      </c>
      <c r="H5" s="423">
        <v>0</v>
      </c>
      <c r="I5" s="418">
        <f>IF('UTILITY REPORT 1'!G6&lt;0,"0",'UTILITY REPORT 1'!G6)</f>
        <v>70</v>
      </c>
      <c r="J5" s="423">
        <v>0</v>
      </c>
      <c r="K5" s="417">
        <f>'UTILITY REPORT 1'!C6</f>
        <v>5.19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4</v>
      </c>
      <c r="D6" s="416">
        <v>2021</v>
      </c>
      <c r="E6" s="417">
        <f>'UTILITY REPORT 1'!F7</f>
        <v>3250</v>
      </c>
      <c r="F6" s="418">
        <f>('UTILITY REPORT 1'!E7*'UTILITY REPORT 1'!D7)/'UTILITY REPORT 1'!F7</f>
        <v>0.40968615384615387</v>
      </c>
      <c r="G6" s="418">
        <f>IF('Utility summery'!M10&lt;0,"0",'Utility summery'!M10)</f>
        <v>88.527999999979514</v>
      </c>
      <c r="H6" s="423">
        <v>0</v>
      </c>
      <c r="I6" s="418">
        <f>IF('UTILITY REPORT 1'!G7&lt;0,"0",'UTILITY REPORT 1'!G7)</f>
        <v>59</v>
      </c>
      <c r="J6" s="423">
        <v>0</v>
      </c>
      <c r="K6" s="417">
        <f>'UTILITY REPORT 1'!C7</f>
        <v>7.79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4</v>
      </c>
      <c r="D7" s="416">
        <v>2021</v>
      </c>
      <c r="E7" s="417">
        <f>'UTILITY REPORT 1'!F8</f>
        <v>3070</v>
      </c>
      <c r="F7" s="418">
        <f>('UTILITY REPORT 1'!E8*'UTILITY REPORT 1'!D8)/'UTILITY REPORT 1'!F8</f>
        <v>0.41273615635179151</v>
      </c>
      <c r="G7" s="418">
        <f>IF('Utility summery'!M11&lt;0,"0",'Utility summery'!M11)</f>
        <v>82.895999999984639</v>
      </c>
      <c r="H7" s="423">
        <v>0</v>
      </c>
      <c r="I7" s="418">
        <f>IF('UTILITY REPORT 1'!G8&lt;0,"0",'UTILITY REPORT 1'!G8)</f>
        <v>210</v>
      </c>
      <c r="J7" s="423">
        <v>0</v>
      </c>
      <c r="K7" s="417">
        <f>'UTILITY REPORT 1'!C8</f>
        <v>5.19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4</v>
      </c>
      <c r="D8" s="416">
        <v>2021</v>
      </c>
      <c r="E8" s="417">
        <f>'UTILITY REPORT 1'!F9</f>
        <v>3363</v>
      </c>
      <c r="F8" s="418">
        <f>('UTILITY REPORT 1'!E9*'UTILITY REPORT 1'!D9)/'UTILITY REPORT 1'!F9</f>
        <v>0.40155218554861732</v>
      </c>
      <c r="G8" s="418">
        <f>IF('Utility summery'!M12&lt;0,"0",'Utility summery'!M12)</f>
        <v>80.212000000046103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11.69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4</v>
      </c>
      <c r="D9" s="416">
        <v>2021</v>
      </c>
      <c r="E9" s="417">
        <f>'UTILITY REPORT 1'!F10</f>
        <v>3146</v>
      </c>
      <c r="F9" s="418">
        <f>('UTILITY REPORT 1'!E10*'UTILITY REPORT 1'!D10)/'UTILITY REPORT 1'!F10</f>
        <v>0.40188175460902731</v>
      </c>
      <c r="G9" s="418">
        <f>IF('Utility summery'!M13&lt;0,"0",'Utility summery'!M13)</f>
        <v>83.995999999984633</v>
      </c>
      <c r="H9" s="423">
        <v>0</v>
      </c>
      <c r="I9" s="418">
        <f>IF('UTILITY REPORT 1'!G10&lt;0,"0",'UTILITY REPORT 1'!G10)</f>
        <v>75</v>
      </c>
      <c r="J9" s="423">
        <v>0</v>
      </c>
      <c r="K9" s="417">
        <f>'UTILITY REPORT 1'!C10</f>
        <v>12.99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4</v>
      </c>
      <c r="D10" s="416">
        <v>2021</v>
      </c>
      <c r="E10" s="417">
        <f>'UTILITY REPORT 1'!F11</f>
        <v>3314</v>
      </c>
      <c r="F10" s="418">
        <f>('UTILITY REPORT 1'!E11*'UTILITY REPORT 1'!D11)/'UTILITY REPORT 1'!F11</f>
        <v>0.39417320458660227</v>
      </c>
      <c r="G10" s="418">
        <f>IF('Utility summery'!M14&lt;0,"0",'Utility summery'!M14)</f>
        <v>44</v>
      </c>
      <c r="H10" s="423">
        <v>0</v>
      </c>
      <c r="I10" s="418">
        <f>IF('UTILITY REPORT 1'!G11&lt;0,"0",'UTILITY REPORT 1'!G11)</f>
        <v>47</v>
      </c>
      <c r="J10" s="423">
        <v>0</v>
      </c>
      <c r="K10" s="417">
        <f>'UTILITY REPORT 1'!C11</f>
        <v>15.58</v>
      </c>
      <c r="L10" s="419" t="e">
        <f>E10*F10+G10*H10+#REF!*#REF!+I10*J10</f>
        <v>#REF!</v>
      </c>
    </row>
    <row r="11" spans="1:12">
      <c r="A11" s="414" t="s">
        <v>283</v>
      </c>
      <c r="B11" s="415">
        <f t="shared" si="0"/>
        <v>10</v>
      </c>
      <c r="C11" s="415">
        <v>4</v>
      </c>
      <c r="D11" s="416">
        <v>2021</v>
      </c>
      <c r="E11" s="417">
        <f>'UTILITY REPORT 1'!F12</f>
        <v>3168</v>
      </c>
      <c r="F11" s="418">
        <f>('UTILITY REPORT 1'!E12*'UTILITY REPORT 1'!D12)/'UTILITY REPORT 1'!F12</f>
        <v>0.39324810606060606</v>
      </c>
      <c r="G11" s="418">
        <f>IF('Utility summery'!M15&lt;0,"0",'Utility summery'!M15)</f>
        <v>88</v>
      </c>
      <c r="H11" s="423">
        <v>0</v>
      </c>
      <c r="I11" s="418">
        <f>IF('UTILITY REPORT 1'!G12&lt;0,"0",'UTILITY REPORT 1'!G12)</f>
        <v>46</v>
      </c>
      <c r="J11" s="423">
        <v>0</v>
      </c>
      <c r="K11" s="417">
        <f>'UTILITY REPORT 1'!C12</f>
        <v>15.58</v>
      </c>
      <c r="L11" s="419" t="e">
        <f>E11*F11+G11*H11+#REF!*#REF!+I11*J11</f>
        <v>#REF!</v>
      </c>
    </row>
    <row r="12" spans="1:12">
      <c r="A12" s="414" t="s">
        <v>283</v>
      </c>
      <c r="B12" s="415">
        <f t="shared" si="0"/>
        <v>11</v>
      </c>
      <c r="C12" s="415">
        <v>4</v>
      </c>
      <c r="D12" s="416">
        <v>2021</v>
      </c>
      <c r="E12" s="417">
        <f>'UTILITY REPORT 1'!F13</f>
        <v>3237</v>
      </c>
      <c r="F12" s="418">
        <f>('UTILITY REPORT 1'!E13*'UTILITY REPORT 1'!D13)/'UTILITY REPORT 1'!F13</f>
        <v>0.39665739882607354</v>
      </c>
      <c r="G12" s="418">
        <f>IF('Utility summery'!M16&lt;0,"0",'Utility summery'!M16)</f>
        <v>57.243999999976957</v>
      </c>
      <c r="H12" s="423">
        <v>0</v>
      </c>
      <c r="I12" s="418">
        <f>IF('UTILITY REPORT 1'!G13&lt;0,"0",'UTILITY REPORT 1'!G13)</f>
        <v>50</v>
      </c>
      <c r="J12" s="423">
        <v>0</v>
      </c>
      <c r="K12" s="417">
        <f>'UTILITY REPORT 1'!C13</f>
        <v>11.69</v>
      </c>
      <c r="L12" s="419" t="e">
        <f>E12*F12+G12*H12+#REF!*#REF!+I12*J12</f>
        <v>#REF!</v>
      </c>
    </row>
    <row r="13" spans="1:12">
      <c r="A13" s="414" t="s">
        <v>283</v>
      </c>
      <c r="B13" s="415">
        <f t="shared" si="0"/>
        <v>12</v>
      </c>
      <c r="C13" s="415">
        <v>4</v>
      </c>
      <c r="D13" s="416">
        <v>2021</v>
      </c>
      <c r="E13" s="417">
        <f>'UTILITY REPORT 1'!F14</f>
        <v>3269</v>
      </c>
      <c r="F13" s="418">
        <f>('UTILITY REPORT 1'!E14*'UTILITY REPORT 1'!D14)/'UTILITY REPORT 1'!F14</f>
        <v>0.35691342918323649</v>
      </c>
      <c r="G13" s="418">
        <f>IF('Utility summery'!M17&lt;0,"0",'Utility summery'!M17)</f>
        <v>64.328000000043545</v>
      </c>
      <c r="H13" s="423">
        <v>0</v>
      </c>
      <c r="I13" s="418">
        <f>IF('UTILITY REPORT 1'!G14&lt;0,"0",'UTILITY REPORT 1'!G14)</f>
        <v>61</v>
      </c>
      <c r="J13" s="423">
        <v>0</v>
      </c>
      <c r="K13" s="417">
        <f>'UTILITY REPORT 1'!C14</f>
        <v>12.99</v>
      </c>
      <c r="L13" s="419" t="e">
        <f>E13*F13+G13*H13+#REF!*#REF!+I13*J13</f>
        <v>#REF!</v>
      </c>
    </row>
    <row r="14" spans="1:12">
      <c r="A14" s="414" t="s">
        <v>283</v>
      </c>
      <c r="B14" s="415">
        <f t="shared" si="0"/>
        <v>13</v>
      </c>
      <c r="C14" s="415">
        <v>4</v>
      </c>
      <c r="D14" s="416">
        <v>2021</v>
      </c>
      <c r="E14" s="417">
        <f>'UTILITY REPORT 1'!F15</f>
        <v>2665</v>
      </c>
      <c r="F14" s="418">
        <f>('UTILITY REPORT 1'!E15*'UTILITY REPORT 1'!D15)/'UTILITY REPORT 1'!F15</f>
        <v>0.406656660412758</v>
      </c>
      <c r="G14" s="418">
        <f>IF('Utility summery'!M18&lt;0,"0",'Utility summery'!M18)</f>
        <v>63.227999999979517</v>
      </c>
      <c r="H14" s="423">
        <v>0</v>
      </c>
      <c r="I14" s="418">
        <f>IF('UTILITY REPORT 1'!G15&lt;0,"0",'UTILITY REPORT 1'!G15)</f>
        <v>181</v>
      </c>
      <c r="J14" s="423">
        <v>0</v>
      </c>
      <c r="K14" s="417">
        <f>'UTILITY REPORT 1'!C15</f>
        <v>14.29</v>
      </c>
      <c r="L14" s="419" t="e">
        <f>E14*F14+G14*H14+#REF!*#REF!+I14*J14</f>
        <v>#REF!</v>
      </c>
    </row>
    <row r="15" spans="1:12">
      <c r="A15" s="414" t="s">
        <v>283</v>
      </c>
      <c r="B15" s="415">
        <f t="shared" si="0"/>
        <v>14</v>
      </c>
      <c r="C15" s="415">
        <v>4</v>
      </c>
      <c r="D15" s="416">
        <v>2021</v>
      </c>
      <c r="E15" s="417">
        <f>'UTILITY REPORT 1'!F16</f>
        <v>2643</v>
      </c>
      <c r="F15" s="418">
        <f>('UTILITY REPORT 1'!E16*'UTILITY REPORT 1'!D16)/'UTILITY REPORT 1'!F16</f>
        <v>0.40256905032160423</v>
      </c>
      <c r="G15" s="418">
        <f>IF('Utility summery'!M19&lt;0,"0",'Utility summery'!M19)</f>
        <v>59.708000000030736</v>
      </c>
      <c r="H15" s="423">
        <v>0</v>
      </c>
      <c r="I15" s="418">
        <f>IF('UTILITY REPORT 1'!G16&lt;0,"0",'UTILITY REPORT 1'!G16)</f>
        <v>46</v>
      </c>
      <c r="J15" s="423">
        <v>0</v>
      </c>
      <c r="K15" s="417">
        <f>'UTILITY REPORT 1'!C16</f>
        <v>14.29</v>
      </c>
      <c r="L15" s="419" t="e">
        <f>E15*F15+G15*H15+#REF!*#REF!+I15*J15</f>
        <v>#REF!</v>
      </c>
    </row>
    <row r="16" spans="1:12">
      <c r="A16" s="414" t="s">
        <v>283</v>
      </c>
      <c r="B16" s="415">
        <f t="shared" si="0"/>
        <v>15</v>
      </c>
      <c r="C16" s="415">
        <v>4</v>
      </c>
      <c r="D16" s="416">
        <v>2021</v>
      </c>
      <c r="E16" s="417">
        <f>'UTILITY REPORT 1'!F17</f>
        <v>2618</v>
      </c>
      <c r="F16" s="418">
        <f>('UTILITY REPORT 1'!E17*'UTILITY REPORT 1'!D17)/'UTILITY REPORT 1'!F17</f>
        <v>0.4014820473644003</v>
      </c>
      <c r="G16" s="418">
        <f>IF('Utility summery'!M20&lt;0,"0",'Utility summery'!M20)</f>
        <v>59.091999999969268</v>
      </c>
      <c r="H16" s="423">
        <v>0</v>
      </c>
      <c r="I16" s="418">
        <f>IF('UTILITY REPORT 1'!G17&lt;0,"0",'UTILITY REPORT 1'!G17)</f>
        <v>47</v>
      </c>
      <c r="J16" s="423">
        <v>0</v>
      </c>
      <c r="K16" s="417">
        <f>'UTILITY REPORT 1'!C17</f>
        <v>9.09</v>
      </c>
      <c r="L16" s="419" t="e">
        <f>E16*F16+G16*H16+#REF!*#REF!+I16*J16</f>
        <v>#REF!</v>
      </c>
    </row>
    <row r="17" spans="1:12">
      <c r="A17" s="414" t="s">
        <v>283</v>
      </c>
      <c r="B17" s="415">
        <f t="shared" si="0"/>
        <v>16</v>
      </c>
      <c r="C17" s="415">
        <v>4</v>
      </c>
      <c r="D17" s="416">
        <v>2021</v>
      </c>
      <c r="E17" s="417">
        <f>'UTILITY REPORT 1'!F18</f>
        <v>2546</v>
      </c>
      <c r="F17" s="418">
        <f>('UTILITY REPORT 1'!E18*'UTILITY REPORT 1'!D18)/'UTILITY REPORT 1'!F18</f>
        <v>0.40802435192458758</v>
      </c>
      <c r="G17" s="418">
        <f>IF('Utility summery'!M21&lt;0,"0",'Utility summery'!M21)</f>
        <v>44</v>
      </c>
      <c r="H17" s="423">
        <v>0</v>
      </c>
      <c r="I17" s="418">
        <f>IF('UTILITY REPORT 1'!G18&lt;0,"0",'UTILITY REPORT 1'!G18)</f>
        <v>40</v>
      </c>
      <c r="J17" s="423">
        <v>0</v>
      </c>
      <c r="K17" s="417">
        <f>'UTILITY REPORT 1'!C18</f>
        <v>7.79</v>
      </c>
      <c r="L17" s="419" t="e">
        <f>E17*F17+G17*H17+#REF!*#REF!+I17*J17</f>
        <v>#REF!</v>
      </c>
    </row>
    <row r="18" spans="1:12">
      <c r="A18" s="414" t="s">
        <v>283</v>
      </c>
      <c r="B18" s="415">
        <f t="shared" si="0"/>
        <v>17</v>
      </c>
      <c r="C18" s="415">
        <v>4</v>
      </c>
      <c r="D18" s="416">
        <v>2021</v>
      </c>
      <c r="E18" s="417">
        <f>'UTILITY REPORT 1'!F19</f>
        <v>2694</v>
      </c>
      <c r="F18" s="418">
        <f>('UTILITY REPORT 1'!E19*'UTILITY REPORT 1'!D19)/'UTILITY REPORT 1'!F19</f>
        <v>0.40934669636228654</v>
      </c>
      <c r="G18" s="418">
        <f>IF('Utility summery'!M22&lt;0,"0",'Utility summery'!M22)</f>
        <v>56.847999999992318</v>
      </c>
      <c r="H18" s="423">
        <v>0</v>
      </c>
      <c r="I18" s="418">
        <f>IF('UTILITY REPORT 1'!G19&lt;0,"0",'UTILITY REPORT 1'!G19)</f>
        <v>52</v>
      </c>
      <c r="J18" s="423">
        <v>0</v>
      </c>
      <c r="K18" s="417">
        <f>'UTILITY REPORT 1'!C19</f>
        <v>6.49</v>
      </c>
      <c r="L18" s="419" t="e">
        <f>E18*F18+G18*H18+#REF!*#REF!+I18*J18</f>
        <v>#REF!</v>
      </c>
    </row>
    <row r="19" spans="1:12">
      <c r="A19" s="414" t="s">
        <v>283</v>
      </c>
      <c r="B19" s="415">
        <f t="shared" si="0"/>
        <v>18</v>
      </c>
      <c r="C19" s="415">
        <v>4</v>
      </c>
      <c r="D19" s="416">
        <v>2021</v>
      </c>
      <c r="E19" s="417">
        <f>'UTILITY REPORT 1'!F20</f>
        <v>2839</v>
      </c>
      <c r="F19" s="418">
        <f>('UTILITY REPORT 1'!E20*'UTILITY REPORT 1'!D20)/'UTILITY REPORT 1'!F20</f>
        <v>0.41046143008101443</v>
      </c>
      <c r="G19" s="418">
        <f>IF('Utility summery'!M23&lt;0,"0",'Utility summery'!M23)</f>
        <v>61.952000000007686</v>
      </c>
      <c r="H19" s="423">
        <v>0</v>
      </c>
      <c r="I19" s="418">
        <f>IF('UTILITY REPORT 1'!G20&lt;0,"0",'UTILITY REPORT 1'!G20)</f>
        <v>53</v>
      </c>
      <c r="J19" s="423">
        <v>0</v>
      </c>
      <c r="K19" s="417">
        <f>'UTILITY REPORT 1'!C20</f>
        <v>0</v>
      </c>
      <c r="L19" s="419" t="e">
        <f>E19*F19+G19*H19+#REF!*#REF!+I19*J19</f>
        <v>#REF!</v>
      </c>
    </row>
    <row r="20" spans="1:12">
      <c r="A20" s="414" t="s">
        <v>283</v>
      </c>
      <c r="B20" s="415">
        <f t="shared" si="0"/>
        <v>19</v>
      </c>
      <c r="C20" s="415">
        <v>4</v>
      </c>
      <c r="D20" s="416">
        <v>2021</v>
      </c>
      <c r="E20" s="417">
        <f>'UTILITY REPORT 1'!F21</f>
        <v>2733</v>
      </c>
      <c r="F20" s="418">
        <f>('UTILITY REPORT 1'!E21*'UTILITY REPORT 1'!D21)/'UTILITY REPORT 1'!F21</f>
        <v>0.42041712403951703</v>
      </c>
      <c r="G20" s="418">
        <f>IF('Utility summery'!M24&lt;0,"0",'Utility summery'!M24)</f>
        <v>67.804000000015378</v>
      </c>
      <c r="H20" s="423">
        <v>0</v>
      </c>
      <c r="I20" s="418">
        <f>IF('UTILITY REPORT 1'!G21&lt;0,"0",'UTILITY REPORT 1'!G21)</f>
        <v>58</v>
      </c>
      <c r="J20" s="423">
        <v>0</v>
      </c>
      <c r="K20" s="417">
        <f>'UTILITY REPORT 1'!C21</f>
        <v>0</v>
      </c>
      <c r="L20" s="419" t="e">
        <f>E20*F20+G20*H20+#REF!*#REF!+I20*J20</f>
        <v>#REF!</v>
      </c>
    </row>
    <row r="21" spans="1:12">
      <c r="A21" s="414" t="s">
        <v>283</v>
      </c>
      <c r="B21" s="415">
        <f t="shared" si="0"/>
        <v>20</v>
      </c>
      <c r="C21" s="415">
        <v>4</v>
      </c>
      <c r="D21" s="416">
        <v>2021</v>
      </c>
      <c r="E21" s="417">
        <f>'UTILITY REPORT 1'!F22</f>
        <v>2856</v>
      </c>
      <c r="F21" s="418">
        <f>('UTILITY REPORT 1'!E22*'UTILITY REPORT 1'!D22)/'UTILITY REPORT 1'!F22</f>
        <v>0.41581932773109243</v>
      </c>
      <c r="G21" s="418">
        <f>IF('Utility summery'!M25&lt;0,"0",'Utility summery'!M25)</f>
        <v>65.955999999959033</v>
      </c>
      <c r="H21" s="423">
        <v>0</v>
      </c>
      <c r="I21" s="418">
        <f>IF('UTILITY REPORT 1'!G22&lt;0,"0",'UTILITY REPORT 1'!G22)</f>
        <v>66</v>
      </c>
      <c r="J21" s="423">
        <v>0</v>
      </c>
      <c r="K21" s="417">
        <f>'UTILITY REPORT 1'!C22</f>
        <v>0</v>
      </c>
      <c r="L21" s="419" t="e">
        <f>E21*F21+G21*H21+#REF!*#REF!+I21*J21</f>
        <v>#REF!</v>
      </c>
    </row>
    <row r="22" spans="1:12">
      <c r="A22" s="414" t="s">
        <v>283</v>
      </c>
      <c r="B22" s="415">
        <f t="shared" si="0"/>
        <v>21</v>
      </c>
      <c r="C22" s="415">
        <v>4</v>
      </c>
      <c r="D22" s="416">
        <v>2021</v>
      </c>
      <c r="E22" s="417">
        <f>'UTILITY REPORT 1'!F23</f>
        <v>2700</v>
      </c>
      <c r="F22" s="418">
        <f>('UTILITY REPORT 1'!E23*'UTILITY REPORT 1'!D23)/'UTILITY REPORT 1'!F23</f>
        <v>0.41387407407407406</v>
      </c>
      <c r="G22" s="418">
        <f>IF('Utility summery'!M26&lt;0,"0",'Utility summery'!M26)</f>
        <v>65.560000000038428</v>
      </c>
      <c r="H22" s="423">
        <v>0</v>
      </c>
      <c r="I22" s="418">
        <f>IF('UTILITY REPORT 1'!G23&lt;0,"0",'UTILITY REPORT 1'!G23)</f>
        <v>47</v>
      </c>
      <c r="J22" s="423">
        <v>0</v>
      </c>
      <c r="K22" s="417">
        <f>'UTILITY REPORT 1'!C23</f>
        <v>0</v>
      </c>
      <c r="L22" s="419" t="e">
        <f>E22*F22+G22*H22+#REF!*#REF!+I22*J22</f>
        <v>#REF!</v>
      </c>
    </row>
    <row r="23" spans="1:12">
      <c r="A23" s="414" t="s">
        <v>283</v>
      </c>
      <c r="B23" s="415">
        <f t="shared" si="0"/>
        <v>22</v>
      </c>
      <c r="C23" s="415">
        <v>4</v>
      </c>
      <c r="D23" s="416">
        <v>2021</v>
      </c>
      <c r="E23" s="417">
        <f>'UTILITY REPORT 1'!F24</f>
        <v>2593</v>
      </c>
      <c r="F23" s="418">
        <f>('UTILITY REPORT 1'!E24*'UTILITY REPORT 1'!D24)/'UTILITY REPORT 1'!F24</f>
        <v>0.41092942537601235</v>
      </c>
      <c r="G23" s="418">
        <f>IF('Utility summery'!M27&lt;0,"0",'Utility summery'!M27)</f>
        <v>58.211999999982076</v>
      </c>
      <c r="H23" s="423">
        <v>0</v>
      </c>
      <c r="I23" s="418">
        <f>IF('UTILITY REPORT 1'!G24&lt;0,"0",'UTILITY REPORT 1'!G24)</f>
        <v>50</v>
      </c>
      <c r="J23" s="423">
        <v>0</v>
      </c>
      <c r="K23" s="417">
        <f>'UTILITY REPORT 1'!C24</f>
        <v>0</v>
      </c>
      <c r="L23" s="419" t="e">
        <f>E23*F23+G23*H23+#REF!*#REF!+I23*J23</f>
        <v>#REF!</v>
      </c>
    </row>
    <row r="24" spans="1:12">
      <c r="A24" s="414" t="s">
        <v>283</v>
      </c>
      <c r="B24" s="415">
        <f t="shared" si="0"/>
        <v>23</v>
      </c>
      <c r="C24" s="415">
        <v>4</v>
      </c>
      <c r="D24" s="416">
        <v>2021</v>
      </c>
      <c r="E24" s="417">
        <f>'UTILITY REPORT 1'!F25</f>
        <v>2657</v>
      </c>
      <c r="F24" s="418">
        <f>('UTILITY REPORT 1'!E25*'UTILITY REPORT 1'!D25)/'UTILITY REPORT 1'!F25</f>
        <v>0.40950696273993226</v>
      </c>
      <c r="G24" s="418">
        <f>IF('Utility summery'!M28&lt;0,"0",'Utility summery'!M28)</f>
        <v>41.140000000025616</v>
      </c>
      <c r="H24" s="423">
        <v>0</v>
      </c>
      <c r="I24" s="418">
        <f>IF('UTILITY REPORT 1'!G25&lt;0,"0",'UTILITY REPORT 1'!G25)</f>
        <v>47</v>
      </c>
      <c r="J24" s="423">
        <v>0</v>
      </c>
      <c r="K24" s="417">
        <f>'UTILITY REPORT 1'!C25</f>
        <v>0</v>
      </c>
      <c r="L24" s="419" t="e">
        <f>E24*F24+G24*H24+#REF!*#REF!+I24*J24</f>
        <v>#REF!</v>
      </c>
    </row>
    <row r="25" spans="1:12">
      <c r="A25" s="414" t="s">
        <v>283</v>
      </c>
      <c r="B25" s="415">
        <f t="shared" si="0"/>
        <v>24</v>
      </c>
      <c r="C25" s="415">
        <v>4</v>
      </c>
      <c r="D25" s="416">
        <v>2021</v>
      </c>
      <c r="E25" s="417">
        <f>'UTILITY REPORT 1'!F26</f>
        <v>2629</v>
      </c>
      <c r="F25" s="418">
        <f>('UTILITY REPORT 1'!E26*'UTILITY REPORT 1'!D26)/'UTILITY REPORT 1'!F26</f>
        <v>0.39966527196652718</v>
      </c>
      <c r="G25" s="418">
        <f>IF('Utility summery'!M29&lt;0,"0",'Utility summery'!M29)</f>
        <v>62.787999999953904</v>
      </c>
      <c r="H25" s="423">
        <v>0</v>
      </c>
      <c r="I25" s="418">
        <f>IF('UTILITY REPORT 1'!G26&lt;0,"0",'UTILITY REPORT 1'!G26)</f>
        <v>56</v>
      </c>
      <c r="J25" s="423">
        <v>0</v>
      </c>
      <c r="K25" s="417">
        <f>'UTILITY REPORT 1'!C26</f>
        <v>0</v>
      </c>
      <c r="L25" s="419" t="e">
        <f>E25*F25+G25*H25+#REF!*#REF!+I25*J25</f>
        <v>#REF!</v>
      </c>
    </row>
    <row r="26" spans="1:12">
      <c r="A26" s="414" t="s">
        <v>283</v>
      </c>
      <c r="B26" s="415">
        <f>B25+1</f>
        <v>25</v>
      </c>
      <c r="C26" s="415">
        <v>4</v>
      </c>
      <c r="D26" s="416">
        <v>2021</v>
      </c>
      <c r="E26" s="417">
        <f>'UTILITY REPORT 1'!F27</f>
        <v>2890</v>
      </c>
      <c r="F26" s="418">
        <f>('UTILITY REPORT 1'!E27*'UTILITY REPORT 1'!D27)/'UTILITY REPORT 1'!F27</f>
        <v>0.39691349480968857</v>
      </c>
      <c r="G26" s="418">
        <f>IF('Utility summery'!M30&lt;0,"0",'Utility summery'!M30)</f>
        <v>66.131999999994889</v>
      </c>
      <c r="H26" s="423">
        <v>0</v>
      </c>
      <c r="I26" s="418">
        <f>IF('UTILITY REPORT 1'!G27&lt;0,"0",'UTILITY REPORT 1'!G27)</f>
        <v>46</v>
      </c>
      <c r="J26" s="423">
        <v>0</v>
      </c>
      <c r="K26" s="417">
        <f>'UTILITY REPORT 1'!C27</f>
        <v>0</v>
      </c>
      <c r="L26" s="419" t="e">
        <f>E26*F26+G26*H26+#REF!*#REF!+I26*J26</f>
        <v>#REF!</v>
      </c>
    </row>
    <row r="27" spans="1:12">
      <c r="A27" s="414" t="s">
        <v>283</v>
      </c>
      <c r="B27" s="415">
        <f t="shared" si="0"/>
        <v>26</v>
      </c>
      <c r="C27" s="415">
        <v>4</v>
      </c>
      <c r="D27" s="416">
        <v>2021</v>
      </c>
      <c r="E27" s="417">
        <f>'UTILITY REPORT 1'!F28</f>
        <v>2691</v>
      </c>
      <c r="F27" s="418">
        <f>('UTILITY REPORT 1'!E28*'UTILITY REPORT 1'!D28)/'UTILITY REPORT 1'!F28</f>
        <v>0.41366406540319589</v>
      </c>
      <c r="G27" s="418">
        <f>IF('Utility summery'!M31&lt;0,"0",'Utility summery'!M31)</f>
        <v>66.352000000007692</v>
      </c>
      <c r="H27" s="423">
        <v>0</v>
      </c>
      <c r="I27" s="418">
        <f>IF('UTILITY REPORT 1'!G28&lt;0,"0",'UTILITY REPORT 1'!G28)</f>
        <v>53</v>
      </c>
      <c r="J27" s="423">
        <v>0</v>
      </c>
      <c r="K27" s="417">
        <f>'UTILITY REPORT 1'!C28</f>
        <v>0</v>
      </c>
      <c r="L27" s="419" t="e">
        <f>E27*F27+G27*H27+#REF!*#REF!+I27*J27</f>
        <v>#REF!</v>
      </c>
    </row>
    <row r="28" spans="1:12">
      <c r="A28" s="414" t="s">
        <v>283</v>
      </c>
      <c r="B28" s="415">
        <f t="shared" si="0"/>
        <v>27</v>
      </c>
      <c r="C28" s="415">
        <v>4</v>
      </c>
      <c r="D28" s="416">
        <v>2021</v>
      </c>
      <c r="E28" s="417">
        <f>'UTILITY REPORT 1'!F29</f>
        <v>2733</v>
      </c>
      <c r="F28" s="418">
        <f>('UTILITY REPORT 1'!E29*'UTILITY REPORT 1'!D29)/'UTILITY REPORT 1'!F29</f>
        <v>0.40857665568971829</v>
      </c>
      <c r="G28" s="418">
        <f>IF('Utility summery'!M32&lt;0,"0",'Utility summery'!M32)</f>
        <v>68.508000000030734</v>
      </c>
      <c r="H28" s="423">
        <v>0</v>
      </c>
      <c r="I28" s="418">
        <f>IF('UTILITY REPORT 1'!G29&lt;0,"0",'UTILITY REPORT 1'!G29)</f>
        <v>43</v>
      </c>
      <c r="J28" s="423">
        <v>0</v>
      </c>
      <c r="K28" s="417">
        <f>'UTILITY REPORT 1'!C29</f>
        <v>0</v>
      </c>
      <c r="L28" s="419" t="e">
        <f>E28*F28+G28*H28+#REF!*#REF!+I28*J28</f>
        <v>#REF!</v>
      </c>
    </row>
    <row r="29" spans="1:12">
      <c r="A29" s="414" t="s">
        <v>283</v>
      </c>
      <c r="B29" s="415">
        <f t="shared" si="0"/>
        <v>28</v>
      </c>
      <c r="C29" s="415">
        <v>4</v>
      </c>
      <c r="D29" s="416">
        <v>2021</v>
      </c>
      <c r="E29" s="417">
        <f>'UTILITY REPORT 1'!F30</f>
        <v>2725</v>
      </c>
      <c r="F29" s="418">
        <f>('UTILITY REPORT 1'!E30*'UTILITY REPORT 1'!D30)/'UTILITY REPORT 1'!F30</f>
        <v>0.42960000000000004</v>
      </c>
      <c r="G29" s="418">
        <f>IF('Utility summery'!M33&lt;0,"0",'Utility summery'!M33)</f>
        <v>66.484000000002567</v>
      </c>
      <c r="H29" s="423">
        <v>0</v>
      </c>
      <c r="I29" s="418">
        <f>IF('UTILITY REPORT 1'!G30&lt;0,"0",'UTILITY REPORT 1'!G30)</f>
        <v>61</v>
      </c>
      <c r="J29" s="423">
        <v>0</v>
      </c>
      <c r="K29" s="417">
        <f>'UTILITY REPORT 1'!C30</f>
        <v>0</v>
      </c>
      <c r="L29" s="419" t="e">
        <f>E29*F29+G29*H29+#REF!*#REF!+I29*J29</f>
        <v>#REF!</v>
      </c>
    </row>
    <row r="30" spans="1:12">
      <c r="A30" s="414" t="s">
        <v>283</v>
      </c>
      <c r="B30" s="415">
        <f t="shared" si="0"/>
        <v>29</v>
      </c>
      <c r="C30" s="415">
        <v>4</v>
      </c>
      <c r="D30" s="416">
        <v>2021</v>
      </c>
      <c r="E30" s="417">
        <f>'UTILITY REPORT 1'!F31</f>
        <v>2813</v>
      </c>
      <c r="F30" s="418">
        <f>('UTILITY REPORT 1'!E31*'UTILITY REPORT 1'!D31)/'UTILITY REPORT 1'!F31</f>
        <v>0.39306078919303239</v>
      </c>
      <c r="G30" s="418">
        <f>IF('Utility summery'!M34&lt;0,"0",'Utility summery'!M34)</f>
        <v>62.347999999992325</v>
      </c>
      <c r="H30" s="423">
        <v>0</v>
      </c>
      <c r="I30" s="418">
        <f>IF('UTILITY REPORT 1'!G31&lt;0,"0",'UTILITY REPORT 1'!G31)</f>
        <v>53</v>
      </c>
      <c r="J30" s="423">
        <v>0</v>
      </c>
      <c r="K30" s="417">
        <f>'UTILITY REPORT 1'!C31</f>
        <v>0</v>
      </c>
      <c r="L30" s="419" t="e">
        <f>E30*F30+G30*H30+#REF!*#REF!+I30*J30</f>
        <v>#REF!</v>
      </c>
    </row>
    <row r="31" spans="1:12">
      <c r="A31" s="414" t="s">
        <v>283</v>
      </c>
      <c r="B31" s="415">
        <v>30</v>
      </c>
      <c r="C31" s="415">
        <v>4</v>
      </c>
      <c r="D31" s="416">
        <v>2021</v>
      </c>
      <c r="E31" s="417">
        <f>'UTILITY REPORT 1'!F32</f>
        <v>2731</v>
      </c>
      <c r="F31" s="418">
        <f>('UTILITY REPORT 1'!E32*'UTILITY REPORT 1'!D32)/'UTILITY REPORT 1'!F32</f>
        <v>0.40999267667521055</v>
      </c>
      <c r="G31" s="418">
        <f>IF('Utility summery'!M35&lt;0,"0",'Utility summery'!M35)</f>
        <v>62.656000000023056</v>
      </c>
      <c r="H31" s="423">
        <v>0</v>
      </c>
      <c r="I31" s="418">
        <f>IF('UTILITY REPORT 1'!G32&lt;0,"0",'UTILITY REPORT 1'!G32)</f>
        <v>58</v>
      </c>
      <c r="J31" s="423">
        <v>0</v>
      </c>
      <c r="K31" s="417">
        <f>'UTILITY REPORT 1'!C32</f>
        <v>0</v>
      </c>
      <c r="L31" s="419" t="e">
        <f>E31*F31+G31*H31+#REF!*#REF!+I31*J31</f>
        <v>#REF!</v>
      </c>
    </row>
    <row r="32" spans="1:12">
      <c r="A32" s="414" t="s">
        <v>283</v>
      </c>
      <c r="B32" s="415">
        <v>31</v>
      </c>
      <c r="C32" s="415">
        <v>4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57.023999999964147</v>
      </c>
      <c r="H32" s="423">
        <v>0</v>
      </c>
      <c r="I32" s="418" t="str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4</v>
      </c>
      <c r="D2" s="461">
        <v>2021</v>
      </c>
      <c r="E2" s="462">
        <f>'UTILITY REPORT 1'!I3</f>
        <v>145.43</v>
      </c>
      <c r="F2" s="462">
        <f>'UTILITY REPORT 1'!E3</f>
        <v>1326.45</v>
      </c>
      <c r="G2" s="463">
        <f>'UTILITY REPORT 1'!F3</f>
        <v>3175</v>
      </c>
      <c r="H2" s="462">
        <f>IF('Kit report'!F4&lt;0,"0",'Kit report'!F4)</f>
        <v>240</v>
      </c>
      <c r="I2" s="462">
        <f>IF('Kit report'!X4&lt;0,"0",'Kit report'!X4)</f>
        <v>400</v>
      </c>
      <c r="J2" s="462">
        <f>IF('Utility summery'!H6&lt;0,"0",'Utility summery'!H6)</f>
        <v>72</v>
      </c>
      <c r="K2" s="463">
        <f>IF('UTILITY REPORT 1'!H3&lt;0,"0",'UTILITY REPORT 1'!H3)</f>
        <v>0</v>
      </c>
      <c r="L2" s="462">
        <f>'Water-Meter'!K6</f>
        <v>2</v>
      </c>
      <c r="M2" s="463">
        <f>'Water-Meter'!H6</f>
        <v>0</v>
      </c>
      <c r="N2" s="463">
        <f>'Water-Meter'!Q6</f>
        <v>7</v>
      </c>
      <c r="O2" s="462" t="e">
        <f>K2*E2+H2*I2+#REF!*#REF!+J2*L2</f>
        <v>#REF!</v>
      </c>
      <c r="P2" s="462">
        <f>'Water-Meter'!E6</f>
        <v>89</v>
      </c>
      <c r="Q2" s="405">
        <f>IF('Water-Meter'!U6&lt;0,"0",'Water-Meter'!U6)</f>
        <v>81</v>
      </c>
      <c r="R2" s="405">
        <f>IF('Water-Meter'!X6&lt;0,"0",'Water-Meter'!X6)</f>
        <v>0</v>
      </c>
      <c r="S2" s="405">
        <f>IF('Water-Meter'!AA6&lt;0,"0",'Water-Meter'!AA6)</f>
        <v>0</v>
      </c>
      <c r="T2" s="405">
        <f>IF('Water-Meter'!AD6&lt;0,"0",'Water-Meter'!AD6)</f>
        <v>15</v>
      </c>
      <c r="U2" s="405">
        <f>IF('Water-Meter'!AG6&lt;0,"0",'Water-Meter'!AG6)</f>
        <v>0</v>
      </c>
      <c r="V2" s="405">
        <f>IF('Water-Meter'!AJ6&lt;0,"0",'Water-Meter'!AJ6)</f>
        <v>26</v>
      </c>
      <c r="W2" s="30">
        <f>'Water-Meter'!AN6</f>
        <v>122</v>
      </c>
      <c r="X2" s="473">
        <f>Total!K2</f>
        <v>1.3</v>
      </c>
    </row>
    <row r="3" spans="1:24">
      <c r="A3" s="458" t="s">
        <v>283</v>
      </c>
      <c r="B3" s="455">
        <f>B2+1</f>
        <v>2</v>
      </c>
      <c r="C3" s="460">
        <v>4</v>
      </c>
      <c r="D3" s="461">
        <v>2021</v>
      </c>
      <c r="E3" s="456">
        <f>'UTILITY REPORT 1'!I4</f>
        <v>224.9</v>
      </c>
      <c r="F3" s="456">
        <f>'UTILITY REPORT 1'!E4</f>
        <v>1308.83</v>
      </c>
      <c r="G3" s="457">
        <f>'UTILITY REPORT 1'!F4</f>
        <v>3187</v>
      </c>
      <c r="H3" s="456">
        <f>IF('Kit report'!F5&lt;0,"0",'Kit report'!F5)</f>
        <v>360</v>
      </c>
      <c r="I3" s="456">
        <f>IF('Kit report'!X5&lt;0,"0",'Kit report'!X5)</f>
        <v>600</v>
      </c>
      <c r="J3" s="456">
        <f>IF('Utility summery'!H7&lt;0,"0",'Utility summery'!H7)</f>
        <v>81</v>
      </c>
      <c r="K3" s="457">
        <f>IF('UTILITY REPORT 1'!H4&lt;0,"0",'UTILITY REPORT 1'!H4)</f>
        <v>0</v>
      </c>
      <c r="L3" s="456">
        <f>'Water-Meter'!K7</f>
        <v>2</v>
      </c>
      <c r="M3" s="457">
        <f>'Water-Meter'!H7</f>
        <v>0</v>
      </c>
      <c r="N3" s="457">
        <f>'Water-Meter'!Q7</f>
        <v>4</v>
      </c>
      <c r="O3" s="456" t="e">
        <f>K3*E3+H3*I3+#REF!*#REF!+J3*L3</f>
        <v>#REF!</v>
      </c>
      <c r="P3" s="462">
        <f>'Water-Meter'!E7</f>
        <v>117</v>
      </c>
      <c r="Q3" s="242">
        <f>IF('Water-Meter'!U7&lt;0,"0",'Water-Meter'!U7)</f>
        <v>80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17</v>
      </c>
      <c r="U3" s="242">
        <f>IF('Water-Meter'!AG7&lt;0,"0",'Water-Meter'!AG7)</f>
        <v>0</v>
      </c>
      <c r="V3" s="242">
        <f>IF('Water-Meter'!AJ7&lt;0,"0",'Water-Meter'!AJ7)</f>
        <v>30</v>
      </c>
      <c r="W3" s="30">
        <f>'Water-Meter'!AN7</f>
        <v>127</v>
      </c>
      <c r="X3" s="473">
        <f>Total!K3</f>
        <v>2.6</v>
      </c>
    </row>
    <row r="4" spans="1:24">
      <c r="A4" s="458" t="s">
        <v>283</v>
      </c>
      <c r="B4" s="455">
        <f t="shared" ref="B4:B30" si="0">B3+1</f>
        <v>3</v>
      </c>
      <c r="C4" s="460">
        <v>4</v>
      </c>
      <c r="D4" s="461">
        <v>2021</v>
      </c>
      <c r="E4" s="456">
        <f>'UTILITY REPORT 1'!I5</f>
        <v>139.29000000000002</v>
      </c>
      <c r="F4" s="456">
        <f>'UTILITY REPORT 1'!E5</f>
        <v>1426.47</v>
      </c>
      <c r="G4" s="457">
        <f>'UTILITY REPORT 1'!F5</f>
        <v>3546</v>
      </c>
      <c r="H4" s="456">
        <f>IF('Kit report'!F6&lt;0,"0",'Kit report'!F6)</f>
        <v>324.00000000008731</v>
      </c>
      <c r="I4" s="456">
        <f>IF('Kit report'!X6&lt;0,"0",'Kit report'!X6)</f>
        <v>400</v>
      </c>
      <c r="J4" s="456">
        <f>IF('Utility summery'!H8&lt;0,"0",'Utility summery'!H8)</f>
        <v>74</v>
      </c>
      <c r="K4" s="457">
        <f>IF('UTILITY REPORT 1'!H5&lt;0,"0",'UTILITY REPORT 1'!H5)</f>
        <v>0</v>
      </c>
      <c r="L4" s="456">
        <f>'Water-Meter'!K8</f>
        <v>2</v>
      </c>
      <c r="M4" s="457">
        <f>'Water-Meter'!H8</f>
        <v>0</v>
      </c>
      <c r="N4" s="457">
        <f>'Water-Meter'!Q8</f>
        <v>5</v>
      </c>
      <c r="O4" s="456" t="e">
        <f>K4*E4+H4*I4+#REF!*#REF!+J4*L4</f>
        <v>#REF!</v>
      </c>
      <c r="P4" s="462">
        <f>'Water-Meter'!E8</f>
        <v>167</v>
      </c>
      <c r="Q4" s="242">
        <f>IF('Water-Meter'!U8&lt;0,"0",'Water-Meter'!U8)</f>
        <v>88</v>
      </c>
      <c r="R4" s="242">
        <f>IF('Water-Meter'!X8&lt;0,"0",'Water-Meter'!X8)</f>
        <v>0</v>
      </c>
      <c r="S4" s="242">
        <f>IF('Water-Meter'!AA8&lt;0,"0",'Water-Meter'!AA8)</f>
        <v>52</v>
      </c>
      <c r="T4" s="242">
        <f>IF('Water-Meter'!AD8&lt;0,"0",'Water-Meter'!AD8)</f>
        <v>15</v>
      </c>
      <c r="U4" s="242">
        <f>IF('Water-Meter'!AG8&lt;0,"0",'Water-Meter'!AG8)</f>
        <v>0</v>
      </c>
      <c r="V4" s="242">
        <f>IF('Water-Meter'!AJ8&lt;0,"0",'Water-Meter'!AJ8)</f>
        <v>17</v>
      </c>
      <c r="W4" s="30">
        <f>'Water-Meter'!AN8</f>
        <v>172</v>
      </c>
      <c r="X4" s="473">
        <f>Total!K4</f>
        <v>2.6</v>
      </c>
    </row>
    <row r="5" spans="1:24">
      <c r="A5" s="458" t="s">
        <v>283</v>
      </c>
      <c r="B5" s="455">
        <f t="shared" si="0"/>
        <v>4</v>
      </c>
      <c r="C5" s="460">
        <v>4</v>
      </c>
      <c r="D5" s="461">
        <v>2021</v>
      </c>
      <c r="E5" s="456">
        <f>'UTILITY REPORT 1'!I6</f>
        <v>0</v>
      </c>
      <c r="F5" s="456">
        <f>'UTILITY REPORT 1'!E6</f>
        <v>1363.11</v>
      </c>
      <c r="G5" s="457">
        <f>'UTILITY REPORT 1'!F6</f>
        <v>3328</v>
      </c>
      <c r="H5" s="456">
        <f>IF('Kit report'!F7&lt;0,"0",'Kit report'!F7)</f>
        <v>300</v>
      </c>
      <c r="I5" s="456">
        <f>IF('Kit report'!X7&lt;0,"0",'Kit report'!X7)</f>
        <v>360.00000000003638</v>
      </c>
      <c r="J5" s="456">
        <f>IF('Utility summery'!H9&lt;0,"0",'Utility summery'!H9)</f>
        <v>77</v>
      </c>
      <c r="K5" s="457">
        <f>IF('UTILITY REPORT 1'!H6&lt;0,"0",'UTILITY REPORT 1'!H6)</f>
        <v>0</v>
      </c>
      <c r="L5" s="456">
        <f>'Water-Meter'!K9</f>
        <v>1</v>
      </c>
      <c r="M5" s="457">
        <f>'Water-Meter'!H9</f>
        <v>0</v>
      </c>
      <c r="N5" s="457">
        <f>'Water-Meter'!Q9</f>
        <v>4</v>
      </c>
      <c r="O5" s="456" t="e">
        <f>K5*E5+H5*I5+#REF!*#REF!+J5*L5</f>
        <v>#REF!</v>
      </c>
      <c r="P5" s="462">
        <f>'Water-Meter'!E9</f>
        <v>70</v>
      </c>
      <c r="Q5" s="242">
        <f>IF('Water-Meter'!U9&lt;0,"0",'Water-Meter'!U9)</f>
        <v>83</v>
      </c>
      <c r="R5" s="242">
        <f>IF('Water-Meter'!X9&lt;0,"0",'Water-Meter'!X9)</f>
        <v>0</v>
      </c>
      <c r="S5" s="242">
        <f>IF('Water-Meter'!AA9&lt;0,"0",'Water-Meter'!AA9)</f>
        <v>48</v>
      </c>
      <c r="T5" s="242">
        <f>IF('Water-Meter'!AD9&lt;0,"0",'Water-Meter'!AD9)</f>
        <v>17</v>
      </c>
      <c r="U5" s="242">
        <f>IF('Water-Meter'!AG9&lt;0,"0",'Water-Meter'!AG9)</f>
        <v>0</v>
      </c>
      <c r="V5" s="242">
        <f>IF('Water-Meter'!AJ9&lt;0,"0",'Water-Meter'!AJ9)</f>
        <v>38</v>
      </c>
      <c r="W5" s="30">
        <f>'Water-Meter'!AN9</f>
        <v>186</v>
      </c>
      <c r="X5" s="473">
        <f>Total!K5</f>
        <v>5.19</v>
      </c>
    </row>
    <row r="6" spans="1:24">
      <c r="A6" s="458" t="s">
        <v>283</v>
      </c>
      <c r="B6" s="455">
        <f t="shared" si="0"/>
        <v>5</v>
      </c>
      <c r="C6" s="460">
        <v>4</v>
      </c>
      <c r="D6" s="461">
        <v>2021</v>
      </c>
      <c r="E6" s="456">
        <f>'UTILITY REPORT 1'!I7</f>
        <v>218.51</v>
      </c>
      <c r="F6" s="456">
        <f>'UTILITY REPORT 1'!E7</f>
        <v>1331.48</v>
      </c>
      <c r="G6" s="457">
        <f>'UTILITY REPORT 1'!F7</f>
        <v>3250</v>
      </c>
      <c r="H6" s="456">
        <f>IF('Kit report'!F8&lt;0,"0",'Kit report'!F8)</f>
        <v>300</v>
      </c>
      <c r="I6" s="456">
        <f>IF('Kit report'!X8&lt;0,"0",'Kit report'!X8)</f>
        <v>439.99999999996362</v>
      </c>
      <c r="J6" s="456">
        <f>IF('Utility summery'!H10&lt;0,"0",'Utility summery'!H10)</f>
        <v>72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4</v>
      </c>
      <c r="O6" s="456" t="e">
        <f>K6*E6+H6*I6+#REF!*#REF!+J6*L6</f>
        <v>#REF!</v>
      </c>
      <c r="P6" s="462">
        <f>'Water-Meter'!E10</f>
        <v>59</v>
      </c>
      <c r="Q6" s="242">
        <f>IF('Water-Meter'!U10&lt;0,"0",'Water-Meter'!U10)</f>
        <v>80</v>
      </c>
      <c r="R6" s="242">
        <f>IF('Water-Meter'!X10&lt;0,"0",'Water-Meter'!X10)</f>
        <v>0</v>
      </c>
      <c r="S6" s="242">
        <f>IF('Water-Meter'!AA10&lt;0,"0",'Water-Meter'!AA10)</f>
        <v>45</v>
      </c>
      <c r="T6" s="242">
        <f>IF('Water-Meter'!AD10&lt;0,"0",'Water-Meter'!AD10)</f>
        <v>15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166</v>
      </c>
      <c r="X6" s="473">
        <f>Total!K6</f>
        <v>7.79</v>
      </c>
    </row>
    <row r="7" spans="1:24">
      <c r="A7" s="458" t="s">
        <v>283</v>
      </c>
      <c r="B7" s="455">
        <f t="shared" si="0"/>
        <v>6</v>
      </c>
      <c r="C7" s="460">
        <v>4</v>
      </c>
      <c r="D7" s="461">
        <v>2021</v>
      </c>
      <c r="E7" s="456">
        <f>'UTILITY REPORT 1'!I8</f>
        <v>42.44</v>
      </c>
      <c r="F7" s="456">
        <f>'UTILITY REPORT 1'!E8</f>
        <v>1267.0999999999999</v>
      </c>
      <c r="G7" s="457">
        <f>'UTILITY REPORT 1'!F8</f>
        <v>3070</v>
      </c>
      <c r="H7" s="456">
        <f>IF('Kit report'!F9&lt;0,"0",'Kit report'!F9)</f>
        <v>311.99999999982538</v>
      </c>
      <c r="I7" s="456">
        <f>IF('Kit report'!X9&lt;0,"0",'Kit report'!X9)</f>
        <v>500</v>
      </c>
      <c r="J7" s="456">
        <f>IF('Utility summery'!H11&lt;0,"0",'Utility summery'!H11)</f>
        <v>82</v>
      </c>
      <c r="K7" s="457">
        <f>IF('UTILITY REPORT 1'!H8&lt;0,"0",'UTILITY REPORT 1'!H8)</f>
        <v>0</v>
      </c>
      <c r="L7" s="456">
        <f>'Water-Meter'!K11</f>
        <v>1</v>
      </c>
      <c r="M7" s="457">
        <f>'Water-Meter'!H11</f>
        <v>0</v>
      </c>
      <c r="N7" s="457">
        <f>'Water-Meter'!Q11</f>
        <v>8</v>
      </c>
      <c r="O7" s="456" t="e">
        <f>K7*E7+H7*I7+#REF!*#REF!+J7*L7</f>
        <v>#REF!</v>
      </c>
      <c r="P7" s="462">
        <f>'Water-Meter'!E11</f>
        <v>210</v>
      </c>
      <c r="Q7" s="242">
        <f>IF('Water-Meter'!U11&lt;0,"0",'Water-Meter'!U11)</f>
        <v>82</v>
      </c>
      <c r="R7" s="242">
        <f>IF('Water-Meter'!X11&lt;0,"0",'Water-Meter'!X11)</f>
        <v>0</v>
      </c>
      <c r="S7" s="242">
        <f>IF('Water-Meter'!AA11&lt;0,"0",'Water-Meter'!AA11)</f>
        <v>50</v>
      </c>
      <c r="T7" s="242">
        <f>IF('Water-Meter'!AD11&lt;0,"0",'Water-Meter'!AD11)</f>
        <v>18</v>
      </c>
      <c r="U7" s="242">
        <f>IF('Water-Meter'!AG11&lt;0,"0",'Water-Meter'!AG11)</f>
        <v>0</v>
      </c>
      <c r="V7" s="242">
        <f>IF('Water-Meter'!AJ11&lt;0,"0",'Water-Meter'!AJ11)</f>
        <v>28</v>
      </c>
      <c r="W7" s="30">
        <f>'Water-Meter'!AN11</f>
        <v>178</v>
      </c>
      <c r="X7" s="473">
        <f>Total!K7</f>
        <v>5.19</v>
      </c>
    </row>
    <row r="8" spans="1:24">
      <c r="A8" s="458" t="s">
        <v>283</v>
      </c>
      <c r="B8" s="455">
        <f t="shared" si="0"/>
        <v>7</v>
      </c>
      <c r="C8" s="460">
        <v>4</v>
      </c>
      <c r="D8" s="461">
        <v>2021</v>
      </c>
      <c r="E8" s="456">
        <f>'UTILITY REPORT 1'!I9</f>
        <v>119.14</v>
      </c>
      <c r="F8" s="456">
        <f>'UTILITY REPORT 1'!E9</f>
        <v>1350.42</v>
      </c>
      <c r="G8" s="457">
        <f>'UTILITY REPORT 1'!F9</f>
        <v>3363</v>
      </c>
      <c r="H8" s="456">
        <f>IF('Kit report'!F10&lt;0,"0",'Kit report'!F10)</f>
        <v>288.00000000017462</v>
      </c>
      <c r="I8" s="456">
        <f>IF('Kit report'!X10&lt;0,"0",'Kit report'!X10)</f>
        <v>379.99999999992724</v>
      </c>
      <c r="J8" s="456">
        <f>IF('Utility summery'!H12&lt;0,"0",'Utility summery'!H12)</f>
        <v>76</v>
      </c>
      <c r="K8" s="457">
        <f>IF('UTILITY REPORT 1'!H9&lt;0,"0",'UTILITY REPORT 1'!H9)</f>
        <v>101</v>
      </c>
      <c r="L8" s="456">
        <f>'Water-Meter'!K12</f>
        <v>2</v>
      </c>
      <c r="M8" s="457">
        <f>'Water-Meter'!H12</f>
        <v>0</v>
      </c>
      <c r="N8" s="457">
        <f>'Water-Meter'!Q12</f>
        <v>3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81</v>
      </c>
      <c r="R8" s="242">
        <f>IF('Water-Meter'!X12&lt;0,"0",'Water-Meter'!X12)</f>
        <v>0</v>
      </c>
      <c r="S8" s="242">
        <f>IF('Water-Meter'!AA12&lt;0,"0",'Water-Meter'!AA12)</f>
        <v>47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28</v>
      </c>
      <c r="W8" s="30">
        <f>'Water-Meter'!AN12</f>
        <v>172</v>
      </c>
      <c r="X8" s="473">
        <f>Total!K8</f>
        <v>11.69</v>
      </c>
    </row>
    <row r="9" spans="1:24">
      <c r="A9" s="458" t="s">
        <v>283</v>
      </c>
      <c r="B9" s="455">
        <f t="shared" si="0"/>
        <v>8</v>
      </c>
      <c r="C9" s="460">
        <v>4</v>
      </c>
      <c r="D9" s="461">
        <v>2021</v>
      </c>
      <c r="E9" s="456">
        <f>'UTILITY REPORT 1'!I10</f>
        <v>156.32</v>
      </c>
      <c r="F9" s="456">
        <f>'UTILITY REPORT 1'!E10</f>
        <v>1264.32</v>
      </c>
      <c r="G9" s="457">
        <f>'UTILITY REPORT 1'!F10</f>
        <v>3146</v>
      </c>
      <c r="H9" s="456">
        <f>IF('Kit report'!F11&lt;0,"0",'Kit report'!F11)</f>
        <v>275.99999999991269</v>
      </c>
      <c r="I9" s="456">
        <f>IF('Kit report'!X11&lt;0,"0",'Kit report'!X11)</f>
        <v>360.00000000003638</v>
      </c>
      <c r="J9" s="456">
        <f>IF('Utility summery'!H13&lt;0,"0",'Utility summery'!H13)</f>
        <v>82</v>
      </c>
      <c r="K9" s="457">
        <f>IF('UTILITY REPORT 1'!H10&lt;0,"0",'UTILITY REPORT 1'!H10)</f>
        <v>12</v>
      </c>
      <c r="L9" s="456">
        <f>'Water-Meter'!K13</f>
        <v>2</v>
      </c>
      <c r="M9" s="457">
        <f>'Water-Meter'!H13</f>
        <v>0</v>
      </c>
      <c r="N9" s="457">
        <f>'Water-Meter'!Q13</f>
        <v>6</v>
      </c>
      <c r="O9" s="456" t="e">
        <f>K9*E9+H9*I9+#REF!*#REF!+J9*L9</f>
        <v>#REF!</v>
      </c>
      <c r="P9" s="462">
        <f>'Water-Meter'!E13</f>
        <v>75</v>
      </c>
      <c r="Q9" s="242">
        <f>IF('Water-Meter'!U13&lt;0,"0",'Water-Meter'!U13)</f>
        <v>82</v>
      </c>
      <c r="R9" s="242">
        <f>IF('Water-Meter'!X13&lt;0,"0",'Water-Meter'!X13)</f>
        <v>0</v>
      </c>
      <c r="S9" s="242">
        <f>IF('Water-Meter'!AA13&lt;0,"0",'Water-Meter'!AA13)</f>
        <v>48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27</v>
      </c>
      <c r="W9" s="30">
        <f>'Water-Meter'!AN13</f>
        <v>173</v>
      </c>
      <c r="X9" s="473">
        <f>Total!K9</f>
        <v>12.99</v>
      </c>
    </row>
    <row r="10" spans="1:24">
      <c r="A10" s="458" t="s">
        <v>283</v>
      </c>
      <c r="B10" s="455">
        <f t="shared" si="0"/>
        <v>9</v>
      </c>
      <c r="C10" s="460">
        <v>4</v>
      </c>
      <c r="D10" s="461">
        <v>2021</v>
      </c>
      <c r="E10" s="456">
        <f>'UTILITY REPORT 1'!I11</f>
        <v>302.11</v>
      </c>
      <c r="F10" s="456">
        <f>'UTILITY REPORT 1'!E11</f>
        <v>1306.29</v>
      </c>
      <c r="G10" s="457">
        <f>'UTILITY REPORT 1'!F11</f>
        <v>3314</v>
      </c>
      <c r="H10" s="456">
        <f>IF('Kit report'!F12&lt;0,"0",'Kit report'!F12)</f>
        <v>240</v>
      </c>
      <c r="I10" s="456">
        <f>IF('Kit report'!X12&lt;0,"0",'Kit report'!X12)</f>
        <v>420.00000000007276</v>
      </c>
      <c r="J10" s="456">
        <f>IF('Utility summery'!H14&lt;0,"0",'Utility summery'!H14)</f>
        <v>78</v>
      </c>
      <c r="K10" s="457">
        <f>IF('UTILITY REPORT 1'!H11&lt;0,"0",'UTILITY REPORT 1'!H11)</f>
        <v>0</v>
      </c>
      <c r="L10" s="456">
        <f>'Water-Meter'!K14</f>
        <v>1</v>
      </c>
      <c r="M10" s="457">
        <f>'Water-Meter'!H14</f>
        <v>0</v>
      </c>
      <c r="N10" s="457">
        <f>'Water-Meter'!Q14</f>
        <v>4</v>
      </c>
      <c r="O10" s="456" t="e">
        <f>K10*E10+H10*I10+#REF!*#REF!+J10*L10</f>
        <v>#REF!</v>
      </c>
      <c r="P10" s="462">
        <f>'Water-Meter'!E14</f>
        <v>47</v>
      </c>
      <c r="Q10" s="242">
        <f>IF('Water-Meter'!U14&lt;0,"0",'Water-Meter'!U14)</f>
        <v>81</v>
      </c>
      <c r="R10" s="242">
        <f>IF('Water-Meter'!X14&lt;0,"0",'Water-Meter'!X14)</f>
        <v>0</v>
      </c>
      <c r="S10" s="242">
        <f>IF('Water-Meter'!AA14&lt;0,"0",'Water-Meter'!AA14)</f>
        <v>1</v>
      </c>
      <c r="T10" s="242">
        <f>IF('Water-Meter'!AD14&lt;0,"0",'Water-Meter'!AD14)</f>
        <v>16</v>
      </c>
      <c r="U10" s="242">
        <f>IF('Water-Meter'!AG14&lt;0,"0",'Water-Meter'!AG14)</f>
        <v>0</v>
      </c>
      <c r="V10" s="242">
        <f>IF('Water-Meter'!AJ14&lt;0,"0",'Water-Meter'!AJ14)</f>
        <v>28</v>
      </c>
      <c r="W10" s="30">
        <f>'Water-Meter'!AN14</f>
        <v>126</v>
      </c>
      <c r="X10" s="473">
        <f>Total!K10</f>
        <v>15.58</v>
      </c>
    </row>
    <row r="11" spans="1:24">
      <c r="A11" s="458" t="s">
        <v>283</v>
      </c>
      <c r="B11" s="455">
        <f t="shared" si="0"/>
        <v>10</v>
      </c>
      <c r="C11" s="460">
        <v>4</v>
      </c>
      <c r="D11" s="461">
        <v>2021</v>
      </c>
      <c r="E11" s="456">
        <f>'UTILITY REPORT 1'!I12</f>
        <v>112</v>
      </c>
      <c r="F11" s="456">
        <f>'UTILITY REPORT 1'!E12</f>
        <v>1245.81</v>
      </c>
      <c r="G11" s="457">
        <f>'UTILITY REPORT 1'!F12</f>
        <v>3168</v>
      </c>
      <c r="H11" s="456">
        <f>IF('Kit report'!F13&lt;0,"0",'Kit report'!F13)</f>
        <v>215.99999999991269</v>
      </c>
      <c r="I11" s="456">
        <f>IF('Kit report'!X13&lt;0,"0",'Kit report'!X13)</f>
        <v>260.00000000003638</v>
      </c>
      <c r="J11" s="456">
        <f>IF('Utility summery'!H15&lt;0,"0",'Utility summery'!H15)</f>
        <v>77</v>
      </c>
      <c r="K11" s="457">
        <f>IF('UTILITY REPORT 1'!H12&lt;0,"0",'UTILITY REPORT 1'!H12)</f>
        <v>0</v>
      </c>
      <c r="L11" s="456">
        <f>'Water-Meter'!K15</f>
        <v>2</v>
      </c>
      <c r="M11" s="457">
        <f>'Water-Meter'!H15</f>
        <v>0</v>
      </c>
      <c r="N11" s="457">
        <f>'Water-Meter'!Q15</f>
        <v>3</v>
      </c>
      <c r="O11" s="456" t="e">
        <f>K11*E11+H11*I11+#REF!*#REF!+J11*L11</f>
        <v>#REF!</v>
      </c>
      <c r="P11" s="462">
        <f>'Water-Meter'!E15</f>
        <v>46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17</v>
      </c>
      <c r="U11" s="242">
        <f>IF('Water-Meter'!AG15&lt;0,"0",'Water-Meter'!AG15)</f>
        <v>0</v>
      </c>
      <c r="V11" s="242">
        <f>IF('Water-Meter'!AJ15&lt;0,"0",'Water-Meter'!AJ15)</f>
        <v>27</v>
      </c>
      <c r="W11" s="30">
        <f>'Water-Meter'!AN15</f>
        <v>44</v>
      </c>
      <c r="X11" s="473">
        <f>Total!K11</f>
        <v>15.58</v>
      </c>
    </row>
    <row r="12" spans="1:24">
      <c r="A12" s="458" t="s">
        <v>283</v>
      </c>
      <c r="B12" s="455">
        <f t="shared" si="0"/>
        <v>11</v>
      </c>
      <c r="C12" s="460">
        <v>4</v>
      </c>
      <c r="D12" s="461">
        <v>2021</v>
      </c>
      <c r="E12" s="456">
        <f>'UTILITY REPORT 1'!I13</f>
        <v>25</v>
      </c>
      <c r="F12" s="456">
        <f>'UTILITY REPORT 1'!E13</f>
        <v>1283.98</v>
      </c>
      <c r="G12" s="457">
        <f>'UTILITY REPORT 1'!F13</f>
        <v>3237</v>
      </c>
      <c r="H12" s="456">
        <f>IF('Kit report'!F14&lt;0,"0",'Kit report'!F14)</f>
        <v>216.00000000013097</v>
      </c>
      <c r="I12" s="456">
        <f>IF('Kit report'!X14&lt;0,"0",'Kit report'!X14)</f>
        <v>279.99999999992724</v>
      </c>
      <c r="J12" s="456">
        <f>IF('Utility summery'!H16&lt;0,"0",'Utility summery'!H16)</f>
        <v>50</v>
      </c>
      <c r="K12" s="457">
        <f>IF('UTILITY REPORT 1'!H13&lt;0,"0",'UTILITY REPORT 1'!H13)</f>
        <v>0</v>
      </c>
      <c r="L12" s="456">
        <f>'Water-Meter'!K16</f>
        <v>2</v>
      </c>
      <c r="M12" s="457">
        <f>'Water-Meter'!H16</f>
        <v>0</v>
      </c>
      <c r="N12" s="457">
        <f>'Water-Meter'!Q16</f>
        <v>3</v>
      </c>
      <c r="O12" s="456" t="e">
        <f>K12*E12+H12*I12+#REF!*#REF!+J12*L12</f>
        <v>#REF!</v>
      </c>
      <c r="P12" s="462">
        <f>'Water-Meter'!E16</f>
        <v>50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17</v>
      </c>
      <c r="U12" s="242">
        <f>IF('Water-Meter'!AG16&lt;0,"0",'Water-Meter'!AG16)</f>
        <v>0</v>
      </c>
      <c r="V12" s="242">
        <f>IF('Water-Meter'!AJ16&lt;0,"0",'Water-Meter'!AJ16)</f>
        <v>26</v>
      </c>
      <c r="W12" s="30">
        <f>'Water-Meter'!AN16</f>
        <v>43</v>
      </c>
      <c r="X12" s="473">
        <f>Total!K12</f>
        <v>11.69</v>
      </c>
    </row>
    <row r="13" spans="1:24">
      <c r="A13" s="458" t="s">
        <v>283</v>
      </c>
      <c r="B13" s="455">
        <f t="shared" si="0"/>
        <v>12</v>
      </c>
      <c r="C13" s="460">
        <v>4</v>
      </c>
      <c r="D13" s="461">
        <v>2021</v>
      </c>
      <c r="E13" s="456">
        <f>'UTILITY REPORT 1'!I14</f>
        <v>250.64</v>
      </c>
      <c r="F13" s="456">
        <f>'UTILITY REPORT 1'!E14</f>
        <v>1166.75</v>
      </c>
      <c r="G13" s="457">
        <f>'UTILITY REPORT 1'!F14</f>
        <v>3269</v>
      </c>
      <c r="H13" s="456">
        <f>IF('Kit report'!F15&lt;0,"0",'Kit report'!F15)</f>
        <v>240</v>
      </c>
      <c r="I13" s="456">
        <f>IF('Kit report'!X15&lt;0,"0",'Kit report'!X15)</f>
        <v>239.99999999996362</v>
      </c>
      <c r="J13" s="456">
        <f>IF('Utility summery'!H17&lt;0,"0",'Utility summery'!H17)</f>
        <v>46</v>
      </c>
      <c r="K13" s="457">
        <f>IF('UTILITY REPORT 1'!H14&lt;0,"0",'UTILITY REPORT 1'!H14)</f>
        <v>0</v>
      </c>
      <c r="L13" s="456">
        <f>'Water-Meter'!K17</f>
        <v>1</v>
      </c>
      <c r="M13" s="457">
        <f>'Water-Meter'!H17</f>
        <v>0</v>
      </c>
      <c r="N13" s="457">
        <f>'Water-Meter'!Q17</f>
        <v>6</v>
      </c>
      <c r="O13" s="456" t="e">
        <f>K13*E13+H13*I13+#REF!*#REF!+J13*L13</f>
        <v>#REF!</v>
      </c>
      <c r="P13" s="462">
        <f>'Water-Meter'!E17</f>
        <v>61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16</v>
      </c>
      <c r="U13" s="242">
        <f>IF('Water-Meter'!AG17&lt;0,"0",'Water-Meter'!AG17)</f>
        <v>0</v>
      </c>
      <c r="V13" s="242">
        <f>IF('Water-Meter'!AJ17&lt;0,"0",'Water-Meter'!AJ17)</f>
        <v>33</v>
      </c>
      <c r="W13" s="30">
        <f>'Water-Meter'!AN17</f>
        <v>49</v>
      </c>
      <c r="X13" s="473">
        <f>Total!K13</f>
        <v>12.99</v>
      </c>
    </row>
    <row r="14" spans="1:24">
      <c r="A14" s="458" t="s">
        <v>283</v>
      </c>
      <c r="B14" s="455">
        <f t="shared" si="0"/>
        <v>13</v>
      </c>
      <c r="C14" s="460">
        <v>4</v>
      </c>
      <c r="D14" s="461">
        <v>2021</v>
      </c>
      <c r="E14" s="456">
        <f>'UTILITY REPORT 1'!I15</f>
        <v>22.54</v>
      </c>
      <c r="F14" s="456">
        <f>'UTILITY REPORT 1'!E15</f>
        <v>1083.74</v>
      </c>
      <c r="G14" s="457">
        <f>'UTILITY REPORT 1'!F15</f>
        <v>2665</v>
      </c>
      <c r="H14" s="456">
        <f>IF('Kit report'!F16&lt;0,"0",'Kit report'!F16)</f>
        <v>215.99999999991269</v>
      </c>
      <c r="I14" s="456">
        <f>IF('Kit report'!X16&lt;0,"0",'Kit report'!X16)</f>
        <v>300</v>
      </c>
      <c r="J14" s="456">
        <f>IF('Utility summery'!H18&lt;0,"0",'Utility summery'!H18)</f>
        <v>42</v>
      </c>
      <c r="K14" s="457" t="str">
        <f>IF('UTILITY REPORT 1'!H15&lt;0,"0",'UTILITY REPORT 1'!H15)</f>
        <v>0</v>
      </c>
      <c r="L14" s="456">
        <f>'Water-Meter'!K18</f>
        <v>1</v>
      </c>
      <c r="M14" s="457">
        <f>'Water-Meter'!H18</f>
        <v>0</v>
      </c>
      <c r="N14" s="457">
        <f>'Water-Meter'!Q18</f>
        <v>2</v>
      </c>
      <c r="O14" s="456" t="e">
        <f>K14*E14+H14*I14+#REF!*#REF!+J14*L14</f>
        <v>#REF!</v>
      </c>
      <c r="P14" s="462">
        <f>'Water-Meter'!E18</f>
        <v>181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16</v>
      </c>
      <c r="U14" s="242">
        <f>IF('Water-Meter'!AG18&lt;0,"0",'Water-Meter'!AG18)</f>
        <v>0</v>
      </c>
      <c r="V14" s="242">
        <f>IF('Water-Meter'!AJ18&lt;0,"0",'Water-Meter'!AJ18)</f>
        <v>29</v>
      </c>
      <c r="W14" s="30">
        <f>'Water-Meter'!AN18</f>
        <v>45</v>
      </c>
      <c r="X14" s="473">
        <f>Total!K14</f>
        <v>14.29</v>
      </c>
    </row>
    <row r="15" spans="1:24">
      <c r="A15" s="458" t="s">
        <v>283</v>
      </c>
      <c r="B15" s="455">
        <f t="shared" si="0"/>
        <v>14</v>
      </c>
      <c r="C15" s="460">
        <v>4</v>
      </c>
      <c r="D15" s="461">
        <v>2021</v>
      </c>
      <c r="E15" s="456">
        <f>'UTILITY REPORT 1'!I16</f>
        <v>160.49</v>
      </c>
      <c r="F15" s="456">
        <f>'UTILITY REPORT 1'!E16</f>
        <v>1063.99</v>
      </c>
      <c r="G15" s="457">
        <f>'UTILITY REPORT 1'!F16</f>
        <v>2643</v>
      </c>
      <c r="H15" s="456">
        <f>IF('Kit report'!F17&lt;0,"0",'Kit report'!F17)</f>
        <v>227.99999999995634</v>
      </c>
      <c r="I15" s="456">
        <f>IF('Kit report'!X17&lt;0,"0",'Kit report'!X17)</f>
        <v>180.00000000010914</v>
      </c>
      <c r="J15" s="456">
        <f>IF('Utility summery'!H19&lt;0,"0",'Utility summery'!H19)</f>
        <v>44</v>
      </c>
      <c r="K15" s="457">
        <f>IF('UTILITY REPORT 1'!H16&lt;0,"0",'UTILITY REPORT 1'!H16)</f>
        <v>177</v>
      </c>
      <c r="L15" s="456">
        <f>'Water-Meter'!K19</f>
        <v>1</v>
      </c>
      <c r="M15" s="457">
        <f>'Water-Meter'!H19</f>
        <v>0</v>
      </c>
      <c r="N15" s="457">
        <f>'Water-Meter'!Q19</f>
        <v>2</v>
      </c>
      <c r="O15" s="456" t="e">
        <f>K15*E15+H15*I15+#REF!*#REF!+J15*L15</f>
        <v>#REF!</v>
      </c>
      <c r="P15" s="462">
        <f>'Water-Meter'!E19</f>
        <v>46</v>
      </c>
      <c r="Q15" s="242">
        <f>IF('Water-Meter'!U19&lt;0,"0",'Water-Meter'!U19)</f>
        <v>89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17</v>
      </c>
      <c r="U15" s="242">
        <f>IF('Water-Meter'!AG19&lt;0,"0",'Water-Meter'!AG19)</f>
        <v>0</v>
      </c>
      <c r="V15" s="242">
        <f>IF('Water-Meter'!AJ19&lt;0,"0",'Water-Meter'!AJ19)</f>
        <v>19</v>
      </c>
      <c r="W15" s="30">
        <f>'Water-Meter'!AN19</f>
        <v>125</v>
      </c>
      <c r="X15" s="473">
        <f>Total!K15</f>
        <v>14.29</v>
      </c>
    </row>
    <row r="16" spans="1:24">
      <c r="A16" s="458" t="s">
        <v>283</v>
      </c>
      <c r="B16" s="455">
        <f t="shared" si="0"/>
        <v>15</v>
      </c>
      <c r="C16" s="460">
        <v>4</v>
      </c>
      <c r="D16" s="461">
        <v>2021</v>
      </c>
      <c r="E16" s="456">
        <f>'UTILITY REPORT 1'!I17</f>
        <v>101.91</v>
      </c>
      <c r="F16" s="456">
        <f>'UTILITY REPORT 1'!E17</f>
        <v>1051.08</v>
      </c>
      <c r="G16" s="457">
        <f>'UTILITY REPORT 1'!F17</f>
        <v>2618</v>
      </c>
      <c r="H16" s="456">
        <f>IF('Kit report'!F18&lt;0,"0",'Kit report'!F18)</f>
        <v>216.00000000013097</v>
      </c>
      <c r="I16" s="456">
        <f>IF('Kit report'!X18&lt;0,"0",'Kit report'!X18)</f>
        <v>300</v>
      </c>
      <c r="J16" s="456">
        <f>IF('Utility summery'!H20&lt;0,"0",'Utility summery'!H20)</f>
        <v>45</v>
      </c>
      <c r="K16" s="457">
        <f>IF('UTILITY REPORT 1'!H17&lt;0,"0",'UTILITY REPORT 1'!H17)</f>
        <v>35</v>
      </c>
      <c r="L16" s="456">
        <f>'Water-Meter'!K20</f>
        <v>1</v>
      </c>
      <c r="M16" s="457">
        <f>'Water-Meter'!H20</f>
        <v>0</v>
      </c>
      <c r="N16" s="457">
        <f>'Water-Meter'!Q20</f>
        <v>5</v>
      </c>
      <c r="O16" s="456" t="e">
        <f>K16*E16+H16*I16+#REF!*#REF!+J16*L16</f>
        <v>#REF!</v>
      </c>
      <c r="P16" s="462">
        <f>'Water-Meter'!E20</f>
        <v>47</v>
      </c>
      <c r="Q16" s="242">
        <f>IF('Water-Meter'!U20&lt;0,"0",'Water-Meter'!U20)</f>
        <v>82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16</v>
      </c>
      <c r="U16" s="242">
        <f>IF('Water-Meter'!AG20&lt;0,"0",'Water-Meter'!AG20)</f>
        <v>0</v>
      </c>
      <c r="V16" s="242">
        <f>IF('Water-Meter'!AJ20&lt;0,"0",'Water-Meter'!AJ20)</f>
        <v>39</v>
      </c>
      <c r="W16" s="30">
        <f>'Water-Meter'!AN20</f>
        <v>137</v>
      </c>
      <c r="X16" s="473">
        <f>Total!K16</f>
        <v>9.09</v>
      </c>
    </row>
    <row r="17" spans="1:24">
      <c r="A17" s="458" t="s">
        <v>283</v>
      </c>
      <c r="B17" s="455">
        <f t="shared" si="0"/>
        <v>16</v>
      </c>
      <c r="C17" s="460">
        <v>4</v>
      </c>
      <c r="D17" s="461">
        <v>2021</v>
      </c>
      <c r="E17" s="456">
        <f>'UTILITY REPORT 1'!I18</f>
        <v>0</v>
      </c>
      <c r="F17" s="456">
        <f>'UTILITY REPORT 1'!E18</f>
        <v>1038.83</v>
      </c>
      <c r="G17" s="457">
        <f>'UTILITY REPORT 1'!F18</f>
        <v>2546</v>
      </c>
      <c r="H17" s="456">
        <f>IF('Kit report'!F19&lt;0,"0",'Kit report'!F19)</f>
        <v>203.99999999986903</v>
      </c>
      <c r="I17" s="456">
        <f>IF('Kit report'!X19&lt;0,"0",'Kit report'!X19)</f>
        <v>200</v>
      </c>
      <c r="J17" s="456">
        <f>IF('Utility summery'!H21&lt;0,"0",'Utility summery'!H21)</f>
        <v>42</v>
      </c>
      <c r="K17" s="457">
        <f>IF('UTILITY REPORT 1'!H18&lt;0,"0",'UTILITY REPORT 1'!H18)</f>
        <v>38</v>
      </c>
      <c r="L17" s="456">
        <f>'Water-Meter'!K21</f>
        <v>2</v>
      </c>
      <c r="M17" s="457">
        <f>'Water-Meter'!H21</f>
        <v>0</v>
      </c>
      <c r="N17" s="457">
        <f>'Water-Meter'!Q21</f>
        <v>2</v>
      </c>
      <c r="O17" s="456" t="e">
        <f>K17*E17+H17*I17+#REF!*#REF!+J17*L17</f>
        <v>#REF!</v>
      </c>
      <c r="P17" s="462">
        <f>'Water-Meter'!E21</f>
        <v>40</v>
      </c>
      <c r="Q17" s="242">
        <f>IF('Water-Meter'!U21&lt;0,"0",'Water-Meter'!U21)</f>
        <v>82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17</v>
      </c>
      <c r="U17" s="242">
        <f>IF('Water-Meter'!AG21&lt;0,"0",'Water-Meter'!AG21)</f>
        <v>0</v>
      </c>
      <c r="V17" s="242">
        <f>IF('Water-Meter'!AJ21&lt;0,"0",'Water-Meter'!AJ21)</f>
        <v>29</v>
      </c>
      <c r="W17" s="30">
        <f>'Water-Meter'!AN21</f>
        <v>128</v>
      </c>
      <c r="X17" s="473">
        <f>Total!K17</f>
        <v>7.79</v>
      </c>
    </row>
    <row r="18" spans="1:24">
      <c r="A18" s="458" t="s">
        <v>283</v>
      </c>
      <c r="B18" s="455">
        <f t="shared" si="0"/>
        <v>17</v>
      </c>
      <c r="C18" s="460">
        <v>4</v>
      </c>
      <c r="D18" s="461">
        <v>2021</v>
      </c>
      <c r="E18" s="456">
        <f>'UTILITY REPORT 1'!I19</f>
        <v>146.31</v>
      </c>
      <c r="F18" s="456">
        <f>'UTILITY REPORT 1'!E19</f>
        <v>1102.78</v>
      </c>
      <c r="G18" s="457">
        <f>'UTILITY REPORT 1'!F19</f>
        <v>2694</v>
      </c>
      <c r="H18" s="456">
        <f>IF('Kit report'!F20&lt;0,"0",'Kit report'!F20)</f>
        <v>240</v>
      </c>
      <c r="I18" s="456">
        <f>IF('Kit report'!X20&lt;0,"0",'Kit report'!X20)</f>
        <v>159.99999999985448</v>
      </c>
      <c r="J18" s="456">
        <f>IF('Utility summery'!H22&lt;0,"0",'Utility summery'!H22)</f>
        <v>45</v>
      </c>
      <c r="K18" s="457">
        <f>IF('UTILITY REPORT 1'!H19&lt;0,"0",'UTILITY REPORT 1'!H19)</f>
        <v>38</v>
      </c>
      <c r="L18" s="456">
        <f>'Water-Meter'!K22</f>
        <v>2</v>
      </c>
      <c r="M18" s="457">
        <f>'Water-Meter'!H22</f>
        <v>0</v>
      </c>
      <c r="N18" s="457">
        <f>'Water-Meter'!Q22</f>
        <v>5</v>
      </c>
      <c r="O18" s="456" t="e">
        <f>K18*E18+H18*I18+#REF!*#REF!+J18*L18</f>
        <v>#REF!</v>
      </c>
      <c r="P18" s="462">
        <f>'Water-Meter'!E22</f>
        <v>52</v>
      </c>
      <c r="Q18" s="242">
        <f>IF('Water-Meter'!U22&lt;0,"0",'Water-Meter'!U22)</f>
        <v>81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16</v>
      </c>
      <c r="U18" s="242">
        <f>IF('Water-Meter'!AG22&lt;0,"0",'Water-Meter'!AG22)</f>
        <v>0</v>
      </c>
      <c r="V18" s="242">
        <f>IF('Water-Meter'!AJ22&lt;0,"0",'Water-Meter'!AJ22)</f>
        <v>28</v>
      </c>
      <c r="W18" s="30">
        <f>'Water-Meter'!AN22</f>
        <v>125</v>
      </c>
      <c r="X18" s="473">
        <f>Total!K18</f>
        <v>6.49</v>
      </c>
    </row>
    <row r="19" spans="1:24">
      <c r="A19" s="458" t="s">
        <v>283</v>
      </c>
      <c r="B19" s="455">
        <f t="shared" si="0"/>
        <v>18</v>
      </c>
      <c r="C19" s="460">
        <v>4</v>
      </c>
      <c r="D19" s="461">
        <v>2021</v>
      </c>
      <c r="E19" s="456">
        <f>'UTILITY REPORT 1'!I20</f>
        <v>0</v>
      </c>
      <c r="F19" s="456">
        <f>'UTILITY REPORT 1'!E20</f>
        <v>1165.3</v>
      </c>
      <c r="G19" s="457">
        <f>'UTILITY REPORT 1'!F20</f>
        <v>2839</v>
      </c>
      <c r="H19" s="456">
        <f>IF('Kit report'!F21&lt;0,"0",'Kit report'!F21)</f>
        <v>252.00000000004366</v>
      </c>
      <c r="I19" s="456">
        <f>IF('Kit report'!X21&lt;0,"0",'Kit report'!X21)</f>
        <v>280.00000000010914</v>
      </c>
      <c r="J19" s="456">
        <f>IF('Utility summery'!H23&lt;0,"0",'Utility summery'!H23)</f>
        <v>46</v>
      </c>
      <c r="K19" s="457">
        <f>IF('UTILITY REPORT 1'!H20&lt;0,"0",'UTILITY REPORT 1'!H20)</f>
        <v>38</v>
      </c>
      <c r="L19" s="456">
        <f>'Water-Meter'!K23</f>
        <v>1</v>
      </c>
      <c r="M19" s="457">
        <f>'Water-Meter'!H23</f>
        <v>0</v>
      </c>
      <c r="N19" s="457">
        <f>'Water-Meter'!Q23</f>
        <v>4</v>
      </c>
      <c r="O19" s="456" t="e">
        <f>K19*E19+H19*I19+#REF!*#REF!+J19*L19</f>
        <v>#REF!</v>
      </c>
      <c r="P19" s="462">
        <f>'Water-Meter'!E23</f>
        <v>53</v>
      </c>
      <c r="Q19" s="242">
        <f>IF('Water-Meter'!U23&lt;0,"0",'Water-Meter'!U23)</f>
        <v>81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17</v>
      </c>
      <c r="U19" s="242">
        <f>IF('Water-Meter'!AG23&lt;0,"0",'Water-Meter'!AG23)</f>
        <v>0</v>
      </c>
      <c r="V19" s="242">
        <f>IF('Water-Meter'!AJ23&lt;0,"0",'Water-Meter'!AJ23)</f>
        <v>27</v>
      </c>
      <c r="W19" s="30">
        <f>'Water-Meter'!AN23</f>
        <v>125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4</v>
      </c>
      <c r="D20" s="461">
        <v>2021</v>
      </c>
      <c r="E20" s="456">
        <f>'UTILITY REPORT 1'!I21</f>
        <v>346.21000000000004</v>
      </c>
      <c r="F20" s="456">
        <f>'UTILITY REPORT 1'!E21</f>
        <v>1149</v>
      </c>
      <c r="G20" s="457">
        <f>'UTILITY REPORT 1'!F21</f>
        <v>2733</v>
      </c>
      <c r="H20" s="456">
        <f>IF('Kit report'!F22&lt;0,"0",'Kit report'!F22)</f>
        <v>252.00000000004366</v>
      </c>
      <c r="I20" s="456">
        <f>IF('Kit report'!X22&lt;0,"0",'Kit report'!X22)</f>
        <v>260.00000000003638</v>
      </c>
      <c r="J20" s="456">
        <f>IF('Utility summery'!H24&lt;0,"0",'Utility summery'!H24)</f>
        <v>49</v>
      </c>
      <c r="K20" s="457">
        <f>IF('UTILITY REPORT 1'!H21&lt;0,"0",'UTILITY REPORT 1'!H21)</f>
        <v>37</v>
      </c>
      <c r="L20" s="456">
        <f>'Water-Meter'!K24</f>
        <v>1</v>
      </c>
      <c r="M20" s="457">
        <f>'Water-Meter'!H24</f>
        <v>0</v>
      </c>
      <c r="N20" s="457">
        <f>'Water-Meter'!Q24</f>
        <v>4</v>
      </c>
      <c r="O20" s="456" t="e">
        <f>K20*E20+H20*I20+#REF!*#REF!+J20*L20</f>
        <v>#REF!</v>
      </c>
      <c r="P20" s="462">
        <f>'Water-Meter'!E24</f>
        <v>58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16</v>
      </c>
      <c r="U20" s="242">
        <f>IF('Water-Meter'!AG24&lt;0,"0",'Water-Meter'!AG24)</f>
        <v>0</v>
      </c>
      <c r="V20" s="242">
        <f>IF('Water-Meter'!AJ24&lt;0,"0",'Water-Meter'!AJ24)</f>
        <v>30</v>
      </c>
      <c r="W20" s="30">
        <f>'Water-Meter'!AN24</f>
        <v>46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4</v>
      </c>
      <c r="D21" s="461">
        <v>2021</v>
      </c>
      <c r="E21" s="456">
        <f>'UTILITY REPORT 1'!I22</f>
        <v>67.459999999999994</v>
      </c>
      <c r="F21" s="456">
        <f>'UTILITY REPORT 1'!E22</f>
        <v>1187.58</v>
      </c>
      <c r="G21" s="457">
        <f>'UTILITY REPORT 1'!F22</f>
        <v>2856</v>
      </c>
      <c r="H21" s="456">
        <f>IF('Kit report'!F23&lt;0,"0",'Kit report'!F23)</f>
        <v>252.00000000004366</v>
      </c>
      <c r="I21" s="456">
        <f>IF('Kit report'!X23&lt;0,"0",'Kit report'!X23)</f>
        <v>239.99999999996362</v>
      </c>
      <c r="J21" s="456">
        <f>IF('Utility summery'!H25&lt;0,"0",'Utility summery'!H25)</f>
        <v>40</v>
      </c>
      <c r="K21" s="457">
        <f>IF('UTILITY REPORT 1'!H22&lt;0,"0",'UTILITY REPORT 1'!H22)</f>
        <v>130</v>
      </c>
      <c r="L21" s="456">
        <f>'Water-Meter'!K25</f>
        <v>1</v>
      </c>
      <c r="M21" s="457">
        <f>'Water-Meter'!H25</f>
        <v>0</v>
      </c>
      <c r="N21" s="457">
        <f>'Water-Meter'!Q25</f>
        <v>3</v>
      </c>
      <c r="O21" s="456" t="e">
        <f>K21*E21+H21*I21+#REF!*#REF!+J21*L21</f>
        <v>#REF!</v>
      </c>
      <c r="P21" s="462">
        <f>'Water-Meter'!E25</f>
        <v>66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16</v>
      </c>
      <c r="U21" s="242">
        <f>IF('Water-Meter'!AG25&lt;0,"0",'Water-Meter'!AG25)</f>
        <v>0</v>
      </c>
      <c r="V21" s="242">
        <f>IF('Water-Meter'!AJ25&lt;0,"0",'Water-Meter'!AJ25)</f>
        <v>28</v>
      </c>
      <c r="W21" s="30">
        <f>'Water-Meter'!AN25</f>
        <v>44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4</v>
      </c>
      <c r="D22" s="461">
        <v>2021</v>
      </c>
      <c r="E22" s="456">
        <f>'UTILITY REPORT 1'!I23</f>
        <v>17.399999999999999</v>
      </c>
      <c r="F22" s="456">
        <f>'UTILITY REPORT 1'!E23</f>
        <v>1117.46</v>
      </c>
      <c r="G22" s="457">
        <f>'UTILITY REPORT 1'!F23</f>
        <v>2700</v>
      </c>
      <c r="H22" s="456">
        <f>IF('Kit report'!F24&lt;0,"0",'Kit report'!F24)</f>
        <v>227.99999999995634</v>
      </c>
      <c r="I22" s="456">
        <f>IF('Kit report'!X24&lt;0,"0",'Kit report'!X24)</f>
        <v>279.99999999992724</v>
      </c>
      <c r="J22" s="456">
        <f>IF('Utility summery'!H26&lt;0,"0",'Utility summery'!H26)</f>
        <v>45</v>
      </c>
      <c r="K22" s="457">
        <f>IF('UTILITY REPORT 1'!H23&lt;0,"0",'UTILITY REPORT 1'!H23)</f>
        <v>56</v>
      </c>
      <c r="L22" s="456">
        <f>'Water-Meter'!K26</f>
        <v>3</v>
      </c>
      <c r="M22" s="457">
        <f>'Water-Meter'!H26</f>
        <v>0</v>
      </c>
      <c r="N22" s="457">
        <f>'Water-Meter'!Q26</f>
        <v>3</v>
      </c>
      <c r="O22" s="456" t="e">
        <f>K22*E22+H22*I22+#REF!*#REF!+J22*L22</f>
        <v>#REF!</v>
      </c>
      <c r="P22" s="462">
        <f>'Water-Meter'!E26</f>
        <v>47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17</v>
      </c>
      <c r="U22" s="242">
        <f>IF('Water-Meter'!AG26&lt;0,"0",'Water-Meter'!AG26)</f>
        <v>0</v>
      </c>
      <c r="V22" s="242">
        <f>IF('Water-Meter'!AJ26&lt;0,"0",'Water-Meter'!AJ26)</f>
        <v>29</v>
      </c>
      <c r="W22" s="30">
        <f>'Water-Meter'!AN26</f>
        <v>46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4</v>
      </c>
      <c r="D23" s="461">
        <v>2021</v>
      </c>
      <c r="E23" s="456">
        <f>'UTILITY REPORT 1'!I24</f>
        <v>54.930000000000007</v>
      </c>
      <c r="F23" s="456">
        <f>'UTILITY REPORT 1'!E24</f>
        <v>1065.54</v>
      </c>
      <c r="G23" s="457">
        <f>'UTILITY REPORT 1'!F24</f>
        <v>2593</v>
      </c>
      <c r="H23" s="456">
        <f>IF('Kit report'!F25&lt;0,"0",'Kit report'!F25)</f>
        <v>227.99999999995634</v>
      </c>
      <c r="I23" s="456">
        <f>IF('Kit report'!X25&lt;0,"0",'Kit report'!X25)</f>
        <v>339.99999999996362</v>
      </c>
      <c r="J23" s="456">
        <f>IF('Utility summery'!H27&lt;0,"0",'Utility summery'!H27)</f>
        <v>46</v>
      </c>
      <c r="K23" s="457">
        <f>IF('UTILITY REPORT 1'!H24&lt;0,"0",'UTILITY REPORT 1'!H24)</f>
        <v>0</v>
      </c>
      <c r="L23" s="456">
        <f>'Water-Meter'!K27</f>
        <v>2</v>
      </c>
      <c r="M23" s="457">
        <f>'Water-Meter'!H27</f>
        <v>0</v>
      </c>
      <c r="N23" s="457">
        <f>'Water-Meter'!Q27</f>
        <v>6</v>
      </c>
      <c r="O23" s="456" t="e">
        <f>K23*E23+H23*I23+#REF!*#REF!+J23*L23</f>
        <v>#REF!</v>
      </c>
      <c r="P23" s="462">
        <f>'Water-Meter'!E27</f>
        <v>50</v>
      </c>
      <c r="Q23" s="242">
        <f>IF('Water-Meter'!U27&lt;0,"0",'Water-Meter'!U27)</f>
        <v>61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16</v>
      </c>
      <c r="U23" s="242">
        <f>IF('Water-Meter'!AG27&lt;0,"0",'Water-Meter'!AG27)</f>
        <v>0</v>
      </c>
      <c r="V23" s="242">
        <f>IF('Water-Meter'!AJ27&lt;0,"0",'Water-Meter'!AJ27)</f>
        <v>28</v>
      </c>
      <c r="W23" s="30">
        <f>'Water-Meter'!AN27</f>
        <v>105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4</v>
      </c>
      <c r="D24" s="461">
        <v>2021</v>
      </c>
      <c r="E24" s="456">
        <f>'UTILITY REPORT 1'!I25</f>
        <v>140.07</v>
      </c>
      <c r="F24" s="456">
        <f>'UTILITY REPORT 1'!E25</f>
        <v>1088.06</v>
      </c>
      <c r="G24" s="457">
        <f>'UTILITY REPORT 1'!F25</f>
        <v>2657</v>
      </c>
      <c r="H24" s="456">
        <f>IF('Kit report'!F26&lt;0,"0",'Kit report'!F26)</f>
        <v>240</v>
      </c>
      <c r="I24" s="456">
        <f>IF('Kit report'!X26&lt;0,"0",'Kit report'!X26)</f>
        <v>340.00000000014552</v>
      </c>
      <c r="J24" s="456">
        <f>IF('Utility summery'!H28&lt;0,"0",'Utility summery'!H28)</f>
        <v>29</v>
      </c>
      <c r="K24" s="457">
        <f>IF('UTILITY REPORT 1'!H25&lt;0,"0",'UTILITY REPORT 1'!H25)</f>
        <v>38</v>
      </c>
      <c r="L24" s="456">
        <f>'Water-Meter'!K28</f>
        <v>1</v>
      </c>
      <c r="M24" s="457">
        <f>'Water-Meter'!H28</f>
        <v>0</v>
      </c>
      <c r="N24" s="457">
        <f>'Water-Meter'!Q28</f>
        <v>2</v>
      </c>
      <c r="O24" s="456" t="e">
        <f>K24*E24+H24*I24+#REF!*#REF!+J24*L24</f>
        <v>#REF!</v>
      </c>
      <c r="P24" s="462">
        <f>'Water-Meter'!E28</f>
        <v>47</v>
      </c>
      <c r="Q24" s="242">
        <f>IF('Water-Meter'!U28&lt;0,"0",'Water-Meter'!U28)</f>
        <v>82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16</v>
      </c>
      <c r="U24" s="242">
        <f>IF('Water-Meter'!AG28&lt;0,"0",'Water-Meter'!AG28)</f>
        <v>0</v>
      </c>
      <c r="V24" s="242">
        <f>IF('Water-Meter'!AJ28&lt;0,"0",'Water-Meter'!AJ28)</f>
        <v>30</v>
      </c>
      <c r="W24" s="30">
        <f>'Water-Meter'!AN28</f>
        <v>128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4</v>
      </c>
      <c r="D25" s="461">
        <v>2021</v>
      </c>
      <c r="E25" s="456">
        <f>'UTILITY REPORT 1'!I26</f>
        <v>147</v>
      </c>
      <c r="F25" s="456">
        <f>'UTILITY REPORT 1'!E26</f>
        <v>1050.72</v>
      </c>
      <c r="G25" s="457">
        <f>'UTILITY REPORT 1'!F26</f>
        <v>2629</v>
      </c>
      <c r="H25" s="456">
        <f>IF('Kit report'!F27&lt;0,"0",'Kit report'!F27)</f>
        <v>252.00000000004366</v>
      </c>
      <c r="I25" s="456">
        <f>IF('Kit report'!X27&lt;0,"0",'Kit report'!X27)</f>
        <v>139.99999999996362</v>
      </c>
      <c r="J25" s="456">
        <f>IF('Utility summery'!H29&lt;0,"0",'Utility summery'!H29)</f>
        <v>45</v>
      </c>
      <c r="K25" s="457">
        <f>IF('UTILITY REPORT 1'!H26&lt;0,"0",'UTILITY REPORT 1'!H26)</f>
        <v>37</v>
      </c>
      <c r="L25" s="456">
        <f>'Water-Meter'!K29</f>
        <v>1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56</v>
      </c>
      <c r="Q25" s="242">
        <f>IF('Water-Meter'!U29&lt;0,"0",'Water-Meter'!U29)</f>
        <v>83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17</v>
      </c>
      <c r="U25" s="242">
        <f>IF('Water-Meter'!AG29&lt;0,"0",'Water-Meter'!AG29)</f>
        <v>0</v>
      </c>
      <c r="V25" s="242">
        <f>IF('Water-Meter'!AJ29&lt;0,"0",'Water-Meter'!AJ29)</f>
        <v>28</v>
      </c>
      <c r="W25" s="30">
        <f>'Water-Meter'!AN29</f>
        <v>128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4</v>
      </c>
      <c r="D26" s="461">
        <v>2021</v>
      </c>
      <c r="E26" s="456">
        <f>'UTILITY REPORT 1'!I27</f>
        <v>104.04</v>
      </c>
      <c r="F26" s="456">
        <f>'UTILITY REPORT 1'!E27</f>
        <v>1147.08</v>
      </c>
      <c r="G26" s="457">
        <f>'UTILITY REPORT 1'!F27</f>
        <v>2890</v>
      </c>
      <c r="H26" s="456">
        <f>IF('Kit report'!F28&lt;0,"0",'Kit report'!F28)</f>
        <v>300</v>
      </c>
      <c r="I26" s="456">
        <f>IF('Kit report'!X28&lt;0,"0",'Kit report'!X28)</f>
        <v>279.99999999992724</v>
      </c>
      <c r="J26" s="456">
        <f>IF('Utility summery'!H30&lt;0,"0",'Utility summery'!H30)</f>
        <v>46</v>
      </c>
      <c r="K26" s="457">
        <f>IF('UTILITY REPORT 1'!H27&lt;0,"0",'UTILITY REPORT 1'!H27)</f>
        <v>131</v>
      </c>
      <c r="L26" s="456">
        <f>'Water-Meter'!K30</f>
        <v>2</v>
      </c>
      <c r="M26" s="457">
        <f>'Water-Meter'!H30</f>
        <v>0</v>
      </c>
      <c r="N26" s="457">
        <f>'Water-Meter'!Q30</f>
        <v>4</v>
      </c>
      <c r="O26" s="456" t="e">
        <f>K26*E26+H26*I26+#REF!*#REF!+J26*L26</f>
        <v>#REF!</v>
      </c>
      <c r="P26" s="462">
        <f>'Water-Meter'!E30</f>
        <v>46</v>
      </c>
      <c r="Q26" s="242">
        <f>IF('Water-Meter'!U30&lt;0,"0",'Water-Meter'!U30)</f>
        <v>81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16</v>
      </c>
      <c r="U26" s="242">
        <f>IF('Water-Meter'!AG30&lt;0,"0",'Water-Meter'!AG30)</f>
        <v>0</v>
      </c>
      <c r="V26" s="242">
        <f>IF('Water-Meter'!AJ30&lt;0,"0",'Water-Meter'!AJ30)</f>
        <v>30</v>
      </c>
      <c r="W26" s="30">
        <f>'Water-Meter'!AN30</f>
        <v>127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4</v>
      </c>
      <c r="D27" s="461">
        <v>2021</v>
      </c>
      <c r="E27" s="456">
        <f>'UTILITY REPORT 1'!I28</f>
        <v>269.06</v>
      </c>
      <c r="F27" s="456">
        <f>'UTILITY REPORT 1'!E28</f>
        <v>1113.17</v>
      </c>
      <c r="G27" s="457">
        <f>'UTILITY REPORT 1'!F28</f>
        <v>2691</v>
      </c>
      <c r="H27" s="456">
        <f>IF('Kit report'!F29&lt;0,"0",'Kit report'!F29)</f>
        <v>275.99999999991269</v>
      </c>
      <c r="I27" s="456">
        <f>IF('Kit report'!X29&lt;0,"0",'Kit report'!X29)</f>
        <v>220.00000000007276</v>
      </c>
      <c r="J27" s="456">
        <f>IF('Utility summery'!H31&lt;0,"0",'Utility summery'!H31)</f>
        <v>45</v>
      </c>
      <c r="K27" s="457">
        <f>IF('UTILITY REPORT 1'!H28&lt;0,"0",'UTILITY REPORT 1'!H28)</f>
        <v>9</v>
      </c>
      <c r="L27" s="456">
        <f>'Water-Meter'!K31</f>
        <v>3</v>
      </c>
      <c r="M27" s="457">
        <f>'Water-Meter'!H31</f>
        <v>0</v>
      </c>
      <c r="N27" s="457">
        <f>'Water-Meter'!Q31</f>
        <v>4</v>
      </c>
      <c r="O27" s="456" t="e">
        <f>K27*E27+H27*I27+#REF!*#REF!+J27*L27</f>
        <v>#REF!</v>
      </c>
      <c r="P27" s="462">
        <f>'Water-Meter'!E31</f>
        <v>53</v>
      </c>
      <c r="Q27" s="242">
        <f>IF('Water-Meter'!U31&lt;0,"0",'Water-Meter'!U31)</f>
        <v>81</v>
      </c>
      <c r="R27" s="242" t="e">
        <f>IF('Water-Meter'!X31&lt;0,"0",'Water-Meter'!X31)</f>
        <v>#REF!</v>
      </c>
      <c r="S27" s="242">
        <f>IF('Water-Meter'!AA31&lt;0,"0",'Water-Meter'!AA31)</f>
        <v>0</v>
      </c>
      <c r="T27" s="242">
        <f>IF('Water-Meter'!AD31&lt;0,"0",'Water-Meter'!AD31)</f>
        <v>17</v>
      </c>
      <c r="U27" s="242">
        <f>IF('Water-Meter'!AG31&lt;0,"0",'Water-Meter'!AG31)</f>
        <v>0</v>
      </c>
      <c r="V27" s="242">
        <f>IF('Water-Meter'!AJ31&lt;0,"0",'Water-Meter'!AJ31)</f>
        <v>28</v>
      </c>
      <c r="W27" s="30" t="e">
        <f>'Water-Meter'!AN31</f>
        <v>#REF!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4</v>
      </c>
      <c r="D28" s="461">
        <v>2021</v>
      </c>
      <c r="E28" s="456">
        <f>'UTILITY REPORT 1'!I29</f>
        <v>30.73</v>
      </c>
      <c r="F28" s="456">
        <f>'UTILITY REPORT 1'!E29</f>
        <v>1116.6400000000001</v>
      </c>
      <c r="G28" s="457">
        <f>'UTILITY REPORT 1'!F29</f>
        <v>2733</v>
      </c>
      <c r="H28" s="456">
        <f>IF('Kit report'!F30&lt;0,"0",'Kit report'!F30)</f>
        <v>288.00000000017462</v>
      </c>
      <c r="I28" s="456">
        <f>IF('Kit report'!X30&lt;0,"0",'Kit report'!X30)</f>
        <v>279.99999999992724</v>
      </c>
      <c r="J28" s="456">
        <f>IF('Utility summery'!H32&lt;0,"0",'Utility summery'!H32)</f>
        <v>40</v>
      </c>
      <c r="K28" s="457">
        <f>IF('UTILITY REPORT 1'!H29&lt;0,"0",'UTILITY REPORT 1'!H29)</f>
        <v>35</v>
      </c>
      <c r="L28" s="456">
        <f>'Water-Meter'!K32</f>
        <v>2</v>
      </c>
      <c r="M28" s="457">
        <f>'Water-Meter'!H32</f>
        <v>0</v>
      </c>
      <c r="N28" s="457">
        <f>'Water-Meter'!Q32</f>
        <v>4</v>
      </c>
      <c r="O28" s="456" t="e">
        <f>K28*E28+H28*I28+#REF!*#REF!+J28*L28</f>
        <v>#REF!</v>
      </c>
      <c r="P28" s="462">
        <f>'Water-Meter'!E32</f>
        <v>43</v>
      </c>
      <c r="Q28" s="242">
        <f>IF('Water-Meter'!U32&lt;0,"0",'Water-Meter'!U32)</f>
        <v>0</v>
      </c>
      <c r="R28" s="242" t="e">
        <f>IF('Water-Meter'!X32&lt;0,"0",'Water-Meter'!X32)</f>
        <v>#REF!</v>
      </c>
      <c r="S28" s="242">
        <f>IF('Water-Meter'!AA32&lt;0,"0",'Water-Meter'!AA32)</f>
        <v>0</v>
      </c>
      <c r="T28" s="242">
        <f>IF('Water-Meter'!AD32&lt;0,"0",'Water-Meter'!AD32)</f>
        <v>16</v>
      </c>
      <c r="U28" s="242">
        <f>IF('Water-Meter'!AG32&lt;0,"0",'Water-Meter'!AG32)</f>
        <v>0</v>
      </c>
      <c r="V28" s="242">
        <f>IF('Water-Meter'!AJ32&lt;0,"0",'Water-Meter'!AJ32)</f>
        <v>29</v>
      </c>
      <c r="W28" s="30" t="e">
        <f>'Water-Meter'!AN32</f>
        <v>#REF!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4</v>
      </c>
      <c r="D29" s="461">
        <v>2021</v>
      </c>
      <c r="E29" s="456">
        <f>'UTILITY REPORT 1'!I30</f>
        <v>15.67</v>
      </c>
      <c r="F29" s="456">
        <f>'UTILITY REPORT 1'!E30</f>
        <v>1170.6600000000001</v>
      </c>
      <c r="G29" s="457">
        <f>'UTILITY REPORT 1'!F30</f>
        <v>2725</v>
      </c>
      <c r="H29" s="456">
        <f>IF('Kit report'!F31&lt;0,"0",'Kit report'!F31)</f>
        <v>263.99999999986903</v>
      </c>
      <c r="I29" s="456">
        <f>IF('Kit report'!X31&lt;0,"0",'Kit report'!X31)</f>
        <v>200</v>
      </c>
      <c r="J29" s="456">
        <f>IF('Utility summery'!H33&lt;0,"0",'Utility summery'!H33)</f>
        <v>74</v>
      </c>
      <c r="K29" s="457">
        <f>IF('UTILITY REPORT 1'!H30&lt;0,"0",'UTILITY REPORT 1'!H30)</f>
        <v>88</v>
      </c>
      <c r="L29" s="456">
        <f>'Water-Meter'!K33</f>
        <v>2</v>
      </c>
      <c r="M29" s="457">
        <f>'Water-Meter'!H33</f>
        <v>0</v>
      </c>
      <c r="N29" s="457">
        <f>'Water-Meter'!Q33</f>
        <v>4</v>
      </c>
      <c r="O29" s="456" t="e">
        <f>K29*E29+H29*I29+#REF!*#REF!+J29*L29</f>
        <v>#REF!</v>
      </c>
      <c r="P29" s="462">
        <f>'Water-Meter'!E33</f>
        <v>61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16</v>
      </c>
      <c r="U29" s="242">
        <f>IF('Water-Meter'!AG33&lt;0,"0",'Water-Meter'!AG33)</f>
        <v>0</v>
      </c>
      <c r="V29" s="242">
        <f>IF('Water-Meter'!AJ33&lt;0,"0",'Water-Meter'!AJ33)</f>
        <v>24</v>
      </c>
      <c r="W29" s="30">
        <f>'Water-Meter'!AN33</f>
        <v>40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4</v>
      </c>
      <c r="D30" s="461">
        <v>2021</v>
      </c>
      <c r="E30" s="456">
        <f>'UTILITY REPORT 1'!I31</f>
        <v>243.48</v>
      </c>
      <c r="F30" s="456">
        <f>'UTILITY REPORT 1'!E31</f>
        <v>1105.68</v>
      </c>
      <c r="G30" s="457">
        <f>'UTILITY REPORT 1'!F31</f>
        <v>2813</v>
      </c>
      <c r="H30" s="456">
        <f>IF('Kit report'!F32&lt;0,"0",'Kit report'!F32)</f>
        <v>287.99999999995634</v>
      </c>
      <c r="I30" s="456">
        <f>IF('Kit report'!X32&lt;0,"0",'Kit report'!X32)</f>
        <v>339.99999999996362</v>
      </c>
      <c r="J30" s="456">
        <f>IF('Utility summery'!H34&lt;0,"0",'Utility summery'!H34)</f>
        <v>42</v>
      </c>
      <c r="K30" s="457">
        <f>IF('UTILITY REPORT 1'!H31&lt;0,"0",'UTILITY REPORT 1'!H31)</f>
        <v>30</v>
      </c>
      <c r="L30" s="456">
        <f>'Water-Meter'!K34</f>
        <v>1</v>
      </c>
      <c r="M30" s="457">
        <f>'Water-Meter'!H34</f>
        <v>0</v>
      </c>
      <c r="N30" s="457">
        <f>'Water-Meter'!Q34</f>
        <v>6</v>
      </c>
      <c r="O30" s="456" t="e">
        <f>K30*E30+H30*I30+#REF!*#REF!+J30*L30</f>
        <v>#REF!</v>
      </c>
      <c r="P30" s="462">
        <f>'Water-Meter'!E34</f>
        <v>53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16</v>
      </c>
      <c r="U30" s="242">
        <f>IF('Water-Meter'!AG34&lt;0,"0",'Water-Meter'!AG34)</f>
        <v>0</v>
      </c>
      <c r="V30" s="242">
        <f>IF('Water-Meter'!AJ34&lt;0,"0",'Water-Meter'!AJ34)</f>
        <v>29</v>
      </c>
      <c r="W30" s="30">
        <f>'Water-Meter'!AN34</f>
        <v>45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4</v>
      </c>
      <c r="D31" s="461">
        <v>2021</v>
      </c>
      <c r="E31" s="456">
        <f>'UTILITY REPORT 1'!I32</f>
        <v>274.32</v>
      </c>
      <c r="F31" s="456">
        <f>'UTILITY REPORT 1'!E32</f>
        <v>1119.69</v>
      </c>
      <c r="G31" s="457">
        <f>'UTILITY REPORT 1'!F32</f>
        <v>2731</v>
      </c>
      <c r="H31" s="456">
        <f>IF('Kit report'!F33&lt;0,"0",'Kit report'!F33)</f>
        <v>276.00000000013097</v>
      </c>
      <c r="I31" s="456">
        <f>IF('Kit report'!X33&lt;0,"0",'Kit report'!X33)</f>
        <v>400</v>
      </c>
      <c r="J31" s="456">
        <f>IF('Utility summery'!H35&lt;0,"0",'Utility summery'!H35)</f>
        <v>44</v>
      </c>
      <c r="K31" s="457">
        <f>IF('UTILITY REPORT 1'!H32&lt;0,"0",'UTILITY REPORT 1'!H32)</f>
        <v>35</v>
      </c>
      <c r="L31" s="456">
        <f>'Water-Meter'!K35</f>
        <v>1</v>
      </c>
      <c r="M31" s="457">
        <f>'Water-Meter'!H35</f>
        <v>0</v>
      </c>
      <c r="N31" s="457">
        <f>'Water-Meter'!Q35</f>
        <v>3</v>
      </c>
      <c r="O31" s="456" t="e">
        <f>K31*E31+H31*I31+#REF!*#REF!+J31*L31</f>
        <v>#REF!</v>
      </c>
      <c r="P31" s="462">
        <f>'Water-Meter'!E35</f>
        <v>58</v>
      </c>
      <c r="Q31" s="242">
        <f>IF('Water-Meter'!U35&lt;0,"0",'Water-Meter'!U35)</f>
        <v>0</v>
      </c>
      <c r="R31" s="242" t="str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17</v>
      </c>
      <c r="U31" s="242">
        <f>IF('Water-Meter'!AG35&lt;0,"0",'Water-Meter'!AG35)</f>
        <v>0</v>
      </c>
      <c r="V31" s="242">
        <f>IF('Water-Meter'!AJ35&lt;0,"0",'Water-Meter'!AJ35)</f>
        <v>30</v>
      </c>
      <c r="W31" s="30">
        <f>'Water-Meter'!AN35</f>
        <v>47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4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 t="str">
        <f>IF('Kit report'!F34&lt;0,"0",'Kit report'!F34)</f>
        <v>0</v>
      </c>
      <c r="I32" s="456" t="str">
        <f>IF('Kit report'!X34&lt;0,"0",'Kit report'!X34)</f>
        <v>0</v>
      </c>
      <c r="J32" s="456" t="str">
        <f>IF('Utility summery'!H36&lt;0,"0",'Utility summery'!H36)</f>
        <v>0</v>
      </c>
      <c r="K32" s="457" t="str">
        <f>IF('UTILITY REPORT 1'!H33&lt;0,"0",'UTILITY REPORT 1'!H33)</f>
        <v>0</v>
      </c>
      <c r="L32" s="456" t="str">
        <f>'Water-Meter'!K36</f>
        <v>0</v>
      </c>
      <c r="M32" s="457" t="str">
        <f>'Water-Meter'!H36</f>
        <v>0</v>
      </c>
      <c r="N32" s="457" t="str">
        <f>'Water-Meter'!Q36</f>
        <v>0</v>
      </c>
      <c r="O32" s="242"/>
      <c r="P32" s="462" t="str">
        <f>'Water-Meter'!E36</f>
        <v>0</v>
      </c>
      <c r="Q32" s="242" t="str">
        <f>IF('Water-Meter'!U36&lt;0,"0",'Water-Meter'!U36)</f>
        <v>0</v>
      </c>
      <c r="R32" s="242" t="str">
        <f>IF('Water-Meter'!X36&lt;0,"0",'Water-Meter'!X36)</f>
        <v>0</v>
      </c>
      <c r="S32" s="242" t="str">
        <f>IF('Water-Meter'!AA36&lt;0,"0",'Water-Meter'!AA36)</f>
        <v>0</v>
      </c>
      <c r="T32" s="242" t="str">
        <f>IF('Water-Meter'!AD36&lt;0,"0",'Water-Meter'!AD36)</f>
        <v>0</v>
      </c>
      <c r="U32" s="242" t="str">
        <f>IF('Water-Meter'!AG36&lt;0,"0",'Water-Meter'!AG36)</f>
        <v>0</v>
      </c>
      <c r="V32" s="242" t="str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68" t="s">
        <v>314</v>
      </c>
      <c r="B1" s="868"/>
      <c r="C1" s="868"/>
      <c r="D1" s="868"/>
      <c r="E1" s="868"/>
      <c r="F1" s="868"/>
      <c r="G1" s="868"/>
      <c r="H1" s="868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44287</v>
      </c>
      <c r="B3" s="404">
        <f>Gen!B11</f>
        <v>0.156</v>
      </c>
      <c r="C3" s="405">
        <f>'Summery Report'!E5</f>
        <v>1.3</v>
      </c>
      <c r="D3" s="406">
        <v>1</v>
      </c>
      <c r="E3" s="405">
        <f>Gen!S11</f>
        <v>1326.45</v>
      </c>
      <c r="F3" s="405">
        <f>Gen!T11</f>
        <v>3175</v>
      </c>
      <c r="G3" s="405">
        <f>'Water-Meter'!E6</f>
        <v>89</v>
      </c>
      <c r="H3" s="405">
        <f>'Utility report '!AC6</f>
        <v>0</v>
      </c>
      <c r="I3" s="405">
        <f>Gen!AJ11</f>
        <v>145.43</v>
      </c>
    </row>
    <row r="4" spans="1:9" ht="13.5">
      <c r="A4" s="402">
        <f>Gen!A12</f>
        <v>44288</v>
      </c>
      <c r="B4" s="404">
        <f>Gen!B12</f>
        <v>0.16900000000000001</v>
      </c>
      <c r="C4" s="405">
        <f>'Summery Report'!E6</f>
        <v>2.6</v>
      </c>
      <c r="D4" s="406">
        <v>1</v>
      </c>
      <c r="E4" s="405">
        <f>Gen!S12</f>
        <v>1308.83</v>
      </c>
      <c r="F4" s="405">
        <f>Gen!T12</f>
        <v>3187</v>
      </c>
      <c r="G4" s="405">
        <f>'Water-Meter'!E7</f>
        <v>117</v>
      </c>
      <c r="H4" s="405">
        <f>'Utility report '!AC7</f>
        <v>0</v>
      </c>
      <c r="I4" s="405">
        <f>Gen!AJ12</f>
        <v>224.9</v>
      </c>
    </row>
    <row r="5" spans="1:9" ht="13.5">
      <c r="A5" s="402">
        <f>Gen!A13</f>
        <v>44289</v>
      </c>
      <c r="B5" s="404">
        <f>Gen!B13</f>
        <v>0.23</v>
      </c>
      <c r="C5" s="405">
        <f>'Summery Report'!E7</f>
        <v>2.6</v>
      </c>
      <c r="D5" s="406">
        <v>1</v>
      </c>
      <c r="E5" s="405">
        <f>Gen!S13</f>
        <v>1426.47</v>
      </c>
      <c r="F5" s="405">
        <f>Gen!T13</f>
        <v>3546</v>
      </c>
      <c r="G5" s="405">
        <f>'Water-Meter'!E8</f>
        <v>167</v>
      </c>
      <c r="H5" s="405">
        <f>'Utility report '!AC8</f>
        <v>0</v>
      </c>
      <c r="I5" s="405">
        <f>Gen!AJ13</f>
        <v>139.29000000000002</v>
      </c>
    </row>
    <row r="6" spans="1:9" ht="13.5">
      <c r="A6" s="402">
        <f>Gen!A14</f>
        <v>44290</v>
      </c>
      <c r="B6" s="404">
        <f>Gen!B14</f>
        <v>0.247</v>
      </c>
      <c r="C6" s="405">
        <f>'Summery Report'!E8</f>
        <v>5.19</v>
      </c>
      <c r="D6" s="406">
        <v>1</v>
      </c>
      <c r="E6" s="405">
        <f>Gen!S14</f>
        <v>1363.11</v>
      </c>
      <c r="F6" s="405">
        <f>Gen!T14</f>
        <v>3328</v>
      </c>
      <c r="G6" s="405">
        <f>'Water-Meter'!E9</f>
        <v>70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44291</v>
      </c>
      <c r="B7" s="404">
        <f>Gen!B15</f>
        <v>0.13</v>
      </c>
      <c r="C7" s="405">
        <f>'Summery Report'!E9</f>
        <v>7.79</v>
      </c>
      <c r="D7" s="406">
        <v>1</v>
      </c>
      <c r="E7" s="405">
        <f>Gen!S15</f>
        <v>1331.48</v>
      </c>
      <c r="F7" s="405">
        <f>Gen!T15</f>
        <v>3250</v>
      </c>
      <c r="G7" s="405">
        <f>'Water-Meter'!E10</f>
        <v>59</v>
      </c>
      <c r="H7" s="405">
        <f>'Utility report '!AC10</f>
        <v>0</v>
      </c>
      <c r="I7" s="405">
        <f>Gen!AJ15</f>
        <v>218.51</v>
      </c>
    </row>
    <row r="8" spans="1:9" ht="13.5">
      <c r="A8" s="402">
        <f>Gen!A16</f>
        <v>44292</v>
      </c>
      <c r="B8" s="404">
        <f>Gen!B16</f>
        <v>9.0999999999999998E-2</v>
      </c>
      <c r="C8" s="405">
        <f>'Summery Report'!E10</f>
        <v>5.19</v>
      </c>
      <c r="D8" s="406">
        <v>1</v>
      </c>
      <c r="E8" s="405">
        <f>Gen!S16</f>
        <v>1267.0999999999999</v>
      </c>
      <c r="F8" s="405">
        <f>Gen!T16</f>
        <v>3070</v>
      </c>
      <c r="G8" s="405">
        <f>'Water-Meter'!E11</f>
        <v>210</v>
      </c>
      <c r="H8" s="405">
        <f>'Utility report '!AC11</f>
        <v>0</v>
      </c>
      <c r="I8" s="405">
        <f>Gen!AJ16</f>
        <v>42.44</v>
      </c>
    </row>
    <row r="9" spans="1:9" ht="13.5">
      <c r="A9" s="402">
        <f>Gen!A17</f>
        <v>44293</v>
      </c>
      <c r="B9" s="404">
        <f>Gen!B17</f>
        <v>6.5000000000000002E-2</v>
      </c>
      <c r="C9" s="405">
        <f>'Summery Report'!E11</f>
        <v>11.69</v>
      </c>
      <c r="D9" s="406">
        <v>1</v>
      </c>
      <c r="E9" s="405">
        <f>Gen!S17</f>
        <v>1350.42</v>
      </c>
      <c r="F9" s="405">
        <f>Gen!T17</f>
        <v>3363</v>
      </c>
      <c r="G9" s="405">
        <f>'Water-Meter'!E12</f>
        <v>60</v>
      </c>
      <c r="H9" s="405">
        <f>'Utility report '!AC12</f>
        <v>101</v>
      </c>
      <c r="I9" s="405">
        <f>Gen!AJ17</f>
        <v>119.14</v>
      </c>
    </row>
    <row r="10" spans="1:9" ht="13.5">
      <c r="A10" s="402">
        <f>Gen!A18</f>
        <v>44294</v>
      </c>
      <c r="B10" s="404">
        <f>Gen!B18</f>
        <v>9.0999999999999998E-2</v>
      </c>
      <c r="C10" s="405">
        <f>'Summery Report'!E12</f>
        <v>12.99</v>
      </c>
      <c r="D10" s="406">
        <v>1</v>
      </c>
      <c r="E10" s="405">
        <f>Gen!S18</f>
        <v>1264.32</v>
      </c>
      <c r="F10" s="405">
        <f>Gen!T18</f>
        <v>3146</v>
      </c>
      <c r="G10" s="405">
        <f>'Water-Meter'!E13</f>
        <v>75</v>
      </c>
      <c r="H10" s="405">
        <f>'Utility report '!AC13</f>
        <v>12</v>
      </c>
      <c r="I10" s="405">
        <f>Gen!AJ18</f>
        <v>156.32</v>
      </c>
    </row>
    <row r="11" spans="1:9" ht="13.5">
      <c r="A11" s="402">
        <f>Gen!A19</f>
        <v>44295</v>
      </c>
      <c r="B11" s="404">
        <f>Gen!B19</f>
        <v>6.5000000000000002E-2</v>
      </c>
      <c r="C11" s="405">
        <f>'Summery Report'!E13</f>
        <v>15.58</v>
      </c>
      <c r="D11" s="406">
        <v>1</v>
      </c>
      <c r="E11" s="405">
        <f>Gen!S19</f>
        <v>1306.29</v>
      </c>
      <c r="F11" s="405">
        <f>Gen!T19</f>
        <v>3314</v>
      </c>
      <c r="G11" s="405">
        <f>'Water-Meter'!E14</f>
        <v>47</v>
      </c>
      <c r="H11" s="405">
        <f>'Utility report '!AC14</f>
        <v>0</v>
      </c>
      <c r="I11" s="405">
        <f>Gen!AJ19</f>
        <v>302.11</v>
      </c>
    </row>
    <row r="12" spans="1:9" ht="13.5">
      <c r="A12" s="402">
        <f>Gen!A20</f>
        <v>44296</v>
      </c>
      <c r="B12" s="404">
        <f>Gen!B20</f>
        <v>5.1999999999999998E-2</v>
      </c>
      <c r="C12" s="405">
        <f>'Summery Report'!E14</f>
        <v>15.58</v>
      </c>
      <c r="D12" s="406">
        <v>1</v>
      </c>
      <c r="E12" s="405">
        <f>Gen!S20</f>
        <v>1245.81</v>
      </c>
      <c r="F12" s="405">
        <f>Gen!T20</f>
        <v>3168</v>
      </c>
      <c r="G12" s="405">
        <f>'Water-Meter'!E15</f>
        <v>46</v>
      </c>
      <c r="H12" s="405">
        <f>'Utility report '!AC15</f>
        <v>0</v>
      </c>
      <c r="I12" s="405">
        <f>Gen!AJ20</f>
        <v>112</v>
      </c>
    </row>
    <row r="13" spans="1:9" ht="13.5">
      <c r="A13" s="402">
        <f>Gen!A21</f>
        <v>44297</v>
      </c>
      <c r="B13" s="404">
        <f>Gen!B21</f>
        <v>0.104</v>
      </c>
      <c r="C13" s="405">
        <f>'Summery Report'!E15</f>
        <v>11.69</v>
      </c>
      <c r="D13" s="406">
        <v>1</v>
      </c>
      <c r="E13" s="405">
        <f>Gen!S21</f>
        <v>1283.98</v>
      </c>
      <c r="F13" s="405">
        <f>Gen!T21</f>
        <v>3237</v>
      </c>
      <c r="G13" s="405">
        <f>'Water-Meter'!E16</f>
        <v>50</v>
      </c>
      <c r="H13" s="405">
        <f>'Utility report '!AC16</f>
        <v>0</v>
      </c>
      <c r="I13" s="405">
        <f>Gen!AJ21</f>
        <v>25</v>
      </c>
    </row>
    <row r="14" spans="1:9" ht="13.5">
      <c r="A14" s="402">
        <f>Gen!A22</f>
        <v>44298</v>
      </c>
      <c r="B14" s="404">
        <f>Gen!B22</f>
        <v>0.104</v>
      </c>
      <c r="C14" s="405">
        <f>'Summery Report'!E16</f>
        <v>12.99</v>
      </c>
      <c r="D14" s="406">
        <v>1</v>
      </c>
      <c r="E14" s="405">
        <f>Gen!S22</f>
        <v>1166.75</v>
      </c>
      <c r="F14" s="405">
        <f>Gen!T22</f>
        <v>3269</v>
      </c>
      <c r="G14" s="405">
        <f>'Water-Meter'!E17</f>
        <v>61</v>
      </c>
      <c r="H14" s="405">
        <f>'Utility report '!AC17</f>
        <v>0</v>
      </c>
      <c r="I14" s="405">
        <f>Gen!AJ22</f>
        <v>250.64</v>
      </c>
    </row>
    <row r="15" spans="1:9" ht="13.5">
      <c r="A15" s="402">
        <f>Gen!A23</f>
        <v>44299</v>
      </c>
      <c r="B15" s="404">
        <f>Gen!B23</f>
        <v>1.2999999999999999E-2</v>
      </c>
      <c r="C15" s="405">
        <f>'Summery Report'!E17</f>
        <v>14.29</v>
      </c>
      <c r="D15" s="406">
        <v>1</v>
      </c>
      <c r="E15" s="405">
        <f>Gen!S23</f>
        <v>1083.74</v>
      </c>
      <c r="F15" s="405">
        <f>Gen!T23</f>
        <v>2665</v>
      </c>
      <c r="G15" s="405">
        <f>'Water-Meter'!E18</f>
        <v>181</v>
      </c>
      <c r="H15" s="405">
        <f>'Utility report '!AC18</f>
        <v>-48865</v>
      </c>
      <c r="I15" s="405">
        <f>Gen!AJ23</f>
        <v>22.54</v>
      </c>
    </row>
    <row r="16" spans="1:9" ht="13.5">
      <c r="A16" s="402">
        <f>Gen!A24</f>
        <v>44300</v>
      </c>
      <c r="B16" s="404">
        <f>Gen!B24</f>
        <v>0</v>
      </c>
      <c r="C16" s="405">
        <f>'Summery Report'!E18</f>
        <v>14.29</v>
      </c>
      <c r="D16" s="406">
        <v>1</v>
      </c>
      <c r="E16" s="405">
        <f>Gen!S24</f>
        <v>1063.99</v>
      </c>
      <c r="F16" s="405">
        <f>Gen!T24</f>
        <v>2643</v>
      </c>
      <c r="G16" s="405">
        <f>'Water-Meter'!E19</f>
        <v>46</v>
      </c>
      <c r="H16" s="405">
        <f>'Utility report '!AC19</f>
        <v>177</v>
      </c>
      <c r="I16" s="405">
        <f>Gen!AJ24</f>
        <v>160.49</v>
      </c>
    </row>
    <row r="17" spans="1:9" ht="13.5">
      <c r="A17" s="402">
        <f>Gen!A25</f>
        <v>44301</v>
      </c>
      <c r="B17" s="404">
        <f>Gen!B25</f>
        <v>0</v>
      </c>
      <c r="C17" s="405">
        <f>'Summery Report'!E19</f>
        <v>9.09</v>
      </c>
      <c r="D17" s="406">
        <v>1</v>
      </c>
      <c r="E17" s="405">
        <f>Gen!S25</f>
        <v>1051.08</v>
      </c>
      <c r="F17" s="405">
        <f>Gen!T25</f>
        <v>2618</v>
      </c>
      <c r="G17" s="405">
        <f>'Water-Meter'!E20</f>
        <v>47</v>
      </c>
      <c r="H17" s="405">
        <f>'Utility report '!AC20</f>
        <v>35</v>
      </c>
      <c r="I17" s="405">
        <f>Gen!AJ25</f>
        <v>101.91</v>
      </c>
    </row>
    <row r="18" spans="1:9" ht="13.5">
      <c r="A18" s="402">
        <f>Gen!A26</f>
        <v>44302</v>
      </c>
      <c r="B18" s="404">
        <f>Gen!B26</f>
        <v>0</v>
      </c>
      <c r="C18" s="405">
        <f>'Summery Report'!E20</f>
        <v>7.79</v>
      </c>
      <c r="D18" s="406">
        <v>1</v>
      </c>
      <c r="E18" s="405">
        <f>Gen!S26</f>
        <v>1038.83</v>
      </c>
      <c r="F18" s="405">
        <f>Gen!T26</f>
        <v>2546</v>
      </c>
      <c r="G18" s="405">
        <f>'Water-Meter'!E21</f>
        <v>40</v>
      </c>
      <c r="H18" s="405">
        <f>'Utility report '!AC21</f>
        <v>38</v>
      </c>
      <c r="I18" s="405">
        <f>Gen!AJ26</f>
        <v>0</v>
      </c>
    </row>
    <row r="19" spans="1:9" ht="13.5">
      <c r="A19" s="402">
        <f>Gen!A27</f>
        <v>44303</v>
      </c>
      <c r="B19" s="404">
        <f>Gen!B27</f>
        <v>1.2999999999999999E-2</v>
      </c>
      <c r="C19" s="405">
        <f>'Summery Report'!E21</f>
        <v>6.49</v>
      </c>
      <c r="D19" s="406">
        <v>1</v>
      </c>
      <c r="E19" s="405">
        <f>Gen!S27</f>
        <v>1102.78</v>
      </c>
      <c r="F19" s="405">
        <f>Gen!T27</f>
        <v>2694</v>
      </c>
      <c r="G19" s="405">
        <f>'Water-Meter'!E22</f>
        <v>52</v>
      </c>
      <c r="H19" s="405">
        <f>'Utility report '!AC22</f>
        <v>38</v>
      </c>
      <c r="I19" s="405">
        <f>Gen!AJ27</f>
        <v>146.31</v>
      </c>
    </row>
    <row r="20" spans="1:9" ht="13.5">
      <c r="A20" s="402">
        <f>Gen!A28</f>
        <v>44304</v>
      </c>
      <c r="B20" s="404">
        <f>Gen!B28</f>
        <v>3.9E-2</v>
      </c>
      <c r="C20" s="405">
        <f>'Summery Report'!E22</f>
        <v>0</v>
      </c>
      <c r="D20" s="406">
        <v>1</v>
      </c>
      <c r="E20" s="405">
        <f>Gen!S28</f>
        <v>1165.3</v>
      </c>
      <c r="F20" s="405">
        <f>Gen!T28</f>
        <v>2839</v>
      </c>
      <c r="G20" s="405">
        <f>'Water-Meter'!E23</f>
        <v>53</v>
      </c>
      <c r="H20" s="405">
        <f>'Utility report '!AC23</f>
        <v>38</v>
      </c>
      <c r="I20" s="405">
        <f>Gen!AJ28</f>
        <v>0</v>
      </c>
    </row>
    <row r="21" spans="1:9" ht="13.5">
      <c r="A21" s="402">
        <f>Gen!A29</f>
        <v>44305</v>
      </c>
      <c r="B21" s="404">
        <f>Gen!B29</f>
        <v>6.5000000000000002E-2</v>
      </c>
      <c r="C21" s="405">
        <f>'Summery Report'!E23</f>
        <v>0</v>
      </c>
      <c r="D21" s="406">
        <v>1</v>
      </c>
      <c r="E21" s="405">
        <f>Gen!S29</f>
        <v>1149</v>
      </c>
      <c r="F21" s="405">
        <f>Gen!T29</f>
        <v>2733</v>
      </c>
      <c r="G21" s="405">
        <f>'Water-Meter'!E24</f>
        <v>58</v>
      </c>
      <c r="H21" s="405">
        <f>'Utility report '!AC24</f>
        <v>37</v>
      </c>
      <c r="I21" s="405">
        <f>Gen!AJ29</f>
        <v>346.21000000000004</v>
      </c>
    </row>
    <row r="22" spans="1:9" ht="13.5">
      <c r="A22" s="402">
        <f>Gen!A30</f>
        <v>44306</v>
      </c>
      <c r="B22" s="404">
        <f>Gen!B30</f>
        <v>5.1999999999999998E-2</v>
      </c>
      <c r="C22" s="405">
        <f>'Summery Report'!E24</f>
        <v>0</v>
      </c>
      <c r="D22" s="406">
        <v>1</v>
      </c>
      <c r="E22" s="405">
        <f>Gen!S30</f>
        <v>1187.58</v>
      </c>
      <c r="F22" s="405">
        <f>Gen!T30</f>
        <v>2856</v>
      </c>
      <c r="G22" s="405">
        <f>'Water-Meter'!E25</f>
        <v>66</v>
      </c>
      <c r="H22" s="405">
        <f>'Utility report '!AC25</f>
        <v>130</v>
      </c>
      <c r="I22" s="405">
        <f>Gen!AJ30</f>
        <v>67.459999999999994</v>
      </c>
    </row>
    <row r="23" spans="1:9" ht="13.5">
      <c r="A23" s="402">
        <f>Gen!A31</f>
        <v>44307</v>
      </c>
      <c r="B23" s="404">
        <f>Gen!B31</f>
        <v>2.5999999999999999E-2</v>
      </c>
      <c r="C23" s="405">
        <f>'Summery Report'!E25</f>
        <v>0</v>
      </c>
      <c r="D23" s="406">
        <v>1</v>
      </c>
      <c r="E23" s="405">
        <f>Gen!S31</f>
        <v>1117.46</v>
      </c>
      <c r="F23" s="405">
        <f>Gen!T31</f>
        <v>2700</v>
      </c>
      <c r="G23" s="405">
        <f>'Water-Meter'!E26</f>
        <v>47</v>
      </c>
      <c r="H23" s="405">
        <f>'Utility report '!AC26</f>
        <v>56</v>
      </c>
      <c r="I23" s="405">
        <f>Gen!AJ31</f>
        <v>17.399999999999999</v>
      </c>
    </row>
    <row r="24" spans="1:9" ht="13.5">
      <c r="A24" s="402">
        <f>Gen!A32</f>
        <v>44308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1065.54</v>
      </c>
      <c r="F24" s="405">
        <f>Gen!T32</f>
        <v>2593</v>
      </c>
      <c r="G24" s="405">
        <f>'Water-Meter'!E27</f>
        <v>50</v>
      </c>
      <c r="H24" s="405">
        <f>'Utility report '!AC27</f>
        <v>0</v>
      </c>
      <c r="I24" s="405">
        <f>Gen!AJ32</f>
        <v>54.930000000000007</v>
      </c>
    </row>
    <row r="25" spans="1:9" ht="13.5">
      <c r="A25" s="402">
        <f>Gen!A33</f>
        <v>44309</v>
      </c>
      <c r="B25" s="404">
        <f>Gen!B33</f>
        <v>1.2999999999999999E-2</v>
      </c>
      <c r="C25" s="405">
        <f>'Summery Report'!E27</f>
        <v>0</v>
      </c>
      <c r="D25" s="406">
        <v>1</v>
      </c>
      <c r="E25" s="405">
        <f>Gen!S33</f>
        <v>1088.06</v>
      </c>
      <c r="F25" s="405">
        <f>Gen!T33</f>
        <v>2657</v>
      </c>
      <c r="G25" s="405">
        <f>'Water-Meter'!E28</f>
        <v>47</v>
      </c>
      <c r="H25" s="405">
        <f>'Utility report '!AC28</f>
        <v>38</v>
      </c>
      <c r="I25" s="405">
        <f>Gen!AJ33</f>
        <v>140.07</v>
      </c>
    </row>
    <row r="26" spans="1:9" ht="13.5">
      <c r="A26" s="402">
        <f>Gen!A34</f>
        <v>44310</v>
      </c>
      <c r="B26" s="404">
        <f>Gen!B34</f>
        <v>2.5999999999999999E-2</v>
      </c>
      <c r="C26" s="405">
        <f>'Summery Report'!E28</f>
        <v>0</v>
      </c>
      <c r="D26" s="406">
        <v>1</v>
      </c>
      <c r="E26" s="405">
        <f>Gen!S34</f>
        <v>1050.72</v>
      </c>
      <c r="F26" s="405">
        <f>Gen!T34</f>
        <v>2629</v>
      </c>
      <c r="G26" s="405">
        <f>'Water-Meter'!E29</f>
        <v>56</v>
      </c>
      <c r="H26" s="405">
        <f>'Utility report '!AC29</f>
        <v>37</v>
      </c>
      <c r="I26" s="405">
        <f>Gen!AJ34</f>
        <v>147</v>
      </c>
    </row>
    <row r="27" spans="1:9" ht="13.5">
      <c r="A27" s="402">
        <f>Gen!A35</f>
        <v>44311</v>
      </c>
      <c r="B27" s="404">
        <f>Gen!B35</f>
        <v>5.1999999999999998E-2</v>
      </c>
      <c r="C27" s="405">
        <f>'Summery Report'!E29</f>
        <v>0</v>
      </c>
      <c r="D27" s="406">
        <v>1</v>
      </c>
      <c r="E27" s="405">
        <f>Gen!S35</f>
        <v>1147.08</v>
      </c>
      <c r="F27" s="405">
        <f>Gen!T35</f>
        <v>2890</v>
      </c>
      <c r="G27" s="405">
        <f>'Water-Meter'!E30</f>
        <v>46</v>
      </c>
      <c r="H27" s="405">
        <f>'Utility report '!AC30</f>
        <v>131</v>
      </c>
      <c r="I27" s="405">
        <f>Gen!AJ35</f>
        <v>104.04</v>
      </c>
    </row>
    <row r="28" spans="1:9" ht="13.5">
      <c r="A28" s="402">
        <f>Gen!A36</f>
        <v>44312</v>
      </c>
      <c r="B28" s="404">
        <f>Gen!B36</f>
        <v>5.1999999999999998E-2</v>
      </c>
      <c r="C28" s="405">
        <f>'Summery Report'!E30</f>
        <v>0</v>
      </c>
      <c r="D28" s="406">
        <v>1</v>
      </c>
      <c r="E28" s="405">
        <f>Gen!S36</f>
        <v>1113.17</v>
      </c>
      <c r="F28" s="405">
        <f>Gen!T36</f>
        <v>2691</v>
      </c>
      <c r="G28" s="405">
        <f>'Water-Meter'!E31</f>
        <v>53</v>
      </c>
      <c r="H28" s="405">
        <f>'Utility report '!AC31</f>
        <v>9</v>
      </c>
      <c r="I28" s="405">
        <f>Gen!AJ36</f>
        <v>269.06</v>
      </c>
    </row>
    <row r="29" spans="1:9" ht="13.5">
      <c r="A29" s="402">
        <f>Gen!A37</f>
        <v>44313</v>
      </c>
      <c r="B29" s="404">
        <f>Gen!B37</f>
        <v>3.5999999999999997E-2</v>
      </c>
      <c r="C29" s="405">
        <f>'Summery Report'!E31</f>
        <v>0</v>
      </c>
      <c r="D29" s="406">
        <v>1</v>
      </c>
      <c r="E29" s="405">
        <f>Gen!S37</f>
        <v>1116.6400000000001</v>
      </c>
      <c r="F29" s="405">
        <f>Gen!T37</f>
        <v>2733</v>
      </c>
      <c r="G29" s="405">
        <f>'Water-Meter'!E32</f>
        <v>43</v>
      </c>
      <c r="H29" s="405">
        <f>'Utility report '!AC32</f>
        <v>35</v>
      </c>
      <c r="I29" s="405">
        <f>Gen!AJ37</f>
        <v>30.73</v>
      </c>
    </row>
    <row r="30" spans="1:9" ht="13.5">
      <c r="A30" s="402">
        <f>Gen!A38</f>
        <v>44314</v>
      </c>
      <c r="B30" s="404">
        <f>Gen!B38</f>
        <v>3.9E-2</v>
      </c>
      <c r="C30" s="405">
        <f>'Summery Report'!E32</f>
        <v>0</v>
      </c>
      <c r="D30" s="406">
        <v>1</v>
      </c>
      <c r="E30" s="405">
        <f>Gen!S38</f>
        <v>1170.6600000000001</v>
      </c>
      <c r="F30" s="405">
        <f>Gen!T38</f>
        <v>2725</v>
      </c>
      <c r="G30" s="405">
        <f>'Water-Meter'!E33</f>
        <v>61</v>
      </c>
      <c r="H30" s="405">
        <f>'Utility report '!AC33</f>
        <v>88</v>
      </c>
      <c r="I30" s="405">
        <f>Gen!AJ38</f>
        <v>15.67</v>
      </c>
    </row>
    <row r="31" spans="1:9" ht="13.5">
      <c r="A31" s="402">
        <f>Gen!A39</f>
        <v>44315</v>
      </c>
      <c r="B31" s="404">
        <f>Gen!B39</f>
        <v>2.5999999999999999E-2</v>
      </c>
      <c r="C31" s="405">
        <f>'Summery Report'!E33</f>
        <v>0</v>
      </c>
      <c r="D31" s="406">
        <v>1</v>
      </c>
      <c r="E31" s="405">
        <f>Gen!S39</f>
        <v>1105.68</v>
      </c>
      <c r="F31" s="405">
        <f>Gen!T39</f>
        <v>2813</v>
      </c>
      <c r="G31" s="405">
        <f>'Water-Meter'!E34</f>
        <v>53</v>
      </c>
      <c r="H31" s="405">
        <f>'Utility report '!AC34</f>
        <v>30</v>
      </c>
      <c r="I31" s="405">
        <f>Gen!AJ39</f>
        <v>243.48</v>
      </c>
    </row>
    <row r="32" spans="1:9" ht="13.5">
      <c r="A32" s="402">
        <f>Gen!A40</f>
        <v>44316</v>
      </c>
      <c r="B32" s="404">
        <f>Gen!B40</f>
        <v>0.01</v>
      </c>
      <c r="C32" s="405">
        <f>'Summery Report'!E34</f>
        <v>0</v>
      </c>
      <c r="D32" s="406">
        <v>1</v>
      </c>
      <c r="E32" s="405">
        <f>Gen!S40</f>
        <v>1119.69</v>
      </c>
      <c r="F32" s="405">
        <f>Gen!T40</f>
        <v>2731</v>
      </c>
      <c r="G32" s="405">
        <f>'Water-Meter'!E35</f>
        <v>58</v>
      </c>
      <c r="H32" s="405">
        <f>'Utility report '!AC35</f>
        <v>35</v>
      </c>
      <c r="I32" s="405">
        <f>Gen!AJ40</f>
        <v>274.32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 t="str">
        <f>'Water-Meter'!E36</f>
        <v>0</v>
      </c>
      <c r="H33" s="405">
        <f>'Utility report '!AC36</f>
        <v>-977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1" t="s">
        <v>0</v>
      </c>
      <c r="B4" s="772" t="s">
        <v>141</v>
      </c>
      <c r="C4" s="773" t="s">
        <v>248</v>
      </c>
      <c r="D4" s="869" t="s">
        <v>135</v>
      </c>
      <c r="E4" s="869"/>
      <c r="F4" s="869"/>
      <c r="G4" s="870" t="s">
        <v>20</v>
      </c>
      <c r="H4" s="870"/>
      <c r="I4" s="870"/>
      <c r="J4" s="871" t="s">
        <v>54</v>
      </c>
      <c r="K4" s="871"/>
      <c r="L4" s="871"/>
      <c r="M4" s="871"/>
      <c r="N4" s="872" t="s">
        <v>143</v>
      </c>
      <c r="O4" s="872"/>
      <c r="P4" s="872"/>
      <c r="Q4" s="774"/>
      <c r="R4" s="774"/>
      <c r="S4" s="775"/>
    </row>
    <row r="5" spans="1:19" ht="25.5">
      <c r="A5" s="776"/>
      <c r="B5" s="777"/>
      <c r="C5" s="778"/>
      <c r="D5" s="779" t="s">
        <v>136</v>
      </c>
      <c r="E5" s="779" t="s">
        <v>137</v>
      </c>
      <c r="F5" s="779" t="s">
        <v>121</v>
      </c>
      <c r="G5" s="780" t="s">
        <v>138</v>
      </c>
      <c r="H5" s="780" t="s">
        <v>19</v>
      </c>
      <c r="I5" s="781" t="s">
        <v>139</v>
      </c>
      <c r="J5" s="782" t="s">
        <v>142</v>
      </c>
      <c r="K5" s="782" t="s">
        <v>140</v>
      </c>
      <c r="L5" s="782" t="s">
        <v>140</v>
      </c>
      <c r="M5" s="783" t="s">
        <v>18</v>
      </c>
      <c r="N5" s="784" t="s">
        <v>144</v>
      </c>
      <c r="O5" s="784" t="s">
        <v>146</v>
      </c>
      <c r="P5" s="785" t="s">
        <v>145</v>
      </c>
      <c r="Q5" s="786" t="s">
        <v>148</v>
      </c>
      <c r="R5" s="786" t="s">
        <v>147</v>
      </c>
      <c r="S5" s="787" t="s">
        <v>149</v>
      </c>
    </row>
    <row r="6" spans="1:19" ht="14.25">
      <c r="A6" s="450">
        <f>Gen!A11</f>
        <v>44287</v>
      </c>
      <c r="B6" s="6">
        <f>'Summery Report'!E5</f>
        <v>1.3</v>
      </c>
      <c r="C6" s="6">
        <f>Gen!U11</f>
        <v>0.41777952755905512</v>
      </c>
      <c r="D6" s="152">
        <f>Gen!T11</f>
        <v>3175</v>
      </c>
      <c r="E6" s="152">
        <f>Gen!AK11</f>
        <v>0</v>
      </c>
      <c r="F6" s="152">
        <f>Gen!AS11</f>
        <v>0</v>
      </c>
      <c r="G6" s="153">
        <f>'Utility report '!AC6</f>
        <v>0</v>
      </c>
      <c r="H6" s="153">
        <f>'Utility report '!AE6</f>
        <v>72</v>
      </c>
      <c r="I6" s="296">
        <f>'Water-Meter'!E6</f>
        <v>89</v>
      </c>
      <c r="J6" s="154">
        <f>'Lpg (2)'!B10</f>
        <v>0</v>
      </c>
      <c r="K6" s="154">
        <f>'Lpg (2)'!C10</f>
        <v>15</v>
      </c>
      <c r="L6" s="154">
        <f>'Lpg (2)'!D10</f>
        <v>85</v>
      </c>
      <c r="M6" s="449">
        <f>'Lpg (2)'!G10</f>
        <v>84.4799999999872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>
        <f t="shared" ref="R6:R37" si="0">N6/B6</f>
        <v>0</v>
      </c>
      <c r="S6" s="451" t="e">
        <f t="shared" ref="S6:S37" si="1">Q6/B6</f>
        <v>#REF!</v>
      </c>
    </row>
    <row r="7" spans="1:19" ht="14.25">
      <c r="A7" s="450">
        <f>Gen!A12</f>
        <v>44288</v>
      </c>
      <c r="B7" s="6">
        <f>'Summery Report'!E6</f>
        <v>2.6</v>
      </c>
      <c r="C7" s="6">
        <f>Gen!U12</f>
        <v>0.4106777533730781</v>
      </c>
      <c r="D7" s="152">
        <f>Gen!T12</f>
        <v>3187</v>
      </c>
      <c r="E7" s="152">
        <f>Gen!AK12</f>
        <v>0</v>
      </c>
      <c r="F7" s="152">
        <f>Gen!AS12</f>
        <v>0</v>
      </c>
      <c r="G7" s="153">
        <f>'Utility report '!AC7</f>
        <v>0</v>
      </c>
      <c r="H7" s="153">
        <f>'Utility report '!AE7</f>
        <v>81</v>
      </c>
      <c r="I7" s="296">
        <f>'Water-Meter'!E7</f>
        <v>117</v>
      </c>
      <c r="J7" s="154">
        <f>'Lpg (2)'!B11</f>
        <v>0</v>
      </c>
      <c r="K7" s="154">
        <f>'Lpg (2)'!C11</f>
        <v>10</v>
      </c>
      <c r="L7" s="154">
        <f>'Lpg (2)'!D11</f>
        <v>85</v>
      </c>
      <c r="M7" s="449">
        <f>'Lpg (2)'!G11</f>
        <v>86.547999999992328</v>
      </c>
      <c r="N7" s="151">
        <f>D7*1.4</f>
        <v>4461.7999999999993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>
        <f t="shared" si="0"/>
        <v>1716.0769230769226</v>
      </c>
      <c r="S7" s="451" t="e">
        <f t="shared" si="1"/>
        <v>#REF!</v>
      </c>
    </row>
    <row r="8" spans="1:19" ht="14.25">
      <c r="A8" s="450">
        <f>Gen!A13</f>
        <v>44289</v>
      </c>
      <c r="B8" s="6">
        <f>'Summery Report'!E7</f>
        <v>2.6</v>
      </c>
      <c r="C8" s="6">
        <f>Gen!U13</f>
        <v>0.40227580372250421</v>
      </c>
      <c r="D8" s="152">
        <f>Gen!T13</f>
        <v>3546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74</v>
      </c>
      <c r="I8" s="296">
        <f>'Water-Meter'!E8</f>
        <v>167</v>
      </c>
      <c r="J8" s="154">
        <f>'Lpg (2)'!B12</f>
        <v>0</v>
      </c>
      <c r="K8" s="154">
        <f>'Lpg (2)'!C12</f>
        <v>3</v>
      </c>
      <c r="L8" s="154">
        <f>'Lpg (2)'!D12</f>
        <v>85</v>
      </c>
      <c r="M8" s="449">
        <f>'Lpg (2)'!G12</f>
        <v>88.968000000005134</v>
      </c>
      <c r="N8" s="151">
        <f t="shared" ref="N8:O36" si="2">D8*1.4</f>
        <v>4964.3999999999996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>
        <f t="shared" si="0"/>
        <v>1909.3846153846152</v>
      </c>
      <c r="S8" s="451" t="e">
        <f t="shared" si="1"/>
        <v>#REF!</v>
      </c>
    </row>
    <row r="9" spans="1:19" ht="14.25">
      <c r="A9" s="450">
        <f>Gen!A14</f>
        <v>44290</v>
      </c>
      <c r="B9" s="6">
        <f>'Summery Report'!E8</f>
        <v>5.19</v>
      </c>
      <c r="C9" s="6">
        <f>Gen!U14</f>
        <v>0.40958834134615379</v>
      </c>
      <c r="D9" s="152">
        <f>Gen!T14</f>
        <v>3328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77</v>
      </c>
      <c r="I9" s="296">
        <f>'Water-Meter'!E9</f>
        <v>70</v>
      </c>
      <c r="J9" s="154">
        <f>'Lpg (2)'!B13</f>
        <v>0</v>
      </c>
      <c r="K9" s="154">
        <f>'Lpg (2)'!C13</f>
        <v>0</v>
      </c>
      <c r="L9" s="154">
        <f>'Lpg (2)'!D13</f>
        <v>83</v>
      </c>
      <c r="M9" s="449">
        <f>'Lpg (2)'!G13</f>
        <v>86.372000000020492</v>
      </c>
      <c r="N9" s="151">
        <f t="shared" si="2"/>
        <v>4659.2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>
        <f t="shared" si="0"/>
        <v>897.72639691714824</v>
      </c>
      <c r="S9" s="451" t="e">
        <f t="shared" si="1"/>
        <v>#REF!</v>
      </c>
    </row>
    <row r="10" spans="1:19" ht="14.25">
      <c r="A10" s="450">
        <f>Gen!A15</f>
        <v>44291</v>
      </c>
      <c r="B10" s="6">
        <f>'Summery Report'!E9</f>
        <v>7.79</v>
      </c>
      <c r="C10" s="6">
        <f>Gen!U15</f>
        <v>0.40968615384615387</v>
      </c>
      <c r="D10" s="152">
        <f>Gen!T15</f>
        <v>3250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72</v>
      </c>
      <c r="I10" s="296">
        <f>'Water-Meter'!E10</f>
        <v>59</v>
      </c>
      <c r="J10" s="154">
        <f>'Lpg (2)'!B14</f>
        <v>0</v>
      </c>
      <c r="K10" s="154">
        <f>'Lpg (2)'!C14</f>
        <v>0</v>
      </c>
      <c r="L10" s="154">
        <f>'Lpg (2)'!D14</f>
        <v>82</v>
      </c>
      <c r="M10" s="449">
        <f>'Lpg (2)'!G14</f>
        <v>88.527999999979514</v>
      </c>
      <c r="N10" s="151">
        <f t="shared" si="2"/>
        <v>4550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>
        <f t="shared" si="0"/>
        <v>584.08215661103975</v>
      </c>
      <c r="S10" s="451" t="e">
        <f t="shared" si="1"/>
        <v>#REF!</v>
      </c>
    </row>
    <row r="11" spans="1:19" ht="14.25">
      <c r="A11" s="450">
        <f>Gen!A16</f>
        <v>44292</v>
      </c>
      <c r="B11" s="6">
        <f>'Summery Report'!E10</f>
        <v>5.19</v>
      </c>
      <c r="C11" s="6">
        <f>Gen!U16</f>
        <v>0.41273615635179151</v>
      </c>
      <c r="D11" s="152">
        <f>Gen!T16</f>
        <v>3070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82</v>
      </c>
      <c r="I11" s="296">
        <f>'Water-Meter'!E11</f>
        <v>210</v>
      </c>
      <c r="J11" s="154">
        <f>'Lpg (2)'!B15</f>
        <v>0</v>
      </c>
      <c r="K11" s="154">
        <f>'Lpg (2)'!C15</f>
        <v>0</v>
      </c>
      <c r="L11" s="154">
        <f>'Lpg (2)'!D15</f>
        <v>81</v>
      </c>
      <c r="M11" s="449">
        <f>'Lpg (2)'!G15</f>
        <v>82.895999999984639</v>
      </c>
      <c r="N11" s="151">
        <f t="shared" si="2"/>
        <v>4298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>
        <f t="shared" si="0"/>
        <v>828.13102119460495</v>
      </c>
      <c r="S11" s="451" t="e">
        <f t="shared" si="1"/>
        <v>#REF!</v>
      </c>
    </row>
    <row r="12" spans="1:19" ht="14.25">
      <c r="A12" s="450">
        <f>Gen!A17</f>
        <v>44293</v>
      </c>
      <c r="B12" s="6">
        <f>'Summery Report'!E11</f>
        <v>11.69</v>
      </c>
      <c r="C12" s="6">
        <f>Gen!U17</f>
        <v>0.40155218554861732</v>
      </c>
      <c r="D12" s="152">
        <f>Gen!T17</f>
        <v>3363</v>
      </c>
      <c r="E12" s="152">
        <f>Gen!AK17</f>
        <v>0</v>
      </c>
      <c r="F12" s="152">
        <f>Gen!AS17</f>
        <v>0</v>
      </c>
      <c r="G12" s="153">
        <f>'Utility report '!AC12</f>
        <v>101</v>
      </c>
      <c r="H12" s="153">
        <f>'Utility report '!AE12</f>
        <v>76</v>
      </c>
      <c r="I12" s="296">
        <f>'Water-Meter'!E12</f>
        <v>60</v>
      </c>
      <c r="J12" s="154">
        <f>'Lpg (2)'!B16</f>
        <v>0</v>
      </c>
      <c r="K12" s="154">
        <f>'Lpg (2)'!C16</f>
        <v>0</v>
      </c>
      <c r="L12" s="154">
        <f>'Lpg (2)'!D16</f>
        <v>80</v>
      </c>
      <c r="M12" s="449">
        <f>'Lpg (2)'!G16</f>
        <v>80.212000000046103</v>
      </c>
      <c r="N12" s="151">
        <f t="shared" si="2"/>
        <v>4708.2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>
        <f t="shared" si="0"/>
        <v>402.75449101796409</v>
      </c>
      <c r="S12" s="451" t="e">
        <f t="shared" si="1"/>
        <v>#REF!</v>
      </c>
    </row>
    <row r="13" spans="1:19" ht="14.25">
      <c r="A13" s="450">
        <f>Gen!A18</f>
        <v>44294</v>
      </c>
      <c r="B13" s="6">
        <f>'Summery Report'!E12</f>
        <v>12.99</v>
      </c>
      <c r="C13" s="6">
        <f>Gen!U18</f>
        <v>0.40188175460902731</v>
      </c>
      <c r="D13" s="152">
        <f>Gen!T18</f>
        <v>3146</v>
      </c>
      <c r="E13" s="152">
        <f>Gen!AK18</f>
        <v>0</v>
      </c>
      <c r="F13" s="152">
        <f>Gen!AS18</f>
        <v>0</v>
      </c>
      <c r="G13" s="153">
        <f>'Utility report '!AC13</f>
        <v>12</v>
      </c>
      <c r="H13" s="153">
        <f>'Utility report '!AE13</f>
        <v>82</v>
      </c>
      <c r="I13" s="296">
        <f>'Water-Meter'!E13</f>
        <v>75</v>
      </c>
      <c r="J13" s="154">
        <f>'Lpg (2)'!B17</f>
        <v>0</v>
      </c>
      <c r="K13" s="154">
        <f>'Lpg (2)'!C17</f>
        <v>0</v>
      </c>
      <c r="L13" s="154">
        <f>'Lpg (2)'!D17</f>
        <v>80</v>
      </c>
      <c r="M13" s="449">
        <f>'Lpg (2)'!G17</f>
        <v>83.995999999984633</v>
      </c>
      <c r="N13" s="151">
        <f t="shared" si="2"/>
        <v>4404.3999999999996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>
        <f t="shared" si="0"/>
        <v>339.06081601231716</v>
      </c>
      <c r="S13" s="451" t="e">
        <f t="shared" si="1"/>
        <v>#REF!</v>
      </c>
    </row>
    <row r="14" spans="1:19" ht="14.25">
      <c r="A14" s="450">
        <f>Gen!A19</f>
        <v>44295</v>
      </c>
      <c r="B14" s="6">
        <f>'Summery Report'!E13</f>
        <v>15.58</v>
      </c>
      <c r="C14" s="6">
        <f>Gen!U19</f>
        <v>0.39417320458660227</v>
      </c>
      <c r="D14" s="152">
        <f>Gen!T19</f>
        <v>3314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78</v>
      </c>
      <c r="I14" s="296">
        <f>'Water-Meter'!E14</f>
        <v>47</v>
      </c>
      <c r="J14" s="154">
        <f>'Lpg (2)'!B18</f>
        <v>85</v>
      </c>
      <c r="K14" s="154">
        <f>'Lpg (2)'!C18</f>
        <v>85</v>
      </c>
      <c r="L14" s="154">
        <f>'Lpg (2)'!D18</f>
        <v>79</v>
      </c>
      <c r="M14" s="449">
        <f>'Lpg (2)'!G18</f>
        <v>44</v>
      </c>
      <c r="N14" s="151">
        <f t="shared" si="2"/>
        <v>4639.5999999999995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>
        <f t="shared" si="0"/>
        <v>297.79204107830549</v>
      </c>
      <c r="S14" s="451" t="e">
        <f t="shared" si="1"/>
        <v>#REF!</v>
      </c>
    </row>
    <row r="15" spans="1:19" ht="14.25">
      <c r="A15" s="450">
        <f>Gen!A20</f>
        <v>44296</v>
      </c>
      <c r="B15" s="6">
        <f>'Summery Report'!E14</f>
        <v>15.58</v>
      </c>
      <c r="C15" s="6">
        <f>Gen!U20</f>
        <v>0.39324810606060606</v>
      </c>
      <c r="D15" s="152">
        <f>Gen!T20</f>
        <v>3168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77</v>
      </c>
      <c r="I15" s="296">
        <f>'Water-Meter'!E15</f>
        <v>46</v>
      </c>
      <c r="J15" s="154">
        <f>'Lpg (2)'!B19</f>
        <v>85</v>
      </c>
      <c r="K15" s="154">
        <f>'Lpg (2)'!C19</f>
        <v>85</v>
      </c>
      <c r="L15" s="154">
        <f>'Lpg (2)'!D19</f>
        <v>79</v>
      </c>
      <c r="M15" s="449">
        <f>'Lpg (2)'!G19</f>
        <v>88</v>
      </c>
      <c r="N15" s="151">
        <f t="shared" si="2"/>
        <v>4435.2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>
        <f t="shared" si="0"/>
        <v>284.67265725288831</v>
      </c>
      <c r="S15" s="451" t="e">
        <f t="shared" si="1"/>
        <v>#REF!</v>
      </c>
    </row>
    <row r="16" spans="1:19" ht="14.25">
      <c r="A16" s="450">
        <f>Gen!A21</f>
        <v>44297</v>
      </c>
      <c r="B16" s="6">
        <f>'Summery Report'!E15</f>
        <v>11.69</v>
      </c>
      <c r="C16" s="6">
        <f>Gen!U21</f>
        <v>0.39665739882607354</v>
      </c>
      <c r="D16" s="152">
        <f>Gen!T21</f>
        <v>3237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50</v>
      </c>
      <c r="I16" s="296">
        <f>'Water-Meter'!E16</f>
        <v>50</v>
      </c>
      <c r="J16" s="154">
        <f>'Lpg (2)'!B20</f>
        <v>85</v>
      </c>
      <c r="K16" s="154">
        <f>'Lpg (2)'!C20</f>
        <v>85</v>
      </c>
      <c r="L16" s="154">
        <f>'Lpg (2)'!D20</f>
        <v>75</v>
      </c>
      <c r="M16" s="449">
        <f>'Lpg (2)'!G20</f>
        <v>57.243999999976957</v>
      </c>
      <c r="N16" s="151">
        <f t="shared" si="2"/>
        <v>4531.7999999999993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>
        <f t="shared" si="0"/>
        <v>387.66467065868261</v>
      </c>
      <c r="S16" s="451" t="e">
        <f t="shared" si="1"/>
        <v>#REF!</v>
      </c>
    </row>
    <row r="17" spans="1:19" ht="14.25">
      <c r="A17" s="450">
        <f>Gen!A22</f>
        <v>44298</v>
      </c>
      <c r="B17" s="6">
        <f>'Summery Report'!E16</f>
        <v>12.99</v>
      </c>
      <c r="C17" s="6">
        <f>Gen!U22</f>
        <v>0.35691342918323649</v>
      </c>
      <c r="D17" s="152">
        <f>Gen!T22</f>
        <v>3269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46</v>
      </c>
      <c r="I17" s="296">
        <f>'Water-Meter'!E17</f>
        <v>61</v>
      </c>
      <c r="J17" s="154">
        <f>'Lpg (2)'!B21</f>
        <v>85</v>
      </c>
      <c r="K17" s="154">
        <f>'Lpg (2)'!C22</f>
        <v>85</v>
      </c>
      <c r="L17" s="154">
        <f>'Lpg (2)'!D21</f>
        <v>65</v>
      </c>
      <c r="M17" s="449">
        <f>'Lpg (2)'!G21</f>
        <v>64.328000000043545</v>
      </c>
      <c r="N17" s="151">
        <f t="shared" si="2"/>
        <v>4576.5999999999995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>
        <f t="shared" si="0"/>
        <v>352.31716705157811</v>
      </c>
      <c r="S17" s="451" t="e">
        <f t="shared" si="1"/>
        <v>#REF!</v>
      </c>
    </row>
    <row r="18" spans="1:19" ht="14.25">
      <c r="A18" s="450">
        <f>Gen!A23</f>
        <v>44299</v>
      </c>
      <c r="B18" s="6">
        <f>'Summery Report'!E17</f>
        <v>14.29</v>
      </c>
      <c r="C18" s="6">
        <f>Gen!U23</f>
        <v>0.406656660412758</v>
      </c>
      <c r="D18" s="152">
        <f>Gen!T23</f>
        <v>2665</v>
      </c>
      <c r="E18" s="152">
        <f>Gen!AK23</f>
        <v>0</v>
      </c>
      <c r="F18" s="152">
        <f>Gen!AS23</f>
        <v>0</v>
      </c>
      <c r="G18" s="153">
        <f>'Utility report '!AC18</f>
        <v>-48865</v>
      </c>
      <c r="H18" s="153">
        <f>'Utility report '!AE18</f>
        <v>42</v>
      </c>
      <c r="I18" s="296">
        <f>'Water-Meter'!E18</f>
        <v>181</v>
      </c>
      <c r="J18" s="154">
        <f>'Lpg (2)'!B22</f>
        <v>85</v>
      </c>
      <c r="K18" s="154">
        <f>'Lpg (2)'!C23</f>
        <v>85</v>
      </c>
      <c r="L18" s="154">
        <f>'Lpg (2)'!D22</f>
        <v>60</v>
      </c>
      <c r="M18" s="449">
        <f>'Lpg (2)'!G22</f>
        <v>63.227999999979517</v>
      </c>
      <c r="N18" s="151">
        <f t="shared" si="2"/>
        <v>3730.9999999999995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>
        <f t="shared" si="0"/>
        <v>261.09167249825049</v>
      </c>
      <c r="S18" s="451" t="e">
        <f t="shared" si="1"/>
        <v>#REF!</v>
      </c>
    </row>
    <row r="19" spans="1:19" ht="14.25">
      <c r="A19" s="450">
        <f>Gen!A24</f>
        <v>44300</v>
      </c>
      <c r="B19" s="6">
        <f>'Summery Report'!E18</f>
        <v>14.29</v>
      </c>
      <c r="C19" s="6">
        <f>Gen!U24</f>
        <v>0.40256905032160423</v>
      </c>
      <c r="D19" s="152">
        <f>Gen!T24</f>
        <v>2643</v>
      </c>
      <c r="E19" s="152">
        <f>Gen!AK24</f>
        <v>0</v>
      </c>
      <c r="F19" s="152">
        <f>Gen!AS24</f>
        <v>0</v>
      </c>
      <c r="G19" s="153">
        <f>'Utility report '!AC19</f>
        <v>177</v>
      </c>
      <c r="H19" s="153">
        <f>'Utility report '!AE19</f>
        <v>44</v>
      </c>
      <c r="I19" s="296">
        <f>'Water-Meter'!E19</f>
        <v>46</v>
      </c>
      <c r="J19" s="154">
        <f>'Lpg (2)'!B23</f>
        <v>85</v>
      </c>
      <c r="K19" s="154">
        <f>'Lpg (2)'!C24</f>
        <v>85</v>
      </c>
      <c r="L19" s="154">
        <f>'Lpg (2)'!D23</f>
        <v>55</v>
      </c>
      <c r="M19" s="449">
        <f>'Lpg (2)'!G23</f>
        <v>59.708000000030736</v>
      </c>
      <c r="N19" s="151">
        <f t="shared" si="2"/>
        <v>3700.2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>
        <f t="shared" si="0"/>
        <v>258.9363191042687</v>
      </c>
      <c r="S19" s="451" t="e">
        <f t="shared" si="1"/>
        <v>#REF!</v>
      </c>
    </row>
    <row r="20" spans="1:19" ht="14.25">
      <c r="A20" s="450">
        <f>Gen!A25</f>
        <v>44301</v>
      </c>
      <c r="B20" s="6">
        <f>'Summery Report'!E19</f>
        <v>9.09</v>
      </c>
      <c r="C20" s="6">
        <f>Gen!U25</f>
        <v>0.4014820473644003</v>
      </c>
      <c r="D20" s="152">
        <f>Gen!T25</f>
        <v>2618</v>
      </c>
      <c r="E20" s="152">
        <f>Gen!AK25</f>
        <v>0</v>
      </c>
      <c r="F20" s="152">
        <f>Gen!AS25</f>
        <v>0</v>
      </c>
      <c r="G20" s="153">
        <f>'Utility report '!AC20</f>
        <v>35</v>
      </c>
      <c r="H20" s="153">
        <f>'Utility report '!AE20</f>
        <v>45</v>
      </c>
      <c r="I20" s="296">
        <f>'Water-Meter'!E20</f>
        <v>47</v>
      </c>
      <c r="J20" s="154">
        <f>'Lpg (2)'!B24</f>
        <v>85</v>
      </c>
      <c r="K20" s="154">
        <f>'Lpg (2)'!C25</f>
        <v>85</v>
      </c>
      <c r="L20" s="154">
        <f>'Lpg (2)'!D24</f>
        <v>51</v>
      </c>
      <c r="M20" s="449">
        <f>'Lpg (2)'!G24</f>
        <v>59.091999999969268</v>
      </c>
      <c r="N20" s="151">
        <f t="shared" si="2"/>
        <v>3665.2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>
        <f t="shared" si="0"/>
        <v>403.2123212321232</v>
      </c>
      <c r="S20" s="451" t="e">
        <f t="shared" si="1"/>
        <v>#REF!</v>
      </c>
    </row>
    <row r="21" spans="1:19" ht="14.25">
      <c r="A21" s="450">
        <f>Gen!A26</f>
        <v>44302</v>
      </c>
      <c r="B21" s="6">
        <f>'Summery Report'!E20</f>
        <v>7.79</v>
      </c>
      <c r="C21" s="6">
        <f>Gen!U26</f>
        <v>0.40802435192458758</v>
      </c>
      <c r="D21" s="152">
        <f>Gen!T26</f>
        <v>2546</v>
      </c>
      <c r="E21" s="152">
        <f>Gen!AK26</f>
        <v>0</v>
      </c>
      <c r="F21" s="152">
        <f>Gen!AS26</f>
        <v>0</v>
      </c>
      <c r="G21" s="153">
        <f>'Utility report '!AC21</f>
        <v>38</v>
      </c>
      <c r="H21" s="153">
        <f>'Utility report '!AE21</f>
        <v>42</v>
      </c>
      <c r="I21" s="296">
        <f>'Water-Meter'!E21</f>
        <v>40</v>
      </c>
      <c r="J21" s="154">
        <f>'Lpg (2)'!B25</f>
        <v>85</v>
      </c>
      <c r="K21" s="154">
        <f>'Lpg (2)'!C25</f>
        <v>85</v>
      </c>
      <c r="L21" s="154">
        <f>'Lpg (2)'!D25</f>
        <v>49</v>
      </c>
      <c r="M21" s="449">
        <f>'Lpg (2)'!G25</f>
        <v>44</v>
      </c>
      <c r="N21" s="151">
        <f t="shared" si="2"/>
        <v>3564.3999999999996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>
        <f t="shared" si="0"/>
        <v>457.56097560975604</v>
      </c>
      <c r="S21" s="451" t="e">
        <f t="shared" si="1"/>
        <v>#REF!</v>
      </c>
    </row>
    <row r="22" spans="1:19" ht="14.25">
      <c r="A22" s="450">
        <f>Gen!A27</f>
        <v>44303</v>
      </c>
      <c r="B22" s="6">
        <f>'Summery Report'!E21</f>
        <v>6.49</v>
      </c>
      <c r="C22" s="6">
        <f>Gen!U27</f>
        <v>0.40934669636228654</v>
      </c>
      <c r="D22" s="152">
        <f>Gen!T27</f>
        <v>2694</v>
      </c>
      <c r="E22" s="152">
        <f>Gen!AK27</f>
        <v>0</v>
      </c>
      <c r="F22" s="152">
        <f>Gen!AS27</f>
        <v>0</v>
      </c>
      <c r="G22" s="153">
        <f>'Utility report '!AC22</f>
        <v>38</v>
      </c>
      <c r="H22" s="153">
        <f>'Utility report '!AE22</f>
        <v>45</v>
      </c>
      <c r="I22" s="296">
        <f>'Water-Meter'!E22</f>
        <v>52</v>
      </c>
      <c r="J22" s="154">
        <f>'Lpg (2)'!B26</f>
        <v>85</v>
      </c>
      <c r="K22" s="154">
        <f>'Lpg (2)'!C26</f>
        <v>85</v>
      </c>
      <c r="L22" s="154">
        <f>'Lpg (2)'!D26</f>
        <v>45</v>
      </c>
      <c r="M22" s="449">
        <f>'Lpg (2)'!G26</f>
        <v>56.847999999992318</v>
      </c>
      <c r="N22" s="151">
        <f t="shared" si="2"/>
        <v>3771.6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>
        <f t="shared" si="0"/>
        <v>581.14021571648686</v>
      </c>
      <c r="S22" s="451" t="e">
        <f t="shared" si="1"/>
        <v>#REF!</v>
      </c>
    </row>
    <row r="23" spans="1:19" ht="14.25">
      <c r="A23" s="450">
        <f>Gen!A28</f>
        <v>44304</v>
      </c>
      <c r="B23" s="6">
        <f>'Summery Report'!E22</f>
        <v>0</v>
      </c>
      <c r="C23" s="6">
        <f>Gen!U28</f>
        <v>0.41046143008101443</v>
      </c>
      <c r="D23" s="152">
        <f>Gen!T28</f>
        <v>2839</v>
      </c>
      <c r="E23" s="152">
        <f>Gen!AK28</f>
        <v>0</v>
      </c>
      <c r="F23" s="152">
        <f>Gen!AS28</f>
        <v>0</v>
      </c>
      <c r="G23" s="153">
        <f>'Utility report '!AC23</f>
        <v>38</v>
      </c>
      <c r="H23" s="153">
        <f>'Utility report '!AE23</f>
        <v>46</v>
      </c>
      <c r="I23" s="296">
        <f>'Water-Meter'!E23</f>
        <v>53</v>
      </c>
      <c r="J23" s="154">
        <f>'Lpg (2)'!B27</f>
        <v>85</v>
      </c>
      <c r="K23" s="154">
        <f>'Lpg (2)'!C27</f>
        <v>85</v>
      </c>
      <c r="L23" s="154">
        <f>'Lpg (2)'!D27</f>
        <v>40</v>
      </c>
      <c r="M23" s="449">
        <f>'Lpg (2)'!G27</f>
        <v>61.952000000007686</v>
      </c>
      <c r="N23" s="151">
        <f t="shared" si="2"/>
        <v>3974.6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44305</v>
      </c>
      <c r="B24" s="6">
        <f>'Summery Report'!E23</f>
        <v>0</v>
      </c>
      <c r="C24" s="6">
        <f>Gen!U29</f>
        <v>0.42041712403951703</v>
      </c>
      <c r="D24" s="152">
        <f>Gen!T29</f>
        <v>2733</v>
      </c>
      <c r="E24" s="152">
        <f>Gen!AK29</f>
        <v>0</v>
      </c>
      <c r="F24" s="152">
        <f>Gen!AS29</f>
        <v>0</v>
      </c>
      <c r="G24" s="153">
        <f>'Utility report '!AC24</f>
        <v>37</v>
      </c>
      <c r="H24" s="153">
        <f>'Utility report '!AE24</f>
        <v>49</v>
      </c>
      <c r="I24" s="296">
        <f>'Water-Meter'!E24</f>
        <v>58</v>
      </c>
      <c r="J24" s="154">
        <f>'Lpg (2)'!B28</f>
        <v>85</v>
      </c>
      <c r="K24" s="154">
        <f>'Lpg (2)'!C28</f>
        <v>85</v>
      </c>
      <c r="L24" s="154">
        <f>'Lpg (2)'!D28</f>
        <v>35</v>
      </c>
      <c r="M24" s="449">
        <f>'Lpg (2)'!G28</f>
        <v>67.804000000015378</v>
      </c>
      <c r="N24" s="151">
        <f t="shared" si="2"/>
        <v>3826.2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44306</v>
      </c>
      <c r="B25" s="6">
        <f>'Summery Report'!E24</f>
        <v>0</v>
      </c>
      <c r="C25" s="6">
        <f>Gen!U30</f>
        <v>0.41581932773109243</v>
      </c>
      <c r="D25" s="152">
        <f>Gen!T30</f>
        <v>2856</v>
      </c>
      <c r="E25" s="152">
        <f>Gen!AK30</f>
        <v>0</v>
      </c>
      <c r="F25" s="152">
        <f>Gen!AS30</f>
        <v>0</v>
      </c>
      <c r="G25" s="153">
        <f>'Utility report '!AC25</f>
        <v>130</v>
      </c>
      <c r="H25" s="153">
        <f>'Utility report '!AE25</f>
        <v>40</v>
      </c>
      <c r="I25" s="296">
        <f>'Water-Meter'!E25</f>
        <v>66</v>
      </c>
      <c r="J25" s="154">
        <f>'Lpg (2)'!B29</f>
        <v>85</v>
      </c>
      <c r="K25" s="154">
        <f>'Lpg (2)'!C29</f>
        <v>85</v>
      </c>
      <c r="L25" s="154">
        <f>'Lpg (2)'!D29</f>
        <v>31</v>
      </c>
      <c r="M25" s="449">
        <f>'Lpg (2)'!G29</f>
        <v>65.955999999959033</v>
      </c>
      <c r="N25" s="151">
        <f t="shared" si="2"/>
        <v>3998.3999999999996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44307</v>
      </c>
      <c r="B26" s="6">
        <f>'Summery Report'!E25</f>
        <v>0</v>
      </c>
      <c r="C26" s="6">
        <f>Gen!U31</f>
        <v>0.41387407407407406</v>
      </c>
      <c r="D26" s="152">
        <f>Gen!T31</f>
        <v>2700</v>
      </c>
      <c r="E26" s="152">
        <f>Gen!AK31</f>
        <v>0</v>
      </c>
      <c r="F26" s="152">
        <f>Gen!AS31</f>
        <v>0</v>
      </c>
      <c r="G26" s="153">
        <f>'Utility report '!AC26</f>
        <v>56</v>
      </c>
      <c r="H26" s="153">
        <f>'Utility report '!AE26</f>
        <v>45</v>
      </c>
      <c r="I26" s="296">
        <f>'Water-Meter'!E26</f>
        <v>47</v>
      </c>
      <c r="J26" s="154">
        <f>'Lpg (2)'!B30</f>
        <v>85</v>
      </c>
      <c r="K26" s="154">
        <f>'Lpg (2)'!C30</f>
        <v>85</v>
      </c>
      <c r="L26" s="154">
        <f>'Lpg (2)'!D30</f>
        <v>27</v>
      </c>
      <c r="M26" s="449">
        <f>'Lpg (2)'!G30</f>
        <v>65.560000000038428</v>
      </c>
      <c r="N26" s="151">
        <f t="shared" si="2"/>
        <v>3779.9999999999995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44308</v>
      </c>
      <c r="B27" s="6">
        <f>'Summery Report'!E26</f>
        <v>0</v>
      </c>
      <c r="C27" s="6">
        <f>Gen!U32</f>
        <v>0.41092942537601235</v>
      </c>
      <c r="D27" s="152">
        <f>Gen!T32</f>
        <v>2593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46</v>
      </c>
      <c r="I27" s="296">
        <f>'Water-Meter'!E27</f>
        <v>50</v>
      </c>
      <c r="J27" s="154">
        <f>'Lpg (2)'!B31</f>
        <v>85</v>
      </c>
      <c r="K27" s="154">
        <f>'Lpg (2)'!C31</f>
        <v>85</v>
      </c>
      <c r="L27" s="154">
        <f>'Lpg (2)'!D31</f>
        <v>25</v>
      </c>
      <c r="M27" s="449">
        <f>'Lpg (2)'!G31</f>
        <v>58.211999999982076</v>
      </c>
      <c r="N27" s="151">
        <f t="shared" si="2"/>
        <v>3630.2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44309</v>
      </c>
      <c r="B28" s="6">
        <f>'Summery Report'!E27</f>
        <v>0</v>
      </c>
      <c r="C28" s="6">
        <f>Gen!U33</f>
        <v>0.40950696273993226</v>
      </c>
      <c r="D28" s="152">
        <f>Gen!T33</f>
        <v>2657</v>
      </c>
      <c r="E28" s="152">
        <f>Gen!AK33</f>
        <v>0</v>
      </c>
      <c r="F28" s="152">
        <f>Gen!AS33</f>
        <v>0</v>
      </c>
      <c r="G28" s="153">
        <f>'Utility report '!AC28</f>
        <v>38</v>
      </c>
      <c r="H28" s="153">
        <f>'Utility report '!AE28</f>
        <v>29</v>
      </c>
      <c r="I28" s="296">
        <f>'Water-Meter'!E28</f>
        <v>47</v>
      </c>
      <c r="J28" s="154">
        <f>'Lpg (2)'!B32</f>
        <v>85</v>
      </c>
      <c r="K28" s="154">
        <f>'Lpg (2)'!C32</f>
        <v>85</v>
      </c>
      <c r="L28" s="154">
        <f>'Lpg (2)'!D32</f>
        <v>20</v>
      </c>
      <c r="M28" s="449">
        <f>'Lpg (2)'!G32</f>
        <v>41.140000000025616</v>
      </c>
      <c r="N28" s="151">
        <f t="shared" si="2"/>
        <v>3719.7999999999997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44310</v>
      </c>
      <c r="B29" s="6">
        <f>'Summery Report'!E28</f>
        <v>0</v>
      </c>
      <c r="C29" s="6">
        <f>Gen!U34</f>
        <v>0.39966527196652718</v>
      </c>
      <c r="D29" s="152">
        <f>Gen!T34</f>
        <v>2629</v>
      </c>
      <c r="E29" s="152">
        <f>Gen!AK34</f>
        <v>0</v>
      </c>
      <c r="F29" s="152">
        <f>Gen!AS34</f>
        <v>0</v>
      </c>
      <c r="G29" s="153">
        <f>'Utility report '!AC29</f>
        <v>37</v>
      </c>
      <c r="H29" s="153">
        <f>'Utility report '!AE29</f>
        <v>45</v>
      </c>
      <c r="I29" s="296">
        <f>'Water-Meter'!E29</f>
        <v>56</v>
      </c>
      <c r="J29" s="154">
        <f>'Lpg (2)'!B33</f>
        <v>85</v>
      </c>
      <c r="K29" s="154">
        <f>'Lpg (2)'!C33</f>
        <v>85</v>
      </c>
      <c r="L29" s="154">
        <f>'Lpg (2)'!D33</f>
        <v>17</v>
      </c>
      <c r="M29" s="449">
        <f>'Lpg (2)'!G33</f>
        <v>62.787999999953904</v>
      </c>
      <c r="N29" s="151">
        <f t="shared" si="2"/>
        <v>3680.6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44311</v>
      </c>
      <c r="B30" s="6">
        <f>'Summery Report'!E29</f>
        <v>0</v>
      </c>
      <c r="C30" s="6">
        <f>Gen!U35</f>
        <v>0.39691349480968857</v>
      </c>
      <c r="D30" s="152">
        <f>Gen!T35</f>
        <v>2890</v>
      </c>
      <c r="E30" s="152">
        <f>Gen!AK35</f>
        <v>0</v>
      </c>
      <c r="F30" s="152">
        <f>Gen!AS35</f>
        <v>0</v>
      </c>
      <c r="G30" s="153">
        <f>'Utility report '!AC30</f>
        <v>131</v>
      </c>
      <c r="H30" s="153">
        <f>'Utility report '!AE30</f>
        <v>46</v>
      </c>
      <c r="I30" s="296">
        <f>'Water-Meter'!E30</f>
        <v>46</v>
      </c>
      <c r="J30" s="154">
        <f>'Lpg (2)'!B34</f>
        <v>85</v>
      </c>
      <c r="K30" s="154">
        <f>'Lpg (2)'!C34</f>
        <v>85</v>
      </c>
      <c r="L30" s="154">
        <f>'Lpg (2)'!D34</f>
        <v>15</v>
      </c>
      <c r="M30" s="449">
        <f>'Lpg (2)'!G34</f>
        <v>66.131999999994889</v>
      </c>
      <c r="N30" s="151">
        <f t="shared" si="2"/>
        <v>4045.9999999999995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44312</v>
      </c>
      <c r="B31" s="6">
        <f>'Summery Report'!E30</f>
        <v>0</v>
      </c>
      <c r="C31" s="6">
        <f>Gen!U36</f>
        <v>0.41366406540319589</v>
      </c>
      <c r="D31" s="152">
        <f>Gen!T36</f>
        <v>2691</v>
      </c>
      <c r="E31" s="152">
        <f>Gen!AK36</f>
        <v>0</v>
      </c>
      <c r="F31" s="152">
        <f>Gen!AS36</f>
        <v>0</v>
      </c>
      <c r="G31" s="153">
        <f>'Utility report '!AC31</f>
        <v>9</v>
      </c>
      <c r="H31" s="153">
        <f>'Utility report '!AE31</f>
        <v>45</v>
      </c>
      <c r="I31" s="296">
        <f>'Water-Meter'!E31</f>
        <v>53</v>
      </c>
      <c r="J31" s="154">
        <f>'Lpg (2)'!B35</f>
        <v>85</v>
      </c>
      <c r="K31" s="154">
        <f>'Lpg (2)'!C35</f>
        <v>85</v>
      </c>
      <c r="L31" s="154">
        <f>'Lpg (2)'!D35</f>
        <v>10</v>
      </c>
      <c r="M31" s="449">
        <f>'Lpg (2)'!G35</f>
        <v>66.352000000007692</v>
      </c>
      <c r="N31" s="151">
        <f t="shared" si="2"/>
        <v>3767.3999999999996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44313</v>
      </c>
      <c r="B32" s="6">
        <f>'Summery Report'!E31</f>
        <v>0</v>
      </c>
      <c r="C32" s="6">
        <f>Gen!U37</f>
        <v>0.40857665568971829</v>
      </c>
      <c r="D32" s="152">
        <f>Gen!T37</f>
        <v>2733</v>
      </c>
      <c r="E32" s="152">
        <f>Gen!AK37</f>
        <v>0</v>
      </c>
      <c r="F32" s="152">
        <f>Gen!AS37</f>
        <v>0</v>
      </c>
      <c r="G32" s="153">
        <f>'Utility report '!AC32</f>
        <v>35</v>
      </c>
      <c r="H32" s="153">
        <f>'Utility report '!AE32</f>
        <v>40</v>
      </c>
      <c r="I32" s="296">
        <f>'Water-Meter'!E32</f>
        <v>43</v>
      </c>
      <c r="J32" s="154">
        <f>'Lpg (2)'!B36</f>
        <v>85</v>
      </c>
      <c r="K32" s="154">
        <f>'Lpg (2)'!C36</f>
        <v>85</v>
      </c>
      <c r="L32" s="154">
        <f>'Lpg (2)'!D36</f>
        <v>7</v>
      </c>
      <c r="M32" s="449">
        <f>'Lpg (2)'!G36</f>
        <v>68.508000000030734</v>
      </c>
      <c r="N32" s="151">
        <f t="shared" si="2"/>
        <v>3826.2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44314</v>
      </c>
      <c r="B33" s="6">
        <f>'Summery Report'!E32</f>
        <v>0</v>
      </c>
      <c r="C33" s="6">
        <f>Gen!U38</f>
        <v>0.42960000000000004</v>
      </c>
      <c r="D33" s="152">
        <f>Gen!T38</f>
        <v>2725</v>
      </c>
      <c r="E33" s="152">
        <f>Gen!AK38</f>
        <v>0</v>
      </c>
      <c r="F33" s="152">
        <f>Gen!AS38</f>
        <v>0</v>
      </c>
      <c r="G33" s="153">
        <f>'Utility report '!AC33</f>
        <v>88</v>
      </c>
      <c r="H33" s="153">
        <f>'Utility report '!AE33</f>
        <v>74</v>
      </c>
      <c r="I33" s="296">
        <f>'Water-Meter'!E33</f>
        <v>61</v>
      </c>
      <c r="J33" s="154">
        <f>'Lpg (2)'!B37</f>
        <v>85</v>
      </c>
      <c r="K33" s="154">
        <f>'Lpg (2)'!C37</f>
        <v>85</v>
      </c>
      <c r="L33" s="154">
        <f>'Lpg (2)'!D37</f>
        <v>5</v>
      </c>
      <c r="M33" s="449">
        <f>'Lpg (2)'!G37</f>
        <v>66.484000000002567</v>
      </c>
      <c r="N33" s="151">
        <f t="shared" si="2"/>
        <v>3814.9999999999995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44315</v>
      </c>
      <c r="B34" s="6">
        <f>'Summery Report'!E33</f>
        <v>0</v>
      </c>
      <c r="C34" s="6">
        <f>Gen!U39</f>
        <v>0.39306078919303239</v>
      </c>
      <c r="D34" s="152">
        <f>Gen!T39</f>
        <v>2813</v>
      </c>
      <c r="E34" s="152">
        <f>Gen!AK39</f>
        <v>0</v>
      </c>
      <c r="F34" s="152">
        <f>Gen!AS39</f>
        <v>0</v>
      </c>
      <c r="G34" s="153">
        <f>'Utility report '!AC34</f>
        <v>30</v>
      </c>
      <c r="H34" s="153">
        <f>'Utility report '!AE34</f>
        <v>42</v>
      </c>
      <c r="I34" s="296">
        <f>'Water-Meter'!E34</f>
        <v>53</v>
      </c>
      <c r="J34" s="154">
        <f>'Lpg (2)'!B38</f>
        <v>85</v>
      </c>
      <c r="K34" s="154">
        <f>'Lpg (2)'!C38</f>
        <v>85</v>
      </c>
      <c r="L34" s="154">
        <f>'Lpg (2)'!D38</f>
        <v>3</v>
      </c>
      <c r="M34" s="449">
        <f>'Lpg (2)'!G38</f>
        <v>62.347999999992325</v>
      </c>
      <c r="N34" s="151">
        <f t="shared" si="2"/>
        <v>3938.2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44316</v>
      </c>
      <c r="B35" s="6">
        <f>'Summery Report'!E34</f>
        <v>0</v>
      </c>
      <c r="C35" s="6">
        <f>Gen!U40</f>
        <v>0.40999267667521055</v>
      </c>
      <c r="D35" s="152">
        <f>Gen!T40</f>
        <v>2731</v>
      </c>
      <c r="E35" s="152">
        <f>Gen!AK40</f>
        <v>0</v>
      </c>
      <c r="F35" s="152">
        <f>Gen!AS40</f>
        <v>0</v>
      </c>
      <c r="G35" s="153">
        <f>'Utility report '!AC35</f>
        <v>35</v>
      </c>
      <c r="H35" s="153">
        <f>'Utility report '!AE35</f>
        <v>44</v>
      </c>
      <c r="I35" s="296">
        <f>'Water-Meter'!E35</f>
        <v>58</v>
      </c>
      <c r="J35" s="154">
        <f>'Lpg (2)'!B39</f>
        <v>85</v>
      </c>
      <c r="K35" s="154">
        <f>'Lpg (2)'!C39</f>
        <v>85</v>
      </c>
      <c r="L35" s="154">
        <f>'Lpg (2)'!D39</f>
        <v>2</v>
      </c>
      <c r="M35" s="449">
        <f>'Lpg (2)'!G39</f>
        <v>62.656000000023056</v>
      </c>
      <c r="N35" s="151">
        <f t="shared" si="2"/>
        <v>3823.3999999999996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-977</v>
      </c>
      <c r="H36" s="153">
        <f>'Utility report '!AE36</f>
        <v>-215686</v>
      </c>
      <c r="I36" s="296" t="str">
        <f>'Water-Meter'!E36</f>
        <v>0</v>
      </c>
      <c r="J36" s="154">
        <f>'Lpg (2)'!B40</f>
        <v>85</v>
      </c>
      <c r="K36" s="154">
        <f>'Lpg (2)'!C40</f>
        <v>85</v>
      </c>
      <c r="L36" s="154">
        <f>'Lpg (2)'!D40</f>
        <v>1</v>
      </c>
      <c r="M36" s="449">
        <f>'Lpg (2)'!G40</f>
        <v>57.023999999964147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-335483.76400000002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155.84</v>
      </c>
      <c r="C39" s="453">
        <f>SUM(C7:C35)</f>
        <v>11.749950391618498</v>
      </c>
      <c r="D39" s="453">
        <f>SUM(D7:D35)</f>
        <v>84634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-47800</v>
      </c>
      <c r="H39" s="453">
        <f t="shared" si="3"/>
        <v>1604</v>
      </c>
      <c r="I39" s="453">
        <f t="shared" si="3"/>
        <v>2019</v>
      </c>
      <c r="J39" s="453">
        <f t="shared" si="3"/>
        <v>1870</v>
      </c>
      <c r="K39" s="453">
        <f t="shared" si="3"/>
        <v>1883</v>
      </c>
      <c r="L39" s="453">
        <f t="shared" si="3"/>
        <v>1371</v>
      </c>
      <c r="M39" s="453">
        <f t="shared" si="3"/>
        <v>1949.8600000000381</v>
      </c>
      <c r="N39" s="453">
        <f t="shared" si="3"/>
        <v>118487.59999999998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0"/>
    </row>
    <row r="43" spans="1:19">
      <c r="I43" s="520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M1" activePane="topRight" state="frozen"/>
      <selection pane="topRight" activeCell="AD36" sqref="AD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80">
        <f>A6</f>
        <v>44287</v>
      </c>
      <c r="B1" s="881"/>
      <c r="C1" s="881"/>
      <c r="D1" s="881"/>
      <c r="E1" s="881"/>
      <c r="F1" s="881"/>
      <c r="G1" s="881"/>
      <c r="H1" s="881"/>
      <c r="I1" s="881"/>
      <c r="J1" s="881"/>
      <c r="K1" s="881"/>
      <c r="L1" s="881"/>
      <c r="M1" s="881"/>
      <c r="N1" s="881"/>
      <c r="O1" s="881"/>
      <c r="P1" s="881"/>
      <c r="Q1" s="881"/>
      <c r="R1" s="881"/>
      <c r="S1" s="881"/>
      <c r="T1" s="881"/>
      <c r="U1" s="881"/>
      <c r="V1" s="881"/>
      <c r="W1" s="881"/>
      <c r="X1" s="881"/>
      <c r="Y1" s="881"/>
      <c r="Z1" s="881"/>
      <c r="AA1" s="881"/>
      <c r="AB1" s="881"/>
      <c r="AC1" s="881"/>
      <c r="AD1" s="881"/>
      <c r="AE1" s="881"/>
      <c r="AF1" s="881"/>
      <c r="AG1" s="881"/>
      <c r="AH1" s="881"/>
      <c r="AI1" s="881"/>
      <c r="AJ1" s="881"/>
      <c r="AK1" s="882"/>
    </row>
    <row r="2" spans="1:37" ht="61.5" customHeight="1" thickBot="1">
      <c r="A2" s="137" t="s">
        <v>98</v>
      </c>
      <c r="B2" s="883" t="s">
        <v>99</v>
      </c>
      <c r="C2" s="884"/>
      <c r="D2" s="885"/>
      <c r="E2" s="138"/>
      <c r="F2" s="138"/>
      <c r="G2" s="138"/>
      <c r="H2" s="135" t="s">
        <v>124</v>
      </c>
      <c r="I2" s="742" t="s">
        <v>100</v>
      </c>
      <c r="J2" s="744" t="s">
        <v>122</v>
      </c>
      <c r="K2" s="745"/>
      <c r="L2" s="746" t="s">
        <v>123</v>
      </c>
      <c r="M2" s="619" t="s">
        <v>101</v>
      </c>
      <c r="N2" s="284" t="s">
        <v>102</v>
      </c>
      <c r="O2" s="873" t="s">
        <v>103</v>
      </c>
      <c r="P2" s="873"/>
      <c r="Q2" s="873"/>
      <c r="R2" s="873"/>
      <c r="S2" s="873"/>
      <c r="T2" s="873"/>
      <c r="U2" s="873"/>
      <c r="V2" s="873"/>
      <c r="W2" s="873"/>
      <c r="X2" s="873"/>
      <c r="Y2" s="873"/>
      <c r="Z2" s="873"/>
      <c r="AA2" s="284" t="s">
        <v>104</v>
      </c>
      <c r="AB2" s="883" t="s">
        <v>164</v>
      </c>
      <c r="AC2" s="885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86">
        <f>SUM(D3/B3)</f>
        <v>1.3262195121951219</v>
      </c>
      <c r="G3" s="887"/>
      <c r="H3" s="127">
        <f>Gen!C11</f>
        <v>34515.97</v>
      </c>
      <c r="I3" s="620"/>
      <c r="J3" s="747"/>
      <c r="K3" s="748" t="s">
        <v>165</v>
      </c>
      <c r="L3" s="747"/>
      <c r="M3" s="622" t="s">
        <v>111</v>
      </c>
      <c r="N3" s="747"/>
      <c r="O3" s="873" t="s">
        <v>112</v>
      </c>
      <c r="P3" s="873"/>
      <c r="Q3" s="873"/>
      <c r="R3" s="873"/>
      <c r="S3" s="874" t="s">
        <v>113</v>
      </c>
      <c r="T3" s="875"/>
      <c r="U3" s="875"/>
      <c r="V3" s="876"/>
      <c r="W3" s="877" t="s">
        <v>114</v>
      </c>
      <c r="X3" s="878"/>
      <c r="Y3" s="878"/>
      <c r="Z3" s="879"/>
      <c r="AA3" s="286" t="s">
        <v>115</v>
      </c>
      <c r="AB3" s="126" t="s">
        <v>111</v>
      </c>
      <c r="AD3" s="126">
        <v>0</v>
      </c>
      <c r="AE3" s="126" t="s">
        <v>116</v>
      </c>
      <c r="AF3" s="736" t="s">
        <v>117</v>
      </c>
      <c r="AG3" s="737" t="s">
        <v>117</v>
      </c>
      <c r="AH3" s="400" t="s">
        <v>117</v>
      </c>
      <c r="AI3" s="134" t="s">
        <v>118</v>
      </c>
      <c r="AJ3" s="738" t="s">
        <v>115</v>
      </c>
      <c r="AK3" s="739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3"/>
      <c r="J4" s="757"/>
      <c r="K4" s="289"/>
      <c r="L4" s="746"/>
      <c r="M4" s="749"/>
      <c r="N4" s="284"/>
      <c r="O4" s="750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0">
        <v>2000</v>
      </c>
      <c r="AG4" s="741">
        <v>1000</v>
      </c>
      <c r="AH4" s="619">
        <v>1000</v>
      </c>
      <c r="AI4" s="126">
        <f>SUM([2]Sheet1!$AA$36)</f>
        <v>950</v>
      </c>
      <c r="AJ4" s="621" t="s">
        <v>10</v>
      </c>
      <c r="AK4" s="126" t="s">
        <v>119</v>
      </c>
    </row>
    <row r="5" spans="1:37" ht="18.75">
      <c r="A5" s="752"/>
      <c r="B5" s="760"/>
      <c r="C5" s="761"/>
      <c r="D5" s="762"/>
      <c r="E5" s="762"/>
      <c r="F5" s="762"/>
      <c r="G5" s="762"/>
      <c r="H5" s="763"/>
      <c r="I5" s="763"/>
      <c r="J5" s="696"/>
      <c r="K5" s="714"/>
      <c r="L5" s="128"/>
      <c r="M5" s="470"/>
      <c r="N5" s="751"/>
      <c r="O5" s="695"/>
      <c r="P5" s="713">
        <v>19032</v>
      </c>
      <c r="Q5" s="724"/>
      <c r="R5" s="714"/>
      <c r="S5" s="695"/>
      <c r="T5" s="702">
        <v>17812</v>
      </c>
      <c r="U5" s="695"/>
      <c r="V5" s="714"/>
      <c r="W5" s="695"/>
      <c r="X5" s="707"/>
      <c r="Y5" s="695"/>
      <c r="Z5" s="700"/>
      <c r="AA5" s="710"/>
      <c r="AB5" s="709">
        <v>48777</v>
      </c>
      <c r="AC5" s="695"/>
      <c r="AD5" s="692">
        <v>214010</v>
      </c>
      <c r="AE5" s="697"/>
      <c r="AF5" s="717">
        <v>0.85</v>
      </c>
      <c r="AG5" s="718">
        <v>0.85</v>
      </c>
      <c r="AH5" s="731">
        <v>0.85</v>
      </c>
      <c r="AI5" s="721"/>
      <c r="AJ5" s="710"/>
      <c r="AK5" s="710"/>
    </row>
    <row r="6" spans="1:37" ht="18.75">
      <c r="A6" s="753">
        <f>Gen!A11</f>
        <v>44287</v>
      </c>
      <c r="B6" s="425">
        <f>'Summery Report'!E5</f>
        <v>1.3</v>
      </c>
      <c r="C6" s="758">
        <f>Gen!B11</f>
        <v>0.156</v>
      </c>
      <c r="D6" s="720">
        <f>'Summery Report'!E5</f>
        <v>1.3</v>
      </c>
      <c r="E6" s="720">
        <f>SUM(F3)</f>
        <v>1.3262195121951219</v>
      </c>
      <c r="F6" s="438">
        <f>SUM(J6*E6)/D6</f>
        <v>3239.0361163227017</v>
      </c>
      <c r="G6" s="438">
        <f t="shared" ref="G6:G36" si="0">SUM(L6*E6)/D6</f>
        <v>3239.0361163227017</v>
      </c>
      <c r="H6" s="720">
        <f>Gen!C11</f>
        <v>34515.97</v>
      </c>
      <c r="I6" s="720">
        <f>Gen!E11</f>
        <v>0</v>
      </c>
      <c r="J6" s="759">
        <f>Gen!T11</f>
        <v>3175</v>
      </c>
      <c r="K6" s="764">
        <f>Gen!AK11</f>
        <v>0</v>
      </c>
      <c r="L6" s="755">
        <f t="shared" ref="L6:L13" si="1">SUM(J6:K6)</f>
        <v>3175</v>
      </c>
      <c r="M6" s="448">
        <f>'Water-Meter'!K46</f>
        <v>479.98746560819797</v>
      </c>
      <c r="N6" s="715">
        <f>'Water-Meter'!E6</f>
        <v>89</v>
      </c>
      <c r="O6" s="706"/>
      <c r="P6" s="713">
        <v>19032</v>
      </c>
      <c r="Q6" s="725">
        <f t="shared" ref="Q6:Q36" si="2">SUM(P6-P5)</f>
        <v>0</v>
      </c>
      <c r="R6" s="426">
        <f>SUM(Q6*O6)</f>
        <v>0</v>
      </c>
      <c r="S6" s="701">
        <v>6.2</v>
      </c>
      <c r="T6" s="702">
        <v>17812</v>
      </c>
      <c r="U6" s="725">
        <f>T6-T5</f>
        <v>0</v>
      </c>
      <c r="V6" s="427" t="s">
        <v>246</v>
      </c>
      <c r="W6" s="706">
        <v>1.8</v>
      </c>
      <c r="X6" s="707">
        <v>27671</v>
      </c>
      <c r="Y6" s="725">
        <f>X6-X5</f>
        <v>27671</v>
      </c>
      <c r="Z6" s="708">
        <f t="shared" ref="Z6:AA6" si="3">Y6-Y5</f>
        <v>27671</v>
      </c>
      <c r="AA6" s="711">
        <f t="shared" si="3"/>
        <v>27671</v>
      </c>
      <c r="AB6" s="709">
        <v>48777</v>
      </c>
      <c r="AC6" s="690">
        <f>AB6-AB5</f>
        <v>0</v>
      </c>
      <c r="AD6" s="692">
        <v>214082</v>
      </c>
      <c r="AE6" s="178">
        <f>AD6-AD5</f>
        <v>72</v>
      </c>
      <c r="AF6" s="719">
        <f>'Lpg (2)'!B10*2000/85</f>
        <v>0</v>
      </c>
      <c r="AG6" s="266">
        <f>'Lpg (2)'!C10*1000/85</f>
        <v>176.47058823529412</v>
      </c>
      <c r="AH6" s="732">
        <f>'Lpg (2)'!D10*1000/85</f>
        <v>1000</v>
      </c>
      <c r="AI6" s="722">
        <f>SUM(AF6*2000)+(AG6*1000)+(AH6*1000)</f>
        <v>1176470.5882352942</v>
      </c>
      <c r="AJ6" s="428">
        <f t="shared" ref="AJ6:AJ36" si="4">SUM(AI5-AI6)</f>
        <v>-1176470.5882352942</v>
      </c>
      <c r="AK6" s="132"/>
    </row>
    <row r="7" spans="1:37" ht="18.75">
      <c r="A7" s="753">
        <f>Gen!A12</f>
        <v>44288</v>
      </c>
      <c r="B7" s="425">
        <f>'Summery Report'!E6</f>
        <v>2.6</v>
      </c>
      <c r="C7" s="758">
        <f>Gen!B12</f>
        <v>0.16900000000000001</v>
      </c>
      <c r="D7" s="720">
        <f>'Summery Report'!E6</f>
        <v>2.6</v>
      </c>
      <c r="E7" s="720">
        <f>SUM(E6)</f>
        <v>1.3262195121951219</v>
      </c>
      <c r="F7" s="438">
        <f>SUM(J7*E7)/D7</f>
        <v>1625.6390712945588</v>
      </c>
      <c r="G7" s="438">
        <f t="shared" si="0"/>
        <v>1625.6390712945588</v>
      </c>
      <c r="H7" s="720">
        <f>Gen!C12</f>
        <v>33044.090000000004</v>
      </c>
      <c r="I7" s="720">
        <f>Gen!E12</f>
        <v>0</v>
      </c>
      <c r="J7" s="759">
        <f>Gen!T12</f>
        <v>3187</v>
      </c>
      <c r="K7" s="764">
        <f>Gen!AK12</f>
        <v>0</v>
      </c>
      <c r="L7" s="755">
        <f t="shared" si="1"/>
        <v>3187</v>
      </c>
      <c r="M7" s="448">
        <f>'Water-Meter'!K47</f>
        <v>402.50327380604955</v>
      </c>
      <c r="N7" s="715">
        <f>'Water-Meter'!E7</f>
        <v>117</v>
      </c>
      <c r="O7" s="706"/>
      <c r="P7" s="713">
        <v>19032</v>
      </c>
      <c r="Q7" s="725">
        <f t="shared" si="2"/>
        <v>0</v>
      </c>
      <c r="R7" s="426">
        <f t="shared" ref="R7:R36" si="5">SUM(Q7*O7)</f>
        <v>0</v>
      </c>
      <c r="S7" s="701">
        <v>6.2</v>
      </c>
      <c r="T7" s="702">
        <v>17812</v>
      </c>
      <c r="U7" s="725">
        <f t="shared" ref="U7:U36" si="6">T7-T6</f>
        <v>0</v>
      </c>
      <c r="V7" s="427">
        <f t="shared" ref="V7:V9" si="7">SUM(U7*S7)</f>
        <v>0</v>
      </c>
      <c r="W7" s="706">
        <v>1.8</v>
      </c>
      <c r="X7" s="707">
        <v>27695</v>
      </c>
      <c r="Y7" s="725">
        <f t="shared" ref="Y7:Y36" si="8">X7-X6</f>
        <v>24</v>
      </c>
      <c r="Z7" s="705">
        <f t="shared" ref="Z7:Z36" si="9">SUM(Y7*W7)</f>
        <v>43.2</v>
      </c>
      <c r="AA7" s="712">
        <f t="shared" ref="AA7:AA36" si="10">SUM(Z7*X9)</f>
        <v>1198497.6000000001</v>
      </c>
      <c r="AB7" s="709">
        <v>48777</v>
      </c>
      <c r="AC7" s="690">
        <f t="shared" ref="AC7:AC27" si="11">AB7-AB6</f>
        <v>0</v>
      </c>
      <c r="AD7" s="692">
        <v>214163</v>
      </c>
      <c r="AE7" s="178">
        <f>AD7-AD6</f>
        <v>81</v>
      </c>
      <c r="AF7" s="719">
        <f>'Lpg (2)'!B11*2000/85</f>
        <v>0</v>
      </c>
      <c r="AG7" s="266">
        <f>'Lpg (2)'!C11*1000/85</f>
        <v>117.64705882352941</v>
      </c>
      <c r="AH7" s="732">
        <f>'Lpg (2)'!D11*1000/85</f>
        <v>1000</v>
      </c>
      <c r="AI7" s="722">
        <f t="shared" ref="AI7:AI14" si="12">SUM(AF6*2000)+(AG7*1000)+(AH7*1000)</f>
        <v>1117647.0588235294</v>
      </c>
      <c r="AJ7" s="428">
        <f t="shared" si="4"/>
        <v>58823.529411764815</v>
      </c>
      <c r="AK7" s="132"/>
    </row>
    <row r="8" spans="1:37" ht="18.75">
      <c r="A8" s="753">
        <f>Gen!A13</f>
        <v>44289</v>
      </c>
      <c r="B8" s="425">
        <f>'Summery Report'!E7</f>
        <v>2.6</v>
      </c>
      <c r="C8" s="758">
        <f>Gen!B13</f>
        <v>0.23</v>
      </c>
      <c r="D8" s="720">
        <f>'Summery Report'!E7</f>
        <v>2.6</v>
      </c>
      <c r="E8" s="720">
        <f t="shared" ref="E8:E36" si="13">SUM(E7)</f>
        <v>1.3262195121951219</v>
      </c>
      <c r="F8" s="438">
        <f t="shared" ref="F8:F36" si="14">SUM(J8*E8)/D8</f>
        <v>1808.7593808630393</v>
      </c>
      <c r="G8" s="438">
        <f t="shared" si="0"/>
        <v>1808.7593808630393</v>
      </c>
      <c r="H8" s="720">
        <f>Gen!C13</f>
        <v>31510.360000000004</v>
      </c>
      <c r="I8" s="720">
        <f>Gen!E13</f>
        <v>0</v>
      </c>
      <c r="J8" s="759">
        <f>Gen!T13</f>
        <v>3546</v>
      </c>
      <c r="K8" s="764">
        <f>Gen!AK13</f>
        <v>0</v>
      </c>
      <c r="L8" s="755">
        <f t="shared" si="1"/>
        <v>3546</v>
      </c>
      <c r="M8" s="448">
        <f>'Water-Meter'!K48</f>
        <v>446.34286246077113</v>
      </c>
      <c r="N8" s="715">
        <f>'Water-Meter'!E8</f>
        <v>167</v>
      </c>
      <c r="O8" s="706"/>
      <c r="P8" s="713">
        <v>19032</v>
      </c>
      <c r="Q8" s="725">
        <f t="shared" si="2"/>
        <v>0</v>
      </c>
      <c r="R8" s="426">
        <f t="shared" si="5"/>
        <v>0</v>
      </c>
      <c r="S8" s="701">
        <v>6.2</v>
      </c>
      <c r="T8" s="702">
        <v>17812</v>
      </c>
      <c r="U8" s="725">
        <f t="shared" si="6"/>
        <v>0</v>
      </c>
      <c r="V8" s="427">
        <f t="shared" si="7"/>
        <v>0</v>
      </c>
      <c r="W8" s="706">
        <v>1.8</v>
      </c>
      <c r="X8" s="707">
        <v>27719</v>
      </c>
      <c r="Y8" s="725">
        <f t="shared" si="8"/>
        <v>24</v>
      </c>
      <c r="Z8" s="705">
        <f t="shared" si="9"/>
        <v>43.2</v>
      </c>
      <c r="AA8" s="712">
        <f t="shared" si="10"/>
        <v>1198497.6000000001</v>
      </c>
      <c r="AB8" s="709">
        <v>48777</v>
      </c>
      <c r="AC8" s="690">
        <f t="shared" si="11"/>
        <v>0</v>
      </c>
      <c r="AD8" s="692">
        <v>214237</v>
      </c>
      <c r="AE8" s="178">
        <f t="shared" ref="AE8:AE37" si="15">AD8-AD7</f>
        <v>74</v>
      </c>
      <c r="AF8" s="719">
        <f>'Lpg (2)'!B12*2000/85</f>
        <v>0</v>
      </c>
      <c r="AG8" s="266">
        <f>'Lpg (2)'!C12*1000/85</f>
        <v>35.294117647058826</v>
      </c>
      <c r="AH8" s="732">
        <f>'Lpg (2)'!D12*1000/85</f>
        <v>1000</v>
      </c>
      <c r="AI8" s="722">
        <f t="shared" si="12"/>
        <v>1035294.1176470588</v>
      </c>
      <c r="AJ8" s="428">
        <f t="shared" si="4"/>
        <v>82352.941176470602</v>
      </c>
      <c r="AK8" s="132"/>
    </row>
    <row r="9" spans="1:37" ht="18.75">
      <c r="A9" s="753">
        <f>Gen!A14</f>
        <v>44290</v>
      </c>
      <c r="B9" s="425">
        <f>'Summery Report'!E8</f>
        <v>5.19</v>
      </c>
      <c r="C9" s="758">
        <f>Gen!B14</f>
        <v>0.247</v>
      </c>
      <c r="D9" s="720">
        <f>'Summery Report'!E8</f>
        <v>5.19</v>
      </c>
      <c r="E9" s="720">
        <f t="shared" si="13"/>
        <v>1.3262195121951219</v>
      </c>
      <c r="F9" s="438">
        <f t="shared" si="14"/>
        <v>850.4159030029607</v>
      </c>
      <c r="G9" s="438">
        <f t="shared" si="0"/>
        <v>850.4159030029607</v>
      </c>
      <c r="H9" s="720">
        <f>Gen!C14</f>
        <v>29944.600000000006</v>
      </c>
      <c r="I9" s="720">
        <f>Gen!E14</f>
        <v>0</v>
      </c>
      <c r="J9" s="759">
        <f>Gen!T14</f>
        <v>3328</v>
      </c>
      <c r="K9" s="764">
        <f>Gen!AK14</f>
        <v>0</v>
      </c>
      <c r="L9" s="755">
        <f t="shared" si="1"/>
        <v>3328</v>
      </c>
      <c r="M9" s="448">
        <f>'Water-Meter'!K49</f>
        <v>340.52161447606596</v>
      </c>
      <c r="N9" s="715">
        <f>'Water-Meter'!E9</f>
        <v>70</v>
      </c>
      <c r="O9" s="706"/>
      <c r="P9" s="713">
        <v>19032</v>
      </c>
      <c r="Q9" s="725">
        <f t="shared" si="2"/>
        <v>0</v>
      </c>
      <c r="R9" s="426">
        <f t="shared" si="5"/>
        <v>0</v>
      </c>
      <c r="S9" s="701">
        <v>6.2</v>
      </c>
      <c r="T9" s="702">
        <v>17812</v>
      </c>
      <c r="U9" s="725">
        <f t="shared" si="6"/>
        <v>0</v>
      </c>
      <c r="V9" s="427">
        <f t="shared" si="7"/>
        <v>0</v>
      </c>
      <c r="W9" s="706">
        <v>1.8</v>
      </c>
      <c r="X9" s="707">
        <v>27743</v>
      </c>
      <c r="Y9" s="725">
        <f t="shared" si="8"/>
        <v>24</v>
      </c>
      <c r="Z9" s="705">
        <f>SUM(Y9*W11)</f>
        <v>43.2</v>
      </c>
      <c r="AA9" s="712">
        <f t="shared" si="10"/>
        <v>1198497.6000000001</v>
      </c>
      <c r="AB9" s="709">
        <v>48777</v>
      </c>
      <c r="AC9" s="690">
        <f t="shared" si="11"/>
        <v>0</v>
      </c>
      <c r="AD9" s="692">
        <v>214314</v>
      </c>
      <c r="AE9" s="178">
        <f t="shared" si="15"/>
        <v>77</v>
      </c>
      <c r="AF9" s="719">
        <f>'Lpg (2)'!B13*2000/85</f>
        <v>0</v>
      </c>
      <c r="AG9" s="266">
        <f>'Lpg (2)'!C13*1000/85</f>
        <v>0</v>
      </c>
      <c r="AH9" s="732">
        <f>'Lpg (2)'!D13*1000/85</f>
        <v>976.47058823529414</v>
      </c>
      <c r="AI9" s="722">
        <f t="shared" si="12"/>
        <v>976470.5882352941</v>
      </c>
      <c r="AJ9" s="428">
        <f t="shared" si="4"/>
        <v>58823.529411764699</v>
      </c>
      <c r="AK9" s="132"/>
    </row>
    <row r="10" spans="1:37" ht="18.75">
      <c r="A10" s="753">
        <f>Gen!A15</f>
        <v>44291</v>
      </c>
      <c r="B10" s="425">
        <f>'Summery Report'!E9</f>
        <v>7.79</v>
      </c>
      <c r="C10" s="758">
        <f>Gen!B15</f>
        <v>0.13</v>
      </c>
      <c r="D10" s="720">
        <f>'Summery Report'!E9</f>
        <v>7.79</v>
      </c>
      <c r="E10" s="720">
        <f t="shared" si="13"/>
        <v>1.3262195121951219</v>
      </c>
      <c r="F10" s="438">
        <f t="shared" si="14"/>
        <v>553.30082344469133</v>
      </c>
      <c r="G10" s="438">
        <f t="shared" si="0"/>
        <v>553.30082344469133</v>
      </c>
      <c r="H10" s="720">
        <f>Gen!C15</f>
        <v>28581.490000000005</v>
      </c>
      <c r="I10" s="720">
        <f>Gen!E15</f>
        <v>0</v>
      </c>
      <c r="J10" s="759">
        <f>Gen!T15</f>
        <v>3250</v>
      </c>
      <c r="K10" s="764">
        <f>Gen!AK15</f>
        <v>0</v>
      </c>
      <c r="L10" s="755">
        <f t="shared" si="1"/>
        <v>3250</v>
      </c>
      <c r="M10" s="448">
        <f>'Water-Meter'!K50</f>
        <v>422.68192012456143</v>
      </c>
      <c r="N10" s="715">
        <f>'Water-Meter'!E10</f>
        <v>59</v>
      </c>
      <c r="O10" s="706"/>
      <c r="P10" s="713">
        <v>19032</v>
      </c>
      <c r="Q10" s="725">
        <f t="shared" si="2"/>
        <v>0</v>
      </c>
      <c r="R10" s="426">
        <f t="shared" si="5"/>
        <v>0</v>
      </c>
      <c r="S10" s="701">
        <v>6.2</v>
      </c>
      <c r="T10" s="702">
        <v>17828</v>
      </c>
      <c r="U10" s="725">
        <f t="shared" si="6"/>
        <v>16</v>
      </c>
      <c r="V10" s="427">
        <f t="shared" ref="V10:V16" si="16">SUM(U10*S10)</f>
        <v>99.2</v>
      </c>
      <c r="W10" s="706">
        <v>1.8</v>
      </c>
      <c r="X10" s="707">
        <v>27743</v>
      </c>
      <c r="Y10" s="725">
        <f t="shared" si="8"/>
        <v>0</v>
      </c>
      <c r="Z10" s="705">
        <f t="shared" si="9"/>
        <v>0</v>
      </c>
      <c r="AA10" s="712">
        <f t="shared" si="10"/>
        <v>0</v>
      </c>
      <c r="AB10" s="709">
        <v>48777</v>
      </c>
      <c r="AC10" s="690">
        <f t="shared" si="11"/>
        <v>0</v>
      </c>
      <c r="AD10" s="692">
        <v>214386</v>
      </c>
      <c r="AE10" s="178">
        <f t="shared" si="15"/>
        <v>72</v>
      </c>
      <c r="AF10" s="719">
        <f>'Lpg (2)'!B14*2000/85</f>
        <v>0</v>
      </c>
      <c r="AG10" s="266">
        <f>'Lpg (2)'!C14*1000/85</f>
        <v>0</v>
      </c>
      <c r="AH10" s="732">
        <f>'Lpg (2)'!D14*1000/85</f>
        <v>964.70588235294122</v>
      </c>
      <c r="AI10" s="722">
        <f t="shared" si="12"/>
        <v>964705.8823529412</v>
      </c>
      <c r="AJ10" s="428">
        <f t="shared" si="4"/>
        <v>11764.705882352893</v>
      </c>
      <c r="AK10" s="132"/>
    </row>
    <row r="11" spans="1:37" ht="18.75">
      <c r="A11" s="753">
        <f>Gen!A16</f>
        <v>44292</v>
      </c>
      <c r="B11" s="425">
        <f>'Summery Report'!E10</f>
        <v>5.19</v>
      </c>
      <c r="C11" s="758">
        <f>Gen!B16</f>
        <v>9.0999999999999998E-2</v>
      </c>
      <c r="D11" s="720">
        <f>'Summery Report'!E10</f>
        <v>5.19</v>
      </c>
      <c r="E11" s="720">
        <f t="shared" si="13"/>
        <v>1.3262195121951219</v>
      </c>
      <c r="F11" s="438">
        <f t="shared" si="14"/>
        <v>784.48822783025503</v>
      </c>
      <c r="G11" s="438">
        <f t="shared" si="0"/>
        <v>784.48822783025503</v>
      </c>
      <c r="H11" s="720">
        <f>Gen!C16</f>
        <v>27031.500000000004</v>
      </c>
      <c r="I11" s="720">
        <f>Gen!E16</f>
        <v>15000</v>
      </c>
      <c r="J11" s="759">
        <f>Gen!T16</f>
        <v>3070</v>
      </c>
      <c r="K11" s="764">
        <f>Gen!AK16</f>
        <v>0</v>
      </c>
      <c r="L11" s="755">
        <f t="shared" si="1"/>
        <v>3070</v>
      </c>
      <c r="M11" s="448">
        <f>'Water-Meter'!K51</f>
        <v>393.46238201225788</v>
      </c>
      <c r="N11" s="715">
        <f>'Water-Meter'!E11</f>
        <v>210</v>
      </c>
      <c r="O11" s="706"/>
      <c r="P11" s="713">
        <v>19032</v>
      </c>
      <c r="Q11" s="725">
        <f t="shared" si="2"/>
        <v>0</v>
      </c>
      <c r="R11" s="426">
        <f t="shared" si="5"/>
        <v>0</v>
      </c>
      <c r="S11" s="701">
        <v>6.2</v>
      </c>
      <c r="T11" s="702">
        <v>17828</v>
      </c>
      <c r="U11" s="725">
        <f t="shared" si="6"/>
        <v>0</v>
      </c>
      <c r="V11" s="427">
        <f t="shared" si="16"/>
        <v>0</v>
      </c>
      <c r="W11" s="706">
        <v>1.8</v>
      </c>
      <c r="X11" s="707">
        <v>27743</v>
      </c>
      <c r="Y11" s="725">
        <f t="shared" si="8"/>
        <v>0</v>
      </c>
      <c r="Z11" s="705" t="e">
        <f>SUM(Y11*#REF!)</f>
        <v>#REF!</v>
      </c>
      <c r="AA11" s="712" t="e">
        <f t="shared" si="10"/>
        <v>#REF!</v>
      </c>
      <c r="AB11" s="709">
        <v>48777</v>
      </c>
      <c r="AC11" s="690">
        <f t="shared" si="11"/>
        <v>0</v>
      </c>
      <c r="AD11" s="692">
        <v>214468</v>
      </c>
      <c r="AE11" s="178">
        <f t="shared" si="15"/>
        <v>82</v>
      </c>
      <c r="AF11" s="719">
        <f>'Lpg (2)'!B15*2000/85</f>
        <v>0</v>
      </c>
      <c r="AG11" s="266">
        <f>'Lpg (2)'!C15*1000/85</f>
        <v>0</v>
      </c>
      <c r="AH11" s="732">
        <f>'Lpg (2)'!D15*1000/85</f>
        <v>952.94117647058829</v>
      </c>
      <c r="AI11" s="722">
        <f t="shared" si="12"/>
        <v>952941.17647058831</v>
      </c>
      <c r="AJ11" s="428">
        <f t="shared" si="4"/>
        <v>11764.705882352893</v>
      </c>
      <c r="AK11" s="132"/>
    </row>
    <row r="12" spans="1:37" ht="18.75">
      <c r="A12" s="753">
        <f>Gen!A17</f>
        <v>44293</v>
      </c>
      <c r="B12" s="425">
        <f>'Summery Report'!E11</f>
        <v>11.69</v>
      </c>
      <c r="C12" s="758">
        <f>Gen!B17</f>
        <v>6.5000000000000002E-2</v>
      </c>
      <c r="D12" s="720">
        <f>'Summery Report'!E11</f>
        <v>11.69</v>
      </c>
      <c r="E12" s="720">
        <f t="shared" si="13"/>
        <v>1.3262195121951219</v>
      </c>
      <c r="F12" s="438">
        <f t="shared" si="14"/>
        <v>381.52918900874209</v>
      </c>
      <c r="G12" s="438">
        <f t="shared" si="0"/>
        <v>381.52918900874209</v>
      </c>
      <c r="H12" s="720">
        <f>Gen!C17</f>
        <v>43721.960000000006</v>
      </c>
      <c r="I12" s="720">
        <f>Gen!E17</f>
        <v>0</v>
      </c>
      <c r="J12" s="759">
        <f>Gen!T17</f>
        <v>3363</v>
      </c>
      <c r="K12" s="764">
        <f>Gen!AK17</f>
        <v>0</v>
      </c>
      <c r="L12" s="755">
        <f t="shared" si="1"/>
        <v>3363</v>
      </c>
      <c r="M12" s="448">
        <f>'Water-Meter'!K52</f>
        <v>451.42806874858366</v>
      </c>
      <c r="N12" s="715">
        <f>'Water-Meter'!E12</f>
        <v>60</v>
      </c>
      <c r="O12" s="706"/>
      <c r="P12" s="713">
        <v>19032</v>
      </c>
      <c r="Q12" s="725">
        <f t="shared" si="2"/>
        <v>0</v>
      </c>
      <c r="R12" s="426">
        <f t="shared" si="5"/>
        <v>0</v>
      </c>
      <c r="S12" s="701">
        <v>6.2</v>
      </c>
      <c r="T12" s="702">
        <v>17852</v>
      </c>
      <c r="U12" s="725">
        <f t="shared" si="6"/>
        <v>24</v>
      </c>
      <c r="V12" s="427">
        <f t="shared" si="16"/>
        <v>148.80000000000001</v>
      </c>
      <c r="W12" s="706">
        <v>1.8</v>
      </c>
      <c r="X12" s="707">
        <v>27743</v>
      </c>
      <c r="Y12" s="725">
        <f t="shared" si="8"/>
        <v>0</v>
      </c>
      <c r="Z12" s="705">
        <f t="shared" si="9"/>
        <v>0</v>
      </c>
      <c r="AA12" s="712">
        <f t="shared" si="10"/>
        <v>0</v>
      </c>
      <c r="AB12" s="709">
        <v>48878</v>
      </c>
      <c r="AC12" s="690">
        <f t="shared" si="11"/>
        <v>101</v>
      </c>
      <c r="AD12" s="692">
        <v>214544</v>
      </c>
      <c r="AE12" s="178">
        <f t="shared" si="15"/>
        <v>76</v>
      </c>
      <c r="AF12" s="719">
        <f>'Lpg (2)'!B16*2000/85</f>
        <v>0</v>
      </c>
      <c r="AG12" s="266">
        <f>'Lpg (2)'!C16*1000/85</f>
        <v>0</v>
      </c>
      <c r="AH12" s="732">
        <f>'Lpg (2)'!D16*1000/85</f>
        <v>941.17647058823525</v>
      </c>
      <c r="AI12" s="722">
        <f t="shared" si="12"/>
        <v>941176.4705882353</v>
      </c>
      <c r="AJ12" s="428">
        <f t="shared" si="4"/>
        <v>11764.70588235301</v>
      </c>
      <c r="AK12" s="132"/>
    </row>
    <row r="13" spans="1:37" ht="18.75">
      <c r="A13" s="753">
        <f>Gen!A18</f>
        <v>44294</v>
      </c>
      <c r="B13" s="425">
        <f>'Summery Report'!E12</f>
        <v>12.99</v>
      </c>
      <c r="C13" s="758">
        <f>Gen!B18</f>
        <v>9.0999999999999998E-2</v>
      </c>
      <c r="D13" s="720">
        <f>'Summery Report'!E12</f>
        <v>12.99</v>
      </c>
      <c r="E13" s="720">
        <f t="shared" si="13"/>
        <v>1.3262195121951219</v>
      </c>
      <c r="F13" s="438">
        <f t="shared" si="14"/>
        <v>321.19219286881088</v>
      </c>
      <c r="G13" s="438">
        <f t="shared" si="0"/>
        <v>321.19219286881088</v>
      </c>
      <c r="H13" s="720">
        <f>Gen!C18</f>
        <v>42252.400000000009</v>
      </c>
      <c r="I13" s="720">
        <f>Gen!E18</f>
        <v>0</v>
      </c>
      <c r="J13" s="759">
        <f>Gen!T18</f>
        <v>3146</v>
      </c>
      <c r="K13" s="764">
        <f>Gen!AK18</f>
        <v>0</v>
      </c>
      <c r="L13" s="755">
        <f t="shared" si="1"/>
        <v>3146</v>
      </c>
      <c r="M13" s="448">
        <f>'Water-Meter'!K53</f>
        <v>514.42482328683036</v>
      </c>
      <c r="N13" s="715">
        <f>'Water-Meter'!E13</f>
        <v>75</v>
      </c>
      <c r="O13" s="706"/>
      <c r="P13" s="713">
        <v>19032</v>
      </c>
      <c r="Q13" s="725">
        <f t="shared" si="2"/>
        <v>0</v>
      </c>
      <c r="R13" s="426">
        <f t="shared" si="5"/>
        <v>0</v>
      </c>
      <c r="S13" s="701">
        <v>6.2</v>
      </c>
      <c r="T13" s="702">
        <v>17859</v>
      </c>
      <c r="U13" s="725">
        <f t="shared" si="6"/>
        <v>7</v>
      </c>
      <c r="V13" s="427">
        <f t="shared" si="16"/>
        <v>43.4</v>
      </c>
      <c r="W13" s="706">
        <v>1.8</v>
      </c>
      <c r="X13" s="707">
        <v>27743</v>
      </c>
      <c r="Y13" s="725">
        <f t="shared" si="8"/>
        <v>0</v>
      </c>
      <c r="Z13" s="705">
        <f t="shared" si="9"/>
        <v>0</v>
      </c>
      <c r="AA13" s="712">
        <f t="shared" si="10"/>
        <v>0</v>
      </c>
      <c r="AB13" s="709">
        <v>48890</v>
      </c>
      <c r="AC13" s="690">
        <f t="shared" si="11"/>
        <v>12</v>
      </c>
      <c r="AD13" s="692">
        <v>214626</v>
      </c>
      <c r="AE13" s="178">
        <f t="shared" si="15"/>
        <v>82</v>
      </c>
      <c r="AF13" s="719">
        <f>'Lpg (2)'!B17*2000/85</f>
        <v>0</v>
      </c>
      <c r="AG13" s="266">
        <f>'Lpg (2)'!C17*1000/85</f>
        <v>0</v>
      </c>
      <c r="AH13" s="732">
        <f>'Lpg (2)'!D17*1000/85</f>
        <v>941.17647058823525</v>
      </c>
      <c r="AI13" s="722">
        <f t="shared" si="12"/>
        <v>941176.4705882353</v>
      </c>
      <c r="AJ13" s="428">
        <f t="shared" si="4"/>
        <v>0</v>
      </c>
      <c r="AK13" s="132"/>
    </row>
    <row r="14" spans="1:37" ht="18.75">
      <c r="A14" s="753">
        <f>Gen!A19</f>
        <v>44295</v>
      </c>
      <c r="B14" s="425">
        <f>'Summery Report'!E13</f>
        <v>15.58</v>
      </c>
      <c r="C14" s="758">
        <f>Gen!B19</f>
        <v>6.5000000000000002E-2</v>
      </c>
      <c r="D14" s="720">
        <f>'Summery Report'!E13</f>
        <v>15.58</v>
      </c>
      <c r="E14" s="720">
        <f t="shared" si="13"/>
        <v>1.3262195121951219</v>
      </c>
      <c r="F14" s="438">
        <f t="shared" si="14"/>
        <v>282.09829675318576</v>
      </c>
      <c r="G14" s="438">
        <f t="shared" si="0"/>
        <v>282.09829675318576</v>
      </c>
      <c r="H14" s="720">
        <f>Gen!C19</f>
        <v>40831.760000000009</v>
      </c>
      <c r="I14" s="720">
        <f>Gen!E19</f>
        <v>0</v>
      </c>
      <c r="J14" s="759">
        <f>Gen!T19</f>
        <v>3314</v>
      </c>
      <c r="K14" s="764">
        <f>Gen!AK19</f>
        <v>0</v>
      </c>
      <c r="L14" s="755">
        <f t="shared" ref="L14:L37" si="17">SUM(J14:K14)</f>
        <v>3314</v>
      </c>
      <c r="M14" s="448">
        <f>'Water-Meter'!K54</f>
        <v>588.89185822737807</v>
      </c>
      <c r="N14" s="715">
        <f>'Water-Meter'!E14</f>
        <v>47</v>
      </c>
      <c r="O14" s="706"/>
      <c r="P14" s="713">
        <v>19032</v>
      </c>
      <c r="Q14" s="725">
        <f t="shared" si="2"/>
        <v>0</v>
      </c>
      <c r="R14" s="426">
        <f t="shared" si="5"/>
        <v>0</v>
      </c>
      <c r="S14" s="701">
        <v>6.2</v>
      </c>
      <c r="T14" s="702">
        <v>17869</v>
      </c>
      <c r="U14" s="725">
        <f t="shared" si="6"/>
        <v>10</v>
      </c>
      <c r="V14" s="427">
        <f t="shared" si="16"/>
        <v>62</v>
      </c>
      <c r="W14" s="706">
        <v>1.8</v>
      </c>
      <c r="X14" s="707">
        <v>27752</v>
      </c>
      <c r="Y14" s="725">
        <f t="shared" si="8"/>
        <v>9</v>
      </c>
      <c r="Z14" s="705">
        <f t="shared" si="9"/>
        <v>16.2</v>
      </c>
      <c r="AA14" s="712">
        <f t="shared" si="10"/>
        <v>450214.19999999995</v>
      </c>
      <c r="AB14" s="709">
        <v>48890</v>
      </c>
      <c r="AC14" s="690">
        <f t="shared" si="11"/>
        <v>0</v>
      </c>
      <c r="AD14" s="692">
        <v>214704</v>
      </c>
      <c r="AE14" s="178">
        <f t="shared" si="15"/>
        <v>78</v>
      </c>
      <c r="AF14" s="719">
        <f>'Lpg (2)'!B18*2000/85</f>
        <v>2000</v>
      </c>
      <c r="AG14" s="266">
        <f>'Lpg (2)'!C18*1000/85</f>
        <v>1000</v>
      </c>
      <c r="AH14" s="732">
        <f>'Lpg (2)'!D18*1000/85</f>
        <v>929.41176470588232</v>
      </c>
      <c r="AI14" s="722">
        <f t="shared" si="12"/>
        <v>1929411.7647058824</v>
      </c>
      <c r="AJ14" s="428">
        <f t="shared" si="4"/>
        <v>-988235.29411764711</v>
      </c>
      <c r="AK14" s="132"/>
    </row>
    <row r="15" spans="1:37" ht="18.75">
      <c r="A15" s="753">
        <f>Gen!A20</f>
        <v>44296</v>
      </c>
      <c r="B15" s="425">
        <f>'Summery Report'!E14</f>
        <v>15.58</v>
      </c>
      <c r="C15" s="758">
        <f>Gen!B20</f>
        <v>5.1999999999999998E-2</v>
      </c>
      <c r="D15" s="720">
        <f>'Summery Report'!E14</f>
        <v>15.58</v>
      </c>
      <c r="E15" s="720">
        <f t="shared" si="13"/>
        <v>1.3262195121951219</v>
      </c>
      <c r="F15" s="438">
        <f t="shared" si="14"/>
        <v>269.67030902658189</v>
      </c>
      <c r="G15" s="438">
        <f t="shared" si="0"/>
        <v>269.67030902658189</v>
      </c>
      <c r="H15" s="720">
        <f>Gen!C20</f>
        <v>39223.360000000008</v>
      </c>
      <c r="I15" s="720">
        <f>Gen!E20</f>
        <v>0</v>
      </c>
      <c r="J15" s="759">
        <f>Gen!T20</f>
        <v>3168</v>
      </c>
      <c r="K15" s="764">
        <f>Gen!AK20</f>
        <v>0</v>
      </c>
      <c r="L15" s="755">
        <f t="shared" si="17"/>
        <v>3168</v>
      </c>
      <c r="M15" s="448">
        <f>'Water-Meter'!K55</f>
        <v>617.48166598200839</v>
      </c>
      <c r="N15" s="715">
        <f>'Water-Meter'!E15</f>
        <v>46</v>
      </c>
      <c r="O15" s="706"/>
      <c r="P15" s="713">
        <v>19032</v>
      </c>
      <c r="Q15" s="725">
        <f t="shared" si="2"/>
        <v>0</v>
      </c>
      <c r="R15" s="426">
        <f t="shared" si="5"/>
        <v>0</v>
      </c>
      <c r="S15" s="701">
        <v>6.2</v>
      </c>
      <c r="T15" s="702">
        <v>17869</v>
      </c>
      <c r="U15" s="725">
        <f t="shared" si="6"/>
        <v>0</v>
      </c>
      <c r="V15" s="427">
        <f t="shared" si="16"/>
        <v>0</v>
      </c>
      <c r="W15" s="706">
        <v>1.8</v>
      </c>
      <c r="X15" s="707">
        <v>27767</v>
      </c>
      <c r="Y15" s="725">
        <f t="shared" si="8"/>
        <v>15</v>
      </c>
      <c r="Z15" s="705">
        <f t="shared" si="9"/>
        <v>27</v>
      </c>
      <c r="AA15" s="712">
        <f t="shared" si="10"/>
        <v>751005</v>
      </c>
      <c r="AB15" s="709">
        <v>48890</v>
      </c>
      <c r="AC15" s="690">
        <f t="shared" si="11"/>
        <v>0</v>
      </c>
      <c r="AD15" s="692">
        <v>214781</v>
      </c>
      <c r="AE15" s="178">
        <f>AD15-AD14</f>
        <v>77</v>
      </c>
      <c r="AF15" s="719">
        <f>'Lpg (2)'!B19*2000/85</f>
        <v>2000</v>
      </c>
      <c r="AG15" s="266">
        <f>'Lpg (2)'!C19*1000/85</f>
        <v>1000</v>
      </c>
      <c r="AH15" s="732">
        <f>'Lpg (2)'!D19*1000/85</f>
        <v>929.41176470588232</v>
      </c>
      <c r="AI15" s="722">
        <f t="shared" ref="AI15:AI35" si="18">SUM(AF15*2000)+(AG15*1000)+(AH15*1000)</f>
        <v>5929411.7647058824</v>
      </c>
      <c r="AJ15" s="428">
        <f t="shared" si="4"/>
        <v>-4000000</v>
      </c>
      <c r="AK15" s="132"/>
    </row>
    <row r="16" spans="1:37" ht="18.75">
      <c r="A16" s="753">
        <f>Gen!A21</f>
        <v>44297</v>
      </c>
      <c r="B16" s="425">
        <f>'Summery Report'!E15</f>
        <v>11.69</v>
      </c>
      <c r="C16" s="758">
        <f>Gen!B21</f>
        <v>0.104</v>
      </c>
      <c r="D16" s="720">
        <f>'Summery Report'!E15</f>
        <v>11.69</v>
      </c>
      <c r="E16" s="720">
        <f t="shared" si="13"/>
        <v>1.3262195121951219</v>
      </c>
      <c r="F16" s="438">
        <f t="shared" si="14"/>
        <v>367.23460744017194</v>
      </c>
      <c r="G16" s="438">
        <f t="shared" si="0"/>
        <v>367.23460744017194</v>
      </c>
      <c r="H16" s="720">
        <f>Gen!C21</f>
        <v>37865.55000000001</v>
      </c>
      <c r="I16" s="720">
        <f>Gen!E21</f>
        <v>0</v>
      </c>
      <c r="J16" s="759">
        <f>Gen!T21</f>
        <v>3237</v>
      </c>
      <c r="K16" s="764">
        <f>Gen!AK21</f>
        <v>0</v>
      </c>
      <c r="L16" s="755">
        <f t="shared" si="17"/>
        <v>3237</v>
      </c>
      <c r="M16" s="448">
        <f>'Water-Meter'!K56</f>
        <v>582.16664678656252</v>
      </c>
      <c r="N16" s="715">
        <f>'Water-Meter'!E16</f>
        <v>50</v>
      </c>
      <c r="O16" s="706"/>
      <c r="P16" s="713">
        <v>19032</v>
      </c>
      <c r="Q16" s="725">
        <f t="shared" si="2"/>
        <v>0</v>
      </c>
      <c r="R16" s="426">
        <f t="shared" si="5"/>
        <v>0</v>
      </c>
      <c r="S16" s="701">
        <v>6.2</v>
      </c>
      <c r="T16" s="702">
        <v>17869</v>
      </c>
      <c r="U16" s="725">
        <f t="shared" si="6"/>
        <v>0</v>
      </c>
      <c r="V16" s="427">
        <f t="shared" si="16"/>
        <v>0</v>
      </c>
      <c r="W16" s="706">
        <v>1.8</v>
      </c>
      <c r="X16" s="707">
        <v>27791</v>
      </c>
      <c r="Y16" s="725">
        <f t="shared" si="8"/>
        <v>24</v>
      </c>
      <c r="Z16" s="705">
        <f t="shared" si="9"/>
        <v>43.2</v>
      </c>
      <c r="AA16" s="712">
        <f t="shared" si="10"/>
        <v>1202515.2000000002</v>
      </c>
      <c r="AB16" s="709">
        <v>48890</v>
      </c>
      <c r="AC16" s="690">
        <f t="shared" si="11"/>
        <v>0</v>
      </c>
      <c r="AD16" s="692">
        <v>214831</v>
      </c>
      <c r="AE16" s="178">
        <f t="shared" si="15"/>
        <v>50</v>
      </c>
      <c r="AF16" s="719">
        <f>'Lpg (2)'!B20*2000/85</f>
        <v>2000</v>
      </c>
      <c r="AG16" s="266">
        <f>'Lpg (2)'!C20*1000/85</f>
        <v>1000</v>
      </c>
      <c r="AH16" s="732">
        <f>'Lpg (2)'!D20*1000/85</f>
        <v>882.35294117647061</v>
      </c>
      <c r="AI16" s="722">
        <f t="shared" si="18"/>
        <v>5882352.9411764704</v>
      </c>
      <c r="AJ16" s="428">
        <f t="shared" si="4"/>
        <v>47058.823529412039</v>
      </c>
      <c r="AK16" s="132"/>
    </row>
    <row r="17" spans="1:37" ht="18.75">
      <c r="A17" s="753">
        <f>Gen!A22</f>
        <v>44298</v>
      </c>
      <c r="B17" s="425">
        <f>'Summery Report'!E16</f>
        <v>12.99</v>
      </c>
      <c r="C17" s="758">
        <f>Gen!B22</f>
        <v>0.104</v>
      </c>
      <c r="D17" s="720">
        <f>'Summery Report'!E16</f>
        <v>12.99</v>
      </c>
      <c r="E17" s="720">
        <f t="shared" si="13"/>
        <v>1.3262195121951219</v>
      </c>
      <c r="F17" s="438">
        <f t="shared" si="14"/>
        <v>333.74992958936514</v>
      </c>
      <c r="G17" s="438">
        <f t="shared" si="0"/>
        <v>333.74992958936514</v>
      </c>
      <c r="H17" s="720">
        <f>Gen!C22</f>
        <v>36556.570000000007</v>
      </c>
      <c r="I17" s="720">
        <f>Gen!E22</f>
        <v>0</v>
      </c>
      <c r="J17" s="759">
        <f>Gen!T22</f>
        <v>3269</v>
      </c>
      <c r="K17" s="764">
        <f>Gen!AK22</f>
        <v>0</v>
      </c>
      <c r="L17" s="755">
        <f t="shared" si="17"/>
        <v>3269</v>
      </c>
      <c r="M17" s="448">
        <f>'Water-Meter'!K57</f>
        <v>546.81755549947343</v>
      </c>
      <c r="N17" s="715">
        <f>'Water-Meter'!E17</f>
        <v>61</v>
      </c>
      <c r="O17" s="706"/>
      <c r="P17" s="713">
        <v>19032</v>
      </c>
      <c r="Q17" s="725">
        <f>SUM(P18-P16)</f>
        <v>0</v>
      </c>
      <c r="R17" s="426">
        <f t="shared" si="5"/>
        <v>0</v>
      </c>
      <c r="S17" s="701">
        <v>6.2</v>
      </c>
      <c r="T17" s="702">
        <v>17869</v>
      </c>
      <c r="U17" s="725">
        <f t="shared" si="6"/>
        <v>0</v>
      </c>
      <c r="V17" s="427">
        <f t="shared" ref="V17:V36" si="19">SUM(U17*S17)</f>
        <v>0</v>
      </c>
      <c r="W17" s="706">
        <v>1.8</v>
      </c>
      <c r="X17" s="707">
        <v>27815</v>
      </c>
      <c r="Y17" s="725">
        <f t="shared" si="8"/>
        <v>24</v>
      </c>
      <c r="Z17" s="705">
        <f t="shared" si="9"/>
        <v>43.2</v>
      </c>
      <c r="AA17" s="712">
        <f t="shared" si="10"/>
        <v>1202515.2000000002</v>
      </c>
      <c r="AB17" s="709">
        <v>48890</v>
      </c>
      <c r="AC17" s="690">
        <f t="shared" si="11"/>
        <v>0</v>
      </c>
      <c r="AD17" s="692">
        <v>214877</v>
      </c>
      <c r="AE17" s="178">
        <f t="shared" si="15"/>
        <v>46</v>
      </c>
      <c r="AF17" s="719">
        <f>'Lpg (2)'!B21*2000/85</f>
        <v>2000</v>
      </c>
      <c r="AG17" s="266">
        <f>'Lpg (2)'!C21*1000/85</f>
        <v>1000</v>
      </c>
      <c r="AH17" s="732">
        <f>'Lpg (2)'!D21*1000/85</f>
        <v>764.70588235294122</v>
      </c>
      <c r="AI17" s="722">
        <f t="shared" si="18"/>
        <v>5764705.8823529407</v>
      </c>
      <c r="AJ17" s="428">
        <f t="shared" si="4"/>
        <v>117647.05882352963</v>
      </c>
      <c r="AK17" s="132"/>
    </row>
    <row r="18" spans="1:37" ht="18.75">
      <c r="A18" s="753">
        <f>Gen!A23</f>
        <v>44299</v>
      </c>
      <c r="B18" s="425">
        <f>'Summery Report'!E17</f>
        <v>14.29</v>
      </c>
      <c r="C18" s="758">
        <f>Gen!B23</f>
        <v>1.2999999999999999E-2</v>
      </c>
      <c r="D18" s="720">
        <f>'Summery Report'!E17</f>
        <v>14.29</v>
      </c>
      <c r="E18" s="720">
        <f t="shared" si="13"/>
        <v>1.3262195121951219</v>
      </c>
      <c r="F18" s="438">
        <f t="shared" si="14"/>
        <v>247.33205038488455</v>
      </c>
      <c r="G18" s="438">
        <f t="shared" si="0"/>
        <v>247.33205038488455</v>
      </c>
      <c r="H18" s="720">
        <f>Gen!C23</f>
        <v>35139.180000000008</v>
      </c>
      <c r="I18" s="720">
        <f>Gen!E23</f>
        <v>0</v>
      </c>
      <c r="J18" s="759">
        <f>Gen!T23</f>
        <v>2665</v>
      </c>
      <c r="K18" s="764">
        <f>Gen!AK23</f>
        <v>0</v>
      </c>
      <c r="L18" s="755">
        <f t="shared" si="17"/>
        <v>2665</v>
      </c>
      <c r="M18" s="448">
        <f>'Water-Meter'!K58</f>
        <v>502.23159250400187</v>
      </c>
      <c r="N18" s="715">
        <f>'Water-Meter'!E18</f>
        <v>181</v>
      </c>
      <c r="O18" s="706"/>
      <c r="P18" s="713">
        <v>19032</v>
      </c>
      <c r="Q18" s="725"/>
      <c r="R18" s="426">
        <f t="shared" si="5"/>
        <v>0</v>
      </c>
      <c r="S18" s="701">
        <v>6.2</v>
      </c>
      <c r="T18" s="702">
        <v>17869</v>
      </c>
      <c r="U18" s="725">
        <f t="shared" si="6"/>
        <v>0</v>
      </c>
      <c r="V18" s="427">
        <f t="shared" si="19"/>
        <v>0</v>
      </c>
      <c r="W18" s="706">
        <v>1.8</v>
      </c>
      <c r="X18" s="707">
        <v>27836</v>
      </c>
      <c r="Y18" s="725">
        <f t="shared" si="8"/>
        <v>21</v>
      </c>
      <c r="Z18" s="705">
        <f t="shared" si="9"/>
        <v>37.800000000000004</v>
      </c>
      <c r="AA18" s="712">
        <f t="shared" si="10"/>
        <v>1052994.6000000001</v>
      </c>
      <c r="AB18" s="709">
        <v>25</v>
      </c>
      <c r="AC18" s="690">
        <f t="shared" si="11"/>
        <v>-48865</v>
      </c>
      <c r="AD18" s="692">
        <v>214919</v>
      </c>
      <c r="AE18" s="178">
        <f t="shared" si="15"/>
        <v>42</v>
      </c>
      <c r="AF18" s="719">
        <f>'Lpg (2)'!B22*2000/85</f>
        <v>2000</v>
      </c>
      <c r="AG18" s="266">
        <f>'Lpg (2)'!C22*1000/85</f>
        <v>1000</v>
      </c>
      <c r="AH18" s="732">
        <f>'Lpg (2)'!D22*1000/85</f>
        <v>705.88235294117646</v>
      </c>
      <c r="AI18" s="722">
        <f t="shared" si="18"/>
        <v>5705882.3529411769</v>
      </c>
      <c r="AJ18" s="428">
        <f t="shared" si="4"/>
        <v>58823.529411763884</v>
      </c>
      <c r="AK18" s="132"/>
    </row>
    <row r="19" spans="1:37" ht="18.75">
      <c r="A19" s="753">
        <f>Gen!A24</f>
        <v>44300</v>
      </c>
      <c r="B19" s="425">
        <f>'Summery Report'!E18</f>
        <v>14.29</v>
      </c>
      <c r="C19" s="758">
        <f>Gen!B24</f>
        <v>0</v>
      </c>
      <c r="D19" s="720">
        <f>'Summery Report'!E18</f>
        <v>14.29</v>
      </c>
      <c r="E19" s="720">
        <f t="shared" si="13"/>
        <v>1.3262195121951219</v>
      </c>
      <c r="F19" s="438">
        <f t="shared" si="14"/>
        <v>245.29028486575979</v>
      </c>
      <c r="G19" s="438">
        <f t="shared" si="0"/>
        <v>245.29028486575979</v>
      </c>
      <c r="H19" s="720">
        <f>Gen!C24</f>
        <v>34032.900000000009</v>
      </c>
      <c r="I19" s="720">
        <f>Gen!E24</f>
        <v>0</v>
      </c>
      <c r="J19" s="759">
        <f>Gen!T24</f>
        <v>2643</v>
      </c>
      <c r="K19" s="764">
        <f>Gen!AK24</f>
        <v>0</v>
      </c>
      <c r="L19" s="755">
        <f t="shared" si="17"/>
        <v>2643</v>
      </c>
      <c r="M19" s="448">
        <f>'Water-Meter'!K59</f>
        <v>356.75911145995639</v>
      </c>
      <c r="N19" s="715">
        <f>'Water-Meter'!E19</f>
        <v>46</v>
      </c>
      <c r="O19" s="706"/>
      <c r="P19" s="713">
        <v>19032</v>
      </c>
      <c r="Q19" s="725"/>
      <c r="R19" s="426">
        <f t="shared" si="5"/>
        <v>0</v>
      </c>
      <c r="S19" s="701">
        <v>6.2</v>
      </c>
      <c r="T19" s="702">
        <v>17893</v>
      </c>
      <c r="U19" s="725">
        <f t="shared" si="6"/>
        <v>24</v>
      </c>
      <c r="V19" s="427">
        <f t="shared" si="19"/>
        <v>148.80000000000001</v>
      </c>
      <c r="W19" s="706">
        <v>1.8</v>
      </c>
      <c r="X19" s="707">
        <v>27836</v>
      </c>
      <c r="Y19" s="725">
        <f t="shared" si="8"/>
        <v>0</v>
      </c>
      <c r="Z19" s="705">
        <f t="shared" si="9"/>
        <v>0</v>
      </c>
      <c r="AA19" s="712">
        <f t="shared" si="10"/>
        <v>0</v>
      </c>
      <c r="AB19" s="709">
        <v>202</v>
      </c>
      <c r="AC19" s="690">
        <f t="shared" si="11"/>
        <v>177</v>
      </c>
      <c r="AD19" s="692">
        <v>214963</v>
      </c>
      <c r="AE19" s="178">
        <f t="shared" si="15"/>
        <v>44</v>
      </c>
      <c r="AF19" s="719">
        <f>'Lpg (2)'!B23*2000/85</f>
        <v>2000</v>
      </c>
      <c r="AG19" s="266">
        <f>'Lpg (2)'!C23*1000/85</f>
        <v>1000</v>
      </c>
      <c r="AH19" s="732">
        <f>'Lpg (2)'!D23*1000/85</f>
        <v>647.05882352941171</v>
      </c>
      <c r="AI19" s="722">
        <f t="shared" si="18"/>
        <v>5647058.823529412</v>
      </c>
      <c r="AJ19" s="428">
        <f t="shared" si="4"/>
        <v>58823.529411764815</v>
      </c>
      <c r="AK19" s="132"/>
    </row>
    <row r="20" spans="1:37" ht="18.75">
      <c r="A20" s="753">
        <f>Gen!A25</f>
        <v>44301</v>
      </c>
      <c r="B20" s="425">
        <f>'Summery Report'!E19</f>
        <v>9.09</v>
      </c>
      <c r="C20" s="758">
        <f>Gen!B25</f>
        <v>0</v>
      </c>
      <c r="D20" s="720">
        <f>'Summery Report'!E19</f>
        <v>9.09</v>
      </c>
      <c r="E20" s="720">
        <f t="shared" si="13"/>
        <v>1.3262195121951219</v>
      </c>
      <c r="F20" s="438">
        <f t="shared" si="14"/>
        <v>381.9628914110923</v>
      </c>
      <c r="G20" s="438">
        <f t="shared" si="0"/>
        <v>381.9628914110923</v>
      </c>
      <c r="H20" s="720">
        <f>Gen!C25</f>
        <v>32808.420000000006</v>
      </c>
      <c r="I20" s="720">
        <f>Gen!E25</f>
        <v>0</v>
      </c>
      <c r="J20" s="759">
        <f>Gen!T25</f>
        <v>2618</v>
      </c>
      <c r="K20" s="764">
        <f>Gen!AK25</f>
        <v>0</v>
      </c>
      <c r="L20" s="755">
        <f t="shared" si="17"/>
        <v>2618</v>
      </c>
      <c r="M20" s="448">
        <f>'Water-Meter'!K60</f>
        <v>349.48945603113521</v>
      </c>
      <c r="N20" s="715">
        <f>'Water-Meter'!E20</f>
        <v>47</v>
      </c>
      <c r="O20" s="706"/>
      <c r="P20" s="713">
        <v>19032</v>
      </c>
      <c r="Q20" s="725" t="e">
        <f>SUM(#REF!-P20)</f>
        <v>#REF!</v>
      </c>
      <c r="R20" s="426" t="e">
        <f t="shared" si="5"/>
        <v>#REF!</v>
      </c>
      <c r="S20" s="701">
        <v>6.2</v>
      </c>
      <c r="T20" s="702">
        <v>17893</v>
      </c>
      <c r="U20" s="725">
        <f t="shared" si="6"/>
        <v>0</v>
      </c>
      <c r="V20" s="427">
        <f t="shared" si="19"/>
        <v>0</v>
      </c>
      <c r="W20" s="706">
        <v>1.8</v>
      </c>
      <c r="X20" s="707">
        <v>27857</v>
      </c>
      <c r="Y20" s="725">
        <f t="shared" si="8"/>
        <v>21</v>
      </c>
      <c r="Z20" s="705">
        <f t="shared" si="9"/>
        <v>37.800000000000004</v>
      </c>
      <c r="AA20" s="712">
        <f t="shared" si="10"/>
        <v>1054809.0000000002</v>
      </c>
      <c r="AB20" s="709">
        <v>237</v>
      </c>
      <c r="AC20" s="690">
        <f t="shared" si="11"/>
        <v>35</v>
      </c>
      <c r="AD20" s="692">
        <v>215008</v>
      </c>
      <c r="AE20" s="178">
        <f t="shared" si="15"/>
        <v>45</v>
      </c>
      <c r="AF20" s="719">
        <f>'Lpg (2)'!B24*2000/85</f>
        <v>2000</v>
      </c>
      <c r="AG20" s="266">
        <f>'Lpg (2)'!C24*1000/85</f>
        <v>1000</v>
      </c>
      <c r="AH20" s="732">
        <f>'Lpg (2)'!D24*1000/85</f>
        <v>600</v>
      </c>
      <c r="AI20" s="722">
        <f t="shared" si="18"/>
        <v>5600000</v>
      </c>
      <c r="AJ20" s="428">
        <f t="shared" si="4"/>
        <v>47058.823529412039</v>
      </c>
      <c r="AK20" s="132"/>
    </row>
    <row r="21" spans="1:37" ht="18.75">
      <c r="A21" s="753">
        <f>Gen!A26</f>
        <v>44302</v>
      </c>
      <c r="B21" s="425">
        <f>'Summery Report'!E20</f>
        <v>7.79</v>
      </c>
      <c r="C21" s="758">
        <f>Gen!B26</f>
        <v>0</v>
      </c>
      <c r="D21" s="720">
        <f>'Summery Report'!E20</f>
        <v>7.79</v>
      </c>
      <c r="E21" s="720">
        <f t="shared" si="13"/>
        <v>1.3262195121951219</v>
      </c>
      <c r="F21" s="438">
        <f t="shared" si="14"/>
        <v>433.44735276621054</v>
      </c>
      <c r="G21" s="438">
        <f t="shared" si="0"/>
        <v>433.44735276621054</v>
      </c>
      <c r="H21" s="720">
        <f>Gen!C26</f>
        <v>31655.430000000004</v>
      </c>
      <c r="I21" s="720">
        <f>Gen!E26</f>
        <v>0</v>
      </c>
      <c r="J21" s="759">
        <f>Gen!T26</f>
        <v>2546</v>
      </c>
      <c r="K21" s="764">
        <f>Gen!AK26</f>
        <v>0</v>
      </c>
      <c r="L21" s="755">
        <f t="shared" si="17"/>
        <v>2546</v>
      </c>
      <c r="M21" s="448">
        <f>'Water-Meter'!K61</f>
        <v>442.38384423477908</v>
      </c>
      <c r="N21" s="715">
        <f>'Water-Meter'!E21</f>
        <v>40</v>
      </c>
      <c r="O21" s="706"/>
      <c r="P21" s="713">
        <v>19032</v>
      </c>
      <c r="Q21" s="725" t="e">
        <f>SUM(P21-#REF!)</f>
        <v>#REF!</v>
      </c>
      <c r="R21" s="426" t="e">
        <f t="shared" si="5"/>
        <v>#REF!</v>
      </c>
      <c r="S21" s="701">
        <v>6.2</v>
      </c>
      <c r="T21" s="702">
        <v>17893</v>
      </c>
      <c r="U21" s="725">
        <f>T22-T20</f>
        <v>0</v>
      </c>
      <c r="V21" s="427">
        <f t="shared" si="19"/>
        <v>0</v>
      </c>
      <c r="W21" s="706">
        <v>1.8</v>
      </c>
      <c r="X21" s="707">
        <v>27881</v>
      </c>
      <c r="Y21" s="725">
        <f t="shared" si="8"/>
        <v>24</v>
      </c>
      <c r="Z21" s="705">
        <f t="shared" si="9"/>
        <v>43.2</v>
      </c>
      <c r="AA21" s="712">
        <f t="shared" si="10"/>
        <v>1206532.8</v>
      </c>
      <c r="AB21" s="709">
        <v>275</v>
      </c>
      <c r="AC21" s="690">
        <f t="shared" si="11"/>
        <v>38</v>
      </c>
      <c r="AD21" s="692">
        <v>215050</v>
      </c>
      <c r="AE21" s="178">
        <f t="shared" si="15"/>
        <v>42</v>
      </c>
      <c r="AF21" s="719">
        <f>'Lpg (2)'!B25*2000/85</f>
        <v>2000</v>
      </c>
      <c r="AG21" s="266">
        <f>'Lpg (2)'!C25*1000/85</f>
        <v>1000</v>
      </c>
      <c r="AH21" s="732">
        <f>'Lpg (2)'!D25*1000/85</f>
        <v>576.47058823529414</v>
      </c>
      <c r="AI21" s="722">
        <f t="shared" si="18"/>
        <v>5576470.5882352944</v>
      </c>
      <c r="AJ21" s="428">
        <f t="shared" si="4"/>
        <v>23529.411764705554</v>
      </c>
      <c r="AK21" s="132"/>
    </row>
    <row r="22" spans="1:37" ht="18.75">
      <c r="A22" s="753">
        <f>Gen!A27</f>
        <v>44303</v>
      </c>
      <c r="B22" s="425">
        <f>'Summery Report'!E21</f>
        <v>6.49</v>
      </c>
      <c r="C22" s="758">
        <f>Gen!B27</f>
        <v>1.2999999999999999E-2</v>
      </c>
      <c r="D22" s="720">
        <f>'Summery Report'!E21</f>
        <v>6.49</v>
      </c>
      <c r="E22" s="720">
        <f t="shared" si="13"/>
        <v>1.3262195121951219</v>
      </c>
      <c r="F22" s="438">
        <f t="shared" si="14"/>
        <v>550.51392386034797</v>
      </c>
      <c r="G22" s="438">
        <f t="shared" si="0"/>
        <v>550.51392386034797</v>
      </c>
      <c r="H22" s="720">
        <f>Gen!C27</f>
        <v>30616.600000000006</v>
      </c>
      <c r="I22" s="720">
        <f>Gen!E27</f>
        <v>0</v>
      </c>
      <c r="J22" s="759">
        <f>Gen!T27</f>
        <v>2694</v>
      </c>
      <c r="K22" s="764">
        <f>Gen!AK27</f>
        <v>0</v>
      </c>
      <c r="L22" s="755">
        <f t="shared" si="17"/>
        <v>2694</v>
      </c>
      <c r="M22" s="448">
        <f>'Water-Meter'!K62</f>
        <v>460.85304023474418</v>
      </c>
      <c r="N22" s="715">
        <f>'Water-Meter'!E22</f>
        <v>52</v>
      </c>
      <c r="O22" s="706"/>
      <c r="P22" s="713">
        <v>19032</v>
      </c>
      <c r="Q22" s="725">
        <f t="shared" si="2"/>
        <v>0</v>
      </c>
      <c r="R22" s="426">
        <f t="shared" si="5"/>
        <v>0</v>
      </c>
      <c r="S22" s="701">
        <v>6.2</v>
      </c>
      <c r="T22" s="702">
        <v>17893</v>
      </c>
      <c r="U22" s="725">
        <f t="shared" ref="U22:U23" si="20">T23-T21</f>
        <v>0</v>
      </c>
      <c r="V22" s="427">
        <f t="shared" si="19"/>
        <v>0</v>
      </c>
      <c r="W22" s="706">
        <v>1.8</v>
      </c>
      <c r="X22" s="707">
        <v>27905</v>
      </c>
      <c r="Y22" s="725">
        <f t="shared" si="8"/>
        <v>24</v>
      </c>
      <c r="Z22" s="705">
        <f t="shared" si="9"/>
        <v>43.2</v>
      </c>
      <c r="AA22" s="712">
        <f t="shared" si="10"/>
        <v>1207569.6000000001</v>
      </c>
      <c r="AB22" s="709">
        <v>313</v>
      </c>
      <c r="AC22" s="690">
        <f t="shared" si="11"/>
        <v>38</v>
      </c>
      <c r="AD22" s="692">
        <v>215095</v>
      </c>
      <c r="AE22" s="178">
        <f t="shared" si="15"/>
        <v>45</v>
      </c>
      <c r="AF22" s="719">
        <f>'Lpg (2)'!B26*2000/85</f>
        <v>2000</v>
      </c>
      <c r="AG22" s="266">
        <f>'Lpg (2)'!C26*1000/85</f>
        <v>1000</v>
      </c>
      <c r="AH22" s="732">
        <f>'Lpg (2)'!D26*1000/85</f>
        <v>529.41176470588232</v>
      </c>
      <c r="AI22" s="722">
        <f t="shared" si="18"/>
        <v>5529411.7647058824</v>
      </c>
      <c r="AJ22" s="428">
        <f t="shared" si="4"/>
        <v>47058.823529412039</v>
      </c>
      <c r="AK22" s="132"/>
    </row>
    <row r="23" spans="1:37" ht="18.75">
      <c r="A23" s="753">
        <f>Gen!A28</f>
        <v>44304</v>
      </c>
      <c r="B23" s="425">
        <f>'Summery Report'!E22</f>
        <v>0</v>
      </c>
      <c r="C23" s="758">
        <f>Gen!B28</f>
        <v>3.9E-2</v>
      </c>
      <c r="D23" s="720">
        <f>'Summery Report'!E22</f>
        <v>0</v>
      </c>
      <c r="E23" s="720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0">
        <f>Gen!C28</f>
        <v>29367.510000000006</v>
      </c>
      <c r="I23" s="720">
        <f>Gen!E28</f>
        <v>0</v>
      </c>
      <c r="J23" s="759">
        <f>Gen!T28</f>
        <v>2839</v>
      </c>
      <c r="K23" s="764">
        <f>Gen!AK28</f>
        <v>0</v>
      </c>
      <c r="L23" s="755">
        <f t="shared" si="17"/>
        <v>2839</v>
      </c>
      <c r="M23" s="448">
        <f>'Water-Meter'!K63</f>
        <v>499.96315781067227</v>
      </c>
      <c r="N23" s="715">
        <f>'Water-Meter'!E23</f>
        <v>53</v>
      </c>
      <c r="O23" s="706"/>
      <c r="P23" s="713">
        <v>19032</v>
      </c>
      <c r="Q23" s="725">
        <f t="shared" si="2"/>
        <v>0</v>
      </c>
      <c r="R23" s="426">
        <f t="shared" si="5"/>
        <v>0</v>
      </c>
      <c r="S23" s="701">
        <v>6.2</v>
      </c>
      <c r="T23" s="702">
        <v>17893</v>
      </c>
      <c r="U23" s="725">
        <f t="shared" si="20"/>
        <v>0</v>
      </c>
      <c r="V23" s="427">
        <f t="shared" si="19"/>
        <v>0</v>
      </c>
      <c r="W23" s="706">
        <v>1.8</v>
      </c>
      <c r="X23" s="707">
        <v>27929</v>
      </c>
      <c r="Y23" s="725">
        <f t="shared" si="8"/>
        <v>24</v>
      </c>
      <c r="Z23" s="705">
        <f>SUM(Y23*W24)</f>
        <v>43.2</v>
      </c>
      <c r="AA23" s="712">
        <f t="shared" si="10"/>
        <v>1207958.4000000001</v>
      </c>
      <c r="AB23" s="709">
        <v>351</v>
      </c>
      <c r="AC23" s="690">
        <f t="shared" si="11"/>
        <v>38</v>
      </c>
      <c r="AD23" s="862">
        <v>215141</v>
      </c>
      <c r="AE23" s="178">
        <f t="shared" si="15"/>
        <v>46</v>
      </c>
      <c r="AF23" s="719">
        <f>'Lpg (2)'!B27*2000/85</f>
        <v>2000</v>
      </c>
      <c r="AG23" s="266">
        <f>'Lpg (2)'!C27*1000/85</f>
        <v>1000</v>
      </c>
      <c r="AH23" s="732">
        <f>'Lpg (2)'!D27*1000/85</f>
        <v>470.58823529411762</v>
      </c>
      <c r="AI23" s="722">
        <f t="shared" si="18"/>
        <v>5470588.2352941176</v>
      </c>
      <c r="AJ23" s="428">
        <f t="shared" si="4"/>
        <v>58823.529411764815</v>
      </c>
      <c r="AK23" s="132"/>
    </row>
    <row r="24" spans="1:37" ht="18.75">
      <c r="A24" s="753">
        <f>Gen!A29</f>
        <v>44305</v>
      </c>
      <c r="B24" s="425">
        <f>'Summery Report'!E23</f>
        <v>0</v>
      </c>
      <c r="C24" s="758">
        <f>Gen!B29</f>
        <v>6.5000000000000002E-2</v>
      </c>
      <c r="D24" s="720">
        <f>'Summery Report'!E23</f>
        <v>0</v>
      </c>
      <c r="E24" s="720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0">
        <f>Gen!C29</f>
        <v>28202.210000000006</v>
      </c>
      <c r="I24" s="720">
        <f>Gen!E29</f>
        <v>0</v>
      </c>
      <c r="J24" s="759">
        <f>Gen!T29</f>
        <v>2733</v>
      </c>
      <c r="K24" s="764">
        <f>Gen!AK29</f>
        <v>0</v>
      </c>
      <c r="L24" s="755">
        <f t="shared" si="17"/>
        <v>2733</v>
      </c>
      <c r="M24" s="448">
        <f>'Water-Meter'!K64</f>
        <v>560.76227206855549</v>
      </c>
      <c r="N24" s="715">
        <f>'Water-Meter'!E24</f>
        <v>58</v>
      </c>
      <c r="O24" s="706"/>
      <c r="P24" s="713">
        <v>19032</v>
      </c>
      <c r="Q24" s="725">
        <f t="shared" si="2"/>
        <v>0</v>
      </c>
      <c r="R24" s="426">
        <f t="shared" si="5"/>
        <v>0</v>
      </c>
      <c r="S24" s="701">
        <v>6.2</v>
      </c>
      <c r="T24" s="702">
        <v>17893</v>
      </c>
      <c r="U24" s="725">
        <f t="shared" si="6"/>
        <v>0</v>
      </c>
      <c r="V24" s="427">
        <f t="shared" si="19"/>
        <v>0</v>
      </c>
      <c r="W24" s="706">
        <v>1.8</v>
      </c>
      <c r="X24" s="707">
        <v>27953</v>
      </c>
      <c r="Y24" s="725">
        <f t="shared" si="8"/>
        <v>24</v>
      </c>
      <c r="Z24" s="705" t="e">
        <f>SUM(Y24*#REF!)</f>
        <v>#REF!</v>
      </c>
      <c r="AA24" s="712" t="e">
        <f t="shared" si="10"/>
        <v>#REF!</v>
      </c>
      <c r="AB24" s="709">
        <v>388</v>
      </c>
      <c r="AC24" s="690">
        <f t="shared" si="11"/>
        <v>37</v>
      </c>
      <c r="AD24" s="693">
        <v>215190</v>
      </c>
      <c r="AE24" s="178">
        <f t="shared" si="15"/>
        <v>49</v>
      </c>
      <c r="AF24" s="719">
        <f>'Lpg (2)'!B28*2000/85</f>
        <v>2000</v>
      </c>
      <c r="AG24" s="266">
        <f>'Lpg (2)'!C28*1000/85</f>
        <v>1000</v>
      </c>
      <c r="AH24" s="732">
        <f>'Lpg (2)'!D28*1000/85</f>
        <v>411.76470588235293</v>
      </c>
      <c r="AI24" s="722">
        <f t="shared" si="18"/>
        <v>5411764.7058823528</v>
      </c>
      <c r="AJ24" s="428">
        <f t="shared" si="4"/>
        <v>58823.529411764815</v>
      </c>
      <c r="AK24" s="132"/>
    </row>
    <row r="25" spans="1:37" ht="18.75">
      <c r="A25" s="753">
        <f>Gen!A30</f>
        <v>44306</v>
      </c>
      <c r="B25" s="425">
        <f>'Summery Report'!E24</f>
        <v>0</v>
      </c>
      <c r="C25" s="758">
        <f>Gen!B30</f>
        <v>5.1999999999999998E-2</v>
      </c>
      <c r="D25" s="720">
        <f>'Summery Report'!E24</f>
        <v>0</v>
      </c>
      <c r="E25" s="720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0">
        <f>Gen!C30</f>
        <v>26707.000000000007</v>
      </c>
      <c r="I25" s="720">
        <f>Gen!E30</f>
        <v>15000</v>
      </c>
      <c r="J25" s="759">
        <f>Gen!T30</f>
        <v>2856</v>
      </c>
      <c r="K25" s="764">
        <f>Gen!AK30</f>
        <v>0</v>
      </c>
      <c r="L25" s="755">
        <f t="shared" si="17"/>
        <v>2856</v>
      </c>
      <c r="M25" s="448">
        <f>'Water-Meter'!K65</f>
        <v>499.23768889017356</v>
      </c>
      <c r="N25" s="715">
        <f>'Water-Meter'!E25</f>
        <v>66</v>
      </c>
      <c r="O25" s="706"/>
      <c r="P25" s="713">
        <v>19032</v>
      </c>
      <c r="Q25" s="725">
        <f t="shared" si="2"/>
        <v>0</v>
      </c>
      <c r="R25" s="426">
        <f t="shared" si="5"/>
        <v>0</v>
      </c>
      <c r="S25" s="701">
        <v>6.2</v>
      </c>
      <c r="T25" s="702">
        <v>17909</v>
      </c>
      <c r="U25" s="725">
        <f t="shared" si="6"/>
        <v>16</v>
      </c>
      <c r="V25" s="427">
        <f t="shared" si="19"/>
        <v>99.2</v>
      </c>
      <c r="W25" s="706">
        <v>1.8</v>
      </c>
      <c r="X25" s="707">
        <v>27962</v>
      </c>
      <c r="Y25" s="725">
        <f t="shared" si="8"/>
        <v>9</v>
      </c>
      <c r="Z25" s="705">
        <f t="shared" si="9"/>
        <v>16.2</v>
      </c>
      <c r="AA25" s="712">
        <f t="shared" si="10"/>
        <v>452984.39999999997</v>
      </c>
      <c r="AB25" s="709">
        <v>518</v>
      </c>
      <c r="AC25" s="690">
        <f t="shared" si="11"/>
        <v>130</v>
      </c>
      <c r="AD25" s="693">
        <v>215230</v>
      </c>
      <c r="AE25" s="178">
        <f t="shared" si="15"/>
        <v>40</v>
      </c>
      <c r="AF25" s="719">
        <f>'Lpg (2)'!B29*2000/85</f>
        <v>2000</v>
      </c>
      <c r="AG25" s="266">
        <f>'Lpg (2)'!C29*1000/85</f>
        <v>1000</v>
      </c>
      <c r="AH25" s="732">
        <f>'Lpg (2)'!D29*1000/85</f>
        <v>364.70588235294116</v>
      </c>
      <c r="AI25" s="722">
        <f t="shared" si="18"/>
        <v>5364705.8823529407</v>
      </c>
      <c r="AJ25" s="428">
        <f t="shared" si="4"/>
        <v>47058.823529412039</v>
      </c>
      <c r="AK25" s="132"/>
    </row>
    <row r="26" spans="1:37" ht="18.75">
      <c r="A26" s="753">
        <f>Gen!A31</f>
        <v>44307</v>
      </c>
      <c r="B26" s="425">
        <f>'Summery Report'!E25</f>
        <v>0</v>
      </c>
      <c r="C26" s="758">
        <f>Gen!B31</f>
        <v>2.5999999999999999E-2</v>
      </c>
      <c r="D26" s="720">
        <f>'Summery Report'!E25</f>
        <v>0</v>
      </c>
      <c r="E26" s="720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0">
        <f>Gen!C31</f>
        <v>25451.960000000006</v>
      </c>
      <c r="I26" s="720">
        <f>Gen!E31</f>
        <v>0</v>
      </c>
      <c r="J26" s="759">
        <f>Gen!T31</f>
        <v>2700</v>
      </c>
      <c r="K26" s="764">
        <f>Gen!AK31</f>
        <v>0</v>
      </c>
      <c r="L26" s="755">
        <f t="shared" si="17"/>
        <v>2700</v>
      </c>
      <c r="M26" s="448">
        <f>'Water-Meter'!K66</f>
        <v>431.38915033446347</v>
      </c>
      <c r="N26" s="715">
        <f>'Water-Meter'!E26</f>
        <v>47</v>
      </c>
      <c r="O26" s="706"/>
      <c r="P26" s="713">
        <v>19032</v>
      </c>
      <c r="Q26" s="725">
        <f t="shared" si="2"/>
        <v>0</v>
      </c>
      <c r="R26" s="426">
        <f t="shared" si="5"/>
        <v>0</v>
      </c>
      <c r="S26" s="701">
        <v>6.2</v>
      </c>
      <c r="T26" s="702">
        <v>17917</v>
      </c>
      <c r="U26" s="725">
        <f t="shared" si="6"/>
        <v>8</v>
      </c>
      <c r="V26" s="427">
        <f t="shared" si="19"/>
        <v>49.6</v>
      </c>
      <c r="W26" s="706">
        <v>1.8</v>
      </c>
      <c r="X26" s="707">
        <v>27962</v>
      </c>
      <c r="Y26" s="725">
        <f t="shared" si="8"/>
        <v>0</v>
      </c>
      <c r="Z26" s="705">
        <f t="shared" si="9"/>
        <v>0</v>
      </c>
      <c r="AA26" s="712">
        <f t="shared" si="10"/>
        <v>0</v>
      </c>
      <c r="AB26" s="709">
        <v>574</v>
      </c>
      <c r="AC26" s="690">
        <f t="shared" si="11"/>
        <v>56</v>
      </c>
      <c r="AD26" s="693">
        <v>215275</v>
      </c>
      <c r="AE26" s="178">
        <f t="shared" si="15"/>
        <v>45</v>
      </c>
      <c r="AF26" s="719">
        <f>'Lpg (2)'!B30*2000/85</f>
        <v>2000</v>
      </c>
      <c r="AG26" s="266">
        <f>'Lpg (2)'!C30*1000/85</f>
        <v>1000</v>
      </c>
      <c r="AH26" s="732">
        <f>'Lpg (2)'!D30*1000/85</f>
        <v>317.64705882352939</v>
      </c>
      <c r="AI26" s="722">
        <f t="shared" si="18"/>
        <v>5317647.0588235296</v>
      </c>
      <c r="AJ26" s="428">
        <f t="shared" si="4"/>
        <v>47058.823529411107</v>
      </c>
      <c r="AK26" s="132"/>
    </row>
    <row r="27" spans="1:37" ht="18.75">
      <c r="A27" s="753">
        <f>Gen!A32</f>
        <v>44308</v>
      </c>
      <c r="B27" s="425">
        <f>'Summery Report'!E26</f>
        <v>0</v>
      </c>
      <c r="C27" s="758">
        <f>Gen!B32</f>
        <v>0</v>
      </c>
      <c r="D27" s="720">
        <f>'Summery Report'!E26</f>
        <v>0</v>
      </c>
      <c r="E27" s="720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0">
        <f>Gen!C32</f>
        <v>39117.100000000006</v>
      </c>
      <c r="I27" s="720">
        <f>Gen!E32</f>
        <v>0</v>
      </c>
      <c r="J27" s="759">
        <f>Gen!T32</f>
        <v>2593</v>
      </c>
      <c r="K27" s="764">
        <f>Gen!AK32</f>
        <v>0</v>
      </c>
      <c r="L27" s="755">
        <f t="shared" si="17"/>
        <v>2593</v>
      </c>
      <c r="M27" s="448">
        <f>'Water-Meter'!K67</f>
        <v>388.70300105450343</v>
      </c>
      <c r="N27" s="715">
        <f>'Water-Meter'!E27</f>
        <v>50</v>
      </c>
      <c r="O27" s="706"/>
      <c r="P27" s="713">
        <v>19032</v>
      </c>
      <c r="Q27" s="725">
        <f t="shared" si="2"/>
        <v>0</v>
      </c>
      <c r="R27" s="426">
        <f t="shared" si="5"/>
        <v>0</v>
      </c>
      <c r="S27" s="701">
        <v>6.2</v>
      </c>
      <c r="T27" s="702">
        <v>17917</v>
      </c>
      <c r="U27" s="725">
        <f t="shared" si="6"/>
        <v>0</v>
      </c>
      <c r="V27" s="427">
        <f t="shared" si="19"/>
        <v>0</v>
      </c>
      <c r="W27" s="706">
        <v>1.8</v>
      </c>
      <c r="X27" s="707">
        <v>27962</v>
      </c>
      <c r="Y27" s="725">
        <f t="shared" si="8"/>
        <v>0</v>
      </c>
      <c r="Z27" s="705">
        <f t="shared" si="9"/>
        <v>0</v>
      </c>
      <c r="AA27" s="712">
        <f t="shared" si="10"/>
        <v>0</v>
      </c>
      <c r="AB27" s="709">
        <v>574</v>
      </c>
      <c r="AC27" s="690">
        <f t="shared" si="11"/>
        <v>0</v>
      </c>
      <c r="AD27" s="693">
        <v>215321</v>
      </c>
      <c r="AE27" s="178">
        <f t="shared" si="15"/>
        <v>46</v>
      </c>
      <c r="AF27" s="719">
        <f>'Lpg (2)'!B31*2000/85</f>
        <v>2000</v>
      </c>
      <c r="AG27" s="266">
        <f>'Lpg (2)'!C31*1000/85</f>
        <v>1000</v>
      </c>
      <c r="AH27" s="732">
        <f>'Lpg (2)'!D31*1000/85</f>
        <v>294.11764705882354</v>
      </c>
      <c r="AI27" s="722">
        <f t="shared" si="18"/>
        <v>5294117.6470588231</v>
      </c>
      <c r="AJ27" s="428">
        <f t="shared" si="4"/>
        <v>23529.411764706485</v>
      </c>
      <c r="AK27" s="132"/>
    </row>
    <row r="28" spans="1:37" ht="18.75">
      <c r="A28" s="753">
        <f>Gen!A33</f>
        <v>44309</v>
      </c>
      <c r="B28" s="425">
        <f>'Summery Report'!E27</f>
        <v>0</v>
      </c>
      <c r="C28" s="758">
        <f>Gen!B33</f>
        <v>1.2999999999999999E-2</v>
      </c>
      <c r="D28" s="720">
        <f>'Summery Report'!E27</f>
        <v>0</v>
      </c>
      <c r="E28" s="720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0">
        <f>Gen!C33</f>
        <v>37996.630000000005</v>
      </c>
      <c r="I28" s="720">
        <f>Gen!E33</f>
        <v>0</v>
      </c>
      <c r="J28" s="759">
        <f>Gen!T33</f>
        <v>2657</v>
      </c>
      <c r="K28" s="764">
        <f>Gen!AK33</f>
        <v>0</v>
      </c>
      <c r="L28" s="755">
        <f t="shared" si="17"/>
        <v>2657</v>
      </c>
      <c r="M28" s="448">
        <f>'Water-Meter'!K68</f>
        <v>456.41933882579349</v>
      </c>
      <c r="N28" s="715">
        <f>'Water-Meter'!E28</f>
        <v>47</v>
      </c>
      <c r="O28" s="706"/>
      <c r="P28" s="713">
        <v>19032</v>
      </c>
      <c r="Q28" s="725">
        <f t="shared" si="2"/>
        <v>0</v>
      </c>
      <c r="R28" s="426">
        <f t="shared" si="5"/>
        <v>0</v>
      </c>
      <c r="S28" s="701">
        <v>6.2</v>
      </c>
      <c r="T28" s="702">
        <v>17917</v>
      </c>
      <c r="U28" s="725">
        <f t="shared" si="6"/>
        <v>0</v>
      </c>
      <c r="V28" s="427">
        <f t="shared" si="19"/>
        <v>0</v>
      </c>
      <c r="W28" s="706">
        <v>1.8</v>
      </c>
      <c r="X28" s="707">
        <v>27986</v>
      </c>
      <c r="Y28" s="725">
        <f t="shared" si="8"/>
        <v>24</v>
      </c>
      <c r="Z28" s="705">
        <f t="shared" si="9"/>
        <v>43.2</v>
      </c>
      <c r="AA28" s="712">
        <f t="shared" si="10"/>
        <v>1210377.6000000001</v>
      </c>
      <c r="AB28" s="709">
        <v>612</v>
      </c>
      <c r="AC28" s="690">
        <f t="shared" ref="AC28:AC37" si="21">SUM(AB28-AB27)</f>
        <v>38</v>
      </c>
      <c r="AD28" s="693">
        <v>215350</v>
      </c>
      <c r="AE28" s="178">
        <f t="shared" si="15"/>
        <v>29</v>
      </c>
      <c r="AF28" s="719">
        <f>'Lpg (2)'!B32*2000/85</f>
        <v>2000</v>
      </c>
      <c r="AG28" s="266">
        <f>'Lpg (2)'!C32*1000/85</f>
        <v>1000</v>
      </c>
      <c r="AH28" s="732">
        <f>'Lpg (2)'!D32*1000/85</f>
        <v>235.29411764705881</v>
      </c>
      <c r="AI28" s="722">
        <f t="shared" si="18"/>
        <v>5235294.1176470593</v>
      </c>
      <c r="AJ28" s="428">
        <f t="shared" si="4"/>
        <v>58823.529411763884</v>
      </c>
      <c r="AK28" s="132"/>
    </row>
    <row r="29" spans="1:37" ht="18.75">
      <c r="A29" s="753">
        <f>Gen!A34</f>
        <v>44310</v>
      </c>
      <c r="B29" s="425">
        <f>'Summery Report'!E28</f>
        <v>0</v>
      </c>
      <c r="C29" s="758">
        <f>Gen!B34</f>
        <v>2.5999999999999999E-2</v>
      </c>
      <c r="D29" s="720">
        <f>'Summery Report'!E28</f>
        <v>0</v>
      </c>
      <c r="E29" s="720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0">
        <f>Gen!C34</f>
        <v>36768.500000000007</v>
      </c>
      <c r="I29" s="720">
        <f>Gen!E34</f>
        <v>0</v>
      </c>
      <c r="J29" s="759">
        <f>Gen!T34</f>
        <v>2629</v>
      </c>
      <c r="K29" s="764">
        <f>Gen!AK34</f>
        <v>0</v>
      </c>
      <c r="L29" s="755">
        <f t="shared" si="17"/>
        <v>2629</v>
      </c>
      <c r="M29" s="448">
        <f>'Water-Meter'!K69</f>
        <v>509.22033939964638</v>
      </c>
      <c r="N29" s="715">
        <f>'Water-Meter'!E29</f>
        <v>56</v>
      </c>
      <c r="O29" s="706"/>
      <c r="P29" s="713">
        <v>19032</v>
      </c>
      <c r="Q29" s="725">
        <f t="shared" si="2"/>
        <v>0</v>
      </c>
      <c r="R29" s="426">
        <f t="shared" si="5"/>
        <v>0</v>
      </c>
      <c r="S29" s="701">
        <v>6.2</v>
      </c>
      <c r="T29" s="702">
        <v>17917</v>
      </c>
      <c r="U29" s="725">
        <f t="shared" si="6"/>
        <v>0</v>
      </c>
      <c r="V29" s="427">
        <f t="shared" si="19"/>
        <v>0</v>
      </c>
      <c r="W29" s="706">
        <v>1.8</v>
      </c>
      <c r="X29" s="707">
        <v>28010</v>
      </c>
      <c r="Y29" s="725">
        <f t="shared" si="8"/>
        <v>24</v>
      </c>
      <c r="Z29" s="705">
        <f t="shared" si="9"/>
        <v>43.2</v>
      </c>
      <c r="AA29" s="712">
        <f t="shared" si="10"/>
        <v>1210636.8</v>
      </c>
      <c r="AB29" s="709">
        <v>649</v>
      </c>
      <c r="AC29" s="690">
        <f t="shared" si="21"/>
        <v>37</v>
      </c>
      <c r="AD29" s="693">
        <v>215395</v>
      </c>
      <c r="AE29" s="178">
        <f t="shared" si="15"/>
        <v>45</v>
      </c>
      <c r="AF29" s="719">
        <f>'Lpg (2)'!B33*2000/85</f>
        <v>2000</v>
      </c>
      <c r="AG29" s="266">
        <f>'Lpg (2)'!C33*1000/85</f>
        <v>1000</v>
      </c>
      <c r="AH29" s="732">
        <f>'Lpg (2)'!D33*1000/85</f>
        <v>200</v>
      </c>
      <c r="AI29" s="722">
        <f t="shared" si="18"/>
        <v>5200000</v>
      </c>
      <c r="AJ29" s="428">
        <f t="shared" si="4"/>
        <v>35294.117647059262</v>
      </c>
      <c r="AK29" s="132"/>
    </row>
    <row r="30" spans="1:37" ht="18.75">
      <c r="A30" s="753">
        <f>Gen!A35</f>
        <v>44311</v>
      </c>
      <c r="B30" s="425">
        <f>'Summery Report'!E29</f>
        <v>0</v>
      </c>
      <c r="C30" s="758">
        <f>Gen!B35</f>
        <v>5.1999999999999998E-2</v>
      </c>
      <c r="D30" s="720">
        <f>'Summery Report'!E29</f>
        <v>0</v>
      </c>
      <c r="E30" s="720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0">
        <f>Gen!C35</f>
        <v>35570.780000000006</v>
      </c>
      <c r="I30" s="720">
        <f>Gen!E35</f>
        <v>0</v>
      </c>
      <c r="J30" s="759">
        <f>Gen!T35</f>
        <v>2890</v>
      </c>
      <c r="K30" s="764">
        <f>Gen!AK35</f>
        <v>0</v>
      </c>
      <c r="L30" s="755">
        <f t="shared" si="17"/>
        <v>2890</v>
      </c>
      <c r="M30" s="448">
        <f>'Water-Meter'!K70</f>
        <v>512.65137877574216</v>
      </c>
      <c r="N30" s="715">
        <f>'Water-Meter'!E30</f>
        <v>46</v>
      </c>
      <c r="O30" s="706"/>
      <c r="P30" s="713">
        <v>19032</v>
      </c>
      <c r="Q30" s="725">
        <f t="shared" si="2"/>
        <v>0</v>
      </c>
      <c r="R30" s="426">
        <f t="shared" si="5"/>
        <v>0</v>
      </c>
      <c r="S30" s="701">
        <v>6.2</v>
      </c>
      <c r="T30" s="702">
        <v>17933</v>
      </c>
      <c r="U30" s="725">
        <f t="shared" si="6"/>
        <v>16</v>
      </c>
      <c r="V30" s="427">
        <f t="shared" si="19"/>
        <v>99.2</v>
      </c>
      <c r="W30" s="706">
        <v>1.7</v>
      </c>
      <c r="X30" s="707">
        <v>28018</v>
      </c>
      <c r="Y30" s="725">
        <f t="shared" si="8"/>
        <v>8</v>
      </c>
      <c r="Z30" s="705">
        <f t="shared" si="9"/>
        <v>13.6</v>
      </c>
      <c r="AA30" s="712">
        <f t="shared" si="10"/>
        <v>381398.39999999997</v>
      </c>
      <c r="AB30" s="709">
        <v>780</v>
      </c>
      <c r="AC30" s="690">
        <f t="shared" si="21"/>
        <v>131</v>
      </c>
      <c r="AD30" s="693">
        <v>215441</v>
      </c>
      <c r="AE30" s="178">
        <f t="shared" si="15"/>
        <v>46</v>
      </c>
      <c r="AF30" s="719">
        <f>'Lpg (2)'!B34*2000/85</f>
        <v>2000</v>
      </c>
      <c r="AG30" s="266">
        <f>'Lpg (2)'!C34*1000/85</f>
        <v>1000</v>
      </c>
      <c r="AH30" s="732">
        <f>'Lpg (2)'!D34*1000/85</f>
        <v>176.47058823529412</v>
      </c>
      <c r="AI30" s="722">
        <f t="shared" si="18"/>
        <v>5176470.5882352944</v>
      </c>
      <c r="AJ30" s="428">
        <f t="shared" si="4"/>
        <v>23529.411764705554</v>
      </c>
      <c r="AK30" s="132"/>
    </row>
    <row r="31" spans="1:37" ht="18.75">
      <c r="A31" s="753">
        <f>Gen!A36</f>
        <v>44312</v>
      </c>
      <c r="B31" s="425">
        <f>'Summery Report'!E30</f>
        <v>0</v>
      </c>
      <c r="C31" s="758">
        <f>Gen!B36</f>
        <v>5.1999999999999998E-2</v>
      </c>
      <c r="D31" s="720">
        <f>'Summery Report'!E30</f>
        <v>0</v>
      </c>
      <c r="E31" s="720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0">
        <f>Gen!C36</f>
        <v>34319.660000000003</v>
      </c>
      <c r="I31" s="720">
        <f>Gen!E36</f>
        <v>0</v>
      </c>
      <c r="J31" s="759">
        <f>Gen!T36</f>
        <v>2691</v>
      </c>
      <c r="K31" s="764">
        <f>Gen!AK36</f>
        <v>0</v>
      </c>
      <c r="L31" s="755">
        <f t="shared" si="17"/>
        <v>2691</v>
      </c>
      <c r="M31" s="448">
        <f>'Water-Meter'!K71</f>
        <v>560.59805371760172</v>
      </c>
      <c r="N31" s="715">
        <f>'Water-Meter'!E31</f>
        <v>53</v>
      </c>
      <c r="O31" s="706"/>
      <c r="P31" s="713">
        <v>19032</v>
      </c>
      <c r="Q31" s="725">
        <f t="shared" si="2"/>
        <v>0</v>
      </c>
      <c r="R31" s="426">
        <f t="shared" si="5"/>
        <v>0</v>
      </c>
      <c r="S31" s="701">
        <v>6.2</v>
      </c>
      <c r="T31" s="702">
        <v>17933</v>
      </c>
      <c r="U31" s="725">
        <f t="shared" si="6"/>
        <v>0</v>
      </c>
      <c r="V31" s="427">
        <f t="shared" si="19"/>
        <v>0</v>
      </c>
      <c r="W31" s="706">
        <v>1.7</v>
      </c>
      <c r="X31" s="707">
        <v>28024</v>
      </c>
      <c r="Y31" s="725">
        <f t="shared" si="8"/>
        <v>6</v>
      </c>
      <c r="Z31" s="705">
        <f t="shared" si="9"/>
        <v>10.199999999999999</v>
      </c>
      <c r="AA31" s="712">
        <f t="shared" si="10"/>
        <v>286171.19999999995</v>
      </c>
      <c r="AB31" s="709">
        <v>789</v>
      </c>
      <c r="AC31" s="690">
        <f t="shared" si="21"/>
        <v>9</v>
      </c>
      <c r="AD31" s="693">
        <v>215486</v>
      </c>
      <c r="AE31" s="178">
        <f t="shared" si="15"/>
        <v>45</v>
      </c>
      <c r="AF31" s="719">
        <f>'Lpg (2)'!B35*2000/85</f>
        <v>2000</v>
      </c>
      <c r="AG31" s="266">
        <f>'Lpg (2)'!C35*1000/85</f>
        <v>1000</v>
      </c>
      <c r="AH31" s="732">
        <f>'Lpg (2)'!D35*1000/85</f>
        <v>117.64705882352941</v>
      </c>
      <c r="AI31" s="722">
        <f t="shared" si="18"/>
        <v>5117647.0588235296</v>
      </c>
      <c r="AJ31" s="428">
        <f t="shared" si="4"/>
        <v>58823.529411764815</v>
      </c>
      <c r="AK31" s="132"/>
    </row>
    <row r="32" spans="1:37" ht="18.75">
      <c r="A32" s="753">
        <f>Gen!A37</f>
        <v>44313</v>
      </c>
      <c r="B32" s="425">
        <f>'Summery Report'!E31</f>
        <v>0</v>
      </c>
      <c r="C32" s="758">
        <f>Gen!B37</f>
        <v>3.5999999999999997E-2</v>
      </c>
      <c r="D32" s="720">
        <f>'Summery Report'!E31</f>
        <v>0</v>
      </c>
      <c r="E32" s="720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0">
        <f>Gen!C37</f>
        <v>32937.43</v>
      </c>
      <c r="I32" s="720">
        <f>Gen!E37</f>
        <v>0</v>
      </c>
      <c r="J32" s="759">
        <f>Gen!T37</f>
        <v>2733</v>
      </c>
      <c r="K32" s="764">
        <f>Gen!AK37</f>
        <v>0</v>
      </c>
      <c r="L32" s="755">
        <f t="shared" si="17"/>
        <v>2733</v>
      </c>
      <c r="M32" s="448">
        <f>'Water-Meter'!K72</f>
        <v>534.41426264528604</v>
      </c>
      <c r="N32" s="715">
        <f>'Water-Meter'!E32</f>
        <v>43</v>
      </c>
      <c r="O32" s="706">
        <v>1.9</v>
      </c>
      <c r="P32" s="713">
        <v>19038</v>
      </c>
      <c r="Q32" s="725">
        <f t="shared" si="2"/>
        <v>6</v>
      </c>
      <c r="R32" s="426">
        <f t="shared" si="5"/>
        <v>11.399999999999999</v>
      </c>
      <c r="S32" s="701">
        <v>6.2</v>
      </c>
      <c r="T32" s="702">
        <v>17933</v>
      </c>
      <c r="U32" s="725">
        <f t="shared" si="6"/>
        <v>0</v>
      </c>
      <c r="V32" s="427">
        <f t="shared" si="19"/>
        <v>0</v>
      </c>
      <c r="W32" s="706">
        <v>1.7</v>
      </c>
      <c r="X32" s="707">
        <v>28044</v>
      </c>
      <c r="Y32" s="725">
        <f t="shared" si="8"/>
        <v>20</v>
      </c>
      <c r="Z32" s="705">
        <f t="shared" si="9"/>
        <v>34</v>
      </c>
      <c r="AA32" s="712">
        <f t="shared" si="10"/>
        <v>954618</v>
      </c>
      <c r="AB32" s="709">
        <v>824</v>
      </c>
      <c r="AC32" s="690">
        <f t="shared" si="21"/>
        <v>35</v>
      </c>
      <c r="AD32" s="693">
        <v>215526</v>
      </c>
      <c r="AE32" s="178">
        <f t="shared" si="15"/>
        <v>40</v>
      </c>
      <c r="AF32" s="719">
        <f>'Lpg (2)'!B36*2000/85</f>
        <v>2000</v>
      </c>
      <c r="AG32" s="266">
        <f>'Lpg (2)'!C36*1000/85</f>
        <v>1000</v>
      </c>
      <c r="AH32" s="732">
        <f>'Lpg (2)'!D36*1000/85</f>
        <v>82.352941176470594</v>
      </c>
      <c r="AI32" s="722">
        <f t="shared" si="18"/>
        <v>5082352.9411764704</v>
      </c>
      <c r="AJ32" s="428">
        <f t="shared" si="4"/>
        <v>35294.117647059262</v>
      </c>
      <c r="AK32" s="132"/>
    </row>
    <row r="33" spans="1:37" ht="18.75">
      <c r="A33" s="753">
        <f>Gen!A38</f>
        <v>44314</v>
      </c>
      <c r="B33" s="425">
        <f>'Summery Report'!E32</f>
        <v>0</v>
      </c>
      <c r="C33" s="758">
        <f>Gen!B38</f>
        <v>3.9E-2</v>
      </c>
      <c r="D33" s="720">
        <f>'Summery Report'!E32</f>
        <v>0</v>
      </c>
      <c r="E33" s="720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0">
        <f>Gen!C38</f>
        <v>31790.06</v>
      </c>
      <c r="I33" s="720">
        <f>Gen!E38</f>
        <v>0</v>
      </c>
      <c r="J33" s="759">
        <f>Gen!T38</f>
        <v>2725</v>
      </c>
      <c r="K33" s="764">
        <f>Gen!AK38</f>
        <v>0</v>
      </c>
      <c r="L33" s="755">
        <f t="shared" si="17"/>
        <v>2725</v>
      </c>
      <c r="M33" s="448">
        <f>'Water-Meter'!K73</f>
        <v>494.91435544381147</v>
      </c>
      <c r="N33" s="715">
        <f>'Water-Meter'!E33</f>
        <v>61</v>
      </c>
      <c r="O33" s="706">
        <v>1.9</v>
      </c>
      <c r="P33" s="713">
        <v>19038</v>
      </c>
      <c r="Q33" s="725">
        <f t="shared" si="2"/>
        <v>0</v>
      </c>
      <c r="R33" s="426">
        <f t="shared" si="5"/>
        <v>0</v>
      </c>
      <c r="S33" s="701">
        <v>6.2</v>
      </c>
      <c r="T33" s="702">
        <v>17942</v>
      </c>
      <c r="U33" s="725">
        <f t="shared" si="6"/>
        <v>9</v>
      </c>
      <c r="V33" s="427">
        <f t="shared" si="19"/>
        <v>55.800000000000004</v>
      </c>
      <c r="W33" s="706">
        <v>1.7</v>
      </c>
      <c r="X33" s="707">
        <v>28056</v>
      </c>
      <c r="Y33" s="725">
        <f t="shared" si="8"/>
        <v>12</v>
      </c>
      <c r="Z33" s="705">
        <f t="shared" si="9"/>
        <v>20.399999999999999</v>
      </c>
      <c r="AA33" s="712">
        <f t="shared" si="10"/>
        <v>573260.39999999991</v>
      </c>
      <c r="AB33" s="709">
        <v>912</v>
      </c>
      <c r="AC33" s="690">
        <f t="shared" si="21"/>
        <v>88</v>
      </c>
      <c r="AD33" s="693">
        <v>215600</v>
      </c>
      <c r="AE33" s="178">
        <f t="shared" si="15"/>
        <v>74</v>
      </c>
      <c r="AF33" s="719">
        <f>'Lpg (2)'!B37*2000/85</f>
        <v>2000</v>
      </c>
      <c r="AG33" s="266">
        <f>'Lpg (2)'!C37*1000/85</f>
        <v>1000</v>
      </c>
      <c r="AH33" s="732">
        <f>'Lpg (2)'!D37*1000/85</f>
        <v>58.823529411764703</v>
      </c>
      <c r="AI33" s="722">
        <f t="shared" si="18"/>
        <v>5058823.5294117648</v>
      </c>
      <c r="AJ33" s="428">
        <f t="shared" si="4"/>
        <v>23529.411764705554</v>
      </c>
      <c r="AK33" s="132"/>
    </row>
    <row r="34" spans="1:37" ht="18.75">
      <c r="A34" s="753">
        <f>Gen!A39</f>
        <v>44315</v>
      </c>
      <c r="B34" s="425">
        <f>'Summery Report'!E33</f>
        <v>0</v>
      </c>
      <c r="C34" s="758">
        <f>Gen!B39</f>
        <v>2.5999999999999999E-2</v>
      </c>
      <c r="D34" s="720">
        <f>'Summery Report'!E33</f>
        <v>0</v>
      </c>
      <c r="E34" s="720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0">
        <f>Gen!C39</f>
        <v>30603.73</v>
      </c>
      <c r="I34" s="720">
        <f>Gen!E39</f>
        <v>0</v>
      </c>
      <c r="J34" s="759">
        <f>Gen!T39</f>
        <v>2813</v>
      </c>
      <c r="K34" s="764">
        <f>Gen!AK39</f>
        <v>0</v>
      </c>
      <c r="L34" s="755">
        <f t="shared" si="17"/>
        <v>2813</v>
      </c>
      <c r="M34" s="448">
        <f>'Water-Meter'!K74</f>
        <v>492.06045879885926</v>
      </c>
      <c r="N34" s="715">
        <f>'Water-Meter'!E34</f>
        <v>53</v>
      </c>
      <c r="O34" s="706">
        <v>1.9</v>
      </c>
      <c r="P34" s="713">
        <v>19038</v>
      </c>
      <c r="Q34" s="725">
        <f t="shared" si="2"/>
        <v>0</v>
      </c>
      <c r="R34" s="426">
        <f t="shared" si="5"/>
        <v>0</v>
      </c>
      <c r="S34" s="701">
        <v>6.2</v>
      </c>
      <c r="T34" s="702">
        <v>17942</v>
      </c>
      <c r="U34" s="725">
        <f t="shared" si="6"/>
        <v>0</v>
      </c>
      <c r="V34" s="427">
        <f t="shared" si="19"/>
        <v>0</v>
      </c>
      <c r="W34" s="706">
        <v>1.7</v>
      </c>
      <c r="X34" s="707">
        <v>28077</v>
      </c>
      <c r="Y34" s="725">
        <f t="shared" si="8"/>
        <v>21</v>
      </c>
      <c r="Z34" s="705">
        <f t="shared" si="9"/>
        <v>35.699999999999996</v>
      </c>
      <c r="AA34" s="712">
        <f t="shared" si="10"/>
        <v>0</v>
      </c>
      <c r="AB34" s="709">
        <v>942</v>
      </c>
      <c r="AC34" s="690">
        <f t="shared" si="21"/>
        <v>30</v>
      </c>
      <c r="AD34" s="693">
        <v>215642</v>
      </c>
      <c r="AE34" s="178">
        <f t="shared" si="15"/>
        <v>42</v>
      </c>
      <c r="AF34" s="719">
        <f>'Lpg (2)'!B38*2000/85</f>
        <v>2000</v>
      </c>
      <c r="AG34" s="266">
        <f>'Lpg (2)'!C38*1000/85</f>
        <v>1000</v>
      </c>
      <c r="AH34" s="732">
        <f>'Lpg (2)'!D38*1000/85</f>
        <v>35.294117647058826</v>
      </c>
      <c r="AI34" s="722">
        <f t="shared" si="18"/>
        <v>5035294.1176470593</v>
      </c>
      <c r="AJ34" s="428">
        <f t="shared" si="4"/>
        <v>23529.411764705554</v>
      </c>
      <c r="AK34" s="132"/>
    </row>
    <row r="35" spans="1:37" ht="18.75">
      <c r="A35" s="753">
        <f>Gen!A40</f>
        <v>44316</v>
      </c>
      <c r="B35" s="425">
        <f>'Summery Report'!E34</f>
        <v>0</v>
      </c>
      <c r="C35" s="758">
        <f>Gen!B40</f>
        <v>0.01</v>
      </c>
      <c r="D35" s="720">
        <f>'Summery Report'!E34</f>
        <v>0</v>
      </c>
      <c r="E35" s="720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0">
        <f>Gen!C40</f>
        <v>29254.57</v>
      </c>
      <c r="I35" s="720">
        <f>Gen!E40</f>
        <v>0</v>
      </c>
      <c r="J35" s="759">
        <f>Gen!T40</f>
        <v>2731</v>
      </c>
      <c r="K35" s="764">
        <f>Gen!AK40</f>
        <v>0</v>
      </c>
      <c r="L35" s="755">
        <f t="shared" si="17"/>
        <v>2731</v>
      </c>
      <c r="M35" s="448">
        <f>'Water-Meter'!K75</f>
        <v>417.4740757382126</v>
      </c>
      <c r="N35" s="715">
        <f>'Water-Meter'!E35</f>
        <v>58</v>
      </c>
      <c r="O35" s="706">
        <v>1.9</v>
      </c>
      <c r="P35" s="713">
        <v>19038</v>
      </c>
      <c r="Q35" s="725">
        <f t="shared" si="2"/>
        <v>0</v>
      </c>
      <c r="R35" s="426">
        <f t="shared" si="5"/>
        <v>0</v>
      </c>
      <c r="S35" s="701">
        <v>6.2</v>
      </c>
      <c r="T35" s="702">
        <v>17942</v>
      </c>
      <c r="U35" s="725">
        <f t="shared" si="6"/>
        <v>0</v>
      </c>
      <c r="V35" s="427">
        <f t="shared" si="19"/>
        <v>0</v>
      </c>
      <c r="W35" s="701">
        <v>1.7</v>
      </c>
      <c r="X35" s="707">
        <v>28101</v>
      </c>
      <c r="Y35" s="725">
        <f t="shared" si="8"/>
        <v>24</v>
      </c>
      <c r="Z35" s="705">
        <f t="shared" si="9"/>
        <v>40.799999999999997</v>
      </c>
      <c r="AA35" s="712">
        <f t="shared" si="10"/>
        <v>0</v>
      </c>
      <c r="AB35" s="709">
        <v>977</v>
      </c>
      <c r="AC35" s="690">
        <f t="shared" si="21"/>
        <v>35</v>
      </c>
      <c r="AD35" s="693">
        <v>215686</v>
      </c>
      <c r="AE35" s="178">
        <f t="shared" si="15"/>
        <v>44</v>
      </c>
      <c r="AF35" s="719">
        <f>'Lpg (2)'!B39*2000/85</f>
        <v>2000</v>
      </c>
      <c r="AG35" s="266">
        <f>'Lpg (2)'!C39*1000/85</f>
        <v>1000</v>
      </c>
      <c r="AH35" s="732">
        <f>'Lpg (2)'!D39*1000/85</f>
        <v>23.529411764705884</v>
      </c>
      <c r="AI35" s="722">
        <f t="shared" si="18"/>
        <v>5023529.4117647056</v>
      </c>
      <c r="AJ35" s="428">
        <f t="shared" si="4"/>
        <v>11764.705882353708</v>
      </c>
      <c r="AK35" s="132"/>
    </row>
    <row r="36" spans="1:37" ht="18.75">
      <c r="A36" s="753">
        <f>Gen!A41</f>
        <v>0</v>
      </c>
      <c r="B36" s="425">
        <f>'Summery Report'!E35</f>
        <v>0</v>
      </c>
      <c r="C36" s="758">
        <f>Gen!B41</f>
        <v>0</v>
      </c>
      <c r="D36" s="720">
        <f>'Summery Report'!E35</f>
        <v>0</v>
      </c>
      <c r="E36" s="720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0">
        <f>Gen!C41</f>
        <v>27860.560000000001</v>
      </c>
      <c r="I36" s="720">
        <f>Gen!E41</f>
        <v>0</v>
      </c>
      <c r="J36" s="759">
        <f>Gen!T41</f>
        <v>0</v>
      </c>
      <c r="K36" s="764">
        <f>Gen!AK41</f>
        <v>0</v>
      </c>
      <c r="L36" s="755">
        <f t="shared" si="17"/>
        <v>0</v>
      </c>
      <c r="M36" s="448">
        <f>'Water-Meter'!K76</f>
        <v>0</v>
      </c>
      <c r="N36" s="715" t="str">
        <f>'Water-Meter'!E36</f>
        <v>0</v>
      </c>
      <c r="O36" s="706"/>
      <c r="P36" s="713"/>
      <c r="Q36" s="725">
        <f t="shared" si="2"/>
        <v>-19038</v>
      </c>
      <c r="R36" s="426">
        <f t="shared" si="5"/>
        <v>0</v>
      </c>
      <c r="S36" s="701"/>
      <c r="T36" s="702"/>
      <c r="U36" s="725">
        <f t="shared" si="6"/>
        <v>-17942</v>
      </c>
      <c r="V36" s="427">
        <f t="shared" si="19"/>
        <v>0</v>
      </c>
      <c r="W36" s="701"/>
      <c r="X36" s="707"/>
      <c r="Y36" s="725">
        <f t="shared" si="8"/>
        <v>-28101</v>
      </c>
      <c r="Z36" s="705">
        <f t="shared" si="9"/>
        <v>0</v>
      </c>
      <c r="AA36" s="712">
        <f t="shared" si="10"/>
        <v>0</v>
      </c>
      <c r="AB36" s="709"/>
      <c r="AC36" s="690">
        <f t="shared" si="21"/>
        <v>-977</v>
      </c>
      <c r="AD36" s="693"/>
      <c r="AE36" s="178">
        <f t="shared" si="15"/>
        <v>-215686</v>
      </c>
      <c r="AF36" s="719">
        <f>'Lpg (2)'!B40*2000/85</f>
        <v>2000</v>
      </c>
      <c r="AG36" s="266">
        <f>'Lpg (2)'!C40*1000/85</f>
        <v>1000</v>
      </c>
      <c r="AH36" s="732">
        <f>'Lpg (2)'!D40*1000/85</f>
        <v>11.764705882352942</v>
      </c>
      <c r="AI36" s="722">
        <f>SUM(AF36*1000)+(AG36*1000)+(AH36*2000)</f>
        <v>3023529.411764706</v>
      </c>
      <c r="AJ36" s="428">
        <f t="shared" si="4"/>
        <v>1999999.9999999995</v>
      </c>
      <c r="AK36" s="132"/>
    </row>
    <row r="37" spans="1:37" s="8" customFormat="1" ht="18" thickBot="1">
      <c r="A37" s="754">
        <f>Gen!A42</f>
        <v>0</v>
      </c>
      <c r="B37" s="765">
        <v>0</v>
      </c>
      <c r="C37" s="766"/>
      <c r="D37" s="766"/>
      <c r="E37" s="766"/>
      <c r="F37" s="766"/>
      <c r="G37" s="766"/>
      <c r="H37" s="767"/>
      <c r="I37" s="768"/>
      <c r="J37" s="769">
        <f>SUM(J6:J36)</f>
        <v>87809</v>
      </c>
      <c r="K37" s="770"/>
      <c r="L37" s="756">
        <f t="shared" si="17"/>
        <v>87809</v>
      </c>
      <c r="M37" s="448">
        <f>'Water-Meter'!K77</f>
        <v>0</v>
      </c>
      <c r="N37" s="716">
        <f>'Water-Meter'!E37</f>
        <v>0</v>
      </c>
      <c r="O37" s="703"/>
      <c r="P37" s="704"/>
      <c r="Q37" s="726">
        <f t="shared" ref="Q37" si="22">SUM(P37-P36)</f>
        <v>0</v>
      </c>
      <c r="R37" s="727">
        <f t="shared" ref="R37" si="23">SUM(Q37*O37)</f>
        <v>0</v>
      </c>
      <c r="S37" s="703"/>
      <c r="T37" s="704"/>
      <c r="U37" s="726">
        <f t="shared" ref="U37" si="24">T37-T36</f>
        <v>0</v>
      </c>
      <c r="V37" s="728">
        <f t="shared" ref="V37" si="25">SUM(U37*S37)</f>
        <v>0</v>
      </c>
      <c r="W37" s="703"/>
      <c r="X37" s="704"/>
      <c r="Y37" s="726">
        <f t="shared" ref="Y37" si="26">X37-X36</f>
        <v>0</v>
      </c>
      <c r="Z37" s="729">
        <f t="shared" ref="Z37" si="27">SUM(Y37*W37)</f>
        <v>0</v>
      </c>
      <c r="AA37" s="730">
        <f t="shared" ref="AA37" si="28">SUM(Z37*X39)</f>
        <v>0</v>
      </c>
      <c r="AB37" s="698"/>
      <c r="AC37" s="691">
        <f t="shared" si="21"/>
        <v>0</v>
      </c>
      <c r="AD37" s="694"/>
      <c r="AE37" s="699">
        <f t="shared" si="15"/>
        <v>0</v>
      </c>
      <c r="AF37" s="733">
        <f>'Lpg (2)'!B41*2000/85</f>
        <v>0</v>
      </c>
      <c r="AG37" s="734">
        <f>'Lpg (2)'!C41*1000/85</f>
        <v>0</v>
      </c>
      <c r="AH37" s="735">
        <f>'Lpg (2)'!D41*1000/85</f>
        <v>0</v>
      </c>
      <c r="AI37" s="723"/>
      <c r="AJ37" s="429">
        <f t="shared" ref="AJ37" si="29">SUM(AI36-AI37)</f>
        <v>3023529.411764706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34" sqref="W3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88" t="s">
        <v>150</v>
      </c>
      <c r="C1" s="889"/>
      <c r="D1" s="889"/>
      <c r="E1" s="889"/>
      <c r="F1" s="890"/>
      <c r="G1" s="157"/>
      <c r="H1" s="888" t="s">
        <v>151</v>
      </c>
      <c r="I1" s="889"/>
      <c r="J1" s="889"/>
      <c r="K1" s="889"/>
      <c r="L1" s="890"/>
      <c r="M1" s="888" t="s">
        <v>170</v>
      </c>
      <c r="N1" s="889"/>
      <c r="O1" s="889"/>
      <c r="P1" s="889"/>
      <c r="Q1" s="890"/>
      <c r="R1" s="157"/>
      <c r="T1" s="888" t="s">
        <v>166</v>
      </c>
      <c r="U1" s="889"/>
      <c r="V1" s="889"/>
      <c r="W1" s="889"/>
      <c r="X1" s="890"/>
      <c r="Y1" s="888" t="s">
        <v>169</v>
      </c>
      <c r="Z1" s="889"/>
      <c r="AA1" s="889"/>
      <c r="AB1" s="889"/>
      <c r="AC1" s="890"/>
    </row>
    <row r="2" spans="1:29" ht="45.75" thickBot="1">
      <c r="A2" s="582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9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3">
        <f>Gen!A11</f>
        <v>44287</v>
      </c>
      <c r="B3" s="891" t="s">
        <v>156</v>
      </c>
      <c r="C3" s="892"/>
      <c r="D3" s="166"/>
      <c r="E3" s="577">
        <v>9204</v>
      </c>
      <c r="F3" s="584" t="s">
        <v>157</v>
      </c>
      <c r="G3" s="585"/>
      <c r="H3" s="891" t="s">
        <v>156</v>
      </c>
      <c r="I3" s="892"/>
      <c r="J3" s="611">
        <f>'Water-Meter'!G5</f>
        <v>75790</v>
      </c>
      <c r="K3" s="586">
        <f>'Water-Meter'!G5</f>
        <v>75790</v>
      </c>
      <c r="L3" s="241"/>
      <c r="M3" s="891" t="s">
        <v>156</v>
      </c>
      <c r="N3" s="892"/>
      <c r="O3" s="166"/>
      <c r="P3" s="587">
        <f>'Water-Meter'!J5</f>
        <v>8362</v>
      </c>
      <c r="Q3" s="165"/>
      <c r="R3" s="241"/>
      <c r="S3" s="640"/>
      <c r="T3" s="891" t="s">
        <v>156</v>
      </c>
      <c r="U3" s="892"/>
      <c r="V3" s="166"/>
      <c r="W3" s="578">
        <v>8073</v>
      </c>
      <c r="X3" s="588">
        <f t="shared" ref="X3:X35" si="0">(W3-V3)*200</f>
        <v>1614600</v>
      </c>
      <c r="Y3" s="891" t="s">
        <v>156</v>
      </c>
      <c r="Z3" s="892"/>
      <c r="AA3" s="166"/>
      <c r="AB3" s="169"/>
      <c r="AC3" s="170"/>
    </row>
    <row r="4" spans="1:29" ht="19.5" thickBot="1">
      <c r="A4" s="641">
        <f>Gen!B11</f>
        <v>0.156</v>
      </c>
      <c r="B4" s="589">
        <f>Gen!A11</f>
        <v>44287</v>
      </c>
      <c r="C4" s="590"/>
      <c r="D4" s="591">
        <f t="shared" ref="D4:D23" si="1">E3</f>
        <v>9204</v>
      </c>
      <c r="E4" s="577">
        <v>9206</v>
      </c>
      <c r="F4" s="591">
        <f t="shared" ref="F4:F15" si="2">SUM(E4-D4)*120</f>
        <v>240</v>
      </c>
      <c r="G4" s="590"/>
      <c r="H4" s="628">
        <f>B4</f>
        <v>44287</v>
      </c>
      <c r="I4" s="590"/>
      <c r="J4" s="629">
        <f>'Water-Meter'!G6</f>
        <v>75790</v>
      </c>
      <c r="K4" s="630">
        <f>'Water-Meter'!G6</f>
        <v>75790</v>
      </c>
      <c r="L4" s="590">
        <f t="shared" ref="L4:L34" si="3">SUM(K4-J4)</f>
        <v>0</v>
      </c>
      <c r="M4" s="628">
        <f>H4</f>
        <v>44287</v>
      </c>
      <c r="N4" s="590"/>
      <c r="O4" s="60"/>
      <c r="P4" s="597">
        <f>'Water-Meter'!J6</f>
        <v>8364</v>
      </c>
      <c r="Q4" s="590">
        <f>N4-O3</f>
        <v>0</v>
      </c>
      <c r="R4" s="631">
        <f t="shared" ref="R4:R20" si="4">SUM(Q4/1615)</f>
        <v>0</v>
      </c>
      <c r="S4" s="632">
        <f>Gen!T11</f>
        <v>3175</v>
      </c>
      <c r="T4" s="628">
        <f>M4</f>
        <v>44287</v>
      </c>
      <c r="U4" s="590"/>
      <c r="V4" s="591">
        <f t="shared" ref="V4:V33" si="5">W3</f>
        <v>8073</v>
      </c>
      <c r="W4" s="578">
        <v>8075</v>
      </c>
      <c r="X4" s="591">
        <f t="shared" si="0"/>
        <v>400</v>
      </c>
      <c r="Y4" s="628">
        <f>T4</f>
        <v>44287</v>
      </c>
      <c r="Z4" s="590"/>
      <c r="AA4" s="590"/>
      <c r="AB4" s="597">
        <f>'Water-Meter'!P6</f>
        <v>21117</v>
      </c>
      <c r="AC4" s="598">
        <f>AA4-AB3</f>
        <v>0</v>
      </c>
    </row>
    <row r="5" spans="1:29" ht="19.5" thickBot="1">
      <c r="A5" s="642">
        <f>Gen!B12</f>
        <v>0.16900000000000001</v>
      </c>
      <c r="B5" s="592">
        <f>Gen!A12</f>
        <v>44288</v>
      </c>
      <c r="C5" s="576"/>
      <c r="D5" s="581">
        <f t="shared" si="1"/>
        <v>9206</v>
      </c>
      <c r="E5" s="577">
        <v>9209</v>
      </c>
      <c r="F5" s="581">
        <f t="shared" si="2"/>
        <v>360</v>
      </c>
      <c r="G5" s="576"/>
      <c r="H5" s="623">
        <f t="shared" ref="H5:H35" si="6">B5</f>
        <v>44288</v>
      </c>
      <c r="I5" s="576"/>
      <c r="J5" s="624">
        <f>'Water-Meter'!G7</f>
        <v>75790</v>
      </c>
      <c r="K5" s="625">
        <f>'Water-Meter'!G7</f>
        <v>75790</v>
      </c>
      <c r="L5" s="576">
        <f t="shared" si="3"/>
        <v>0</v>
      </c>
      <c r="M5" s="623">
        <f t="shared" ref="M5:M35" si="7">H5</f>
        <v>44288</v>
      </c>
      <c r="N5" s="576"/>
      <c r="O5" s="6"/>
      <c r="P5" s="580">
        <f>'Water-Meter'!J7</f>
        <v>8366</v>
      </c>
      <c r="Q5" s="576">
        <f t="shared" ref="Q5:Q20" si="8">N5-O4</f>
        <v>0</v>
      </c>
      <c r="R5" s="626">
        <f t="shared" si="4"/>
        <v>0</v>
      </c>
      <c r="S5" s="627">
        <f>Gen!T12</f>
        <v>3187</v>
      </c>
      <c r="T5" s="628">
        <f t="shared" ref="T5:T34" si="9">M5</f>
        <v>44288</v>
      </c>
      <c r="U5" s="576"/>
      <c r="V5" s="581">
        <f t="shared" si="5"/>
        <v>8075</v>
      </c>
      <c r="W5" s="578">
        <v>8078</v>
      </c>
      <c r="X5" s="581">
        <f t="shared" si="0"/>
        <v>600</v>
      </c>
      <c r="Y5" s="623">
        <f t="shared" ref="Y5:Y30" si="10">T5</f>
        <v>44288</v>
      </c>
      <c r="Z5" s="576"/>
      <c r="AA5" s="576"/>
      <c r="AB5" s="580">
        <f>'Water-Meter'!P7</f>
        <v>21121</v>
      </c>
      <c r="AC5" s="633">
        <f t="shared" ref="AC5:AC35" si="11">AA5-AB4</f>
        <v>-21117</v>
      </c>
    </row>
    <row r="6" spans="1:29" ht="19.5" thickBot="1">
      <c r="A6" s="642">
        <f>Gen!B13</f>
        <v>0.23</v>
      </c>
      <c r="B6" s="592">
        <f>Gen!A13</f>
        <v>44289</v>
      </c>
      <c r="C6" s="576"/>
      <c r="D6" s="581">
        <f t="shared" si="1"/>
        <v>9209</v>
      </c>
      <c r="E6" s="577">
        <v>9211.7000000000007</v>
      </c>
      <c r="F6" s="581">
        <f t="shared" si="2"/>
        <v>324.00000000008731</v>
      </c>
      <c r="G6" s="576"/>
      <c r="H6" s="623">
        <f t="shared" si="6"/>
        <v>44289</v>
      </c>
      <c r="I6" s="576"/>
      <c r="J6" s="624">
        <f>'Water-Meter'!G8</f>
        <v>75790</v>
      </c>
      <c r="K6" s="625">
        <f>'Water-Meter'!G8</f>
        <v>75790</v>
      </c>
      <c r="L6" s="576">
        <f t="shared" si="3"/>
        <v>0</v>
      </c>
      <c r="M6" s="623">
        <f t="shared" si="7"/>
        <v>44289</v>
      </c>
      <c r="N6" s="576"/>
      <c r="O6" s="6"/>
      <c r="P6" s="580">
        <f>'Water-Meter'!J8</f>
        <v>8368</v>
      </c>
      <c r="Q6" s="576">
        <f t="shared" si="8"/>
        <v>0</v>
      </c>
      <c r="R6" s="626">
        <f t="shared" si="4"/>
        <v>0</v>
      </c>
      <c r="S6" s="627">
        <f>Gen!T13</f>
        <v>3546</v>
      </c>
      <c r="T6" s="628">
        <f t="shared" si="9"/>
        <v>44289</v>
      </c>
      <c r="U6" s="576"/>
      <c r="V6" s="581">
        <f t="shared" si="5"/>
        <v>8078</v>
      </c>
      <c r="W6" s="578">
        <v>8080</v>
      </c>
      <c r="X6" s="581">
        <f t="shared" si="0"/>
        <v>400</v>
      </c>
      <c r="Y6" s="623">
        <f t="shared" si="10"/>
        <v>44289</v>
      </c>
      <c r="Z6" s="576"/>
      <c r="AA6" s="576"/>
      <c r="AB6" s="580">
        <f>'Water-Meter'!P8</f>
        <v>21126</v>
      </c>
      <c r="AC6" s="633">
        <f t="shared" si="11"/>
        <v>-21121</v>
      </c>
    </row>
    <row r="7" spans="1:29" ht="19.5" thickBot="1">
      <c r="A7" s="642">
        <f>Gen!B14</f>
        <v>0.247</v>
      </c>
      <c r="B7" s="592">
        <f>Gen!A14</f>
        <v>44290</v>
      </c>
      <c r="C7" s="576"/>
      <c r="D7" s="581">
        <f t="shared" si="1"/>
        <v>9211.7000000000007</v>
      </c>
      <c r="E7" s="577">
        <v>9214.2000000000007</v>
      </c>
      <c r="F7" s="581">
        <f t="shared" si="2"/>
        <v>300</v>
      </c>
      <c r="G7" s="576"/>
      <c r="H7" s="623">
        <f t="shared" si="6"/>
        <v>44290</v>
      </c>
      <c r="I7" s="576"/>
      <c r="J7" s="624">
        <f>'Water-Meter'!G9</f>
        <v>75790</v>
      </c>
      <c r="K7" s="625">
        <f>'Water-Meter'!G9</f>
        <v>75790</v>
      </c>
      <c r="L7" s="576">
        <f t="shared" si="3"/>
        <v>0</v>
      </c>
      <c r="M7" s="623">
        <f t="shared" si="7"/>
        <v>44290</v>
      </c>
      <c r="N7" s="576"/>
      <c r="O7" s="6"/>
      <c r="P7" s="580">
        <f>'Water-Meter'!J9</f>
        <v>8369</v>
      </c>
      <c r="Q7" s="576">
        <f t="shared" si="8"/>
        <v>0</v>
      </c>
      <c r="R7" s="626">
        <f t="shared" si="4"/>
        <v>0</v>
      </c>
      <c r="S7" s="627">
        <f>Gen!T14</f>
        <v>3328</v>
      </c>
      <c r="T7" s="628">
        <f t="shared" si="9"/>
        <v>44290</v>
      </c>
      <c r="U7" s="576"/>
      <c r="V7" s="581">
        <f t="shared" si="5"/>
        <v>8080</v>
      </c>
      <c r="W7" s="578">
        <v>8081.8</v>
      </c>
      <c r="X7" s="581">
        <f t="shared" si="0"/>
        <v>360.00000000003638</v>
      </c>
      <c r="Y7" s="623">
        <f t="shared" si="10"/>
        <v>44290</v>
      </c>
      <c r="Z7" s="576"/>
      <c r="AA7" s="576"/>
      <c r="AB7" s="580">
        <f>'Water-Meter'!P9</f>
        <v>21130</v>
      </c>
      <c r="AC7" s="633">
        <f t="shared" si="11"/>
        <v>-21126</v>
      </c>
    </row>
    <row r="8" spans="1:29" ht="19.5" thickBot="1">
      <c r="A8" s="642">
        <f>Gen!B15</f>
        <v>0.13</v>
      </c>
      <c r="B8" s="592">
        <f>Gen!A15</f>
        <v>44291</v>
      </c>
      <c r="C8" s="576"/>
      <c r="D8" s="581">
        <f t="shared" si="1"/>
        <v>9214.2000000000007</v>
      </c>
      <c r="E8" s="577">
        <v>9216.7000000000007</v>
      </c>
      <c r="F8" s="581">
        <f t="shared" si="2"/>
        <v>300</v>
      </c>
      <c r="G8" s="576"/>
      <c r="H8" s="623">
        <f t="shared" si="6"/>
        <v>44291</v>
      </c>
      <c r="I8" s="576"/>
      <c r="J8" s="624">
        <f>'Water-Meter'!G10</f>
        <v>75790</v>
      </c>
      <c r="K8" s="625">
        <f>'Water-Meter'!G10</f>
        <v>75790</v>
      </c>
      <c r="L8" s="576">
        <f t="shared" si="3"/>
        <v>0</v>
      </c>
      <c r="M8" s="623">
        <f t="shared" si="7"/>
        <v>44291</v>
      </c>
      <c r="N8" s="576"/>
      <c r="O8" s="6"/>
      <c r="P8" s="580">
        <f>'Water-Meter'!J10</f>
        <v>8371</v>
      </c>
      <c r="Q8" s="576">
        <f t="shared" si="8"/>
        <v>0</v>
      </c>
      <c r="R8" s="626">
        <f t="shared" si="4"/>
        <v>0</v>
      </c>
      <c r="S8" s="627">
        <f>Gen!T15</f>
        <v>3250</v>
      </c>
      <c r="T8" s="628">
        <f t="shared" si="9"/>
        <v>44291</v>
      </c>
      <c r="U8" s="576"/>
      <c r="V8" s="581">
        <f t="shared" si="5"/>
        <v>8081.8</v>
      </c>
      <c r="W8" s="578">
        <v>8084</v>
      </c>
      <c r="X8" s="581">
        <f t="shared" si="0"/>
        <v>439.99999999996362</v>
      </c>
      <c r="Y8" s="623">
        <f t="shared" si="10"/>
        <v>44291</v>
      </c>
      <c r="Z8" s="576"/>
      <c r="AA8" s="576"/>
      <c r="AB8" s="580">
        <f>'Water-Meter'!P10</f>
        <v>21134</v>
      </c>
      <c r="AC8" s="633">
        <f t="shared" si="11"/>
        <v>-21130</v>
      </c>
    </row>
    <row r="9" spans="1:29" ht="19.5" thickBot="1">
      <c r="A9" s="642">
        <f>Gen!B16</f>
        <v>9.0999999999999998E-2</v>
      </c>
      <c r="B9" s="592">
        <f>Gen!A16</f>
        <v>44292</v>
      </c>
      <c r="C9" s="576"/>
      <c r="D9" s="581">
        <f t="shared" si="1"/>
        <v>9216.7000000000007</v>
      </c>
      <c r="E9" s="577">
        <v>9219.2999999999993</v>
      </c>
      <c r="F9" s="581">
        <f t="shared" si="2"/>
        <v>311.99999999982538</v>
      </c>
      <c r="G9" s="576"/>
      <c r="H9" s="623">
        <f t="shared" si="6"/>
        <v>44292</v>
      </c>
      <c r="I9" s="576"/>
      <c r="J9" s="624">
        <f>'Water-Meter'!G11</f>
        <v>75790</v>
      </c>
      <c r="K9" s="625">
        <f>'Water-Meter'!G11</f>
        <v>75790</v>
      </c>
      <c r="L9" s="576">
        <f t="shared" si="3"/>
        <v>0</v>
      </c>
      <c r="M9" s="623">
        <f t="shared" si="7"/>
        <v>44292</v>
      </c>
      <c r="N9" s="576"/>
      <c r="O9" s="6"/>
      <c r="P9" s="580">
        <f>'Water-Meter'!J11</f>
        <v>8372</v>
      </c>
      <c r="Q9" s="576">
        <f t="shared" si="8"/>
        <v>0</v>
      </c>
      <c r="R9" s="626">
        <f t="shared" si="4"/>
        <v>0</v>
      </c>
      <c r="S9" s="627">
        <f>Gen!T16</f>
        <v>3070</v>
      </c>
      <c r="T9" s="628">
        <f t="shared" si="9"/>
        <v>44292</v>
      </c>
      <c r="U9" s="576"/>
      <c r="V9" s="581">
        <f t="shared" si="5"/>
        <v>8084</v>
      </c>
      <c r="W9" s="578">
        <v>8086.5</v>
      </c>
      <c r="X9" s="581">
        <f t="shared" si="0"/>
        <v>500</v>
      </c>
      <c r="Y9" s="623">
        <f t="shared" si="10"/>
        <v>44292</v>
      </c>
      <c r="Z9" s="576"/>
      <c r="AA9" s="576"/>
      <c r="AB9" s="580">
        <f>'Water-Meter'!P11</f>
        <v>21142</v>
      </c>
      <c r="AC9" s="633">
        <f t="shared" si="11"/>
        <v>-21134</v>
      </c>
    </row>
    <row r="10" spans="1:29" ht="19.5" thickBot="1">
      <c r="A10" s="642">
        <f>Gen!B17</f>
        <v>6.5000000000000002E-2</v>
      </c>
      <c r="B10" s="592">
        <f>Gen!A17</f>
        <v>44293</v>
      </c>
      <c r="C10" s="576"/>
      <c r="D10" s="581">
        <f t="shared" si="1"/>
        <v>9219.2999999999993</v>
      </c>
      <c r="E10" s="577">
        <v>9221.7000000000007</v>
      </c>
      <c r="F10" s="581">
        <f t="shared" si="2"/>
        <v>288.00000000017462</v>
      </c>
      <c r="G10" s="576"/>
      <c r="H10" s="623">
        <f t="shared" si="6"/>
        <v>44293</v>
      </c>
      <c r="I10" s="576"/>
      <c r="J10" s="624">
        <f>'Water-Meter'!G12</f>
        <v>75790</v>
      </c>
      <c r="K10" s="625">
        <f>'Water-Meter'!G12</f>
        <v>75790</v>
      </c>
      <c r="L10" s="576">
        <f t="shared" si="3"/>
        <v>0</v>
      </c>
      <c r="M10" s="623">
        <f t="shared" si="7"/>
        <v>44293</v>
      </c>
      <c r="N10" s="576"/>
      <c r="O10" s="6"/>
      <c r="P10" s="580">
        <f>'Water-Meter'!J12</f>
        <v>8374</v>
      </c>
      <c r="Q10" s="576">
        <f t="shared" si="8"/>
        <v>0</v>
      </c>
      <c r="R10" s="626">
        <f t="shared" si="4"/>
        <v>0</v>
      </c>
      <c r="S10" s="627">
        <f>Gen!T17</f>
        <v>3363</v>
      </c>
      <c r="T10" s="628">
        <f t="shared" si="9"/>
        <v>44293</v>
      </c>
      <c r="U10" s="576"/>
      <c r="V10" s="581">
        <f t="shared" si="5"/>
        <v>8086.5</v>
      </c>
      <c r="W10" s="578">
        <v>8088.4</v>
      </c>
      <c r="X10" s="581">
        <f t="shared" si="0"/>
        <v>379.99999999992724</v>
      </c>
      <c r="Y10" s="623">
        <f t="shared" si="10"/>
        <v>44293</v>
      </c>
      <c r="Z10" s="576"/>
      <c r="AA10" s="576"/>
      <c r="AB10" s="580">
        <f>'Water-Meter'!P12</f>
        <v>21145</v>
      </c>
      <c r="AC10" s="633">
        <f t="shared" si="11"/>
        <v>-21142</v>
      </c>
    </row>
    <row r="11" spans="1:29" ht="19.5" thickBot="1">
      <c r="A11" s="642">
        <f>Gen!B18</f>
        <v>9.0999999999999998E-2</v>
      </c>
      <c r="B11" s="592">
        <f>Gen!A18</f>
        <v>44294</v>
      </c>
      <c r="C11" s="576"/>
      <c r="D11" s="581">
        <f t="shared" si="1"/>
        <v>9221.7000000000007</v>
      </c>
      <c r="E11" s="577">
        <v>9224</v>
      </c>
      <c r="F11" s="581">
        <f t="shared" si="2"/>
        <v>275.99999999991269</v>
      </c>
      <c r="G11" s="576"/>
      <c r="H11" s="623">
        <f t="shared" si="6"/>
        <v>44294</v>
      </c>
      <c r="I11" s="576"/>
      <c r="J11" s="624">
        <f>'Water-Meter'!G13</f>
        <v>75790</v>
      </c>
      <c r="K11" s="625">
        <f>'Water-Meter'!G13</f>
        <v>75790</v>
      </c>
      <c r="L11" s="576">
        <f t="shared" si="3"/>
        <v>0</v>
      </c>
      <c r="M11" s="623">
        <f t="shared" si="7"/>
        <v>44294</v>
      </c>
      <c r="N11" s="576"/>
      <c r="O11" s="6"/>
      <c r="P11" s="580">
        <f>'Water-Meter'!J13</f>
        <v>8376</v>
      </c>
      <c r="Q11" s="576">
        <f t="shared" si="8"/>
        <v>0</v>
      </c>
      <c r="R11" s="626">
        <f t="shared" si="4"/>
        <v>0</v>
      </c>
      <c r="S11" s="627">
        <f>Gen!T18</f>
        <v>3146</v>
      </c>
      <c r="T11" s="628">
        <f t="shared" si="9"/>
        <v>44294</v>
      </c>
      <c r="U11" s="576"/>
      <c r="V11" s="581">
        <f t="shared" si="5"/>
        <v>8088.4</v>
      </c>
      <c r="W11" s="578">
        <v>8090.2</v>
      </c>
      <c r="X11" s="581">
        <f t="shared" si="0"/>
        <v>360.00000000003638</v>
      </c>
      <c r="Y11" s="623">
        <f t="shared" si="10"/>
        <v>44294</v>
      </c>
      <c r="Z11" s="576"/>
      <c r="AA11" s="576"/>
      <c r="AB11" s="580">
        <f>'Water-Meter'!P13</f>
        <v>21151</v>
      </c>
      <c r="AC11" s="633">
        <f t="shared" si="11"/>
        <v>-21145</v>
      </c>
    </row>
    <row r="12" spans="1:29" ht="19.5" thickBot="1">
      <c r="A12" s="642">
        <f>Gen!B19</f>
        <v>6.5000000000000002E-2</v>
      </c>
      <c r="B12" s="592">
        <f>Gen!A19</f>
        <v>44295</v>
      </c>
      <c r="C12" s="576"/>
      <c r="D12" s="581">
        <f t="shared" si="1"/>
        <v>9224</v>
      </c>
      <c r="E12" s="577">
        <v>9226</v>
      </c>
      <c r="F12" s="581">
        <f t="shared" si="2"/>
        <v>240</v>
      </c>
      <c r="G12" s="576"/>
      <c r="H12" s="623">
        <f t="shared" si="6"/>
        <v>44295</v>
      </c>
      <c r="I12" s="576"/>
      <c r="J12" s="624">
        <f>'Water-Meter'!G14</f>
        <v>75790</v>
      </c>
      <c r="K12" s="625">
        <f>'Water-Meter'!G14</f>
        <v>75790</v>
      </c>
      <c r="L12" s="576">
        <f t="shared" si="3"/>
        <v>0</v>
      </c>
      <c r="M12" s="623">
        <f t="shared" si="7"/>
        <v>44295</v>
      </c>
      <c r="N12" s="576"/>
      <c r="O12" s="6"/>
      <c r="P12" s="580">
        <f>'Water-Meter'!J14</f>
        <v>8377</v>
      </c>
      <c r="Q12" s="576">
        <f t="shared" si="8"/>
        <v>0</v>
      </c>
      <c r="R12" s="626">
        <f t="shared" si="4"/>
        <v>0</v>
      </c>
      <c r="S12" s="627">
        <f>Gen!T19</f>
        <v>3314</v>
      </c>
      <c r="T12" s="628">
        <f t="shared" si="9"/>
        <v>44295</v>
      </c>
      <c r="U12" s="576"/>
      <c r="V12" s="581">
        <f t="shared" si="5"/>
        <v>8090.2</v>
      </c>
      <c r="W12" s="578">
        <v>8092.3</v>
      </c>
      <c r="X12" s="581">
        <f t="shared" si="0"/>
        <v>420.00000000007276</v>
      </c>
      <c r="Y12" s="623">
        <f t="shared" si="10"/>
        <v>44295</v>
      </c>
      <c r="Z12" s="576"/>
      <c r="AA12" s="576"/>
      <c r="AB12" s="580">
        <f>'Water-Meter'!P14</f>
        <v>21155</v>
      </c>
      <c r="AC12" s="633">
        <f t="shared" si="11"/>
        <v>-21151</v>
      </c>
    </row>
    <row r="13" spans="1:29" ht="19.5" thickBot="1">
      <c r="A13" s="642">
        <f>Gen!B20</f>
        <v>5.1999999999999998E-2</v>
      </c>
      <c r="B13" s="592">
        <f>Gen!A20</f>
        <v>44296</v>
      </c>
      <c r="C13" s="576"/>
      <c r="D13" s="581">
        <f t="shared" si="1"/>
        <v>9226</v>
      </c>
      <c r="E13" s="577">
        <v>9227.7999999999993</v>
      </c>
      <c r="F13" s="581">
        <f t="shared" si="2"/>
        <v>215.99999999991269</v>
      </c>
      <c r="G13" s="576"/>
      <c r="H13" s="623">
        <f t="shared" si="6"/>
        <v>44296</v>
      </c>
      <c r="I13" s="576"/>
      <c r="J13" s="624">
        <f>'Water-Meter'!G15</f>
        <v>75790</v>
      </c>
      <c r="K13" s="625">
        <f>'Water-Meter'!G15</f>
        <v>75790</v>
      </c>
      <c r="L13" s="576">
        <f t="shared" si="3"/>
        <v>0</v>
      </c>
      <c r="M13" s="623">
        <f t="shared" si="7"/>
        <v>44296</v>
      </c>
      <c r="N13" s="576"/>
      <c r="O13" s="6"/>
      <c r="P13" s="580">
        <f>'Water-Meter'!J15</f>
        <v>8379</v>
      </c>
      <c r="Q13" s="576">
        <f t="shared" si="8"/>
        <v>0</v>
      </c>
      <c r="R13" s="626">
        <f t="shared" si="4"/>
        <v>0</v>
      </c>
      <c r="S13" s="627">
        <f>Gen!T20</f>
        <v>3168</v>
      </c>
      <c r="T13" s="628">
        <f t="shared" si="9"/>
        <v>44296</v>
      </c>
      <c r="U13" s="576"/>
      <c r="V13" s="581">
        <f t="shared" si="5"/>
        <v>8092.3</v>
      </c>
      <c r="W13" s="578">
        <v>8093.6</v>
      </c>
      <c r="X13" s="581">
        <f t="shared" si="0"/>
        <v>260.00000000003638</v>
      </c>
      <c r="Y13" s="623">
        <f t="shared" si="10"/>
        <v>44296</v>
      </c>
      <c r="Z13" s="576"/>
      <c r="AA13" s="576"/>
      <c r="AB13" s="580">
        <f>'Water-Meter'!P15</f>
        <v>21158</v>
      </c>
      <c r="AC13" s="633">
        <f t="shared" si="11"/>
        <v>-21155</v>
      </c>
    </row>
    <row r="14" spans="1:29" ht="19.5" thickBot="1">
      <c r="A14" s="642">
        <f>Gen!B21</f>
        <v>0.104</v>
      </c>
      <c r="B14" s="592">
        <f>Gen!A21</f>
        <v>44297</v>
      </c>
      <c r="C14" s="576"/>
      <c r="D14" s="581">
        <f t="shared" si="1"/>
        <v>9227.7999999999993</v>
      </c>
      <c r="E14" s="577">
        <v>9229.6</v>
      </c>
      <c r="F14" s="581">
        <f t="shared" si="2"/>
        <v>216.00000000013097</v>
      </c>
      <c r="G14" s="576"/>
      <c r="H14" s="623">
        <f t="shared" si="6"/>
        <v>44297</v>
      </c>
      <c r="I14" s="576"/>
      <c r="J14" s="624">
        <f>'Water-Meter'!G16</f>
        <v>75790</v>
      </c>
      <c r="K14" s="625">
        <f>'Water-Meter'!G16</f>
        <v>75790</v>
      </c>
      <c r="L14" s="576">
        <f t="shared" si="3"/>
        <v>0</v>
      </c>
      <c r="M14" s="623">
        <f t="shared" si="7"/>
        <v>44297</v>
      </c>
      <c r="N14" s="576"/>
      <c r="O14" s="6"/>
      <c r="P14" s="580">
        <f>'Water-Meter'!J16</f>
        <v>8381</v>
      </c>
      <c r="Q14" s="576">
        <v>8095</v>
      </c>
      <c r="R14" s="626">
        <f t="shared" si="4"/>
        <v>5.0123839009287927</v>
      </c>
      <c r="S14" s="627">
        <f>Gen!T21</f>
        <v>3237</v>
      </c>
      <c r="T14" s="628">
        <f t="shared" si="9"/>
        <v>44297</v>
      </c>
      <c r="U14" s="576"/>
      <c r="V14" s="581">
        <f t="shared" si="5"/>
        <v>8093.6</v>
      </c>
      <c r="W14" s="578">
        <v>8095</v>
      </c>
      <c r="X14" s="581">
        <f t="shared" si="0"/>
        <v>279.99999999992724</v>
      </c>
      <c r="Y14" s="623">
        <f t="shared" si="10"/>
        <v>44297</v>
      </c>
      <c r="Z14" s="576"/>
      <c r="AA14" s="576"/>
      <c r="AB14" s="580">
        <f>'Water-Meter'!P16</f>
        <v>21161</v>
      </c>
      <c r="AC14" s="633">
        <v>20490</v>
      </c>
    </row>
    <row r="15" spans="1:29" ht="19.5" thickBot="1">
      <c r="A15" s="642">
        <f>Gen!B22</f>
        <v>0.104</v>
      </c>
      <c r="B15" s="592">
        <f>Gen!A22</f>
        <v>44298</v>
      </c>
      <c r="C15" s="576"/>
      <c r="D15" s="581">
        <f t="shared" si="1"/>
        <v>9229.6</v>
      </c>
      <c r="E15" s="577">
        <v>9231.6</v>
      </c>
      <c r="F15" s="581">
        <f t="shared" si="2"/>
        <v>240</v>
      </c>
      <c r="G15" s="576"/>
      <c r="H15" s="623">
        <f t="shared" si="6"/>
        <v>44298</v>
      </c>
      <c r="I15" s="576"/>
      <c r="J15" s="624">
        <f>'Water-Meter'!G17</f>
        <v>75790</v>
      </c>
      <c r="K15" s="625">
        <f>'Water-Meter'!G17</f>
        <v>75790</v>
      </c>
      <c r="L15" s="576">
        <f t="shared" si="3"/>
        <v>0</v>
      </c>
      <c r="M15" s="623">
        <f t="shared" si="7"/>
        <v>44298</v>
      </c>
      <c r="N15" s="576"/>
      <c r="O15" s="6"/>
      <c r="P15" s="580">
        <f>'Water-Meter'!J17</f>
        <v>8382</v>
      </c>
      <c r="Q15" s="576">
        <f t="shared" si="8"/>
        <v>0</v>
      </c>
      <c r="R15" s="626">
        <f t="shared" si="4"/>
        <v>0</v>
      </c>
      <c r="S15" s="627">
        <f>Gen!T22</f>
        <v>3269</v>
      </c>
      <c r="T15" s="628">
        <f t="shared" si="9"/>
        <v>44298</v>
      </c>
      <c r="U15" s="576"/>
      <c r="V15" s="581">
        <f t="shared" si="5"/>
        <v>8095</v>
      </c>
      <c r="W15" s="578">
        <v>8096.2</v>
      </c>
      <c r="X15" s="581">
        <f t="shared" si="0"/>
        <v>239.99999999996362</v>
      </c>
      <c r="Y15" s="623">
        <f t="shared" si="10"/>
        <v>44298</v>
      </c>
      <c r="Z15" s="576"/>
      <c r="AA15" s="576"/>
      <c r="AB15" s="580">
        <f>'Water-Meter'!P17</f>
        <v>21167</v>
      </c>
      <c r="AC15" s="633">
        <f t="shared" si="11"/>
        <v>-21161</v>
      </c>
    </row>
    <row r="16" spans="1:29" ht="19.5" thickBot="1">
      <c r="A16" s="642">
        <f>Gen!B23</f>
        <v>1.2999999999999999E-2</v>
      </c>
      <c r="B16" s="592">
        <f>Gen!A23</f>
        <v>44299</v>
      </c>
      <c r="C16" s="576"/>
      <c r="D16" s="581">
        <f t="shared" si="1"/>
        <v>9231.6</v>
      </c>
      <c r="E16" s="577">
        <v>9233.4</v>
      </c>
      <c r="F16" s="581">
        <f>SUM(E16-D16)*120</f>
        <v>215.99999999991269</v>
      </c>
      <c r="G16" s="576"/>
      <c r="H16" s="623">
        <f t="shared" si="6"/>
        <v>44299</v>
      </c>
      <c r="I16" s="576"/>
      <c r="J16" s="624">
        <f>'Water-Meter'!G18</f>
        <v>75790</v>
      </c>
      <c r="K16" s="625">
        <f>'Water-Meter'!G18</f>
        <v>75790</v>
      </c>
      <c r="L16" s="576">
        <f t="shared" si="3"/>
        <v>0</v>
      </c>
      <c r="M16" s="623">
        <f t="shared" si="7"/>
        <v>44299</v>
      </c>
      <c r="N16" s="576"/>
      <c r="O16" s="6"/>
      <c r="P16" s="580">
        <f>'Water-Meter'!J18</f>
        <v>8383</v>
      </c>
      <c r="Q16" s="576">
        <f t="shared" si="8"/>
        <v>0</v>
      </c>
      <c r="R16" s="626">
        <f t="shared" si="4"/>
        <v>0</v>
      </c>
      <c r="S16" s="627">
        <f>Gen!T23</f>
        <v>2665</v>
      </c>
      <c r="T16" s="628">
        <f t="shared" si="9"/>
        <v>44299</v>
      </c>
      <c r="U16" s="576"/>
      <c r="V16" s="581">
        <f t="shared" si="5"/>
        <v>8096.2</v>
      </c>
      <c r="W16" s="578">
        <v>8097.7</v>
      </c>
      <c r="X16" s="581">
        <f t="shared" si="0"/>
        <v>300</v>
      </c>
      <c r="Y16" s="623">
        <f t="shared" si="10"/>
        <v>44299</v>
      </c>
      <c r="Z16" s="576"/>
      <c r="AA16" s="576"/>
      <c r="AB16" s="580">
        <f>'Water-Meter'!P18</f>
        <v>21169</v>
      </c>
      <c r="AC16" s="633">
        <f t="shared" si="11"/>
        <v>-21167</v>
      </c>
    </row>
    <row r="17" spans="1:29" ht="19.5" thickBot="1">
      <c r="A17" s="642">
        <f>Gen!B24</f>
        <v>0</v>
      </c>
      <c r="B17" s="592">
        <f>Gen!A24</f>
        <v>44300</v>
      </c>
      <c r="C17" s="576"/>
      <c r="D17" s="581">
        <f t="shared" si="1"/>
        <v>9233.4</v>
      </c>
      <c r="E17" s="577">
        <v>9235.2999999999993</v>
      </c>
      <c r="F17" s="581">
        <f>SUM(E17-D17)*120</f>
        <v>227.99999999995634</v>
      </c>
      <c r="G17" s="576"/>
      <c r="H17" s="623">
        <f t="shared" si="6"/>
        <v>44300</v>
      </c>
      <c r="I17" s="576"/>
      <c r="J17" s="624">
        <f>'Water-Meter'!G19</f>
        <v>75790</v>
      </c>
      <c r="K17" s="625">
        <f>'Water-Meter'!G19</f>
        <v>75790</v>
      </c>
      <c r="L17" s="576">
        <f t="shared" si="3"/>
        <v>0</v>
      </c>
      <c r="M17" s="623">
        <f t="shared" si="7"/>
        <v>44300</v>
      </c>
      <c r="N17" s="576"/>
      <c r="O17" s="6"/>
      <c r="P17" s="580">
        <f>'Water-Meter'!J19</f>
        <v>8384</v>
      </c>
      <c r="Q17" s="576">
        <f t="shared" si="8"/>
        <v>0</v>
      </c>
      <c r="R17" s="626">
        <f t="shared" si="4"/>
        <v>0</v>
      </c>
      <c r="S17" s="627">
        <f>Gen!T24</f>
        <v>2643</v>
      </c>
      <c r="T17" s="628">
        <f t="shared" si="9"/>
        <v>44300</v>
      </c>
      <c r="U17" s="576"/>
      <c r="V17" s="581">
        <f t="shared" si="5"/>
        <v>8097.7</v>
      </c>
      <c r="W17" s="578">
        <v>8098.6</v>
      </c>
      <c r="X17" s="581">
        <f t="shared" si="0"/>
        <v>180.00000000010914</v>
      </c>
      <c r="Y17" s="623">
        <f t="shared" si="10"/>
        <v>44300</v>
      </c>
      <c r="Z17" s="576"/>
      <c r="AA17" s="576"/>
      <c r="AB17" s="580">
        <f>'Water-Meter'!P19</f>
        <v>21171</v>
      </c>
      <c r="AC17" s="633">
        <f t="shared" si="11"/>
        <v>-21169</v>
      </c>
    </row>
    <row r="18" spans="1:29" ht="19.5" thickBot="1">
      <c r="A18" s="642">
        <f>Gen!B25</f>
        <v>0</v>
      </c>
      <c r="B18" s="592">
        <f>Gen!A25</f>
        <v>44301</v>
      </c>
      <c r="C18" s="576"/>
      <c r="D18" s="581">
        <f t="shared" si="1"/>
        <v>9235.2999999999993</v>
      </c>
      <c r="E18" s="577">
        <v>9237.1</v>
      </c>
      <c r="F18" s="581">
        <f t="shared" ref="F18:F22" si="12">SUM(E18-D18)*120</f>
        <v>216.00000000013097</v>
      </c>
      <c r="G18" s="576"/>
      <c r="H18" s="623">
        <f t="shared" si="6"/>
        <v>44301</v>
      </c>
      <c r="I18" s="576"/>
      <c r="J18" s="624">
        <f>'Water-Meter'!G20</f>
        <v>75790</v>
      </c>
      <c r="K18" s="625">
        <f>'Water-Meter'!G20</f>
        <v>75790</v>
      </c>
      <c r="L18" s="576">
        <f t="shared" si="3"/>
        <v>0</v>
      </c>
      <c r="M18" s="623">
        <f t="shared" si="7"/>
        <v>44301</v>
      </c>
      <c r="N18" s="576"/>
      <c r="O18" s="6">
        <f>'Water-Meter'!J20</f>
        <v>8385</v>
      </c>
      <c r="P18" s="580">
        <f>'Water-Meter'!J20</f>
        <v>8385</v>
      </c>
      <c r="Q18" s="576">
        <f t="shared" si="8"/>
        <v>0</v>
      </c>
      <c r="R18" s="626">
        <f t="shared" si="4"/>
        <v>0</v>
      </c>
      <c r="S18" s="627">
        <f>Gen!T25</f>
        <v>2618</v>
      </c>
      <c r="T18" s="628">
        <f t="shared" si="9"/>
        <v>44301</v>
      </c>
      <c r="U18" s="576"/>
      <c r="V18" s="581">
        <f t="shared" si="5"/>
        <v>8098.6</v>
      </c>
      <c r="W18" s="578">
        <v>8100.1</v>
      </c>
      <c r="X18" s="581">
        <f t="shared" si="0"/>
        <v>300</v>
      </c>
      <c r="Y18" s="623">
        <f t="shared" si="10"/>
        <v>44301</v>
      </c>
      <c r="Z18" s="576"/>
      <c r="AA18" s="576"/>
      <c r="AB18" s="580">
        <f>'Water-Meter'!P20</f>
        <v>21176</v>
      </c>
      <c r="AC18" s="633">
        <f t="shared" si="11"/>
        <v>-21171</v>
      </c>
    </row>
    <row r="19" spans="1:29" ht="19.5" thickBot="1">
      <c r="A19" s="642">
        <f>Gen!B26</f>
        <v>0</v>
      </c>
      <c r="B19" s="592">
        <f>Gen!A26</f>
        <v>44302</v>
      </c>
      <c r="C19" s="579"/>
      <c r="D19" s="581">
        <f t="shared" si="1"/>
        <v>9237.1</v>
      </c>
      <c r="E19" s="577">
        <v>9238.7999999999993</v>
      </c>
      <c r="F19" s="581">
        <f t="shared" si="12"/>
        <v>203.99999999986903</v>
      </c>
      <c r="G19" s="576"/>
      <c r="H19" s="623">
        <f t="shared" si="6"/>
        <v>44302</v>
      </c>
      <c r="I19" s="579"/>
      <c r="J19" s="624">
        <f>'Water-Meter'!G21</f>
        <v>75790</v>
      </c>
      <c r="K19" s="625">
        <f>'Water-Meter'!G21</f>
        <v>75790</v>
      </c>
      <c r="L19" s="576">
        <f t="shared" si="3"/>
        <v>0</v>
      </c>
      <c r="M19" s="623">
        <f t="shared" si="7"/>
        <v>44302</v>
      </c>
      <c r="N19" s="579"/>
      <c r="O19" s="6">
        <f>'Water-Meter'!J21</f>
        <v>8387</v>
      </c>
      <c r="P19" s="580">
        <f>'Water-Meter'!J21</f>
        <v>8387</v>
      </c>
      <c r="Q19" s="576">
        <f t="shared" si="8"/>
        <v>-8385</v>
      </c>
      <c r="R19" s="626">
        <f t="shared" si="4"/>
        <v>-5.1919504643962853</v>
      </c>
      <c r="S19" s="627">
        <f>Gen!T26</f>
        <v>2546</v>
      </c>
      <c r="T19" s="628">
        <f t="shared" si="9"/>
        <v>44302</v>
      </c>
      <c r="U19" s="579"/>
      <c r="V19" s="581">
        <f t="shared" si="5"/>
        <v>8100.1</v>
      </c>
      <c r="W19" s="578">
        <v>8101.1</v>
      </c>
      <c r="X19" s="581">
        <f t="shared" si="0"/>
        <v>200</v>
      </c>
      <c r="Y19" s="623">
        <f t="shared" si="10"/>
        <v>44302</v>
      </c>
      <c r="Z19" s="579"/>
      <c r="AA19" s="576"/>
      <c r="AB19" s="580">
        <f>'Water-Meter'!P21</f>
        <v>21178</v>
      </c>
      <c r="AC19" s="633">
        <f t="shared" si="11"/>
        <v>-21176</v>
      </c>
    </row>
    <row r="20" spans="1:29" ht="19.5" thickBot="1">
      <c r="A20" s="642">
        <f>Gen!B27</f>
        <v>1.2999999999999999E-2</v>
      </c>
      <c r="B20" s="592">
        <f>Gen!A27</f>
        <v>44303</v>
      </c>
      <c r="C20" s="579"/>
      <c r="D20" s="581">
        <f t="shared" si="1"/>
        <v>9238.7999999999993</v>
      </c>
      <c r="E20" s="577">
        <v>9240.7999999999993</v>
      </c>
      <c r="F20" s="581">
        <f t="shared" si="12"/>
        <v>240</v>
      </c>
      <c r="G20" s="576"/>
      <c r="H20" s="623">
        <f t="shared" si="6"/>
        <v>44303</v>
      </c>
      <c r="I20" s="579"/>
      <c r="J20" s="624">
        <f>'Water-Meter'!G22</f>
        <v>75790</v>
      </c>
      <c r="K20" s="625">
        <f>'Water-Meter'!G22</f>
        <v>75790</v>
      </c>
      <c r="L20" s="576">
        <f t="shared" si="3"/>
        <v>0</v>
      </c>
      <c r="M20" s="623">
        <f t="shared" si="7"/>
        <v>44303</v>
      </c>
      <c r="N20" s="579"/>
      <c r="O20" s="6">
        <f>'Water-Meter'!J22</f>
        <v>8389</v>
      </c>
      <c r="P20" s="580">
        <f>'Water-Meter'!J22</f>
        <v>8389</v>
      </c>
      <c r="Q20" s="576">
        <f t="shared" si="8"/>
        <v>-8387</v>
      </c>
      <c r="R20" s="626">
        <f t="shared" si="4"/>
        <v>-5.193188854489164</v>
      </c>
      <c r="S20" s="627">
        <f>Gen!T27</f>
        <v>2694</v>
      </c>
      <c r="T20" s="628">
        <f t="shared" si="9"/>
        <v>44303</v>
      </c>
      <c r="U20" s="579"/>
      <c r="V20" s="581">
        <f t="shared" si="5"/>
        <v>8101.1</v>
      </c>
      <c r="W20" s="578">
        <v>8101.9</v>
      </c>
      <c r="X20" s="581">
        <f t="shared" si="0"/>
        <v>159.99999999985448</v>
      </c>
      <c r="Y20" s="623">
        <f t="shared" si="10"/>
        <v>44303</v>
      </c>
      <c r="Z20" s="579"/>
      <c r="AA20" s="576"/>
      <c r="AB20" s="580">
        <f>'Water-Meter'!P22</f>
        <v>21183</v>
      </c>
      <c r="AC20" s="633">
        <f t="shared" si="11"/>
        <v>-21178</v>
      </c>
    </row>
    <row r="21" spans="1:29" ht="19.5" thickBot="1">
      <c r="A21" s="642">
        <f>Gen!B28</f>
        <v>3.9E-2</v>
      </c>
      <c r="B21" s="592">
        <f>Gen!A28</f>
        <v>44304</v>
      </c>
      <c r="C21" s="579"/>
      <c r="D21" s="581">
        <f t="shared" si="1"/>
        <v>9240.7999999999993</v>
      </c>
      <c r="E21" s="577">
        <v>9242.9</v>
      </c>
      <c r="F21" s="581">
        <f t="shared" si="12"/>
        <v>252.00000000004366</v>
      </c>
      <c r="G21" s="576"/>
      <c r="H21" s="623">
        <f t="shared" si="6"/>
        <v>44304</v>
      </c>
      <c r="I21" s="579"/>
      <c r="J21" s="624">
        <f>'Water-Meter'!G23</f>
        <v>75790</v>
      </c>
      <c r="K21" s="625">
        <f>'Water-Meter'!G23</f>
        <v>75790</v>
      </c>
      <c r="L21" s="576">
        <f t="shared" si="3"/>
        <v>0</v>
      </c>
      <c r="M21" s="623">
        <f t="shared" si="7"/>
        <v>44304</v>
      </c>
      <c r="N21" s="579"/>
      <c r="O21" s="6">
        <f>'Water-Meter'!J23</f>
        <v>8390</v>
      </c>
      <c r="P21" s="580">
        <f>'Water-Meter'!J23</f>
        <v>8390</v>
      </c>
      <c r="Q21" s="576">
        <f t="shared" ref="Q21:Q35" si="13">N21-O20</f>
        <v>-8389</v>
      </c>
      <c r="R21" s="626">
        <f t="shared" ref="R21:R35" si="14">SUM(Q21/1615)</f>
        <v>-5.1944272445820436</v>
      </c>
      <c r="S21" s="627">
        <f>Gen!T28</f>
        <v>2839</v>
      </c>
      <c r="T21" s="628">
        <f t="shared" si="9"/>
        <v>44304</v>
      </c>
      <c r="U21" s="579"/>
      <c r="V21" s="581">
        <f t="shared" si="5"/>
        <v>8101.9</v>
      </c>
      <c r="W21" s="578">
        <v>8103.3</v>
      </c>
      <c r="X21" s="581">
        <f t="shared" si="0"/>
        <v>280.00000000010914</v>
      </c>
      <c r="Y21" s="623">
        <f t="shared" si="10"/>
        <v>44304</v>
      </c>
      <c r="Z21" s="579"/>
      <c r="AA21" s="576"/>
      <c r="AB21" s="580">
        <f>'Water-Meter'!P23</f>
        <v>21187</v>
      </c>
      <c r="AC21" s="633">
        <f t="shared" si="11"/>
        <v>-21183</v>
      </c>
    </row>
    <row r="22" spans="1:29" ht="19.5" thickBot="1">
      <c r="A22" s="642">
        <f>Gen!B29</f>
        <v>6.5000000000000002E-2</v>
      </c>
      <c r="B22" s="592">
        <f>Gen!A29</f>
        <v>44305</v>
      </c>
      <c r="C22" s="576"/>
      <c r="D22" s="581">
        <f t="shared" si="1"/>
        <v>9242.9</v>
      </c>
      <c r="E22" s="577">
        <v>9245</v>
      </c>
      <c r="F22" s="581">
        <f t="shared" si="12"/>
        <v>252.00000000004366</v>
      </c>
      <c r="G22" s="576"/>
      <c r="H22" s="623">
        <f t="shared" si="6"/>
        <v>44305</v>
      </c>
      <c r="I22" s="576"/>
      <c r="J22" s="624">
        <f>'Water-Meter'!G24</f>
        <v>75790</v>
      </c>
      <c r="K22" s="625">
        <f>'Water-Meter'!G24</f>
        <v>75790</v>
      </c>
      <c r="L22" s="576">
        <f t="shared" si="3"/>
        <v>0</v>
      </c>
      <c r="M22" s="623">
        <f t="shared" si="7"/>
        <v>44305</v>
      </c>
      <c r="N22" s="576"/>
      <c r="O22" s="6">
        <f>'Water-Meter'!J24</f>
        <v>8391</v>
      </c>
      <c r="P22" s="580">
        <f>'Water-Meter'!J24</f>
        <v>8391</v>
      </c>
      <c r="Q22" s="576">
        <f t="shared" si="13"/>
        <v>-8390</v>
      </c>
      <c r="R22" s="626">
        <f t="shared" si="14"/>
        <v>-5.1950464396284826</v>
      </c>
      <c r="S22" s="627">
        <f>Gen!T29</f>
        <v>2733</v>
      </c>
      <c r="T22" s="628">
        <f t="shared" si="9"/>
        <v>44305</v>
      </c>
      <c r="U22" s="576"/>
      <c r="V22" s="581">
        <f t="shared" si="5"/>
        <v>8103.3</v>
      </c>
      <c r="W22" s="578">
        <v>8104.6</v>
      </c>
      <c r="X22" s="581">
        <f t="shared" si="0"/>
        <v>260.00000000003638</v>
      </c>
      <c r="Y22" s="623">
        <f t="shared" si="10"/>
        <v>44305</v>
      </c>
      <c r="Z22" s="576"/>
      <c r="AA22" s="576"/>
      <c r="AB22" s="580">
        <f>'Water-Meter'!P24</f>
        <v>21191</v>
      </c>
      <c r="AC22" s="633">
        <f t="shared" si="11"/>
        <v>-21187</v>
      </c>
    </row>
    <row r="23" spans="1:29" ht="19.5" thickBot="1">
      <c r="A23" s="642">
        <f>Gen!B30</f>
        <v>5.1999999999999998E-2</v>
      </c>
      <c r="B23" s="592">
        <f>Gen!A30</f>
        <v>44306</v>
      </c>
      <c r="C23" s="579"/>
      <c r="D23" s="581">
        <f t="shared" si="1"/>
        <v>9245</v>
      </c>
      <c r="E23" s="577">
        <v>9247.1</v>
      </c>
      <c r="F23" s="581">
        <f t="shared" ref="F23:F34" si="15">SUM(E23-D23)*120</f>
        <v>252.00000000004366</v>
      </c>
      <c r="G23" s="576"/>
      <c r="H23" s="623">
        <f t="shared" si="6"/>
        <v>44306</v>
      </c>
      <c r="I23" s="579"/>
      <c r="J23" s="624">
        <f>'Water-Meter'!G25</f>
        <v>75790</v>
      </c>
      <c r="K23" s="625">
        <f>'Water-Meter'!G26</f>
        <v>75790</v>
      </c>
      <c r="L23" s="576">
        <f t="shared" si="3"/>
        <v>0</v>
      </c>
      <c r="M23" s="623">
        <f t="shared" si="7"/>
        <v>44306</v>
      </c>
      <c r="N23" s="579"/>
      <c r="O23" s="6">
        <f>'Water-Meter'!J25</f>
        <v>8392</v>
      </c>
      <c r="P23" s="580">
        <f>'Water-Meter'!J25</f>
        <v>8392</v>
      </c>
      <c r="Q23" s="576">
        <f t="shared" si="13"/>
        <v>-8391</v>
      </c>
      <c r="R23" s="626">
        <f t="shared" si="14"/>
        <v>-5.1956656346749224</v>
      </c>
      <c r="S23" s="627">
        <f>Gen!T30</f>
        <v>2856</v>
      </c>
      <c r="T23" s="628">
        <f t="shared" si="9"/>
        <v>44306</v>
      </c>
      <c r="U23" s="579"/>
      <c r="V23" s="581">
        <f t="shared" si="5"/>
        <v>8104.6</v>
      </c>
      <c r="W23" s="578">
        <v>8105.8</v>
      </c>
      <c r="X23" s="581">
        <f t="shared" si="0"/>
        <v>239.99999999996362</v>
      </c>
      <c r="Y23" s="623">
        <f t="shared" si="10"/>
        <v>44306</v>
      </c>
      <c r="Z23" s="579"/>
      <c r="AA23" s="576"/>
      <c r="AB23" s="580">
        <f>'Water-Meter'!P25</f>
        <v>21194</v>
      </c>
      <c r="AC23" s="633">
        <f t="shared" si="11"/>
        <v>-21191</v>
      </c>
    </row>
    <row r="24" spans="1:29" ht="19.5" thickBot="1">
      <c r="A24" s="642">
        <f>Gen!B31</f>
        <v>2.5999999999999999E-2</v>
      </c>
      <c r="B24" s="592">
        <f>Gen!A31</f>
        <v>44307</v>
      </c>
      <c r="C24" s="579"/>
      <c r="D24" s="581">
        <f t="shared" ref="D24:D35" si="16">SUM(E23)</f>
        <v>9247.1</v>
      </c>
      <c r="E24" s="577">
        <v>9249</v>
      </c>
      <c r="F24" s="581">
        <f t="shared" si="15"/>
        <v>227.99999999995634</v>
      </c>
      <c r="G24" s="576"/>
      <c r="H24" s="623">
        <f t="shared" si="6"/>
        <v>44307</v>
      </c>
      <c r="I24" s="579"/>
      <c r="J24" s="624">
        <f>'Water-Meter'!G26</f>
        <v>75790</v>
      </c>
      <c r="K24" s="625">
        <f>'Water-Meter'!G27</f>
        <v>75790</v>
      </c>
      <c r="L24" s="576">
        <f t="shared" si="3"/>
        <v>0</v>
      </c>
      <c r="M24" s="623">
        <f t="shared" si="7"/>
        <v>44307</v>
      </c>
      <c r="N24" s="579"/>
      <c r="O24" s="6">
        <f>'Water-Meter'!J26</f>
        <v>8395</v>
      </c>
      <c r="P24" s="580">
        <f>'Water-Meter'!J26</f>
        <v>8395</v>
      </c>
      <c r="Q24" s="576">
        <f t="shared" si="13"/>
        <v>-8392</v>
      </c>
      <c r="R24" s="626">
        <f t="shared" si="14"/>
        <v>-5.1962848297213622</v>
      </c>
      <c r="S24" s="627">
        <f>Gen!T31</f>
        <v>2700</v>
      </c>
      <c r="T24" s="628">
        <f t="shared" si="9"/>
        <v>44307</v>
      </c>
      <c r="U24" s="579"/>
      <c r="V24" s="581">
        <f t="shared" si="5"/>
        <v>8105.8</v>
      </c>
      <c r="W24" s="578">
        <v>8107.2</v>
      </c>
      <c r="X24" s="581">
        <f t="shared" si="0"/>
        <v>279.99999999992724</v>
      </c>
      <c r="Y24" s="623">
        <f t="shared" si="10"/>
        <v>44307</v>
      </c>
      <c r="Z24" s="579"/>
      <c r="AA24" s="576"/>
      <c r="AB24" s="580">
        <f>'Water-Meter'!P26</f>
        <v>21197</v>
      </c>
      <c r="AC24" s="633">
        <f t="shared" si="11"/>
        <v>-21194</v>
      </c>
    </row>
    <row r="25" spans="1:29" ht="19.5" thickBot="1">
      <c r="A25" s="642">
        <f>Gen!B32</f>
        <v>0</v>
      </c>
      <c r="B25" s="592">
        <f>Gen!A32</f>
        <v>44308</v>
      </c>
      <c r="C25" s="579"/>
      <c r="D25" s="581">
        <f t="shared" si="16"/>
        <v>9249</v>
      </c>
      <c r="E25" s="577">
        <v>9250.9</v>
      </c>
      <c r="F25" s="581">
        <f t="shared" si="15"/>
        <v>227.99999999995634</v>
      </c>
      <c r="G25" s="576"/>
      <c r="H25" s="623">
        <f t="shared" si="6"/>
        <v>44308</v>
      </c>
      <c r="I25" s="579"/>
      <c r="J25" s="624">
        <f>'Water-Meter'!G27</f>
        <v>75790</v>
      </c>
      <c r="K25" s="625">
        <f>'Water-Meter'!G28</f>
        <v>75790</v>
      </c>
      <c r="L25" s="576">
        <f t="shared" si="3"/>
        <v>0</v>
      </c>
      <c r="M25" s="623">
        <f t="shared" si="7"/>
        <v>44308</v>
      </c>
      <c r="N25" s="579"/>
      <c r="O25" s="6">
        <f>'Water-Meter'!J27</f>
        <v>8397</v>
      </c>
      <c r="P25" s="580">
        <f>'Water-Meter'!J27</f>
        <v>8397</v>
      </c>
      <c r="Q25" s="576">
        <f t="shared" si="13"/>
        <v>-8395</v>
      </c>
      <c r="R25" s="626">
        <f t="shared" si="14"/>
        <v>-5.1981424148606807</v>
      </c>
      <c r="S25" s="627">
        <f>Gen!T32</f>
        <v>2593</v>
      </c>
      <c r="T25" s="628">
        <f t="shared" si="9"/>
        <v>44308</v>
      </c>
      <c r="U25" s="579"/>
      <c r="V25" s="581">
        <f t="shared" si="5"/>
        <v>8107.2</v>
      </c>
      <c r="W25" s="578">
        <v>8108.9</v>
      </c>
      <c r="X25" s="581">
        <f t="shared" si="0"/>
        <v>339.99999999996362</v>
      </c>
      <c r="Y25" s="623">
        <f t="shared" si="10"/>
        <v>44308</v>
      </c>
      <c r="Z25" s="579"/>
      <c r="AA25" s="576"/>
      <c r="AB25" s="580">
        <f>'Water-Meter'!P27</f>
        <v>21203</v>
      </c>
      <c r="AC25" s="633">
        <f t="shared" si="11"/>
        <v>-21197</v>
      </c>
    </row>
    <row r="26" spans="1:29" ht="19.5" thickBot="1">
      <c r="A26" s="642">
        <f>Gen!B33</f>
        <v>1.2999999999999999E-2</v>
      </c>
      <c r="B26" s="592">
        <f>Gen!A33</f>
        <v>44309</v>
      </c>
      <c r="C26" s="579"/>
      <c r="D26" s="581">
        <f t="shared" si="16"/>
        <v>9250.9</v>
      </c>
      <c r="E26" s="577">
        <v>9252.9</v>
      </c>
      <c r="F26" s="581">
        <f t="shared" si="15"/>
        <v>240</v>
      </c>
      <c r="G26" s="576"/>
      <c r="H26" s="623">
        <f t="shared" si="6"/>
        <v>44309</v>
      </c>
      <c r="I26" s="579"/>
      <c r="J26" s="624">
        <f>'Water-Meter'!G28</f>
        <v>75790</v>
      </c>
      <c r="K26" s="625">
        <f>'Water-Meter'!G29</f>
        <v>75790</v>
      </c>
      <c r="L26" s="576">
        <f t="shared" si="3"/>
        <v>0</v>
      </c>
      <c r="M26" s="623">
        <f t="shared" si="7"/>
        <v>44309</v>
      </c>
      <c r="N26" s="579"/>
      <c r="O26" s="6">
        <f>'Water-Meter'!J28</f>
        <v>8398</v>
      </c>
      <c r="P26" s="580">
        <f>'Water-Meter'!J28</f>
        <v>8398</v>
      </c>
      <c r="Q26" s="576">
        <f t="shared" si="13"/>
        <v>-8397</v>
      </c>
      <c r="R26" s="626">
        <f t="shared" si="14"/>
        <v>-5.1993808049535604</v>
      </c>
      <c r="S26" s="627">
        <f>Gen!T33</f>
        <v>2657</v>
      </c>
      <c r="T26" s="628">
        <f t="shared" si="9"/>
        <v>44309</v>
      </c>
      <c r="U26" s="579"/>
      <c r="V26" s="581">
        <f t="shared" si="5"/>
        <v>8108.9</v>
      </c>
      <c r="W26" s="578">
        <v>8110.6</v>
      </c>
      <c r="X26" s="581">
        <f t="shared" si="0"/>
        <v>340.00000000014552</v>
      </c>
      <c r="Y26" s="623">
        <f t="shared" si="10"/>
        <v>44309</v>
      </c>
      <c r="Z26" s="579"/>
      <c r="AA26" s="576"/>
      <c r="AB26" s="580">
        <f>'Water-Meter'!P28</f>
        <v>21205</v>
      </c>
      <c r="AC26" s="633">
        <f t="shared" si="11"/>
        <v>-21203</v>
      </c>
    </row>
    <row r="27" spans="1:29" ht="19.5" thickBot="1">
      <c r="A27" s="642">
        <f>Gen!B34</f>
        <v>2.5999999999999999E-2</v>
      </c>
      <c r="B27" s="592">
        <f>Gen!A34</f>
        <v>44310</v>
      </c>
      <c r="C27" s="579"/>
      <c r="D27" s="581">
        <f t="shared" si="16"/>
        <v>9252.9</v>
      </c>
      <c r="E27" s="577">
        <v>9255</v>
      </c>
      <c r="F27" s="581">
        <f t="shared" si="15"/>
        <v>252.00000000004366</v>
      </c>
      <c r="G27" s="576"/>
      <c r="H27" s="623">
        <f t="shared" si="6"/>
        <v>44310</v>
      </c>
      <c r="I27" s="579"/>
      <c r="J27" s="624">
        <f>'Water-Meter'!G29</f>
        <v>75790</v>
      </c>
      <c r="K27" s="625">
        <f>'Water-Meter'!G30</f>
        <v>75790</v>
      </c>
      <c r="L27" s="576">
        <f t="shared" si="3"/>
        <v>0</v>
      </c>
      <c r="M27" s="623">
        <f t="shared" si="7"/>
        <v>44310</v>
      </c>
      <c r="N27" s="579"/>
      <c r="O27" s="6">
        <f>'Water-Meter'!J29</f>
        <v>8399</v>
      </c>
      <c r="P27" s="580">
        <f>'Water-Meter'!J29</f>
        <v>8399</v>
      </c>
      <c r="Q27" s="576">
        <f t="shared" si="13"/>
        <v>-8398</v>
      </c>
      <c r="R27" s="626">
        <f t="shared" si="14"/>
        <v>-5.2</v>
      </c>
      <c r="S27" s="627">
        <f>Gen!T34</f>
        <v>2629</v>
      </c>
      <c r="T27" s="628">
        <f t="shared" si="9"/>
        <v>44310</v>
      </c>
      <c r="U27" s="579"/>
      <c r="V27" s="581">
        <f t="shared" si="5"/>
        <v>8110.6</v>
      </c>
      <c r="W27" s="578">
        <v>8111.3</v>
      </c>
      <c r="X27" s="581">
        <f t="shared" si="0"/>
        <v>139.99999999996362</v>
      </c>
      <c r="Y27" s="623">
        <f t="shared" si="10"/>
        <v>44310</v>
      </c>
      <c r="Z27" s="579"/>
      <c r="AA27" s="576"/>
      <c r="AB27" s="580">
        <f>'Water-Meter'!P29</f>
        <v>21205</v>
      </c>
      <c r="AC27" s="633">
        <f t="shared" si="11"/>
        <v>-21205</v>
      </c>
    </row>
    <row r="28" spans="1:29" ht="19.5" thickBot="1">
      <c r="A28" s="642">
        <f>Gen!B35</f>
        <v>5.1999999999999998E-2</v>
      </c>
      <c r="B28" s="592">
        <f>Gen!A35</f>
        <v>44311</v>
      </c>
      <c r="C28" s="579"/>
      <c r="D28" s="581">
        <f t="shared" si="16"/>
        <v>9255</v>
      </c>
      <c r="E28" s="577">
        <v>9257.5</v>
      </c>
      <c r="F28" s="581">
        <f t="shared" si="15"/>
        <v>300</v>
      </c>
      <c r="G28" s="576"/>
      <c r="H28" s="623">
        <f t="shared" si="6"/>
        <v>44311</v>
      </c>
      <c r="I28" s="579"/>
      <c r="J28" s="624">
        <f>'Water-Meter'!G30</f>
        <v>75790</v>
      </c>
      <c r="K28" s="625">
        <f>'Water-Meter'!G31</f>
        <v>75790</v>
      </c>
      <c r="L28" s="576">
        <f t="shared" si="3"/>
        <v>0</v>
      </c>
      <c r="M28" s="623">
        <f t="shared" si="7"/>
        <v>44311</v>
      </c>
      <c r="N28" s="579"/>
      <c r="O28" s="6">
        <f>'Water-Meter'!J30</f>
        <v>8401</v>
      </c>
      <c r="P28" s="580">
        <f>'Water-Meter'!J30</f>
        <v>8401</v>
      </c>
      <c r="Q28" s="576">
        <f t="shared" si="13"/>
        <v>-8399</v>
      </c>
      <c r="R28" s="626">
        <f t="shared" si="14"/>
        <v>-5.20061919504644</v>
      </c>
      <c r="S28" s="627">
        <f>Gen!T35</f>
        <v>2890</v>
      </c>
      <c r="T28" s="628">
        <f t="shared" si="9"/>
        <v>44311</v>
      </c>
      <c r="U28" s="579"/>
      <c r="V28" s="581">
        <f t="shared" si="5"/>
        <v>8111.3</v>
      </c>
      <c r="W28" s="578">
        <v>8112.7</v>
      </c>
      <c r="X28" s="581">
        <f t="shared" si="0"/>
        <v>279.99999999992724</v>
      </c>
      <c r="Y28" s="623">
        <f t="shared" si="10"/>
        <v>44311</v>
      </c>
      <c r="Z28" s="579"/>
      <c r="AA28" s="576"/>
      <c r="AB28" s="580">
        <f>'Water-Meter'!P30</f>
        <v>21209</v>
      </c>
      <c r="AC28" s="633">
        <f t="shared" si="11"/>
        <v>-21205</v>
      </c>
    </row>
    <row r="29" spans="1:29" ht="19.5" thickBot="1">
      <c r="A29" s="642">
        <f>Gen!B36</f>
        <v>5.1999999999999998E-2</v>
      </c>
      <c r="B29" s="592">
        <f>Gen!A36</f>
        <v>44312</v>
      </c>
      <c r="C29" s="579"/>
      <c r="D29" s="581">
        <f t="shared" si="16"/>
        <v>9257.5</v>
      </c>
      <c r="E29" s="577">
        <v>9259.7999999999993</v>
      </c>
      <c r="F29" s="581">
        <f t="shared" si="15"/>
        <v>275.99999999991269</v>
      </c>
      <c r="G29" s="576"/>
      <c r="H29" s="623">
        <f t="shared" si="6"/>
        <v>44312</v>
      </c>
      <c r="I29" s="579"/>
      <c r="J29" s="624">
        <f>'Water-Meter'!G31</f>
        <v>75790</v>
      </c>
      <c r="K29" s="625">
        <f>'Water-Meter'!G32</f>
        <v>75790</v>
      </c>
      <c r="L29" s="576">
        <f t="shared" si="3"/>
        <v>0</v>
      </c>
      <c r="M29" s="623">
        <f t="shared" si="7"/>
        <v>44312</v>
      </c>
      <c r="N29" s="579"/>
      <c r="O29" s="6">
        <f>'Water-Meter'!J31</f>
        <v>8404</v>
      </c>
      <c r="P29" s="580">
        <f>'Water-Meter'!J31</f>
        <v>8404</v>
      </c>
      <c r="Q29" s="576">
        <f t="shared" si="13"/>
        <v>-8401</v>
      </c>
      <c r="R29" s="626">
        <f t="shared" si="14"/>
        <v>-5.2018575851393187</v>
      </c>
      <c r="S29" s="627">
        <f>Gen!T36</f>
        <v>2691</v>
      </c>
      <c r="T29" s="628">
        <f t="shared" si="9"/>
        <v>44312</v>
      </c>
      <c r="U29" s="579"/>
      <c r="V29" s="581">
        <f t="shared" si="5"/>
        <v>8112.7</v>
      </c>
      <c r="W29" s="578">
        <v>8113.8</v>
      </c>
      <c r="X29" s="581">
        <f t="shared" si="0"/>
        <v>220.00000000007276</v>
      </c>
      <c r="Y29" s="623">
        <f t="shared" si="10"/>
        <v>44312</v>
      </c>
      <c r="Z29" s="579"/>
      <c r="AA29" s="576"/>
      <c r="AB29" s="580">
        <f>'Water-Meter'!P31</f>
        <v>21213</v>
      </c>
      <c r="AC29" s="633">
        <f t="shared" si="11"/>
        <v>-21209</v>
      </c>
    </row>
    <row r="30" spans="1:29" ht="19.5" thickBot="1">
      <c r="A30" s="642">
        <f>Gen!B37</f>
        <v>3.5999999999999997E-2</v>
      </c>
      <c r="B30" s="592">
        <f>Gen!A37</f>
        <v>44313</v>
      </c>
      <c r="C30" s="579"/>
      <c r="D30" s="581">
        <f t="shared" si="16"/>
        <v>9259.7999999999993</v>
      </c>
      <c r="E30" s="577">
        <v>9262.2000000000007</v>
      </c>
      <c r="F30" s="581">
        <f t="shared" si="15"/>
        <v>288.00000000017462</v>
      </c>
      <c r="G30" s="576"/>
      <c r="H30" s="623">
        <f t="shared" si="6"/>
        <v>44313</v>
      </c>
      <c r="I30" s="579"/>
      <c r="J30" s="624">
        <f>'Water-Meter'!G32</f>
        <v>75790</v>
      </c>
      <c r="K30" s="625">
        <f>'Water-Meter'!G33</f>
        <v>75790</v>
      </c>
      <c r="L30" s="576">
        <f t="shared" si="3"/>
        <v>0</v>
      </c>
      <c r="M30" s="623">
        <f t="shared" si="7"/>
        <v>44313</v>
      </c>
      <c r="N30" s="579"/>
      <c r="O30" s="6">
        <f>'Water-Meter'!J32</f>
        <v>8406</v>
      </c>
      <c r="P30" s="580">
        <f>'Water-Meter'!J32</f>
        <v>8406</v>
      </c>
      <c r="Q30" s="576">
        <f t="shared" si="13"/>
        <v>-8404</v>
      </c>
      <c r="R30" s="626">
        <f t="shared" si="14"/>
        <v>-5.2037151702786382</v>
      </c>
      <c r="S30" s="627">
        <f>Gen!T37</f>
        <v>2733</v>
      </c>
      <c r="T30" s="628">
        <f t="shared" si="9"/>
        <v>44313</v>
      </c>
      <c r="U30" s="579"/>
      <c r="V30" s="581">
        <f t="shared" si="5"/>
        <v>8113.8</v>
      </c>
      <c r="W30" s="578">
        <v>8115.2</v>
      </c>
      <c r="X30" s="581">
        <f t="shared" si="0"/>
        <v>279.99999999992724</v>
      </c>
      <c r="Y30" s="623">
        <f t="shared" si="10"/>
        <v>44313</v>
      </c>
      <c r="Z30" s="579"/>
      <c r="AA30" s="576"/>
      <c r="AB30" s="580">
        <f>'Water-Meter'!P32</f>
        <v>21217</v>
      </c>
      <c r="AC30" s="633">
        <f t="shared" si="11"/>
        <v>-21213</v>
      </c>
    </row>
    <row r="31" spans="1:29" ht="19.5" thickBot="1">
      <c r="A31" s="642">
        <f>Gen!B38</f>
        <v>3.9E-2</v>
      </c>
      <c r="B31" s="592">
        <f>Gen!A38</f>
        <v>44314</v>
      </c>
      <c r="C31" s="579"/>
      <c r="D31" s="581">
        <f t="shared" si="16"/>
        <v>9262.2000000000007</v>
      </c>
      <c r="E31" s="577">
        <v>9264.4</v>
      </c>
      <c r="F31" s="581">
        <f t="shared" si="15"/>
        <v>263.99999999986903</v>
      </c>
      <c r="G31" s="576"/>
      <c r="H31" s="623">
        <f t="shared" si="6"/>
        <v>44314</v>
      </c>
      <c r="I31" s="579"/>
      <c r="J31" s="624">
        <f>'Water-Meter'!G33</f>
        <v>75790</v>
      </c>
      <c r="K31" s="625">
        <f>'Water-Meter'!G34</f>
        <v>75790</v>
      </c>
      <c r="L31" s="576">
        <f t="shared" si="3"/>
        <v>0</v>
      </c>
      <c r="M31" s="623">
        <f t="shared" si="7"/>
        <v>44314</v>
      </c>
      <c r="N31" s="579"/>
      <c r="O31" s="6">
        <f>'Water-Meter'!J33</f>
        <v>8408</v>
      </c>
      <c r="P31" s="580">
        <f>'Water-Meter'!J33</f>
        <v>8408</v>
      </c>
      <c r="Q31" s="576">
        <f t="shared" si="13"/>
        <v>-8406</v>
      </c>
      <c r="R31" s="626">
        <f t="shared" si="14"/>
        <v>-5.2049535603715169</v>
      </c>
      <c r="S31" s="627">
        <f>Gen!T38</f>
        <v>2725</v>
      </c>
      <c r="T31" s="628">
        <f t="shared" si="9"/>
        <v>44314</v>
      </c>
      <c r="U31" s="579"/>
      <c r="V31" s="581">
        <f t="shared" si="5"/>
        <v>8115.2</v>
      </c>
      <c r="W31" s="578">
        <v>8116.2</v>
      </c>
      <c r="X31" s="581">
        <f t="shared" si="0"/>
        <v>200</v>
      </c>
      <c r="Y31" s="623">
        <f>T31</f>
        <v>44314</v>
      </c>
      <c r="Z31" s="579"/>
      <c r="AA31" s="576"/>
      <c r="AB31" s="580">
        <f>'Water-Meter'!P33</f>
        <v>21221</v>
      </c>
      <c r="AC31" s="633">
        <f t="shared" si="11"/>
        <v>-21217</v>
      </c>
    </row>
    <row r="32" spans="1:29" ht="19.5" thickBot="1">
      <c r="A32" s="642">
        <f>Gen!B39</f>
        <v>2.5999999999999999E-2</v>
      </c>
      <c r="B32" s="592">
        <f>Gen!A39</f>
        <v>44315</v>
      </c>
      <c r="C32" s="579"/>
      <c r="D32" s="581">
        <f t="shared" si="16"/>
        <v>9264.4</v>
      </c>
      <c r="E32" s="577">
        <v>9266.7999999999993</v>
      </c>
      <c r="F32" s="581">
        <f t="shared" si="15"/>
        <v>287.99999999995634</v>
      </c>
      <c r="G32" s="576"/>
      <c r="H32" s="623">
        <f t="shared" si="6"/>
        <v>44315</v>
      </c>
      <c r="I32" s="579"/>
      <c r="J32" s="624">
        <f>'Water-Meter'!G34</f>
        <v>75790</v>
      </c>
      <c r="K32" s="625">
        <f>'Water-Meter'!G34</f>
        <v>75790</v>
      </c>
      <c r="L32" s="576">
        <f t="shared" si="3"/>
        <v>0</v>
      </c>
      <c r="M32" s="623">
        <f t="shared" si="7"/>
        <v>44315</v>
      </c>
      <c r="N32" s="579"/>
      <c r="O32" s="6">
        <f>'Water-Meter'!J34</f>
        <v>8409</v>
      </c>
      <c r="P32" s="580">
        <f>'Water-Meter'!J34</f>
        <v>8409</v>
      </c>
      <c r="Q32" s="576">
        <f t="shared" si="13"/>
        <v>-8408</v>
      </c>
      <c r="R32" s="626">
        <f t="shared" si="14"/>
        <v>-5.2061919504643965</v>
      </c>
      <c r="S32" s="627">
        <f>Gen!T39</f>
        <v>2813</v>
      </c>
      <c r="T32" s="628">
        <f t="shared" si="9"/>
        <v>44315</v>
      </c>
      <c r="U32" s="579"/>
      <c r="V32" s="581">
        <f t="shared" si="5"/>
        <v>8116.2</v>
      </c>
      <c r="W32" s="578">
        <v>8117.9</v>
      </c>
      <c r="X32" s="581">
        <f t="shared" si="0"/>
        <v>339.99999999996362</v>
      </c>
      <c r="Y32" s="623">
        <f t="shared" ref="Y32:Y35" si="17">T32</f>
        <v>44315</v>
      </c>
      <c r="Z32" s="579"/>
      <c r="AA32" s="576"/>
      <c r="AB32" s="580">
        <f>'Water-Meter'!P34</f>
        <v>21227</v>
      </c>
      <c r="AC32" s="633">
        <f t="shared" si="11"/>
        <v>-21221</v>
      </c>
    </row>
    <row r="33" spans="1:29" ht="19.5" thickBot="1">
      <c r="A33" s="642">
        <f>Gen!B40</f>
        <v>0.01</v>
      </c>
      <c r="B33" s="592">
        <f>Gen!A40</f>
        <v>44316</v>
      </c>
      <c r="C33" s="579"/>
      <c r="D33" s="581">
        <f t="shared" si="16"/>
        <v>9266.7999999999993</v>
      </c>
      <c r="E33" s="577">
        <v>9269.1</v>
      </c>
      <c r="F33" s="581">
        <f t="shared" si="15"/>
        <v>276.00000000013097</v>
      </c>
      <c r="G33" s="576"/>
      <c r="H33" s="623">
        <f t="shared" si="6"/>
        <v>44316</v>
      </c>
      <c r="I33" s="579"/>
      <c r="J33" s="624">
        <f>'Water-Meter'!G35</f>
        <v>75790</v>
      </c>
      <c r="K33" s="625">
        <f>'Water-Meter'!G35</f>
        <v>75790</v>
      </c>
      <c r="L33" s="576">
        <f t="shared" si="3"/>
        <v>0</v>
      </c>
      <c r="M33" s="623">
        <f t="shared" si="7"/>
        <v>44316</v>
      </c>
      <c r="N33" s="579"/>
      <c r="O33" s="6">
        <f>'Water-Meter'!J35</f>
        <v>8410</v>
      </c>
      <c r="P33" s="580">
        <f>'Water-Meter'!J35</f>
        <v>8410</v>
      </c>
      <c r="Q33" s="576">
        <f t="shared" si="13"/>
        <v>-8409</v>
      </c>
      <c r="R33" s="626">
        <f t="shared" si="14"/>
        <v>-5.2068111455108363</v>
      </c>
      <c r="S33" s="627">
        <f>Gen!T40</f>
        <v>2731</v>
      </c>
      <c r="T33" s="628">
        <f t="shared" si="9"/>
        <v>44316</v>
      </c>
      <c r="U33" s="579"/>
      <c r="V33" s="581">
        <f t="shared" si="5"/>
        <v>8117.9</v>
      </c>
      <c r="W33" s="578">
        <v>8119.9</v>
      </c>
      <c r="X33" s="581">
        <f t="shared" si="0"/>
        <v>400</v>
      </c>
      <c r="Y33" s="623">
        <f t="shared" si="17"/>
        <v>44316</v>
      </c>
      <c r="Z33" s="579"/>
      <c r="AA33" s="576"/>
      <c r="AB33" s="580">
        <f>'Water-Meter'!P35</f>
        <v>21230</v>
      </c>
      <c r="AC33" s="633">
        <f t="shared" si="11"/>
        <v>-21227</v>
      </c>
    </row>
    <row r="34" spans="1:29" ht="18.75">
      <c r="A34" s="642">
        <f>Gen!B41</f>
        <v>0</v>
      </c>
      <c r="B34" s="592"/>
      <c r="C34" s="6"/>
      <c r="D34" s="581">
        <f t="shared" si="16"/>
        <v>9269.1</v>
      </c>
      <c r="E34" s="577"/>
      <c r="F34" s="581">
        <f t="shared" si="15"/>
        <v>-1112292</v>
      </c>
      <c r="G34" s="6"/>
      <c r="H34" s="623">
        <f t="shared" si="6"/>
        <v>0</v>
      </c>
      <c r="I34" s="6"/>
      <c r="J34" s="624">
        <f>'Water-Meter'!G36</f>
        <v>0</v>
      </c>
      <c r="K34" s="625">
        <f>'Water-Meter'!G36</f>
        <v>0</v>
      </c>
      <c r="L34" s="576">
        <f t="shared" si="3"/>
        <v>0</v>
      </c>
      <c r="M34" s="623">
        <f t="shared" si="7"/>
        <v>0</v>
      </c>
      <c r="N34" s="6"/>
      <c r="O34" s="6">
        <f>'Water-Meter'!J36</f>
        <v>0</v>
      </c>
      <c r="P34" s="580">
        <f>'Water-Meter'!J36</f>
        <v>0</v>
      </c>
      <c r="Q34" s="576">
        <f t="shared" si="13"/>
        <v>-8410</v>
      </c>
      <c r="R34" s="626">
        <f t="shared" si="14"/>
        <v>-5.2074303405572753</v>
      </c>
      <c r="S34" s="627">
        <f>Gen!T41</f>
        <v>0</v>
      </c>
      <c r="T34" s="628">
        <f t="shared" si="9"/>
        <v>0</v>
      </c>
      <c r="U34" s="6"/>
      <c r="V34" s="581">
        <f t="shared" ref="V34:V35" si="18">SUM(W33)</f>
        <v>8119.9</v>
      </c>
      <c r="W34" s="578"/>
      <c r="X34" s="581">
        <f t="shared" si="0"/>
        <v>-1623980</v>
      </c>
      <c r="Y34" s="623">
        <f t="shared" si="17"/>
        <v>0</v>
      </c>
      <c r="Z34" s="6"/>
      <c r="AA34" s="576"/>
      <c r="AB34" s="580">
        <f>'Water-Meter'!P36</f>
        <v>0</v>
      </c>
      <c r="AC34" s="633">
        <f t="shared" si="11"/>
        <v>-21230</v>
      </c>
    </row>
    <row r="35" spans="1:29" ht="20.25" customHeight="1" thickBot="1">
      <c r="A35" s="643" t="e">
        <f>[1]Gen!B42</f>
        <v>#REF!</v>
      </c>
      <c r="B35" s="593" t="e">
        <f>[1]Gen!A42</f>
        <v>#REF!</v>
      </c>
      <c r="C35" s="7"/>
      <c r="D35" s="594">
        <f t="shared" si="16"/>
        <v>0</v>
      </c>
      <c r="E35" s="595"/>
      <c r="F35" s="596">
        <f>SUM(F4:F6)</f>
        <v>924.00000000008731</v>
      </c>
      <c r="G35" s="7"/>
      <c r="H35" s="634" t="e">
        <f t="shared" si="6"/>
        <v>#REF!</v>
      </c>
      <c r="I35" s="7"/>
      <c r="J35" s="599">
        <f t="shared" ref="J35" si="19">SUM(K34)</f>
        <v>0</v>
      </c>
      <c r="K35" s="635">
        <f>'Water-Meter'!G37</f>
        <v>0</v>
      </c>
      <c r="L35" s="7">
        <f>SUM(L5:L34)</f>
        <v>0</v>
      </c>
      <c r="M35" s="634" t="e">
        <f t="shared" si="7"/>
        <v>#REF!</v>
      </c>
      <c r="N35" s="7"/>
      <c r="O35" s="599"/>
      <c r="P35" s="600">
        <f>'Water-Meter'!J37</f>
        <v>0</v>
      </c>
      <c r="Q35" s="599">
        <f t="shared" si="13"/>
        <v>0</v>
      </c>
      <c r="R35" s="636">
        <f t="shared" si="14"/>
        <v>0</v>
      </c>
      <c r="S35" s="637">
        <f>Gen!T42</f>
        <v>0</v>
      </c>
      <c r="T35" s="634" t="e">
        <f t="shared" ref="T35" si="20">M35</f>
        <v>#REF!</v>
      </c>
      <c r="U35" s="7"/>
      <c r="V35" s="594">
        <f t="shared" si="18"/>
        <v>0</v>
      </c>
      <c r="W35" s="601"/>
      <c r="X35" s="594">
        <f t="shared" si="0"/>
        <v>0</v>
      </c>
      <c r="Y35" s="634" t="e">
        <f t="shared" si="17"/>
        <v>#REF!</v>
      </c>
      <c r="Z35" s="7"/>
      <c r="AA35" s="599"/>
      <c r="AB35" s="600">
        <f>'Water-Meter'!P37</f>
        <v>0</v>
      </c>
      <c r="AC35" s="638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1400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4" sqref="E2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93">
        <f>A5</f>
        <v>44287</v>
      </c>
      <c r="B1" s="893"/>
      <c r="C1" s="893"/>
      <c r="D1" s="893"/>
      <c r="E1" s="893"/>
      <c r="F1" s="893"/>
      <c r="G1" s="893"/>
      <c r="H1" s="893"/>
      <c r="I1" s="893"/>
      <c r="J1" s="893"/>
      <c r="K1" s="893"/>
      <c r="L1" s="893"/>
    </row>
    <row r="2" spans="1:13">
      <c r="A2" s="894"/>
      <c r="B2" s="894"/>
      <c r="C2" s="894"/>
      <c r="D2" s="894"/>
      <c r="E2" s="894"/>
      <c r="F2" s="894"/>
      <c r="G2" s="894"/>
      <c r="H2" s="894"/>
      <c r="I2" s="894"/>
      <c r="J2" s="894"/>
      <c r="K2" s="894"/>
      <c r="L2" s="894"/>
    </row>
    <row r="3" spans="1:13" ht="50.25" customHeight="1" thickBot="1">
      <c r="A3" s="664"/>
      <c r="B3" s="665"/>
      <c r="C3" s="75"/>
      <c r="D3" s="75"/>
      <c r="E3" s="75"/>
      <c r="F3" s="75"/>
      <c r="G3" s="75"/>
      <c r="H3" s="75"/>
      <c r="I3" s="75"/>
      <c r="J3" s="75"/>
      <c r="K3" s="75"/>
      <c r="L3" s="666"/>
    </row>
    <row r="4" spans="1:13" s="50" customFormat="1" ht="50.25" customHeight="1" thickBot="1">
      <c r="A4" s="667" t="s">
        <v>0</v>
      </c>
      <c r="B4" s="668" t="s">
        <v>66</v>
      </c>
      <c r="C4" s="669" t="s">
        <v>50</v>
      </c>
      <c r="D4" s="670" t="s">
        <v>64</v>
      </c>
      <c r="E4" s="670" t="s">
        <v>65</v>
      </c>
      <c r="F4" s="671" t="s">
        <v>42</v>
      </c>
      <c r="G4" s="670" t="s">
        <v>203</v>
      </c>
      <c r="H4" s="670" t="s">
        <v>206</v>
      </c>
      <c r="I4" s="670" t="s">
        <v>204</v>
      </c>
      <c r="J4" s="670" t="s">
        <v>205</v>
      </c>
      <c r="K4" s="671" t="s">
        <v>51</v>
      </c>
      <c r="L4" s="672" t="s">
        <v>76</v>
      </c>
    </row>
    <row r="5" spans="1:13">
      <c r="A5" s="661">
        <f>Gen!A11</f>
        <v>44287</v>
      </c>
      <c r="B5" s="644">
        <f>'Daily report Gen'!Z6</f>
        <v>24</v>
      </c>
      <c r="C5" s="645">
        <f>Gen!B11</f>
        <v>0.156</v>
      </c>
      <c r="D5" s="646">
        <f t="shared" ref="D5:D36" si="0">E5</f>
        <v>1.3</v>
      </c>
      <c r="E5" s="647">
        <v>1.3</v>
      </c>
      <c r="F5" s="70">
        <f>Gen!U11</f>
        <v>0.41777952755905512</v>
      </c>
      <c r="G5" s="648">
        <f>Gen!T9</f>
        <v>0</v>
      </c>
      <c r="H5" s="648">
        <f>Gen!AK11</f>
        <v>0</v>
      </c>
      <c r="I5" s="648">
        <f t="shared" ref="I5:I36" si="1">SUM(G5:H5)</f>
        <v>0</v>
      </c>
      <c r="J5" s="649">
        <f>Gen!C11</f>
        <v>34515.97</v>
      </c>
      <c r="K5" s="650">
        <f>'Water-Meter'!E6</f>
        <v>89</v>
      </c>
      <c r="L5" s="651">
        <f>'Lpg (2)'!G10</f>
        <v>84.4799999999872</v>
      </c>
      <c r="M5" s="79" t="e">
        <f>SUM(#REF!-#REF!)</f>
        <v>#REF!</v>
      </c>
    </row>
    <row r="6" spans="1:13">
      <c r="A6" s="662">
        <f>Gen!A12</f>
        <v>44288</v>
      </c>
      <c r="B6" s="652">
        <f>'Daily report Gen'!Z7</f>
        <v>48</v>
      </c>
      <c r="C6" s="87">
        <f>Gen!B12</f>
        <v>0.16900000000000001</v>
      </c>
      <c r="D6" s="434">
        <f t="shared" si="0"/>
        <v>2.6</v>
      </c>
      <c r="E6" s="74">
        <v>2.6</v>
      </c>
      <c r="F6" s="70">
        <f>Gen!U12</f>
        <v>0.4106777533730781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33044.090000000004</v>
      </c>
      <c r="K6" s="295">
        <f>'Water-Meter'!E7</f>
        <v>117</v>
      </c>
      <c r="L6" s="653">
        <f>'Lpg (2)'!G11</f>
        <v>86.547999999992328</v>
      </c>
      <c r="M6" s="79" t="e">
        <f>SUM(#REF!-#REF!)</f>
        <v>#REF!</v>
      </c>
    </row>
    <row r="7" spans="1:13">
      <c r="A7" s="662">
        <f>Gen!A13</f>
        <v>44289</v>
      </c>
      <c r="B7" s="652">
        <f>'Daily report Gen'!Z8</f>
        <v>25</v>
      </c>
      <c r="C7" s="87">
        <f>Gen!B13</f>
        <v>0.23</v>
      </c>
      <c r="D7" s="434">
        <f t="shared" si="0"/>
        <v>2.6</v>
      </c>
      <c r="E7" s="74">
        <v>2.6</v>
      </c>
      <c r="F7" s="70">
        <f>Gen!U13</f>
        <v>0.40227580372250421</v>
      </c>
      <c r="G7" s="85">
        <f>Gen!T11</f>
        <v>3175</v>
      </c>
      <c r="H7" s="85">
        <f>Gen!AK13</f>
        <v>0</v>
      </c>
      <c r="I7" s="85">
        <f t="shared" si="1"/>
        <v>3175</v>
      </c>
      <c r="J7" s="446">
        <f>Gen!C13</f>
        <v>31510.360000000004</v>
      </c>
      <c r="K7" s="295">
        <f>'Water-Meter'!E8</f>
        <v>167</v>
      </c>
      <c r="L7" s="653">
        <f>'Lpg (2)'!G12</f>
        <v>88.968000000005134</v>
      </c>
      <c r="M7" s="79" t="e">
        <f>SUM(#REF!-#REF!)</f>
        <v>#REF!</v>
      </c>
    </row>
    <row r="8" spans="1:13">
      <c r="A8" s="662">
        <f>Gen!A14</f>
        <v>44290</v>
      </c>
      <c r="B8" s="652">
        <f>'Daily report Gen'!Z9</f>
        <v>24</v>
      </c>
      <c r="C8" s="87">
        <f>Gen!B14</f>
        <v>0.247</v>
      </c>
      <c r="D8" s="434">
        <f>E8</f>
        <v>5.19</v>
      </c>
      <c r="E8" s="74">
        <v>5.19</v>
      </c>
      <c r="F8" s="70">
        <f>Gen!U14</f>
        <v>0.40958834134615379</v>
      </c>
      <c r="G8" s="85">
        <f>Gen!T12</f>
        <v>3187</v>
      </c>
      <c r="H8" s="85">
        <f>Gen!AK14</f>
        <v>0</v>
      </c>
      <c r="I8" s="85">
        <f t="shared" si="1"/>
        <v>3187</v>
      </c>
      <c r="J8" s="446">
        <f>Gen!C14</f>
        <v>29944.600000000006</v>
      </c>
      <c r="K8" s="295">
        <f>'Water-Meter'!E9</f>
        <v>70</v>
      </c>
      <c r="L8" s="653">
        <f>'Lpg (2)'!G13</f>
        <v>86.372000000020492</v>
      </c>
      <c r="M8" s="79" t="e">
        <f>SUM(#REF!-#REF!)</f>
        <v>#REF!</v>
      </c>
    </row>
    <row r="9" spans="1:13">
      <c r="A9" s="662">
        <f>Gen!A15</f>
        <v>44291</v>
      </c>
      <c r="B9" s="652">
        <f>'Daily report Gen'!Z10</f>
        <v>24</v>
      </c>
      <c r="C9" s="87">
        <f>Gen!B15</f>
        <v>0.13</v>
      </c>
      <c r="D9" s="434">
        <f t="shared" si="0"/>
        <v>7.79</v>
      </c>
      <c r="E9" s="74">
        <v>7.79</v>
      </c>
      <c r="F9" s="70">
        <f>Gen!U15</f>
        <v>0.40968615384615387</v>
      </c>
      <c r="G9" s="85">
        <f>Gen!T13</f>
        <v>3546</v>
      </c>
      <c r="H9" s="85">
        <f>Gen!AK15</f>
        <v>0</v>
      </c>
      <c r="I9" s="85">
        <f t="shared" si="1"/>
        <v>3546</v>
      </c>
      <c r="J9" s="446">
        <f>Gen!C15</f>
        <v>28581.490000000005</v>
      </c>
      <c r="K9" s="295">
        <f>'Water-Meter'!E10</f>
        <v>59</v>
      </c>
      <c r="L9" s="653">
        <f>'Lpg (2)'!G14</f>
        <v>88.527999999979514</v>
      </c>
      <c r="M9" s="79" t="e">
        <f>SUM(#REF!-#REF!)</f>
        <v>#REF!</v>
      </c>
    </row>
    <row r="10" spans="1:13">
      <c r="A10" s="662">
        <f>Gen!A16</f>
        <v>44292</v>
      </c>
      <c r="B10" s="652">
        <f>'Daily report Gen'!Z11</f>
        <v>25</v>
      </c>
      <c r="C10" s="87">
        <f>Gen!B16</f>
        <v>9.0999999999999998E-2</v>
      </c>
      <c r="D10" s="434">
        <f t="shared" si="0"/>
        <v>5.19</v>
      </c>
      <c r="E10" s="74">
        <v>5.19</v>
      </c>
      <c r="F10" s="70">
        <f>Gen!U16</f>
        <v>0.41273615635179151</v>
      </c>
      <c r="G10" s="85">
        <f>Gen!T14</f>
        <v>3328</v>
      </c>
      <c r="H10" s="85">
        <f>Gen!AK16</f>
        <v>0</v>
      </c>
      <c r="I10" s="85">
        <f t="shared" si="1"/>
        <v>3328</v>
      </c>
      <c r="J10" s="446">
        <f>Gen!C16</f>
        <v>27031.500000000004</v>
      </c>
      <c r="K10" s="295">
        <f>'Water-Meter'!E11</f>
        <v>210</v>
      </c>
      <c r="L10" s="653">
        <f>'Lpg (2)'!G15</f>
        <v>82.895999999984639</v>
      </c>
      <c r="M10" s="79" t="e">
        <f>SUM(#REF!-#REF!)</f>
        <v>#REF!</v>
      </c>
    </row>
    <row r="11" spans="1:13">
      <c r="A11" s="662">
        <f>Gen!A17</f>
        <v>44293</v>
      </c>
      <c r="B11" s="652">
        <f>'Daily report Gen'!Z12</f>
        <v>24</v>
      </c>
      <c r="C11" s="87">
        <f>Gen!B17</f>
        <v>6.5000000000000002E-2</v>
      </c>
      <c r="D11" s="434">
        <f t="shared" si="0"/>
        <v>11.69</v>
      </c>
      <c r="E11" s="74">
        <v>11.69</v>
      </c>
      <c r="F11" s="70">
        <f>Gen!U17</f>
        <v>0.40155218554861732</v>
      </c>
      <c r="G11" s="85">
        <f>Gen!T15</f>
        <v>3250</v>
      </c>
      <c r="H11" s="85">
        <f>Gen!AK17</f>
        <v>0</v>
      </c>
      <c r="I11" s="85">
        <f t="shared" si="1"/>
        <v>3250</v>
      </c>
      <c r="J11" s="446">
        <f>Gen!C17</f>
        <v>43721.960000000006</v>
      </c>
      <c r="K11" s="295">
        <f>'Water-Meter'!E12</f>
        <v>60</v>
      </c>
      <c r="L11" s="653">
        <f>'Lpg (2)'!G16</f>
        <v>80.212000000046103</v>
      </c>
      <c r="M11" s="79" t="e">
        <f>SUM(#REF!-#REF!)</f>
        <v>#REF!</v>
      </c>
    </row>
    <row r="12" spans="1:13">
      <c r="A12" s="662">
        <f>Gen!A18</f>
        <v>44294</v>
      </c>
      <c r="B12" s="652">
        <f>'Daily report Gen'!Z13</f>
        <v>24</v>
      </c>
      <c r="C12" s="87">
        <f>Gen!B18</f>
        <v>9.0999999999999998E-2</v>
      </c>
      <c r="D12" s="434">
        <f t="shared" si="0"/>
        <v>12.99</v>
      </c>
      <c r="E12" s="74">
        <v>12.99</v>
      </c>
      <c r="F12" s="70">
        <f>Gen!U18</f>
        <v>0.40188175460902731</v>
      </c>
      <c r="G12" s="85">
        <f>Gen!T16</f>
        <v>3070</v>
      </c>
      <c r="H12" s="85">
        <f>Gen!AK18</f>
        <v>0</v>
      </c>
      <c r="I12" s="85">
        <f t="shared" si="1"/>
        <v>3070</v>
      </c>
      <c r="J12" s="446">
        <f>Gen!C18</f>
        <v>42252.400000000009</v>
      </c>
      <c r="K12" s="295">
        <f>'Water-Meter'!E13</f>
        <v>75</v>
      </c>
      <c r="L12" s="653">
        <f>'Lpg (2)'!G17</f>
        <v>83.995999999984633</v>
      </c>
      <c r="M12" s="79" t="e">
        <f>SUM(#REF!-#REF!)</f>
        <v>#REF!</v>
      </c>
    </row>
    <row r="13" spans="1:13">
      <c r="A13" s="662">
        <f>Gen!A19</f>
        <v>44295</v>
      </c>
      <c r="B13" s="652">
        <f>'Daily report Gen'!Z14</f>
        <v>49</v>
      </c>
      <c r="C13" s="87">
        <f>Gen!B19</f>
        <v>6.5000000000000002E-2</v>
      </c>
      <c r="D13" s="434">
        <f t="shared" si="0"/>
        <v>15.58</v>
      </c>
      <c r="E13" s="74">
        <v>15.58</v>
      </c>
      <c r="F13" s="70">
        <f>Gen!U19</f>
        <v>0.39417320458660227</v>
      </c>
      <c r="G13" s="85">
        <f>Gen!T17</f>
        <v>3363</v>
      </c>
      <c r="H13" s="85">
        <f>Gen!AK19</f>
        <v>0</v>
      </c>
      <c r="I13" s="85">
        <f t="shared" si="1"/>
        <v>3363</v>
      </c>
      <c r="J13" s="446">
        <f>Gen!C19</f>
        <v>40831.760000000009</v>
      </c>
      <c r="K13" s="295">
        <f>'Water-Meter'!E14</f>
        <v>47</v>
      </c>
      <c r="L13" s="653">
        <f>'Lpg (2)'!G18</f>
        <v>44</v>
      </c>
      <c r="M13" s="79" t="e">
        <f>SUM(#REF!-#REF!)</f>
        <v>#REF!</v>
      </c>
    </row>
    <row r="14" spans="1:13">
      <c r="A14" s="662">
        <f>Gen!A20</f>
        <v>44296</v>
      </c>
      <c r="B14" s="652" t="e">
        <f>'Daily report Gen'!Z15</f>
        <v>#REF!</v>
      </c>
      <c r="C14" s="87">
        <f>Gen!B20</f>
        <v>5.1999999999999998E-2</v>
      </c>
      <c r="D14" s="434">
        <f t="shared" si="0"/>
        <v>15.58</v>
      </c>
      <c r="E14" s="74">
        <v>15.58</v>
      </c>
      <c r="F14" s="70">
        <f>Gen!U20</f>
        <v>0.39324810606060606</v>
      </c>
      <c r="G14" s="85">
        <f>Gen!T18</f>
        <v>3146</v>
      </c>
      <c r="H14" s="85">
        <f>Gen!AK20</f>
        <v>0</v>
      </c>
      <c r="I14" s="85">
        <f t="shared" si="1"/>
        <v>3146</v>
      </c>
      <c r="J14" s="446">
        <f>Gen!C20</f>
        <v>39223.360000000008</v>
      </c>
      <c r="K14" s="295">
        <f>'Water-Meter'!E15</f>
        <v>46</v>
      </c>
      <c r="L14" s="653">
        <f>'Lpg (2)'!G19</f>
        <v>88</v>
      </c>
      <c r="M14" s="79" t="e">
        <f>SUM(#REF!-#REF!)</f>
        <v>#REF!</v>
      </c>
    </row>
    <row r="15" spans="1:13">
      <c r="A15" s="662">
        <f>Gen!A21</f>
        <v>44297</v>
      </c>
      <c r="B15" s="652">
        <f>'Daily report Gen'!Z16</f>
        <v>25</v>
      </c>
      <c r="C15" s="87">
        <f>Gen!B21</f>
        <v>0.104</v>
      </c>
      <c r="D15" s="434">
        <f t="shared" si="0"/>
        <v>11.69</v>
      </c>
      <c r="E15" s="74">
        <v>11.69</v>
      </c>
      <c r="F15" s="70">
        <f>Gen!U21</f>
        <v>0.39665739882607354</v>
      </c>
      <c r="G15" s="85">
        <f>Gen!T19</f>
        <v>3314</v>
      </c>
      <c r="H15" s="85">
        <f>Gen!AK21</f>
        <v>0</v>
      </c>
      <c r="I15" s="85">
        <f t="shared" si="1"/>
        <v>3314</v>
      </c>
      <c r="J15" s="446">
        <f>Gen!C21</f>
        <v>37865.55000000001</v>
      </c>
      <c r="K15" s="295">
        <f>'Water-Meter'!E16</f>
        <v>50</v>
      </c>
      <c r="L15" s="653">
        <f>'Lpg (2)'!G20</f>
        <v>57.243999999976957</v>
      </c>
      <c r="M15" s="79" t="e">
        <f>SUM(#REF!-#REF!)</f>
        <v>#REF!</v>
      </c>
    </row>
    <row r="16" spans="1:13">
      <c r="A16" s="662">
        <f>Gen!A22</f>
        <v>44298</v>
      </c>
      <c r="B16" s="652">
        <f>'Daily report Gen'!Z17</f>
        <v>24</v>
      </c>
      <c r="C16" s="87">
        <f>Gen!B22</f>
        <v>0.104</v>
      </c>
      <c r="D16" s="434">
        <f t="shared" si="0"/>
        <v>12.99</v>
      </c>
      <c r="E16" s="74">
        <v>12.99</v>
      </c>
      <c r="F16" s="70">
        <f>Gen!U22</f>
        <v>0.35691342918323649</v>
      </c>
      <c r="G16" s="85">
        <f>Gen!T20</f>
        <v>3168</v>
      </c>
      <c r="H16" s="85">
        <f>Gen!AK22</f>
        <v>0</v>
      </c>
      <c r="I16" s="85">
        <f t="shared" si="1"/>
        <v>3168</v>
      </c>
      <c r="J16" s="446">
        <f>Gen!C22</f>
        <v>36556.570000000007</v>
      </c>
      <c r="K16" s="295">
        <f>'Water-Meter'!E17</f>
        <v>61</v>
      </c>
      <c r="L16" s="653">
        <f>'Lpg (2)'!G21</f>
        <v>64.328000000043545</v>
      </c>
      <c r="M16" s="79" t="e">
        <f>SUM(#REF!-#REF!)</f>
        <v>#REF!</v>
      </c>
    </row>
    <row r="17" spans="1:13">
      <c r="A17" s="662">
        <f>Gen!A23</f>
        <v>44299</v>
      </c>
      <c r="B17" s="652">
        <f>'Daily report Gen'!Z18</f>
        <v>24</v>
      </c>
      <c r="C17" s="87">
        <f>Gen!B23</f>
        <v>1.2999999999999999E-2</v>
      </c>
      <c r="D17" s="434">
        <f t="shared" si="0"/>
        <v>14.29</v>
      </c>
      <c r="E17" s="74">
        <v>14.29</v>
      </c>
      <c r="F17" s="70">
        <f>Gen!U23</f>
        <v>0.406656660412758</v>
      </c>
      <c r="G17" s="85">
        <f>Gen!T21</f>
        <v>3237</v>
      </c>
      <c r="H17" s="85">
        <f>Gen!AK23</f>
        <v>0</v>
      </c>
      <c r="I17" s="85">
        <f t="shared" si="1"/>
        <v>3237</v>
      </c>
      <c r="J17" s="446">
        <f>Gen!C23</f>
        <v>35139.180000000008</v>
      </c>
      <c r="K17" s="295">
        <f>'Water-Meter'!E18</f>
        <v>181</v>
      </c>
      <c r="L17" s="653">
        <f>'Lpg (2)'!G22</f>
        <v>63.227999999979517</v>
      </c>
      <c r="M17" s="79" t="e">
        <f>SUM(#REF!-#REF!)</f>
        <v>#REF!</v>
      </c>
    </row>
    <row r="18" spans="1:13">
      <c r="A18" s="662">
        <f>Gen!A24</f>
        <v>44300</v>
      </c>
      <c r="B18" s="652">
        <f>'Daily report Gen'!Z19</f>
        <v>24</v>
      </c>
      <c r="C18" s="87">
        <f>Gen!B24</f>
        <v>0</v>
      </c>
      <c r="D18" s="434">
        <f t="shared" si="0"/>
        <v>14.29</v>
      </c>
      <c r="E18" s="74">
        <v>14.29</v>
      </c>
      <c r="F18" s="70">
        <f>Gen!U24</f>
        <v>0.40256905032160423</v>
      </c>
      <c r="G18" s="85">
        <f>Gen!T22</f>
        <v>3269</v>
      </c>
      <c r="H18" s="85">
        <f>Gen!AK24</f>
        <v>0</v>
      </c>
      <c r="I18" s="85">
        <f t="shared" si="1"/>
        <v>3269</v>
      </c>
      <c r="J18" s="446">
        <f>Gen!C24</f>
        <v>34032.900000000009</v>
      </c>
      <c r="K18" s="295">
        <f>'Water-Meter'!E19</f>
        <v>46</v>
      </c>
      <c r="L18" s="653">
        <f>'Lpg (2)'!G23</f>
        <v>59.708000000030736</v>
      </c>
      <c r="M18" s="79" t="e">
        <f>SUM(#REF!-#REF!)</f>
        <v>#REF!</v>
      </c>
    </row>
    <row r="19" spans="1:13">
      <c r="A19" s="662">
        <f>Gen!A25</f>
        <v>44301</v>
      </c>
      <c r="B19" s="652">
        <f>'Daily report Gen'!Z20</f>
        <v>24</v>
      </c>
      <c r="C19" s="87">
        <f>Gen!B25</f>
        <v>0</v>
      </c>
      <c r="D19" s="434">
        <f t="shared" si="0"/>
        <v>9.09</v>
      </c>
      <c r="E19" s="74">
        <v>9.09</v>
      </c>
      <c r="F19" s="70">
        <f>Gen!U25</f>
        <v>0.4014820473644003</v>
      </c>
      <c r="G19" s="85">
        <f>Gen!T23</f>
        <v>2665</v>
      </c>
      <c r="H19" s="85">
        <f>Gen!AK25</f>
        <v>0</v>
      </c>
      <c r="I19" s="85">
        <f t="shared" si="1"/>
        <v>2665</v>
      </c>
      <c r="J19" s="446">
        <f>Gen!C25</f>
        <v>32808.420000000006</v>
      </c>
      <c r="K19" s="295">
        <f>'Water-Meter'!E20</f>
        <v>47</v>
      </c>
      <c r="L19" s="653">
        <f>'Lpg (2)'!G24</f>
        <v>59.091999999969268</v>
      </c>
      <c r="M19" s="79" t="e">
        <f>SUM(#REF!-#REF!)</f>
        <v>#REF!</v>
      </c>
    </row>
    <row r="20" spans="1:13">
      <c r="A20" s="662">
        <f>Gen!A26</f>
        <v>44302</v>
      </c>
      <c r="B20" s="652">
        <f>'Daily report Gen'!Z21</f>
        <v>24</v>
      </c>
      <c r="C20" s="87">
        <f>Gen!B26</f>
        <v>0</v>
      </c>
      <c r="D20" s="434">
        <f t="shared" si="0"/>
        <v>7.79</v>
      </c>
      <c r="E20" s="74">
        <v>7.79</v>
      </c>
      <c r="F20" s="70">
        <f>Gen!U26</f>
        <v>0.40802435192458758</v>
      </c>
      <c r="G20" s="85">
        <f>Gen!T24</f>
        <v>2643</v>
      </c>
      <c r="H20" s="85">
        <f>Gen!AK26</f>
        <v>0</v>
      </c>
      <c r="I20" s="85">
        <f t="shared" si="1"/>
        <v>2643</v>
      </c>
      <c r="J20" s="446">
        <f>Gen!C26</f>
        <v>31655.430000000004</v>
      </c>
      <c r="K20" s="295">
        <f>'Water-Meter'!E21</f>
        <v>40</v>
      </c>
      <c r="L20" s="653">
        <f>'Lpg (2)'!G25</f>
        <v>44</v>
      </c>
      <c r="M20" s="79" t="e">
        <f>SUM(#REF!-#REF!)</f>
        <v>#REF!</v>
      </c>
    </row>
    <row r="21" spans="1:13">
      <c r="A21" s="662">
        <f>Gen!A27</f>
        <v>44303</v>
      </c>
      <c r="B21" s="652">
        <f>'Daily report Gen'!Z22</f>
        <v>25</v>
      </c>
      <c r="C21" s="87">
        <f>Gen!B27</f>
        <v>1.2999999999999999E-2</v>
      </c>
      <c r="D21" s="434">
        <f t="shared" si="0"/>
        <v>6.49</v>
      </c>
      <c r="E21" s="74">
        <v>6.49</v>
      </c>
      <c r="F21" s="70">
        <f>Gen!U27</f>
        <v>0.40934669636228654</v>
      </c>
      <c r="G21" s="85">
        <f>Gen!T25</f>
        <v>2618</v>
      </c>
      <c r="H21" s="85">
        <f>Gen!AK27</f>
        <v>0</v>
      </c>
      <c r="I21" s="85">
        <f t="shared" si="1"/>
        <v>2618</v>
      </c>
      <c r="J21" s="446">
        <f>Gen!C27</f>
        <v>30616.600000000006</v>
      </c>
      <c r="K21" s="295">
        <f>'Water-Meter'!E22</f>
        <v>52</v>
      </c>
      <c r="L21" s="653">
        <f>'Lpg (2)'!G26</f>
        <v>56.847999999992318</v>
      </c>
      <c r="M21" s="79" t="e">
        <f>SUM(#REF!-#REF!)</f>
        <v>#REF!</v>
      </c>
    </row>
    <row r="22" spans="1:13">
      <c r="A22" s="662">
        <f>Gen!A28</f>
        <v>44304</v>
      </c>
      <c r="B22" s="652">
        <f>'Daily report Gen'!Z23</f>
        <v>24</v>
      </c>
      <c r="C22" s="87">
        <f>Gen!B28</f>
        <v>3.9E-2</v>
      </c>
      <c r="D22" s="434">
        <f t="shared" si="0"/>
        <v>0</v>
      </c>
      <c r="E22" s="74"/>
      <c r="F22" s="70">
        <f>Gen!U28</f>
        <v>0.41046143008101443</v>
      </c>
      <c r="G22" s="85">
        <f>Gen!T26</f>
        <v>2546</v>
      </c>
      <c r="H22" s="85">
        <f>Gen!AK28</f>
        <v>0</v>
      </c>
      <c r="I22" s="85">
        <f t="shared" si="1"/>
        <v>2546</v>
      </c>
      <c r="J22" s="446">
        <f>Gen!C28</f>
        <v>29367.510000000006</v>
      </c>
      <c r="K22" s="295">
        <f>'Water-Meter'!E23</f>
        <v>53</v>
      </c>
      <c r="L22" s="653">
        <f>'Lpg (2)'!G27</f>
        <v>61.952000000007686</v>
      </c>
      <c r="M22" s="79" t="e">
        <f>SUM(#REF!-#REF!)</f>
        <v>#REF!</v>
      </c>
    </row>
    <row r="23" spans="1:13">
      <c r="A23" s="662">
        <f>Gen!A29</f>
        <v>44305</v>
      </c>
      <c r="B23" s="652">
        <f>'Daily report Gen'!Z24</f>
        <v>24</v>
      </c>
      <c r="C23" s="87">
        <f>Gen!B29</f>
        <v>6.5000000000000002E-2</v>
      </c>
      <c r="D23" s="434">
        <f t="shared" si="0"/>
        <v>0</v>
      </c>
      <c r="E23" s="74"/>
      <c r="F23" s="70">
        <f>Gen!U29</f>
        <v>0.42041712403951703</v>
      </c>
      <c r="G23" s="85">
        <f>Gen!T27</f>
        <v>2694</v>
      </c>
      <c r="H23" s="85">
        <f>Gen!AK29</f>
        <v>0</v>
      </c>
      <c r="I23" s="85">
        <f t="shared" si="1"/>
        <v>2694</v>
      </c>
      <c r="J23" s="446">
        <f>Gen!C29</f>
        <v>28202.210000000006</v>
      </c>
      <c r="K23" s="295">
        <f>'Water-Meter'!E24</f>
        <v>58</v>
      </c>
      <c r="L23" s="653">
        <f>'Lpg (2)'!G28</f>
        <v>67.804000000015378</v>
      </c>
      <c r="M23" s="79" t="e">
        <f>SUM(#REF!-#REF!)</f>
        <v>#REF!</v>
      </c>
    </row>
    <row r="24" spans="1:13">
      <c r="A24" s="662">
        <f>Gen!A30</f>
        <v>44306</v>
      </c>
      <c r="B24" s="652">
        <f>'Daily report Gen'!Z25</f>
        <v>24</v>
      </c>
      <c r="C24" s="87">
        <f>Gen!B30</f>
        <v>5.1999999999999998E-2</v>
      </c>
      <c r="D24" s="434">
        <f t="shared" si="0"/>
        <v>0</v>
      </c>
      <c r="E24" s="74"/>
      <c r="F24" s="70">
        <f>Gen!U30</f>
        <v>0.41581932773109243</v>
      </c>
      <c r="G24" s="85">
        <f>Gen!T28</f>
        <v>2839</v>
      </c>
      <c r="H24" s="85">
        <f>Gen!AK30</f>
        <v>0</v>
      </c>
      <c r="I24" s="85">
        <f t="shared" si="1"/>
        <v>2839</v>
      </c>
      <c r="J24" s="446">
        <f>Gen!C30</f>
        <v>26707.000000000007</v>
      </c>
      <c r="K24" s="295">
        <f>'Water-Meter'!E25</f>
        <v>66</v>
      </c>
      <c r="L24" s="653">
        <f>'Lpg (2)'!G29</f>
        <v>65.955999999959033</v>
      </c>
      <c r="M24" s="79" t="e">
        <f>SUM(#REF!-#REF!)</f>
        <v>#REF!</v>
      </c>
    </row>
    <row r="25" spans="1:13">
      <c r="A25" s="662">
        <f>Gen!A31</f>
        <v>44307</v>
      </c>
      <c r="B25" s="652">
        <f>'Daily report Gen'!Z26</f>
        <v>24</v>
      </c>
      <c r="C25" s="87">
        <f>Gen!B31</f>
        <v>2.5999999999999999E-2</v>
      </c>
      <c r="D25" s="434">
        <f t="shared" si="0"/>
        <v>0</v>
      </c>
      <c r="E25" s="74"/>
      <c r="F25" s="70">
        <f>Gen!U31</f>
        <v>0.41387407407407406</v>
      </c>
      <c r="G25" s="85">
        <f>Gen!T29</f>
        <v>2733</v>
      </c>
      <c r="H25" s="85">
        <f>Gen!AK31</f>
        <v>0</v>
      </c>
      <c r="I25" s="85">
        <f t="shared" si="1"/>
        <v>2733</v>
      </c>
      <c r="J25" s="446">
        <f>Gen!C31</f>
        <v>25451.960000000006</v>
      </c>
      <c r="K25" s="295">
        <f>'Water-Meter'!E26</f>
        <v>47</v>
      </c>
      <c r="L25" s="653">
        <f>'Lpg (2)'!G30</f>
        <v>65.560000000038428</v>
      </c>
      <c r="M25" s="79" t="e">
        <f>SUM(#REF!-#REF!)</f>
        <v>#REF!</v>
      </c>
    </row>
    <row r="26" spans="1:13">
      <c r="A26" s="662">
        <f>Gen!A32</f>
        <v>44308</v>
      </c>
      <c r="B26" s="652">
        <f>'Daily report Gen'!Z27</f>
        <v>24</v>
      </c>
      <c r="C26" s="87">
        <f>Gen!B32</f>
        <v>0</v>
      </c>
      <c r="D26" s="434">
        <f t="shared" si="0"/>
        <v>0</v>
      </c>
      <c r="E26" s="74"/>
      <c r="F26" s="70">
        <f>Gen!U32</f>
        <v>0.41092942537601235</v>
      </c>
      <c r="G26" s="85">
        <f>Gen!T30</f>
        <v>2856</v>
      </c>
      <c r="H26" s="85">
        <f>Gen!AK32</f>
        <v>0</v>
      </c>
      <c r="I26" s="85">
        <f t="shared" si="1"/>
        <v>2856</v>
      </c>
      <c r="J26" s="446">
        <f>Gen!C32</f>
        <v>39117.100000000006</v>
      </c>
      <c r="K26" s="295">
        <f>'Water-Meter'!E27</f>
        <v>50</v>
      </c>
      <c r="L26" s="653">
        <f>'Lpg (2)'!G31</f>
        <v>58.211999999982076</v>
      </c>
      <c r="M26" s="79" t="e">
        <f>SUM(#REF!-#REF!)</f>
        <v>#REF!</v>
      </c>
    </row>
    <row r="27" spans="1:13">
      <c r="A27" s="662">
        <f>Gen!A33</f>
        <v>44309</v>
      </c>
      <c r="B27" s="652">
        <f>'Daily report Gen'!Z28</f>
        <v>24</v>
      </c>
      <c r="C27" s="87">
        <f>Gen!B33</f>
        <v>1.2999999999999999E-2</v>
      </c>
      <c r="D27" s="434">
        <f t="shared" si="0"/>
        <v>0</v>
      </c>
      <c r="E27" s="74"/>
      <c r="F27" s="70">
        <f>Gen!U33</f>
        <v>0.40950696273993226</v>
      </c>
      <c r="G27" s="85">
        <f>Gen!T31</f>
        <v>2700</v>
      </c>
      <c r="H27" s="85">
        <f>Gen!AK33</f>
        <v>0</v>
      </c>
      <c r="I27" s="85">
        <f t="shared" si="1"/>
        <v>2700</v>
      </c>
      <c r="J27" s="446">
        <f>Gen!C33</f>
        <v>37996.630000000005</v>
      </c>
      <c r="K27" s="295">
        <f>'Water-Meter'!E28</f>
        <v>47</v>
      </c>
      <c r="L27" s="653">
        <f>'Lpg (2)'!G32</f>
        <v>41.140000000025616</v>
      </c>
      <c r="M27" s="79" t="e">
        <f>SUM(#REF!-#REF!)</f>
        <v>#REF!</v>
      </c>
    </row>
    <row r="28" spans="1:13">
      <c r="A28" s="662">
        <f>Gen!A34</f>
        <v>44310</v>
      </c>
      <c r="B28" s="652">
        <f>'Daily report Gen'!Z29</f>
        <v>24</v>
      </c>
      <c r="C28" s="87">
        <f>Gen!B34</f>
        <v>2.5999999999999999E-2</v>
      </c>
      <c r="D28" s="434">
        <f t="shared" si="0"/>
        <v>0</v>
      </c>
      <c r="E28" s="74"/>
      <c r="F28" s="70">
        <f>Gen!U34</f>
        <v>0.39966527196652718</v>
      </c>
      <c r="G28" s="85">
        <f>Gen!T32</f>
        <v>2593</v>
      </c>
      <c r="H28" s="85">
        <f>Gen!AK34</f>
        <v>0</v>
      </c>
      <c r="I28" s="85">
        <f t="shared" si="1"/>
        <v>2593</v>
      </c>
      <c r="J28" s="446">
        <f>Gen!C34</f>
        <v>36768.500000000007</v>
      </c>
      <c r="K28" s="295">
        <f>'Water-Meter'!E29</f>
        <v>56</v>
      </c>
      <c r="L28" s="653">
        <f>'Lpg (2)'!G33</f>
        <v>62.787999999953904</v>
      </c>
      <c r="M28" s="79" t="e">
        <f>SUM(#REF!-#REF!)</f>
        <v>#REF!</v>
      </c>
    </row>
    <row r="29" spans="1:13">
      <c r="A29" s="662">
        <f>Gen!A35</f>
        <v>44311</v>
      </c>
      <c r="B29" s="652">
        <f>'Daily report Gen'!Z30</f>
        <v>24</v>
      </c>
      <c r="C29" s="87">
        <f>Gen!B35</f>
        <v>5.1999999999999998E-2</v>
      </c>
      <c r="D29" s="434">
        <f t="shared" si="0"/>
        <v>0</v>
      </c>
      <c r="E29" s="74"/>
      <c r="F29" s="70">
        <f>Gen!U35</f>
        <v>0.39691349480968857</v>
      </c>
      <c r="G29" s="85">
        <f>Gen!T33</f>
        <v>2657</v>
      </c>
      <c r="H29" s="85">
        <f>Gen!AK35</f>
        <v>0</v>
      </c>
      <c r="I29" s="85">
        <f t="shared" si="1"/>
        <v>2657</v>
      </c>
      <c r="J29" s="446">
        <f>Gen!C35</f>
        <v>35570.780000000006</v>
      </c>
      <c r="K29" s="295">
        <f>'Water-Meter'!E30</f>
        <v>46</v>
      </c>
      <c r="L29" s="653">
        <f>'Lpg (2)'!G34</f>
        <v>66.131999999994889</v>
      </c>
      <c r="M29" s="79" t="e">
        <f>SUM(#REF!-#REF!)</f>
        <v>#REF!</v>
      </c>
    </row>
    <row r="30" spans="1:13">
      <c r="A30" s="662">
        <f>Gen!A36</f>
        <v>44312</v>
      </c>
      <c r="B30" s="652">
        <f>'Daily report Gen'!Z31</f>
        <v>25</v>
      </c>
      <c r="C30" s="87">
        <f>Gen!B36</f>
        <v>5.1999999999999998E-2</v>
      </c>
      <c r="D30" s="434">
        <f t="shared" si="0"/>
        <v>0</v>
      </c>
      <c r="E30" s="74"/>
      <c r="F30" s="70">
        <f>Gen!U36</f>
        <v>0.41366406540319589</v>
      </c>
      <c r="G30" s="85">
        <f>Gen!T34</f>
        <v>2629</v>
      </c>
      <c r="H30" s="85">
        <f>Gen!AK36</f>
        <v>0</v>
      </c>
      <c r="I30" s="85">
        <f t="shared" si="1"/>
        <v>2629</v>
      </c>
      <c r="J30" s="446">
        <f>Gen!C36</f>
        <v>34319.660000000003</v>
      </c>
      <c r="K30" s="295">
        <f>'Water-Meter'!E31</f>
        <v>53</v>
      </c>
      <c r="L30" s="653">
        <f>'Lpg (2)'!G35</f>
        <v>66.352000000007692</v>
      </c>
      <c r="M30" s="79" t="e">
        <f>SUM(#REF!-#REF!)</f>
        <v>#REF!</v>
      </c>
    </row>
    <row r="31" spans="1:13">
      <c r="A31" s="662">
        <f>Gen!A37</f>
        <v>44313</v>
      </c>
      <c r="B31" s="652">
        <f>'Daily report Gen'!Z32</f>
        <v>24</v>
      </c>
      <c r="C31" s="87">
        <f>Gen!B37</f>
        <v>3.5999999999999997E-2</v>
      </c>
      <c r="D31" s="434">
        <f t="shared" si="0"/>
        <v>0</v>
      </c>
      <c r="E31" s="74"/>
      <c r="F31" s="70">
        <f>Gen!U37</f>
        <v>0.40857665568971829</v>
      </c>
      <c r="G31" s="85">
        <f>Gen!T35</f>
        <v>2890</v>
      </c>
      <c r="H31" s="85">
        <f>Gen!AK37</f>
        <v>0</v>
      </c>
      <c r="I31" s="85">
        <f t="shared" si="1"/>
        <v>2890</v>
      </c>
      <c r="J31" s="446">
        <f>Gen!C37</f>
        <v>32937.43</v>
      </c>
      <c r="K31" s="295">
        <f>'Water-Meter'!E32</f>
        <v>43</v>
      </c>
      <c r="L31" s="653">
        <f>'Lpg (2)'!G36</f>
        <v>68.508000000030734</v>
      </c>
      <c r="M31" s="79" t="e">
        <f>SUM(#REF!-#REF!)</f>
        <v>#REF!</v>
      </c>
    </row>
    <row r="32" spans="1:13">
      <c r="A32" s="662">
        <f>Gen!A38</f>
        <v>44314</v>
      </c>
      <c r="B32" s="652">
        <f>'Daily report Gen'!Z33</f>
        <v>25</v>
      </c>
      <c r="C32" s="87">
        <f>Gen!B38</f>
        <v>3.9E-2</v>
      </c>
      <c r="D32" s="434">
        <f t="shared" si="0"/>
        <v>0</v>
      </c>
      <c r="E32" s="74"/>
      <c r="F32" s="70">
        <f>Gen!U38</f>
        <v>0.42960000000000004</v>
      </c>
      <c r="G32" s="85">
        <f>Gen!T36</f>
        <v>2691</v>
      </c>
      <c r="H32" s="85">
        <f>Gen!AK38</f>
        <v>0</v>
      </c>
      <c r="I32" s="85">
        <f t="shared" si="1"/>
        <v>2691</v>
      </c>
      <c r="J32" s="446">
        <f>Gen!C38</f>
        <v>31790.06</v>
      </c>
      <c r="K32" s="295">
        <f>'Water-Meter'!E33</f>
        <v>61</v>
      </c>
      <c r="L32" s="653">
        <f>'Lpg (2)'!G37</f>
        <v>66.484000000002567</v>
      </c>
      <c r="M32" s="79" t="e">
        <f>SUM(#REF!-#REF!)</f>
        <v>#REF!</v>
      </c>
    </row>
    <row r="33" spans="1:13">
      <c r="A33" s="662">
        <f>Gen!A39</f>
        <v>44315</v>
      </c>
      <c r="B33" s="652" t="e">
        <f>'Daily report Gen'!Z34</f>
        <v>#REF!</v>
      </c>
      <c r="C33" s="87">
        <f>Gen!B39</f>
        <v>2.5999999999999999E-2</v>
      </c>
      <c r="D33" s="434">
        <f t="shared" si="0"/>
        <v>0</v>
      </c>
      <c r="E33" s="74"/>
      <c r="F33" s="70">
        <f>Gen!U39</f>
        <v>0.39306078919303239</v>
      </c>
      <c r="G33" s="85">
        <f>Gen!T37</f>
        <v>2733</v>
      </c>
      <c r="H33" s="85">
        <f>Gen!AK39</f>
        <v>0</v>
      </c>
      <c r="I33" s="85">
        <f t="shared" si="1"/>
        <v>2733</v>
      </c>
      <c r="J33" s="446">
        <f>Gen!C39</f>
        <v>30603.73</v>
      </c>
      <c r="K33" s="295">
        <f>'Water-Meter'!E34</f>
        <v>53</v>
      </c>
      <c r="L33" s="653">
        <f>'Lpg (2)'!G38</f>
        <v>62.347999999992325</v>
      </c>
      <c r="M33" s="79" t="e">
        <f>SUM(#REF!-#REF!)</f>
        <v>#REF!</v>
      </c>
    </row>
    <row r="34" spans="1:13">
      <c r="A34" s="662">
        <f>Gen!A40</f>
        <v>44316</v>
      </c>
      <c r="B34" s="652" t="e">
        <f>'Daily report Gen'!Z35</f>
        <v>#REF!</v>
      </c>
      <c r="C34" s="87">
        <f>Gen!B40</f>
        <v>0.01</v>
      </c>
      <c r="D34" s="434">
        <f t="shared" si="0"/>
        <v>0</v>
      </c>
      <c r="E34" s="74"/>
      <c r="F34" s="70">
        <f>Gen!U40</f>
        <v>0.40999267667521055</v>
      </c>
      <c r="G34" s="85">
        <f>Gen!T38</f>
        <v>2725</v>
      </c>
      <c r="H34" s="85">
        <f>Gen!AK40</f>
        <v>0</v>
      </c>
      <c r="I34" s="85">
        <f t="shared" si="1"/>
        <v>2725</v>
      </c>
      <c r="J34" s="446">
        <f>Gen!C40</f>
        <v>29254.57</v>
      </c>
      <c r="K34" s="295">
        <f>'Water-Meter'!E35</f>
        <v>58</v>
      </c>
      <c r="L34" s="653">
        <f>'Lpg (2)'!G39</f>
        <v>62.656000000023056</v>
      </c>
      <c r="M34" s="79" t="e">
        <f>SUM(#REF!-#REF!)</f>
        <v>#REF!</v>
      </c>
    </row>
    <row r="35" spans="1:13">
      <c r="A35" s="662">
        <f>Gen!A41</f>
        <v>0</v>
      </c>
      <c r="B35" s="652">
        <f>'Daily report Gen'!Z36</f>
        <v>-159641</v>
      </c>
      <c r="C35" s="87">
        <f>Gen!B41</f>
        <v>0</v>
      </c>
      <c r="D35" s="434">
        <f t="shared" si="0"/>
        <v>0</v>
      </c>
      <c r="E35" s="74"/>
      <c r="F35" s="70">
        <f>Gen!U39</f>
        <v>0.39306078919303239</v>
      </c>
      <c r="G35" s="85">
        <f>Gen!T39</f>
        <v>2813</v>
      </c>
      <c r="H35" s="85">
        <f>Gen!AK41</f>
        <v>0</v>
      </c>
      <c r="I35" s="85">
        <f t="shared" si="1"/>
        <v>2813</v>
      </c>
      <c r="J35" s="446">
        <f>Gen!C41</f>
        <v>27860.560000000001</v>
      </c>
      <c r="K35" s="295" t="str">
        <f>'Water-Meter'!E36</f>
        <v>0</v>
      </c>
      <c r="L35" s="653">
        <f>'Lpg (2)'!G40</f>
        <v>57.023999999964147</v>
      </c>
      <c r="M35" s="79" t="e">
        <f>SUM(#REF!-#REF!)</f>
        <v>#REF!</v>
      </c>
    </row>
    <row r="36" spans="1:13" ht="13.5" thickBot="1">
      <c r="A36" s="663">
        <f>Gen!A42</f>
        <v>0</v>
      </c>
      <c r="B36" s="654">
        <f>'Daily report Gen'!Z37</f>
        <v>0</v>
      </c>
      <c r="C36" s="655">
        <f>Gen!B42</f>
        <v>0</v>
      </c>
      <c r="D36" s="656">
        <f t="shared" si="0"/>
        <v>0</v>
      </c>
      <c r="E36" s="657"/>
      <c r="F36" s="71">
        <f>Gen!U40</f>
        <v>0.40999267667521055</v>
      </c>
      <c r="G36" s="86">
        <f>Gen!T40</f>
        <v>2731</v>
      </c>
      <c r="H36" s="86">
        <f>Gen!AK42</f>
        <v>0</v>
      </c>
      <c r="I36" s="86">
        <f t="shared" si="1"/>
        <v>2731</v>
      </c>
      <c r="J36" s="658">
        <f>Gen!C42</f>
        <v>27860.560000000001</v>
      </c>
      <c r="K36" s="659">
        <f>'Water-Meter'!E37</f>
        <v>0</v>
      </c>
      <c r="L36" s="660">
        <f>'Lpg (2)'!G41</f>
        <v>-335483.76400000002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B1" activePane="topRight" state="frozen"/>
      <selection pane="topRight" activeCell="F9" sqref="F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95">
        <f>A6</f>
        <v>44287</v>
      </c>
      <c r="B1" s="896"/>
      <c r="C1" s="896"/>
      <c r="D1" s="896"/>
      <c r="E1" s="896"/>
      <c r="F1" s="896"/>
      <c r="G1" s="896"/>
      <c r="H1" s="896"/>
      <c r="I1" s="896"/>
      <c r="J1" s="896"/>
      <c r="K1" s="896"/>
      <c r="L1" s="896"/>
      <c r="M1" s="896"/>
      <c r="N1" s="896"/>
      <c r="O1" s="896"/>
      <c r="P1" s="896"/>
      <c r="Q1" s="896"/>
      <c r="R1" s="896"/>
      <c r="S1" s="896"/>
      <c r="T1" s="896"/>
      <c r="U1" s="896"/>
      <c r="V1" s="896"/>
      <c r="W1" s="896"/>
      <c r="X1" s="896"/>
      <c r="Y1" s="896"/>
      <c r="Z1" s="896"/>
      <c r="AA1" s="896"/>
      <c r="AB1" s="896"/>
      <c r="AC1" s="19"/>
    </row>
    <row r="2" spans="1:29" ht="12" customHeight="1" thickBot="1">
      <c r="A2" s="896"/>
      <c r="B2" s="896"/>
      <c r="C2" s="896"/>
      <c r="D2" s="896"/>
      <c r="E2" s="896"/>
      <c r="F2" s="896"/>
      <c r="G2" s="896"/>
      <c r="H2" s="896"/>
      <c r="I2" s="896"/>
      <c r="J2" s="896"/>
      <c r="K2" s="896"/>
      <c r="L2" s="896"/>
      <c r="M2" s="896"/>
      <c r="N2" s="896"/>
      <c r="O2" s="896"/>
      <c r="P2" s="896"/>
      <c r="Q2" s="896"/>
      <c r="R2" s="896"/>
      <c r="S2" s="896"/>
      <c r="T2" s="896"/>
      <c r="U2" s="896"/>
      <c r="V2" s="896"/>
      <c r="W2" s="896"/>
      <c r="X2" s="896"/>
      <c r="Y2" s="896"/>
      <c r="Z2" s="896"/>
      <c r="AA2" s="896"/>
      <c r="AB2" s="896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97" t="s">
        <v>298</v>
      </c>
      <c r="L3" s="898"/>
      <c r="M3" s="899"/>
      <c r="N3" s="897" t="s">
        <v>299</v>
      </c>
      <c r="O3" s="898"/>
      <c r="P3" s="899"/>
      <c r="Q3" s="897" t="s">
        <v>300</v>
      </c>
      <c r="R3" s="898"/>
      <c r="S3" s="899"/>
      <c r="T3" s="897" t="s">
        <v>301</v>
      </c>
      <c r="U3" s="898"/>
      <c r="V3" s="899"/>
      <c r="W3" s="897" t="s">
        <v>302</v>
      </c>
      <c r="X3" s="898"/>
      <c r="Y3" s="899"/>
      <c r="Z3" s="303"/>
      <c r="AA3" s="19"/>
      <c r="AB3" s="19"/>
      <c r="AC3" s="19"/>
    </row>
    <row r="4" spans="1:29" ht="35.25" customHeight="1" thickBot="1">
      <c r="A4" s="262" t="s">
        <v>86</v>
      </c>
      <c r="B4" s="848" t="s">
        <v>87</v>
      </c>
      <c r="C4" s="848" t="s">
        <v>88</v>
      </c>
      <c r="D4" s="848" t="s">
        <v>89</v>
      </c>
      <c r="E4" s="848" t="s">
        <v>90</v>
      </c>
      <c r="F4" s="848" t="s">
        <v>242</v>
      </c>
      <c r="G4" s="853" t="s">
        <v>91</v>
      </c>
      <c r="H4" s="848" t="s">
        <v>92</v>
      </c>
      <c r="I4" s="853" t="s">
        <v>93</v>
      </c>
      <c r="J4" s="858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0" t="s">
        <v>191</v>
      </c>
      <c r="R4" s="339" t="s">
        <v>192</v>
      </c>
      <c r="S4" s="821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854"/>
      <c r="B5" s="823"/>
      <c r="C5" s="849">
        <v>13853.38</v>
      </c>
      <c r="D5" s="145">
        <v>22273</v>
      </c>
      <c r="E5" s="850"/>
      <c r="F5" s="850"/>
      <c r="G5" s="850"/>
      <c r="H5" s="850"/>
      <c r="I5" s="145">
        <v>31842.2</v>
      </c>
      <c r="J5" s="859">
        <v>21219.4</v>
      </c>
      <c r="K5" s="856"/>
      <c r="L5" s="305">
        <v>36091</v>
      </c>
      <c r="M5" s="680"/>
      <c r="N5" s="673"/>
      <c r="O5" s="819">
        <v>31003</v>
      </c>
      <c r="P5" s="681"/>
      <c r="Q5" s="673"/>
      <c r="R5" s="305">
        <v>36296</v>
      </c>
      <c r="S5" s="681"/>
      <c r="T5" s="673"/>
      <c r="U5" s="819">
        <v>33466</v>
      </c>
      <c r="V5" s="681"/>
      <c r="W5" s="673"/>
      <c r="X5" s="673">
        <v>22034</v>
      </c>
      <c r="Y5" s="681"/>
      <c r="Z5" s="681"/>
      <c r="AA5" s="673"/>
      <c r="AB5" s="673"/>
      <c r="AC5" s="682"/>
    </row>
    <row r="6" spans="1:29" ht="20.100000000000001" customHeight="1" thickBot="1">
      <c r="A6" s="855">
        <f>Gen!A11</f>
        <v>44287</v>
      </c>
      <c r="B6" s="823">
        <v>0.156</v>
      </c>
      <c r="C6" s="849">
        <v>12242.97</v>
      </c>
      <c r="D6" s="145">
        <v>22273</v>
      </c>
      <c r="E6" s="851"/>
      <c r="F6" s="145"/>
      <c r="G6" s="145"/>
      <c r="H6" s="145"/>
      <c r="I6" s="145">
        <v>31847.200000000001</v>
      </c>
      <c r="J6" s="847">
        <v>21223.7</v>
      </c>
      <c r="K6" s="857">
        <f>L5</f>
        <v>36091</v>
      </c>
      <c r="L6" s="305">
        <v>36091</v>
      </c>
      <c r="M6" s="304">
        <f>L6-K6</f>
        <v>0</v>
      </c>
      <c r="N6" s="306">
        <f>O5</f>
        <v>31003</v>
      </c>
      <c r="O6" s="819">
        <v>31003</v>
      </c>
      <c r="P6" s="304">
        <f>O6-N6</f>
        <v>0</v>
      </c>
      <c r="Q6" s="304">
        <f>R5</f>
        <v>36296</v>
      </c>
      <c r="R6" s="305">
        <v>36296</v>
      </c>
      <c r="S6" s="304">
        <f>R6-Q6</f>
        <v>0</v>
      </c>
      <c r="T6" s="304">
        <f>U5</f>
        <v>33466</v>
      </c>
      <c r="U6" s="819">
        <v>33490</v>
      </c>
      <c r="V6" s="304">
        <f>U6-T6</f>
        <v>24</v>
      </c>
      <c r="W6" s="306">
        <f>X5</f>
        <v>22034</v>
      </c>
      <c r="X6" s="673">
        <v>22034</v>
      </c>
      <c r="Y6" s="304">
        <f>X6-W6</f>
        <v>0</v>
      </c>
      <c r="Z6" s="307">
        <f>Y6+V6+S6+P6+M6</f>
        <v>24</v>
      </c>
      <c r="AA6" s="125">
        <v>250</v>
      </c>
      <c r="AB6" s="125">
        <v>175</v>
      </c>
      <c r="AC6" s="684">
        <f>Gen!AR11</f>
        <v>1471.88</v>
      </c>
    </row>
    <row r="7" spans="1:29" ht="20.100000000000001" customHeight="1" thickBot="1">
      <c r="A7" s="855">
        <f>Gen!A12</f>
        <v>44288</v>
      </c>
      <c r="B7" s="824">
        <v>0.16900000000000001</v>
      </c>
      <c r="C7" s="849">
        <v>10771.09</v>
      </c>
      <c r="D7" s="145">
        <v>22273</v>
      </c>
      <c r="E7" s="851"/>
      <c r="F7" s="145"/>
      <c r="G7" s="145"/>
      <c r="H7" s="145"/>
      <c r="I7" s="145">
        <v>31852.7</v>
      </c>
      <c r="J7" s="847">
        <v>21227.1</v>
      </c>
      <c r="K7" s="857">
        <f t="shared" ref="K7:K37" si="0">L6</f>
        <v>36091</v>
      </c>
      <c r="L7" s="305">
        <v>36091</v>
      </c>
      <c r="M7" s="304">
        <f t="shared" ref="M7:M37" si="1">L7-K7</f>
        <v>0</v>
      </c>
      <c r="N7" s="306">
        <f t="shared" ref="N7:N37" si="2">O6</f>
        <v>31003</v>
      </c>
      <c r="O7" s="819">
        <v>31027</v>
      </c>
      <c r="P7" s="304">
        <f t="shared" ref="P7:P37" si="3">O7-N7</f>
        <v>24</v>
      </c>
      <c r="Q7" s="304">
        <f t="shared" ref="Q7:Q37" si="4">R6</f>
        <v>36296</v>
      </c>
      <c r="R7" s="305">
        <v>36320</v>
      </c>
      <c r="S7" s="304">
        <f t="shared" ref="S7:S37" si="5">R7-Q7</f>
        <v>24</v>
      </c>
      <c r="T7" s="304">
        <f t="shared" ref="T7:T37" si="6">U6</f>
        <v>33490</v>
      </c>
      <c r="U7" s="819">
        <v>33490</v>
      </c>
      <c r="V7" s="304">
        <f t="shared" ref="V7:V37" si="7">U7-T7</f>
        <v>0</v>
      </c>
      <c r="W7" s="306">
        <f t="shared" ref="W7:W37" si="8">X6</f>
        <v>22034</v>
      </c>
      <c r="X7" s="673">
        <v>22034</v>
      </c>
      <c r="Y7" s="304">
        <f t="shared" ref="Y7:Y37" si="9">X7-W7</f>
        <v>0</v>
      </c>
      <c r="Z7" s="307">
        <f t="shared" ref="Z7:Z25" si="10">Y7+V7+S7+P7+M7</f>
        <v>48</v>
      </c>
      <c r="AA7" s="125">
        <v>245</v>
      </c>
      <c r="AB7" s="125">
        <v>155</v>
      </c>
      <c r="AC7" s="684">
        <f>Gen!AR12</f>
        <v>1533.73</v>
      </c>
    </row>
    <row r="8" spans="1:29" ht="20.100000000000001" customHeight="1" thickBot="1">
      <c r="A8" s="855">
        <f>Gen!A13</f>
        <v>44289</v>
      </c>
      <c r="B8" s="825">
        <v>0.23</v>
      </c>
      <c r="C8" s="849">
        <v>9237.36</v>
      </c>
      <c r="D8" s="145">
        <v>22273</v>
      </c>
      <c r="E8" s="851"/>
      <c r="F8" s="849"/>
      <c r="G8" s="145">
        <v>139.29</v>
      </c>
      <c r="H8" s="145"/>
      <c r="I8" s="145">
        <v>31858.2</v>
      </c>
      <c r="J8" s="847">
        <v>21230.9</v>
      </c>
      <c r="K8" s="857">
        <f t="shared" si="0"/>
        <v>36091</v>
      </c>
      <c r="L8" s="305">
        <v>36116</v>
      </c>
      <c r="M8" s="304">
        <f t="shared" si="1"/>
        <v>25</v>
      </c>
      <c r="N8" s="306">
        <f t="shared" si="2"/>
        <v>31027</v>
      </c>
      <c r="O8" s="125">
        <v>31027</v>
      </c>
      <c r="P8" s="304">
        <f t="shared" si="3"/>
        <v>0</v>
      </c>
      <c r="Q8" s="304">
        <f t="shared" si="4"/>
        <v>36320</v>
      </c>
      <c r="R8" s="305">
        <v>36320</v>
      </c>
      <c r="S8" s="304">
        <f t="shared" si="5"/>
        <v>0</v>
      </c>
      <c r="T8" s="304">
        <f t="shared" si="6"/>
        <v>33490</v>
      </c>
      <c r="U8" s="819">
        <v>33490</v>
      </c>
      <c r="V8" s="304">
        <f t="shared" si="7"/>
        <v>0</v>
      </c>
      <c r="W8" s="306">
        <f t="shared" si="8"/>
        <v>22034</v>
      </c>
      <c r="X8" s="673">
        <v>22034</v>
      </c>
      <c r="Y8" s="304">
        <f t="shared" si="9"/>
        <v>0</v>
      </c>
      <c r="Z8" s="307">
        <f t="shared" si="10"/>
        <v>25</v>
      </c>
      <c r="AA8" s="125">
        <v>240</v>
      </c>
      <c r="AB8" s="125">
        <v>168</v>
      </c>
      <c r="AC8" s="684">
        <f>Gen!AR13</f>
        <v>1565.76</v>
      </c>
    </row>
    <row r="9" spans="1:29" ht="20.100000000000001" customHeight="1" thickBot="1">
      <c r="A9" s="855">
        <f>Gen!A14</f>
        <v>44290</v>
      </c>
      <c r="B9" s="825">
        <v>0.247</v>
      </c>
      <c r="C9" s="849">
        <v>7917.58</v>
      </c>
      <c r="D9" s="145">
        <v>22273</v>
      </c>
      <c r="E9" s="851"/>
      <c r="F9" s="852"/>
      <c r="G9" s="145"/>
      <c r="H9" s="145"/>
      <c r="I9" s="145">
        <v>31863.8</v>
      </c>
      <c r="J9" s="847">
        <v>21235.5</v>
      </c>
      <c r="K9" s="857">
        <f t="shared" si="0"/>
        <v>36116</v>
      </c>
      <c r="L9" s="305">
        <v>36116</v>
      </c>
      <c r="M9" s="304">
        <f t="shared" si="1"/>
        <v>0</v>
      </c>
      <c r="N9" s="306">
        <f t="shared" si="2"/>
        <v>31027</v>
      </c>
      <c r="O9" s="125">
        <v>31027</v>
      </c>
      <c r="P9" s="304">
        <f t="shared" si="3"/>
        <v>0</v>
      </c>
      <c r="Q9" s="304">
        <f t="shared" si="4"/>
        <v>36320</v>
      </c>
      <c r="R9" s="305">
        <v>36320</v>
      </c>
      <c r="S9" s="304">
        <f t="shared" si="5"/>
        <v>0</v>
      </c>
      <c r="T9" s="304">
        <f t="shared" si="6"/>
        <v>33490</v>
      </c>
      <c r="U9" s="125">
        <v>33514</v>
      </c>
      <c r="V9" s="304">
        <f t="shared" si="7"/>
        <v>24</v>
      </c>
      <c r="W9" s="306">
        <f t="shared" si="8"/>
        <v>22034</v>
      </c>
      <c r="X9" s="673">
        <v>22034</v>
      </c>
      <c r="Y9" s="304">
        <f t="shared" si="9"/>
        <v>0</v>
      </c>
      <c r="Z9" s="307">
        <f t="shared" si="10"/>
        <v>24</v>
      </c>
      <c r="AA9" s="125">
        <v>260</v>
      </c>
      <c r="AB9" s="125">
        <v>187</v>
      </c>
      <c r="AC9" s="684">
        <f>Gen!AR14</f>
        <v>1363.11</v>
      </c>
    </row>
    <row r="10" spans="1:29" ht="20.100000000000001" customHeight="1" thickBot="1">
      <c r="A10" s="855">
        <f>Gen!A15</f>
        <v>44291</v>
      </c>
      <c r="B10" s="825">
        <v>0.13</v>
      </c>
      <c r="C10" s="849">
        <v>6308.49</v>
      </c>
      <c r="D10" s="145">
        <v>22273</v>
      </c>
      <c r="E10" s="851"/>
      <c r="F10" s="145"/>
      <c r="G10" s="145">
        <v>218.51</v>
      </c>
      <c r="H10" s="145"/>
      <c r="I10" s="145">
        <v>31869.200000000001</v>
      </c>
      <c r="J10" s="847">
        <v>21239.8</v>
      </c>
      <c r="K10" s="857">
        <f t="shared" si="0"/>
        <v>36116</v>
      </c>
      <c r="L10" s="305">
        <v>36116</v>
      </c>
      <c r="M10" s="304">
        <f t="shared" si="1"/>
        <v>0</v>
      </c>
      <c r="N10" s="306">
        <f t="shared" si="2"/>
        <v>31027</v>
      </c>
      <c r="O10" s="125">
        <v>31027</v>
      </c>
      <c r="P10" s="304">
        <f t="shared" si="3"/>
        <v>0</v>
      </c>
      <c r="Q10" s="304">
        <f t="shared" si="4"/>
        <v>36320</v>
      </c>
      <c r="R10" s="305">
        <v>36344</v>
      </c>
      <c r="S10" s="304">
        <f t="shared" si="5"/>
        <v>24</v>
      </c>
      <c r="T10" s="304">
        <f t="shared" si="6"/>
        <v>33514</v>
      </c>
      <c r="U10" s="125">
        <v>33514</v>
      </c>
      <c r="V10" s="304">
        <f t="shared" si="7"/>
        <v>0</v>
      </c>
      <c r="W10" s="306">
        <f t="shared" si="8"/>
        <v>22034</v>
      </c>
      <c r="X10" s="673">
        <v>22034</v>
      </c>
      <c r="Y10" s="304">
        <f t="shared" si="9"/>
        <v>0</v>
      </c>
      <c r="Z10" s="307">
        <f t="shared" si="10"/>
        <v>24</v>
      </c>
      <c r="AA10" s="125">
        <v>265</v>
      </c>
      <c r="AB10" s="125">
        <v>145</v>
      </c>
      <c r="AC10" s="684">
        <f>Gen!AR15</f>
        <v>1549.99</v>
      </c>
    </row>
    <row r="11" spans="1:29" ht="20.100000000000001" customHeight="1" thickBot="1">
      <c r="A11" s="855">
        <f>Gen!A16</f>
        <v>44292</v>
      </c>
      <c r="B11" s="825">
        <v>9.0999999999999998E-2</v>
      </c>
      <c r="C11" s="849">
        <v>4758.5</v>
      </c>
      <c r="D11" s="145">
        <v>22273</v>
      </c>
      <c r="E11" s="851"/>
      <c r="F11" s="145"/>
      <c r="G11" s="145">
        <v>42.44</v>
      </c>
      <c r="H11" s="145"/>
      <c r="I11" s="145">
        <v>31874.5</v>
      </c>
      <c r="J11" s="847">
        <v>21244.1</v>
      </c>
      <c r="K11" s="857">
        <f t="shared" si="0"/>
        <v>36116</v>
      </c>
      <c r="L11" s="305">
        <v>36116</v>
      </c>
      <c r="M11" s="304">
        <f t="shared" si="1"/>
        <v>0</v>
      </c>
      <c r="N11" s="306">
        <f t="shared" si="2"/>
        <v>31027</v>
      </c>
      <c r="O11" s="125">
        <v>31052</v>
      </c>
      <c r="P11" s="304">
        <f t="shared" si="3"/>
        <v>25</v>
      </c>
      <c r="Q11" s="304">
        <f t="shared" si="4"/>
        <v>36344</v>
      </c>
      <c r="R11" s="305">
        <v>36344</v>
      </c>
      <c r="S11" s="304">
        <f t="shared" si="5"/>
        <v>0</v>
      </c>
      <c r="T11" s="304">
        <f t="shared" si="6"/>
        <v>33514</v>
      </c>
      <c r="U11" s="125">
        <v>33514</v>
      </c>
      <c r="V11" s="304">
        <f t="shared" si="7"/>
        <v>0</v>
      </c>
      <c r="W11" s="306">
        <f t="shared" si="8"/>
        <v>22034</v>
      </c>
      <c r="X11" s="673">
        <v>22034</v>
      </c>
      <c r="Y11" s="304">
        <f t="shared" si="9"/>
        <v>0</v>
      </c>
      <c r="Z11" s="307">
        <f t="shared" si="10"/>
        <v>25</v>
      </c>
      <c r="AA11" s="125">
        <v>245</v>
      </c>
      <c r="AB11" s="125">
        <v>135</v>
      </c>
      <c r="AC11" s="684">
        <f>Gen!AR16</f>
        <v>1309.54</v>
      </c>
    </row>
    <row r="12" spans="1:29" ht="20.100000000000001" customHeight="1" thickBot="1">
      <c r="A12" s="855">
        <f>Gen!A17</f>
        <v>44293</v>
      </c>
      <c r="B12" s="825">
        <v>6.5000000000000002E-2</v>
      </c>
      <c r="C12" s="849">
        <v>3448.96</v>
      </c>
      <c r="D12" s="145">
        <v>22273</v>
      </c>
      <c r="E12" s="851"/>
      <c r="F12" s="145"/>
      <c r="G12" s="145">
        <v>117.14</v>
      </c>
      <c r="H12" s="145"/>
      <c r="I12" s="145">
        <v>31879.8</v>
      </c>
      <c r="J12" s="847">
        <v>21247.599999999999</v>
      </c>
      <c r="K12" s="857">
        <f t="shared" si="0"/>
        <v>36116</v>
      </c>
      <c r="L12" s="305">
        <v>36140</v>
      </c>
      <c r="M12" s="304">
        <f t="shared" si="1"/>
        <v>24</v>
      </c>
      <c r="N12" s="306">
        <f t="shared" si="2"/>
        <v>31052</v>
      </c>
      <c r="O12" s="125">
        <v>31052</v>
      </c>
      <c r="P12" s="304">
        <f t="shared" si="3"/>
        <v>0</v>
      </c>
      <c r="Q12" s="304">
        <f t="shared" si="4"/>
        <v>36344</v>
      </c>
      <c r="R12" s="305">
        <v>36344</v>
      </c>
      <c r="S12" s="304">
        <f t="shared" si="5"/>
        <v>0</v>
      </c>
      <c r="T12" s="304">
        <f t="shared" si="6"/>
        <v>33514</v>
      </c>
      <c r="U12" s="125">
        <v>33514</v>
      </c>
      <c r="V12" s="304">
        <f t="shared" si="7"/>
        <v>0</v>
      </c>
      <c r="W12" s="306">
        <f t="shared" si="8"/>
        <v>22034</v>
      </c>
      <c r="X12" s="673">
        <v>22034</v>
      </c>
      <c r="Y12" s="304">
        <f t="shared" si="9"/>
        <v>0</v>
      </c>
      <c r="Z12" s="307">
        <f t="shared" si="10"/>
        <v>24</v>
      </c>
      <c r="AA12" s="125">
        <v>260</v>
      </c>
      <c r="AB12" s="125">
        <v>138</v>
      </c>
      <c r="AC12" s="684">
        <f>Gen!AR17</f>
        <v>1469.5600000000002</v>
      </c>
    </row>
    <row r="13" spans="1:29" ht="20.100000000000001" customHeight="1" thickBot="1">
      <c r="A13" s="855">
        <f>Gen!A18</f>
        <v>44294</v>
      </c>
      <c r="B13" s="825">
        <v>9.0999999999999998E-2</v>
      </c>
      <c r="C13" s="849">
        <v>19981.400000000001</v>
      </c>
      <c r="D13" s="145">
        <v>22273</v>
      </c>
      <c r="E13" s="851"/>
      <c r="F13" s="145"/>
      <c r="G13" s="145">
        <v>156.32</v>
      </c>
      <c r="H13" s="145"/>
      <c r="I13" s="145">
        <v>31884.9</v>
      </c>
      <c r="J13" s="847">
        <v>21252.1</v>
      </c>
      <c r="K13" s="857">
        <f t="shared" si="0"/>
        <v>36140</v>
      </c>
      <c r="L13" s="305">
        <v>36140</v>
      </c>
      <c r="M13" s="304">
        <f t="shared" si="1"/>
        <v>0</v>
      </c>
      <c r="N13" s="306">
        <f t="shared" si="2"/>
        <v>31052</v>
      </c>
      <c r="O13" s="125">
        <v>31052</v>
      </c>
      <c r="P13" s="304">
        <f>O14-N13</f>
        <v>0</v>
      </c>
      <c r="Q13" s="304">
        <f t="shared" si="4"/>
        <v>36344</v>
      </c>
      <c r="R13" s="125">
        <v>36368</v>
      </c>
      <c r="S13" s="304">
        <f t="shared" si="5"/>
        <v>24</v>
      </c>
      <c r="T13" s="304">
        <f t="shared" si="6"/>
        <v>33514</v>
      </c>
      <c r="U13" s="125">
        <v>33514</v>
      </c>
      <c r="V13" s="304">
        <f t="shared" si="7"/>
        <v>0</v>
      </c>
      <c r="W13" s="306">
        <f t="shared" si="8"/>
        <v>22034</v>
      </c>
      <c r="X13" s="673">
        <v>22034</v>
      </c>
      <c r="Y13" s="304">
        <f t="shared" si="9"/>
        <v>0</v>
      </c>
      <c r="Z13" s="307">
        <f t="shared" si="10"/>
        <v>24</v>
      </c>
      <c r="AA13" s="125">
        <v>250</v>
      </c>
      <c r="AB13" s="125">
        <v>125</v>
      </c>
      <c r="AC13" s="684">
        <f>Gen!AR18</f>
        <v>1420.6399999999999</v>
      </c>
    </row>
    <row r="14" spans="1:29" ht="20.100000000000001" customHeight="1" thickBot="1">
      <c r="A14" s="855">
        <f>Gen!A19</f>
        <v>44295</v>
      </c>
      <c r="B14" s="825">
        <v>6.5000000000000002E-2</v>
      </c>
      <c r="C14" s="849">
        <v>18558.759999999998</v>
      </c>
      <c r="D14" s="145">
        <v>22273</v>
      </c>
      <c r="E14" s="851"/>
      <c r="F14" s="145"/>
      <c r="G14" s="145">
        <v>302.12</v>
      </c>
      <c r="H14" s="145"/>
      <c r="I14" s="145">
        <v>31889.7</v>
      </c>
      <c r="J14" s="847">
        <v>21256.3</v>
      </c>
      <c r="K14" s="857">
        <f t="shared" si="0"/>
        <v>36140</v>
      </c>
      <c r="L14" s="305">
        <v>36140</v>
      </c>
      <c r="M14" s="304">
        <f t="shared" si="1"/>
        <v>0</v>
      </c>
      <c r="N14" s="306">
        <f>O14</f>
        <v>31052</v>
      </c>
      <c r="O14" s="125">
        <v>31052</v>
      </c>
      <c r="P14" s="304">
        <f t="shared" ref="P14:P15" si="11">O15-N14</f>
        <v>24</v>
      </c>
      <c r="Q14" s="304">
        <f t="shared" si="4"/>
        <v>36368</v>
      </c>
      <c r="R14" s="125">
        <v>36368</v>
      </c>
      <c r="S14" s="304">
        <f t="shared" si="5"/>
        <v>0</v>
      </c>
      <c r="T14" s="304">
        <f t="shared" si="6"/>
        <v>33514</v>
      </c>
      <c r="U14" s="305">
        <v>33539</v>
      </c>
      <c r="V14" s="304">
        <f t="shared" si="7"/>
        <v>25</v>
      </c>
      <c r="W14" s="306">
        <f t="shared" si="8"/>
        <v>22034</v>
      </c>
      <c r="X14" s="673">
        <v>22034</v>
      </c>
      <c r="Y14" s="304">
        <f t="shared" si="9"/>
        <v>0</v>
      </c>
      <c r="Z14" s="307">
        <f t="shared" si="10"/>
        <v>49</v>
      </c>
      <c r="AA14" s="125">
        <v>245</v>
      </c>
      <c r="AB14" s="125">
        <v>145</v>
      </c>
      <c r="AC14" s="684">
        <f>Gen!AR19</f>
        <v>1608.4</v>
      </c>
    </row>
    <row r="15" spans="1:29" ht="20.100000000000001" customHeight="1" thickBot="1">
      <c r="A15" s="855">
        <f>Gen!A20</f>
        <v>44296</v>
      </c>
      <c r="B15" s="825">
        <v>5.1999999999999998E-2</v>
      </c>
      <c r="C15" s="849">
        <v>16950.36</v>
      </c>
      <c r="D15" s="145">
        <v>22273</v>
      </c>
      <c r="E15" s="851"/>
      <c r="F15" s="145"/>
      <c r="G15" s="860">
        <v>112</v>
      </c>
      <c r="H15" s="145"/>
      <c r="I15" s="145">
        <v>31894.5</v>
      </c>
      <c r="J15" s="847">
        <v>21260.799999999999</v>
      </c>
      <c r="K15" s="857">
        <f t="shared" si="0"/>
        <v>36140</v>
      </c>
      <c r="L15" s="305">
        <v>36140</v>
      </c>
      <c r="M15" s="304">
        <f t="shared" si="1"/>
        <v>0</v>
      </c>
      <c r="N15" s="306" t="e">
        <f>#REF!</f>
        <v>#REF!</v>
      </c>
      <c r="O15" s="125">
        <v>31076</v>
      </c>
      <c r="P15" s="304" t="e">
        <f t="shared" si="11"/>
        <v>#REF!</v>
      </c>
      <c r="Q15" s="304">
        <f t="shared" si="4"/>
        <v>36368</v>
      </c>
      <c r="R15" s="125">
        <v>36368</v>
      </c>
      <c r="S15" s="304">
        <f t="shared" si="5"/>
        <v>0</v>
      </c>
      <c r="T15" s="304">
        <f t="shared" si="6"/>
        <v>33539</v>
      </c>
      <c r="U15" s="305">
        <v>33539</v>
      </c>
      <c r="V15" s="304">
        <f t="shared" si="7"/>
        <v>0</v>
      </c>
      <c r="W15" s="306">
        <f t="shared" si="8"/>
        <v>22034</v>
      </c>
      <c r="X15" s="673">
        <v>22034</v>
      </c>
      <c r="Y15" s="304">
        <f t="shared" si="9"/>
        <v>0</v>
      </c>
      <c r="Z15" s="307" t="e">
        <f t="shared" si="10"/>
        <v>#REF!</v>
      </c>
      <c r="AA15" s="125">
        <v>250</v>
      </c>
      <c r="AB15" s="125">
        <v>145</v>
      </c>
      <c r="AC15" s="684">
        <f>Gen!AR20</f>
        <v>1357.81</v>
      </c>
    </row>
    <row r="16" spans="1:29" ht="20.100000000000001" customHeight="1" thickBot="1">
      <c r="A16" s="855">
        <f>Gen!A21</f>
        <v>44297</v>
      </c>
      <c r="B16" s="825">
        <v>0.104</v>
      </c>
      <c r="C16" s="849">
        <v>15592.55</v>
      </c>
      <c r="D16" s="145">
        <v>22273</v>
      </c>
      <c r="E16" s="851"/>
      <c r="F16" s="145"/>
      <c r="G16" s="145">
        <v>25</v>
      </c>
      <c r="H16" s="145"/>
      <c r="I16" s="145">
        <v>31899.200000000001</v>
      </c>
      <c r="J16" s="847">
        <v>21265.1</v>
      </c>
      <c r="K16" s="857">
        <f t="shared" si="0"/>
        <v>36140</v>
      </c>
      <c r="L16" s="305">
        <v>36165</v>
      </c>
      <c r="M16" s="304">
        <f>L16-K16</f>
        <v>25</v>
      </c>
      <c r="N16" s="306">
        <f t="shared" si="2"/>
        <v>31076</v>
      </c>
      <c r="O16" s="125">
        <v>31076</v>
      </c>
      <c r="P16" s="304">
        <f t="shared" si="3"/>
        <v>0</v>
      </c>
      <c r="Q16" s="304">
        <f t="shared" si="4"/>
        <v>36368</v>
      </c>
      <c r="R16" s="125">
        <v>36368</v>
      </c>
      <c r="S16" s="304">
        <f t="shared" si="5"/>
        <v>0</v>
      </c>
      <c r="T16" s="304">
        <f t="shared" si="6"/>
        <v>33539</v>
      </c>
      <c r="U16" s="305">
        <v>33539</v>
      </c>
      <c r="V16" s="304">
        <f t="shared" si="7"/>
        <v>0</v>
      </c>
      <c r="W16" s="306">
        <f t="shared" si="8"/>
        <v>22034</v>
      </c>
      <c r="X16" s="673">
        <v>22034</v>
      </c>
      <c r="Y16" s="304">
        <f t="shared" si="9"/>
        <v>0</v>
      </c>
      <c r="Z16" s="307">
        <f t="shared" si="10"/>
        <v>25</v>
      </c>
      <c r="AA16" s="125">
        <v>240</v>
      </c>
      <c r="AB16" s="125">
        <v>130</v>
      </c>
      <c r="AC16" s="684">
        <f>Gen!AR21</f>
        <v>1308.98</v>
      </c>
    </row>
    <row r="17" spans="1:29" ht="20.100000000000001" customHeight="1" thickBot="1">
      <c r="A17" s="855">
        <f>Gen!A22</f>
        <v>44298</v>
      </c>
      <c r="B17" s="825">
        <v>0.104</v>
      </c>
      <c r="C17" s="849">
        <v>14283.57</v>
      </c>
      <c r="D17" s="145">
        <v>22273</v>
      </c>
      <c r="E17" s="851"/>
      <c r="F17" s="145"/>
      <c r="G17" s="145">
        <v>250.64</v>
      </c>
      <c r="H17" s="145"/>
      <c r="I17" s="145">
        <v>31903.9</v>
      </c>
      <c r="J17" s="847">
        <v>21269.5</v>
      </c>
      <c r="K17" s="857">
        <f>L16</f>
        <v>36165</v>
      </c>
      <c r="L17" s="305">
        <v>36165</v>
      </c>
      <c r="M17" s="304">
        <f>L17-K17</f>
        <v>0</v>
      </c>
      <c r="N17" s="306">
        <f t="shared" si="2"/>
        <v>31076</v>
      </c>
      <c r="O17" s="125">
        <v>31076</v>
      </c>
      <c r="P17" s="304">
        <f t="shared" si="3"/>
        <v>0</v>
      </c>
      <c r="Q17" s="304">
        <f t="shared" si="4"/>
        <v>36368</v>
      </c>
      <c r="R17" s="125">
        <v>36392</v>
      </c>
      <c r="S17" s="304">
        <f t="shared" si="5"/>
        <v>24</v>
      </c>
      <c r="T17" s="304">
        <f t="shared" si="6"/>
        <v>33539</v>
      </c>
      <c r="U17" s="305">
        <v>33539</v>
      </c>
      <c r="V17" s="304">
        <f t="shared" si="7"/>
        <v>0</v>
      </c>
      <c r="W17" s="306">
        <f t="shared" si="8"/>
        <v>22034</v>
      </c>
      <c r="X17" s="673">
        <v>22034</v>
      </c>
      <c r="Y17" s="304">
        <f t="shared" si="9"/>
        <v>0</v>
      </c>
      <c r="Z17" s="307">
        <f t="shared" si="10"/>
        <v>24</v>
      </c>
      <c r="AA17" s="125">
        <v>245</v>
      </c>
      <c r="AB17" s="125">
        <v>125</v>
      </c>
      <c r="AC17" s="684">
        <f>Gen!AR22</f>
        <v>1417.3899999999999</v>
      </c>
    </row>
    <row r="18" spans="1:29" ht="20.100000000000001" customHeight="1" thickBot="1">
      <c r="A18" s="855">
        <f>Gen!A23</f>
        <v>44299</v>
      </c>
      <c r="B18" s="825">
        <v>1.2999999999999999E-2</v>
      </c>
      <c r="C18" s="849">
        <v>12866.18</v>
      </c>
      <c r="D18" s="145">
        <v>22273</v>
      </c>
      <c r="E18" s="145"/>
      <c r="F18" s="145"/>
      <c r="G18" s="145">
        <v>22.54</v>
      </c>
      <c r="H18" s="145"/>
      <c r="I18" s="145">
        <v>31908.7</v>
      </c>
      <c r="J18" s="847">
        <v>21273.9</v>
      </c>
      <c r="K18" s="857">
        <f>L17</f>
        <v>36165</v>
      </c>
      <c r="L18" s="305">
        <v>36165</v>
      </c>
      <c r="M18" s="304">
        <f t="shared" si="1"/>
        <v>0</v>
      </c>
      <c r="N18" s="306">
        <f t="shared" si="2"/>
        <v>31076</v>
      </c>
      <c r="O18" s="125">
        <v>31076</v>
      </c>
      <c r="P18" s="304">
        <f t="shared" si="3"/>
        <v>0</v>
      </c>
      <c r="Q18" s="304">
        <f t="shared" si="4"/>
        <v>36392</v>
      </c>
      <c r="R18" s="125">
        <v>36392</v>
      </c>
      <c r="S18" s="304">
        <f t="shared" si="5"/>
        <v>0</v>
      </c>
      <c r="T18" s="304">
        <f t="shared" si="6"/>
        <v>33539</v>
      </c>
      <c r="U18" s="305">
        <v>33563</v>
      </c>
      <c r="V18" s="304">
        <f t="shared" si="7"/>
        <v>24</v>
      </c>
      <c r="W18" s="306">
        <f t="shared" si="8"/>
        <v>22034</v>
      </c>
      <c r="X18" s="673">
        <v>22034</v>
      </c>
      <c r="Y18" s="304">
        <f t="shared" si="9"/>
        <v>0</v>
      </c>
      <c r="Z18" s="307">
        <f t="shared" si="10"/>
        <v>24</v>
      </c>
      <c r="AA18" s="125">
        <v>240</v>
      </c>
      <c r="AB18" s="125">
        <v>125</v>
      </c>
      <c r="AC18" s="684">
        <f>Gen!AR23</f>
        <v>1106.28</v>
      </c>
    </row>
    <row r="19" spans="1:29" ht="20.100000000000001" customHeight="1" thickBot="1">
      <c r="A19" s="855">
        <f>Gen!A24</f>
        <v>44300</v>
      </c>
      <c r="B19" s="825">
        <v>0</v>
      </c>
      <c r="C19" s="849">
        <v>11759.9</v>
      </c>
      <c r="D19" s="145">
        <v>22273</v>
      </c>
      <c r="E19" s="145"/>
      <c r="F19" s="145"/>
      <c r="G19" s="145">
        <v>160.49</v>
      </c>
      <c r="H19" s="145"/>
      <c r="I19" s="145">
        <v>31913.7</v>
      </c>
      <c r="J19" s="847">
        <v>21276.9</v>
      </c>
      <c r="K19" s="857">
        <f t="shared" si="0"/>
        <v>36165</v>
      </c>
      <c r="L19" s="305">
        <v>36165</v>
      </c>
      <c r="M19" s="304">
        <f t="shared" si="1"/>
        <v>0</v>
      </c>
      <c r="N19" s="306">
        <f t="shared" si="2"/>
        <v>31076</v>
      </c>
      <c r="O19" s="125">
        <v>31100</v>
      </c>
      <c r="P19" s="304">
        <f t="shared" si="3"/>
        <v>24</v>
      </c>
      <c r="Q19" s="304">
        <f t="shared" si="4"/>
        <v>36392</v>
      </c>
      <c r="R19" s="125">
        <v>36392</v>
      </c>
      <c r="S19" s="304">
        <f t="shared" si="5"/>
        <v>0</v>
      </c>
      <c r="T19" s="304">
        <f t="shared" si="6"/>
        <v>33563</v>
      </c>
      <c r="U19" s="305">
        <v>33563</v>
      </c>
      <c r="V19" s="304">
        <f t="shared" si="7"/>
        <v>0</v>
      </c>
      <c r="W19" s="306">
        <f t="shared" si="8"/>
        <v>22034</v>
      </c>
      <c r="X19" s="673">
        <v>22034</v>
      </c>
      <c r="Y19" s="304">
        <f t="shared" si="9"/>
        <v>0</v>
      </c>
      <c r="Z19" s="307">
        <f t="shared" si="10"/>
        <v>24</v>
      </c>
      <c r="AA19" s="125">
        <v>235</v>
      </c>
      <c r="AB19" s="125">
        <v>120</v>
      </c>
      <c r="AC19" s="684">
        <f>Gen!AR24</f>
        <v>1224.48</v>
      </c>
    </row>
    <row r="20" spans="1:29" ht="20.100000000000001" customHeight="1" thickBot="1">
      <c r="A20" s="855">
        <f>Gen!A25</f>
        <v>44301</v>
      </c>
      <c r="B20" s="825">
        <v>0</v>
      </c>
      <c r="C20" s="849">
        <v>10535.42</v>
      </c>
      <c r="D20" s="145">
        <v>22273</v>
      </c>
      <c r="E20" s="145"/>
      <c r="F20" s="145"/>
      <c r="G20" s="145">
        <v>101.91</v>
      </c>
      <c r="H20" s="145"/>
      <c r="I20" s="145">
        <v>31917.3</v>
      </c>
      <c r="J20" s="847">
        <v>21280.2</v>
      </c>
      <c r="K20" s="857">
        <f t="shared" si="0"/>
        <v>36165</v>
      </c>
      <c r="L20" s="305">
        <v>36189</v>
      </c>
      <c r="M20" s="304">
        <f t="shared" si="1"/>
        <v>24</v>
      </c>
      <c r="N20" s="306">
        <f t="shared" si="2"/>
        <v>31100</v>
      </c>
      <c r="O20" s="125">
        <v>31100</v>
      </c>
      <c r="P20" s="304">
        <f t="shared" si="3"/>
        <v>0</v>
      </c>
      <c r="Q20" s="304">
        <f t="shared" si="4"/>
        <v>36392</v>
      </c>
      <c r="R20" s="125">
        <v>36392</v>
      </c>
      <c r="S20" s="304">
        <f t="shared" si="5"/>
        <v>0</v>
      </c>
      <c r="T20" s="304">
        <f t="shared" si="6"/>
        <v>33563</v>
      </c>
      <c r="U20" s="305">
        <v>33563</v>
      </c>
      <c r="V20" s="304">
        <f t="shared" si="7"/>
        <v>0</v>
      </c>
      <c r="W20" s="306">
        <f t="shared" si="8"/>
        <v>22034</v>
      </c>
      <c r="X20" s="673">
        <v>22034</v>
      </c>
      <c r="Y20" s="304">
        <f t="shared" si="9"/>
        <v>0</v>
      </c>
      <c r="Z20" s="307">
        <f t="shared" si="10"/>
        <v>24</v>
      </c>
      <c r="AA20" s="125">
        <v>230</v>
      </c>
      <c r="AB20" s="125">
        <v>120</v>
      </c>
      <c r="AC20" s="684">
        <f>Gen!AR25</f>
        <v>1152.99</v>
      </c>
    </row>
    <row r="21" spans="1:29" ht="20.100000000000001" customHeight="1" thickBot="1">
      <c r="A21" s="855">
        <f>Gen!A26</f>
        <v>44302</v>
      </c>
      <c r="B21" s="825">
        <v>0</v>
      </c>
      <c r="C21" s="849">
        <v>9382.43</v>
      </c>
      <c r="D21" s="145">
        <v>22273</v>
      </c>
      <c r="E21" s="145"/>
      <c r="F21" s="145"/>
      <c r="G21" s="145"/>
      <c r="H21" s="145"/>
      <c r="I21" s="145">
        <v>31921.599999999999</v>
      </c>
      <c r="J21" s="847">
        <v>21283.1</v>
      </c>
      <c r="K21" s="857">
        <f t="shared" si="0"/>
        <v>36189</v>
      </c>
      <c r="L21" s="305">
        <v>36189</v>
      </c>
      <c r="M21" s="304">
        <f t="shared" si="1"/>
        <v>0</v>
      </c>
      <c r="N21" s="306">
        <f t="shared" si="2"/>
        <v>31100</v>
      </c>
      <c r="O21" s="125">
        <v>31100</v>
      </c>
      <c r="P21" s="304">
        <f t="shared" si="3"/>
        <v>0</v>
      </c>
      <c r="Q21" s="304">
        <f t="shared" si="4"/>
        <v>36392</v>
      </c>
      <c r="R21" s="125">
        <v>36392</v>
      </c>
      <c r="S21" s="304">
        <f t="shared" si="5"/>
        <v>0</v>
      </c>
      <c r="T21" s="304">
        <f t="shared" si="6"/>
        <v>33563</v>
      </c>
      <c r="U21" s="305">
        <v>33587</v>
      </c>
      <c r="V21" s="304">
        <f t="shared" si="7"/>
        <v>24</v>
      </c>
      <c r="W21" s="306">
        <f t="shared" si="8"/>
        <v>22034</v>
      </c>
      <c r="X21" s="673">
        <v>22034</v>
      </c>
      <c r="Y21" s="304">
        <f t="shared" si="9"/>
        <v>0</v>
      </c>
      <c r="Z21" s="307">
        <f t="shared" si="10"/>
        <v>24</v>
      </c>
      <c r="AA21" s="125">
        <v>220</v>
      </c>
      <c r="AB21" s="125">
        <v>125</v>
      </c>
      <c r="AC21" s="684">
        <f>Gen!AR26</f>
        <v>1038.83</v>
      </c>
    </row>
    <row r="22" spans="1:29" ht="18.75" customHeight="1" thickBot="1">
      <c r="A22" s="855">
        <f>Gen!A27</f>
        <v>44303</v>
      </c>
      <c r="B22" s="825">
        <v>1.2999999999999999E-2</v>
      </c>
      <c r="C22" s="849">
        <v>8343.6</v>
      </c>
      <c r="D22" s="145">
        <v>22273</v>
      </c>
      <c r="E22" s="145"/>
      <c r="F22" s="145"/>
      <c r="G22" s="145">
        <v>146.31</v>
      </c>
      <c r="H22" s="145"/>
      <c r="I22" s="145">
        <v>31925.8</v>
      </c>
      <c r="J22" s="847">
        <v>21286.1</v>
      </c>
      <c r="K22" s="857">
        <f t="shared" si="0"/>
        <v>36189</v>
      </c>
      <c r="L22" s="305">
        <v>36189</v>
      </c>
      <c r="M22" s="304">
        <f t="shared" si="1"/>
        <v>0</v>
      </c>
      <c r="N22" s="306">
        <f t="shared" si="2"/>
        <v>31100</v>
      </c>
      <c r="O22" s="125">
        <v>31125</v>
      </c>
      <c r="P22" s="304">
        <f t="shared" si="3"/>
        <v>25</v>
      </c>
      <c r="Q22" s="304">
        <f t="shared" si="4"/>
        <v>36392</v>
      </c>
      <c r="R22" s="125">
        <v>36392</v>
      </c>
      <c r="S22" s="304">
        <f t="shared" si="5"/>
        <v>0</v>
      </c>
      <c r="T22" s="304">
        <f t="shared" si="6"/>
        <v>33587</v>
      </c>
      <c r="U22" s="305">
        <v>33587</v>
      </c>
      <c r="V22" s="304">
        <f t="shared" si="7"/>
        <v>0</v>
      </c>
      <c r="W22" s="306">
        <f t="shared" si="8"/>
        <v>22034</v>
      </c>
      <c r="X22" s="673">
        <v>22034</v>
      </c>
      <c r="Y22" s="304">
        <f t="shared" si="9"/>
        <v>0</v>
      </c>
      <c r="Z22" s="307">
        <f t="shared" si="10"/>
        <v>25</v>
      </c>
      <c r="AA22" s="125">
        <v>225</v>
      </c>
      <c r="AB22" s="125">
        <v>120</v>
      </c>
      <c r="AC22" s="684">
        <f>Gen!AR27</f>
        <v>1249.0899999999999</v>
      </c>
    </row>
    <row r="23" spans="1:29" ht="20.100000000000001" customHeight="1" thickBot="1">
      <c r="A23" s="855">
        <f>Gen!A28</f>
        <v>44304</v>
      </c>
      <c r="B23" s="825">
        <v>3.9E-2</v>
      </c>
      <c r="C23" s="849">
        <v>7094.51</v>
      </c>
      <c r="D23" s="145">
        <v>22273</v>
      </c>
      <c r="E23" s="851"/>
      <c r="F23" s="145"/>
      <c r="G23" s="145"/>
      <c r="H23" s="145"/>
      <c r="I23" s="145">
        <v>31930.400000000001</v>
      </c>
      <c r="J23" s="847">
        <v>21289.200000000001</v>
      </c>
      <c r="K23" s="857">
        <f t="shared" si="0"/>
        <v>36189</v>
      </c>
      <c r="L23" s="305">
        <v>36189</v>
      </c>
      <c r="M23" s="304">
        <f t="shared" si="1"/>
        <v>0</v>
      </c>
      <c r="N23" s="306">
        <f t="shared" si="2"/>
        <v>31125</v>
      </c>
      <c r="O23" s="125">
        <v>31125</v>
      </c>
      <c r="P23" s="304">
        <f t="shared" si="3"/>
        <v>0</v>
      </c>
      <c r="Q23" s="304">
        <f t="shared" si="4"/>
        <v>36392</v>
      </c>
      <c r="R23" s="125">
        <v>36416</v>
      </c>
      <c r="S23" s="304">
        <f t="shared" si="5"/>
        <v>24</v>
      </c>
      <c r="T23" s="304">
        <f t="shared" si="6"/>
        <v>33587</v>
      </c>
      <c r="U23" s="305">
        <v>33587</v>
      </c>
      <c r="V23" s="304">
        <f t="shared" si="7"/>
        <v>0</v>
      </c>
      <c r="W23" s="306">
        <f t="shared" si="8"/>
        <v>22034</v>
      </c>
      <c r="X23" s="673">
        <v>22034</v>
      </c>
      <c r="Y23" s="304">
        <f t="shared" si="9"/>
        <v>0</v>
      </c>
      <c r="Z23" s="307">
        <f t="shared" si="10"/>
        <v>24</v>
      </c>
      <c r="AA23" s="125">
        <v>220</v>
      </c>
      <c r="AB23" s="125">
        <v>122</v>
      </c>
      <c r="AC23" s="684">
        <f>Gen!AR28</f>
        <v>1165.3</v>
      </c>
    </row>
    <row r="24" spans="1:29" ht="20.100000000000001" customHeight="1" thickBot="1">
      <c r="A24" s="855">
        <f>Gen!A29</f>
        <v>44305</v>
      </c>
      <c r="B24" s="825">
        <v>6.5000000000000002E-2</v>
      </c>
      <c r="C24" s="849">
        <v>5929.21</v>
      </c>
      <c r="D24" s="145">
        <v>22273</v>
      </c>
      <c r="E24" s="145"/>
      <c r="F24" s="145"/>
      <c r="G24" s="145">
        <v>346.21</v>
      </c>
      <c r="H24" s="145"/>
      <c r="I24" s="145">
        <v>31935</v>
      </c>
      <c r="J24" s="847">
        <v>21292.6</v>
      </c>
      <c r="K24" s="857">
        <f t="shared" si="0"/>
        <v>36189</v>
      </c>
      <c r="L24" s="305">
        <v>36213</v>
      </c>
      <c r="M24" s="304">
        <f t="shared" si="1"/>
        <v>24</v>
      </c>
      <c r="N24" s="306">
        <f t="shared" si="2"/>
        <v>31125</v>
      </c>
      <c r="O24" s="125">
        <v>31125</v>
      </c>
      <c r="P24" s="304">
        <f t="shared" si="3"/>
        <v>0</v>
      </c>
      <c r="Q24" s="304">
        <f t="shared" si="4"/>
        <v>36416</v>
      </c>
      <c r="R24" s="125">
        <v>36416</v>
      </c>
      <c r="S24" s="304">
        <f t="shared" si="5"/>
        <v>0</v>
      </c>
      <c r="T24" s="304">
        <f t="shared" si="6"/>
        <v>33587</v>
      </c>
      <c r="U24" s="305">
        <v>33587</v>
      </c>
      <c r="V24" s="304">
        <f t="shared" si="7"/>
        <v>0</v>
      </c>
      <c r="W24" s="306">
        <f t="shared" si="8"/>
        <v>22034</v>
      </c>
      <c r="X24" s="673">
        <v>22034</v>
      </c>
      <c r="Y24" s="304">
        <f t="shared" si="9"/>
        <v>0</v>
      </c>
      <c r="Z24" s="307">
        <f t="shared" si="10"/>
        <v>24</v>
      </c>
      <c r="AA24" s="125">
        <v>215</v>
      </c>
      <c r="AB24" s="125">
        <v>120</v>
      </c>
      <c r="AC24" s="684">
        <f>Gen!AR29</f>
        <v>1495.21</v>
      </c>
    </row>
    <row r="25" spans="1:29" ht="18.75" customHeight="1" thickBot="1">
      <c r="A25" s="855">
        <f>Gen!A30</f>
        <v>44306</v>
      </c>
      <c r="B25" s="825">
        <v>5.1999999999999998E-2</v>
      </c>
      <c r="C25" s="861">
        <v>4434</v>
      </c>
      <c r="D25" s="145">
        <v>22273</v>
      </c>
      <c r="E25" s="145"/>
      <c r="F25" s="145"/>
      <c r="G25" s="145">
        <v>67.459999999999994</v>
      </c>
      <c r="H25" s="145"/>
      <c r="I25" s="145">
        <v>31939.8</v>
      </c>
      <c r="J25" s="847">
        <v>21295.7</v>
      </c>
      <c r="K25" s="857">
        <f t="shared" si="0"/>
        <v>36213</v>
      </c>
      <c r="L25" s="305">
        <v>36213</v>
      </c>
      <c r="M25" s="304">
        <f t="shared" si="1"/>
        <v>0</v>
      </c>
      <c r="N25" s="306">
        <f t="shared" si="2"/>
        <v>31125</v>
      </c>
      <c r="O25" s="125">
        <v>31125</v>
      </c>
      <c r="P25" s="304">
        <f t="shared" si="3"/>
        <v>0</v>
      </c>
      <c r="Q25" s="304">
        <f t="shared" si="4"/>
        <v>36416</v>
      </c>
      <c r="R25" s="125">
        <v>36416</v>
      </c>
      <c r="S25" s="304">
        <f t="shared" si="5"/>
        <v>0</v>
      </c>
      <c r="T25" s="304">
        <f t="shared" si="6"/>
        <v>33587</v>
      </c>
      <c r="U25" s="305">
        <v>33611</v>
      </c>
      <c r="V25" s="304">
        <f t="shared" si="7"/>
        <v>24</v>
      </c>
      <c r="W25" s="306">
        <f t="shared" si="8"/>
        <v>22034</v>
      </c>
      <c r="X25" s="673">
        <v>22034</v>
      </c>
      <c r="Y25" s="304">
        <f t="shared" si="9"/>
        <v>0</v>
      </c>
      <c r="Z25" s="307">
        <f t="shared" si="10"/>
        <v>24</v>
      </c>
      <c r="AA25" s="125">
        <v>226</v>
      </c>
      <c r="AB25" s="125">
        <v>130</v>
      </c>
      <c r="AC25" s="684">
        <f>Gen!AR30</f>
        <v>1255.04</v>
      </c>
    </row>
    <row r="26" spans="1:29" ht="20.100000000000001" customHeight="1" thickBot="1">
      <c r="A26" s="855">
        <f>Gen!A31</f>
        <v>44307</v>
      </c>
      <c r="B26" s="825">
        <v>2.5999999999999999E-2</v>
      </c>
      <c r="C26" s="849">
        <v>3178.96</v>
      </c>
      <c r="D26" s="145">
        <v>22273</v>
      </c>
      <c r="E26" s="145"/>
      <c r="F26" s="145"/>
      <c r="G26" s="145">
        <v>17.399999999999999</v>
      </c>
      <c r="H26" s="145"/>
      <c r="I26" s="145">
        <v>31944.7</v>
      </c>
      <c r="J26" s="847">
        <v>21298.9</v>
      </c>
      <c r="K26" s="857">
        <f t="shared" si="0"/>
        <v>36213</v>
      </c>
      <c r="L26" s="305">
        <v>36213</v>
      </c>
      <c r="M26" s="304">
        <f t="shared" si="1"/>
        <v>0</v>
      </c>
      <c r="N26" s="306">
        <f t="shared" si="2"/>
        <v>31125</v>
      </c>
      <c r="O26" s="125">
        <v>31149</v>
      </c>
      <c r="P26" s="304">
        <f t="shared" si="3"/>
        <v>24</v>
      </c>
      <c r="Q26" s="304">
        <f t="shared" si="4"/>
        <v>36416</v>
      </c>
      <c r="R26" s="125">
        <v>36416</v>
      </c>
      <c r="S26" s="304">
        <f t="shared" si="5"/>
        <v>0</v>
      </c>
      <c r="T26" s="304">
        <f t="shared" si="6"/>
        <v>33611</v>
      </c>
      <c r="U26" s="305">
        <v>33611</v>
      </c>
      <c r="V26" s="304">
        <f t="shared" si="7"/>
        <v>0</v>
      </c>
      <c r="W26" s="306">
        <f t="shared" si="8"/>
        <v>22034</v>
      </c>
      <c r="X26" s="673">
        <v>22034</v>
      </c>
      <c r="Y26" s="304">
        <f t="shared" si="9"/>
        <v>0</v>
      </c>
      <c r="Z26" s="307">
        <f t="shared" ref="Z26:Z37" si="12">Y26+V26+S26+P26+M26</f>
        <v>24</v>
      </c>
      <c r="AA26" s="125">
        <v>225</v>
      </c>
      <c r="AB26" s="125">
        <v>125</v>
      </c>
      <c r="AC26" s="684">
        <f>Gen!AR31</f>
        <v>1134.8600000000001</v>
      </c>
    </row>
    <row r="27" spans="1:29" ht="20.100000000000001" customHeight="1" thickBot="1">
      <c r="A27" s="855">
        <f>Gen!A32</f>
        <v>44308</v>
      </c>
      <c r="B27" s="825">
        <v>0</v>
      </c>
      <c r="C27" s="849">
        <v>16844.009999999998</v>
      </c>
      <c r="D27" s="145">
        <v>22273</v>
      </c>
      <c r="E27" s="145"/>
      <c r="F27" s="145"/>
      <c r="G27" s="145">
        <v>54.93</v>
      </c>
      <c r="H27" s="145"/>
      <c r="I27" s="145">
        <v>31949.3</v>
      </c>
      <c r="J27" s="847">
        <v>21301.8</v>
      </c>
      <c r="K27" s="857">
        <f t="shared" si="0"/>
        <v>36213</v>
      </c>
      <c r="L27" s="305">
        <v>36213</v>
      </c>
      <c r="M27" s="304">
        <f t="shared" si="1"/>
        <v>0</v>
      </c>
      <c r="N27" s="306">
        <f t="shared" si="2"/>
        <v>31149</v>
      </c>
      <c r="O27" s="125">
        <v>31149</v>
      </c>
      <c r="P27" s="304">
        <f t="shared" si="3"/>
        <v>0</v>
      </c>
      <c r="Q27" s="304">
        <f t="shared" si="4"/>
        <v>36416</v>
      </c>
      <c r="R27" s="305">
        <v>36440</v>
      </c>
      <c r="S27" s="304">
        <f t="shared" si="5"/>
        <v>24</v>
      </c>
      <c r="T27" s="304">
        <f t="shared" si="6"/>
        <v>33611</v>
      </c>
      <c r="U27" s="305">
        <v>33611</v>
      </c>
      <c r="V27" s="304">
        <f t="shared" si="7"/>
        <v>0</v>
      </c>
      <c r="W27" s="306">
        <f t="shared" si="8"/>
        <v>22034</v>
      </c>
      <c r="X27" s="673">
        <v>22034</v>
      </c>
      <c r="Y27" s="304">
        <f t="shared" si="9"/>
        <v>0</v>
      </c>
      <c r="Z27" s="307">
        <f t="shared" si="12"/>
        <v>24</v>
      </c>
      <c r="AA27" s="125">
        <v>210</v>
      </c>
      <c r="AB27" s="125">
        <v>120</v>
      </c>
      <c r="AC27" s="684">
        <f>Gen!AR32</f>
        <v>1120.47</v>
      </c>
    </row>
    <row r="28" spans="1:29" ht="20.100000000000001" customHeight="1" thickBot="1">
      <c r="A28" s="855">
        <f>Gen!A33</f>
        <v>44309</v>
      </c>
      <c r="B28" s="825">
        <v>1.2999999999999999E-2</v>
      </c>
      <c r="C28" s="788">
        <v>15723.63</v>
      </c>
      <c r="D28" s="145">
        <v>22273</v>
      </c>
      <c r="E28" s="305"/>
      <c r="F28" s="305"/>
      <c r="G28" s="305">
        <v>140.07</v>
      </c>
      <c r="H28" s="305"/>
      <c r="I28" s="305">
        <v>31953.9</v>
      </c>
      <c r="J28" s="305">
        <v>21304.6</v>
      </c>
      <c r="K28" s="857">
        <f t="shared" si="0"/>
        <v>36213</v>
      </c>
      <c r="L28" s="305">
        <v>36237</v>
      </c>
      <c r="M28" s="304">
        <f t="shared" si="1"/>
        <v>24</v>
      </c>
      <c r="N28" s="306">
        <f t="shared" si="2"/>
        <v>31149</v>
      </c>
      <c r="O28" s="125">
        <v>31149</v>
      </c>
      <c r="P28" s="304">
        <f t="shared" si="3"/>
        <v>0</v>
      </c>
      <c r="Q28" s="304">
        <f t="shared" si="4"/>
        <v>36440</v>
      </c>
      <c r="R28" s="305">
        <v>36440</v>
      </c>
      <c r="S28" s="304">
        <f t="shared" si="5"/>
        <v>0</v>
      </c>
      <c r="T28" s="304">
        <f t="shared" si="6"/>
        <v>33611</v>
      </c>
      <c r="U28" s="305">
        <v>33611</v>
      </c>
      <c r="V28" s="304">
        <f t="shared" si="7"/>
        <v>0</v>
      </c>
      <c r="W28" s="306">
        <f t="shared" si="8"/>
        <v>22034</v>
      </c>
      <c r="X28" s="673">
        <v>22034</v>
      </c>
      <c r="Y28" s="304">
        <f t="shared" si="9"/>
        <v>0</v>
      </c>
      <c r="Z28" s="307">
        <f t="shared" si="12"/>
        <v>24</v>
      </c>
      <c r="AA28" s="125">
        <v>205</v>
      </c>
      <c r="AB28" s="125">
        <v>120</v>
      </c>
      <c r="AC28" s="684">
        <f>Gen!AR33</f>
        <v>1228.1299999999999</v>
      </c>
    </row>
    <row r="29" spans="1:29" ht="20.100000000000001" customHeight="1" thickBot="1">
      <c r="A29" s="678">
        <f>Gen!A34</f>
        <v>44310</v>
      </c>
      <c r="B29" s="825">
        <v>2.5999999999999999E-2</v>
      </c>
      <c r="C29" s="788">
        <v>14495.5</v>
      </c>
      <c r="D29" s="145">
        <v>22273</v>
      </c>
      <c r="E29" s="305"/>
      <c r="F29" s="305"/>
      <c r="G29" s="305">
        <v>147</v>
      </c>
      <c r="H29" s="305"/>
      <c r="I29" s="305">
        <v>31958.5</v>
      </c>
      <c r="J29" s="675">
        <v>21307.599999999999</v>
      </c>
      <c r="K29" s="683">
        <f t="shared" si="0"/>
        <v>36237</v>
      </c>
      <c r="L29" s="305">
        <v>36237</v>
      </c>
      <c r="M29" s="304">
        <f t="shared" si="1"/>
        <v>0</v>
      </c>
      <c r="N29" s="306">
        <f t="shared" si="2"/>
        <v>31149</v>
      </c>
      <c r="O29" s="125">
        <v>31149</v>
      </c>
      <c r="P29" s="304">
        <f t="shared" si="3"/>
        <v>0</v>
      </c>
      <c r="Q29" s="304">
        <f t="shared" si="4"/>
        <v>36440</v>
      </c>
      <c r="R29" s="305">
        <v>36440</v>
      </c>
      <c r="S29" s="304">
        <f t="shared" si="5"/>
        <v>0</v>
      </c>
      <c r="T29" s="304">
        <f t="shared" si="6"/>
        <v>33611</v>
      </c>
      <c r="U29" s="305">
        <v>33635</v>
      </c>
      <c r="V29" s="304">
        <f t="shared" si="7"/>
        <v>24</v>
      </c>
      <c r="W29" s="306">
        <f t="shared" si="8"/>
        <v>22034</v>
      </c>
      <c r="X29" s="673">
        <v>22034</v>
      </c>
      <c r="Y29" s="304">
        <f t="shared" si="9"/>
        <v>0</v>
      </c>
      <c r="Z29" s="307">
        <f t="shared" si="12"/>
        <v>24</v>
      </c>
      <c r="AA29" s="125">
        <v>200</v>
      </c>
      <c r="AB29" s="125">
        <v>115</v>
      </c>
      <c r="AC29" s="684">
        <f>Gen!AR34</f>
        <v>1197.72</v>
      </c>
    </row>
    <row r="30" spans="1:29" ht="20.100000000000001" customHeight="1" thickBot="1">
      <c r="A30" s="678">
        <f>Gen!A35</f>
        <v>44311</v>
      </c>
      <c r="B30" s="825">
        <v>5.1999999999999998E-2</v>
      </c>
      <c r="C30" s="788">
        <v>13297.78</v>
      </c>
      <c r="D30" s="145">
        <v>22273</v>
      </c>
      <c r="E30" s="305"/>
      <c r="F30" s="305"/>
      <c r="G30" s="305">
        <v>104.04</v>
      </c>
      <c r="H30" s="305"/>
      <c r="I30" s="305">
        <v>31962.7</v>
      </c>
      <c r="J30" s="675">
        <v>21310.5</v>
      </c>
      <c r="K30" s="683">
        <f t="shared" si="0"/>
        <v>36237</v>
      </c>
      <c r="L30" s="305">
        <v>36237</v>
      </c>
      <c r="M30" s="304">
        <f t="shared" si="1"/>
        <v>0</v>
      </c>
      <c r="N30" s="306">
        <f t="shared" si="2"/>
        <v>31149</v>
      </c>
      <c r="O30" s="305">
        <v>31173</v>
      </c>
      <c r="P30" s="304">
        <f t="shared" si="3"/>
        <v>24</v>
      </c>
      <c r="Q30" s="304">
        <f t="shared" si="4"/>
        <v>36440</v>
      </c>
      <c r="R30" s="305">
        <v>36440</v>
      </c>
      <c r="S30" s="304">
        <f t="shared" si="5"/>
        <v>0</v>
      </c>
      <c r="T30" s="304">
        <f t="shared" si="6"/>
        <v>33635</v>
      </c>
      <c r="U30" s="305">
        <v>33635</v>
      </c>
      <c r="V30" s="304">
        <f t="shared" si="7"/>
        <v>0</v>
      </c>
      <c r="W30" s="306">
        <f t="shared" si="8"/>
        <v>22034</v>
      </c>
      <c r="X30" s="673">
        <v>22034</v>
      </c>
      <c r="Y30" s="304">
        <f t="shared" si="9"/>
        <v>0</v>
      </c>
      <c r="Z30" s="307">
        <f t="shared" si="12"/>
        <v>24</v>
      </c>
      <c r="AA30" s="125">
        <v>215</v>
      </c>
      <c r="AB30" s="125">
        <v>120</v>
      </c>
      <c r="AC30" s="684">
        <f>Gen!AR35</f>
        <v>1251.1199999999999</v>
      </c>
    </row>
    <row r="31" spans="1:29" ht="20.100000000000001" customHeight="1" thickBot="1">
      <c r="A31" s="678">
        <f>Gen!A36</f>
        <v>44312</v>
      </c>
      <c r="B31" s="825">
        <v>5.1999999999999998E-2</v>
      </c>
      <c r="C31" s="788">
        <v>12046.66</v>
      </c>
      <c r="D31" s="145">
        <v>22273</v>
      </c>
      <c r="E31" s="305"/>
      <c r="F31" s="305"/>
      <c r="G31" s="305">
        <v>269.06</v>
      </c>
      <c r="H31" s="305"/>
      <c r="I31" s="305">
        <v>31967.599999999999</v>
      </c>
      <c r="J31" s="675">
        <v>21313.9</v>
      </c>
      <c r="K31" s="683">
        <f t="shared" si="0"/>
        <v>36237</v>
      </c>
      <c r="L31" s="305">
        <v>36237</v>
      </c>
      <c r="M31" s="304">
        <f t="shared" si="1"/>
        <v>0</v>
      </c>
      <c r="N31" s="306">
        <f t="shared" si="2"/>
        <v>31173</v>
      </c>
      <c r="O31" s="305">
        <v>31173</v>
      </c>
      <c r="P31" s="304">
        <f t="shared" si="3"/>
        <v>0</v>
      </c>
      <c r="Q31" s="304">
        <f t="shared" si="4"/>
        <v>36440</v>
      </c>
      <c r="R31" s="305">
        <v>36465</v>
      </c>
      <c r="S31" s="304">
        <f t="shared" si="5"/>
        <v>25</v>
      </c>
      <c r="T31" s="304">
        <f t="shared" si="6"/>
        <v>33635</v>
      </c>
      <c r="U31" s="305">
        <v>33635</v>
      </c>
      <c r="V31" s="304">
        <f t="shared" si="7"/>
        <v>0</v>
      </c>
      <c r="W31" s="306">
        <f t="shared" si="8"/>
        <v>22034</v>
      </c>
      <c r="X31" s="673">
        <v>22034</v>
      </c>
      <c r="Y31" s="304">
        <f t="shared" si="9"/>
        <v>0</v>
      </c>
      <c r="Z31" s="307">
        <f t="shared" si="12"/>
        <v>25</v>
      </c>
      <c r="AA31" s="125">
        <v>230</v>
      </c>
      <c r="AB31" s="125">
        <v>130</v>
      </c>
      <c r="AC31" s="684">
        <f>Gen!AR36</f>
        <v>1382.23</v>
      </c>
    </row>
    <row r="32" spans="1:29" ht="20.100000000000001" customHeight="1" thickBot="1">
      <c r="A32" s="678">
        <f>Gen!A37</f>
        <v>44313</v>
      </c>
      <c r="B32" s="825">
        <v>3.5999999999999997E-2</v>
      </c>
      <c r="C32" s="788">
        <v>10666.43</v>
      </c>
      <c r="D32" s="145">
        <v>22273</v>
      </c>
      <c r="E32" s="305"/>
      <c r="F32" s="305"/>
      <c r="G32" s="305">
        <v>30.73</v>
      </c>
      <c r="H32" s="305"/>
      <c r="I32" s="305">
        <v>31972.2</v>
      </c>
      <c r="J32" s="675">
        <v>21316.9</v>
      </c>
      <c r="K32" s="683">
        <f t="shared" si="0"/>
        <v>36237</v>
      </c>
      <c r="L32" s="305">
        <v>36261</v>
      </c>
      <c r="M32" s="304">
        <f t="shared" si="1"/>
        <v>24</v>
      </c>
      <c r="N32" s="306">
        <f t="shared" si="2"/>
        <v>31173</v>
      </c>
      <c r="O32" s="305">
        <v>31173</v>
      </c>
      <c r="P32" s="304">
        <f t="shared" si="3"/>
        <v>0</v>
      </c>
      <c r="Q32" s="304">
        <f t="shared" si="4"/>
        <v>36465</v>
      </c>
      <c r="R32" s="305">
        <v>36465</v>
      </c>
      <c r="S32" s="304">
        <f t="shared" si="5"/>
        <v>0</v>
      </c>
      <c r="T32" s="304">
        <f t="shared" si="6"/>
        <v>33635</v>
      </c>
      <c r="U32" s="305">
        <v>33635</v>
      </c>
      <c r="V32" s="304">
        <f t="shared" si="7"/>
        <v>0</v>
      </c>
      <c r="W32" s="306">
        <f t="shared" si="8"/>
        <v>22034</v>
      </c>
      <c r="X32" s="673">
        <v>22034</v>
      </c>
      <c r="Y32" s="304">
        <f t="shared" si="9"/>
        <v>0</v>
      </c>
      <c r="Z32" s="307">
        <f t="shared" si="12"/>
        <v>24</v>
      </c>
      <c r="AA32" s="125">
        <v>220</v>
      </c>
      <c r="AB32" s="125">
        <v>110</v>
      </c>
      <c r="AC32" s="684">
        <f>Gen!AR37</f>
        <v>1147.3700000000001</v>
      </c>
    </row>
    <row r="33" spans="1:29" ht="20.100000000000001" customHeight="1" thickBot="1">
      <c r="A33" s="678">
        <f>Gen!A38</f>
        <v>44314</v>
      </c>
      <c r="B33" s="825">
        <v>3.9E-2</v>
      </c>
      <c r="C33" s="788">
        <v>9519.06</v>
      </c>
      <c r="D33" s="145">
        <v>22273</v>
      </c>
      <c r="E33" s="305"/>
      <c r="F33" s="305"/>
      <c r="G33" s="305">
        <v>15.67</v>
      </c>
      <c r="H33" s="305"/>
      <c r="I33" s="305">
        <v>31977.1</v>
      </c>
      <c r="J33" s="675">
        <v>21319.8</v>
      </c>
      <c r="K33" s="683">
        <f t="shared" si="0"/>
        <v>36261</v>
      </c>
      <c r="L33" s="305">
        <v>36261</v>
      </c>
      <c r="M33" s="304">
        <f t="shared" si="1"/>
        <v>0</v>
      </c>
      <c r="N33" s="306">
        <f t="shared" si="2"/>
        <v>31173</v>
      </c>
      <c r="O33" s="305">
        <v>31173</v>
      </c>
      <c r="P33" s="304">
        <f t="shared" si="3"/>
        <v>0</v>
      </c>
      <c r="Q33" s="304">
        <f t="shared" si="4"/>
        <v>36465</v>
      </c>
      <c r="R33" s="305">
        <v>36465</v>
      </c>
      <c r="S33" s="304">
        <f>R34-Q33</f>
        <v>0</v>
      </c>
      <c r="T33" s="304">
        <f t="shared" si="6"/>
        <v>33635</v>
      </c>
      <c r="U33" s="305">
        <v>33660</v>
      </c>
      <c r="V33" s="304">
        <f t="shared" si="7"/>
        <v>25</v>
      </c>
      <c r="W33" s="306">
        <f t="shared" si="8"/>
        <v>22034</v>
      </c>
      <c r="X33" s="673">
        <v>22034</v>
      </c>
      <c r="Y33" s="304">
        <f t="shared" si="9"/>
        <v>0</v>
      </c>
      <c r="Z33" s="307">
        <f t="shared" si="12"/>
        <v>25</v>
      </c>
      <c r="AA33" s="125">
        <v>230</v>
      </c>
      <c r="AB33" s="125">
        <v>120</v>
      </c>
      <c r="AC33" s="684">
        <f>Gen!AR38</f>
        <v>1186.3300000000002</v>
      </c>
    </row>
    <row r="34" spans="1:29" ht="20.100000000000001" customHeight="1" thickBot="1">
      <c r="A34" s="678">
        <f>Gen!A39</f>
        <v>44315</v>
      </c>
      <c r="B34" s="825">
        <v>2.5999999999999999E-2</v>
      </c>
      <c r="C34" s="788">
        <v>8332.73</v>
      </c>
      <c r="D34" s="145">
        <v>22273</v>
      </c>
      <c r="E34" s="305"/>
      <c r="F34" s="305"/>
      <c r="G34" s="305">
        <v>243.48</v>
      </c>
      <c r="H34" s="305"/>
      <c r="I34" s="305">
        <v>31981.7</v>
      </c>
      <c r="J34" s="675">
        <v>21322.9</v>
      </c>
      <c r="K34" s="683">
        <f t="shared" si="0"/>
        <v>36261</v>
      </c>
      <c r="L34" s="305">
        <v>36261</v>
      </c>
      <c r="M34" s="304">
        <f t="shared" si="1"/>
        <v>0</v>
      </c>
      <c r="N34" s="306">
        <f t="shared" si="2"/>
        <v>31173</v>
      </c>
      <c r="O34" s="305">
        <v>31197</v>
      </c>
      <c r="P34" s="304">
        <f t="shared" si="3"/>
        <v>24</v>
      </c>
      <c r="Q34" s="304">
        <f>R34</f>
        <v>36465</v>
      </c>
      <c r="R34" s="305">
        <v>36465</v>
      </c>
      <c r="S34" s="304" t="e">
        <f>#REF!-Q34</f>
        <v>#REF!</v>
      </c>
      <c r="T34" s="304">
        <f t="shared" si="6"/>
        <v>33660</v>
      </c>
      <c r="U34" s="305">
        <v>33660</v>
      </c>
      <c r="V34" s="304">
        <f t="shared" si="7"/>
        <v>0</v>
      </c>
      <c r="W34" s="306">
        <f t="shared" si="8"/>
        <v>22034</v>
      </c>
      <c r="X34" s="673">
        <v>22034</v>
      </c>
      <c r="Y34" s="304">
        <f t="shared" si="9"/>
        <v>0</v>
      </c>
      <c r="Z34" s="307" t="e">
        <f t="shared" si="12"/>
        <v>#REF!</v>
      </c>
      <c r="AA34" s="125">
        <v>225</v>
      </c>
      <c r="AB34" s="125">
        <v>130</v>
      </c>
      <c r="AC34" s="684">
        <f>Gen!AR39</f>
        <v>1349.16</v>
      </c>
    </row>
    <row r="35" spans="1:29" ht="20.100000000000001" customHeight="1">
      <c r="A35" s="678">
        <f>Gen!A40</f>
        <v>44316</v>
      </c>
      <c r="B35" s="825">
        <v>0.01</v>
      </c>
      <c r="C35" s="788">
        <v>6983.57</v>
      </c>
      <c r="D35" s="145">
        <v>22273</v>
      </c>
      <c r="E35" s="305"/>
      <c r="F35" s="305"/>
      <c r="G35" s="305">
        <v>274.32</v>
      </c>
      <c r="H35" s="305"/>
      <c r="I35" s="305">
        <v>31986.6</v>
      </c>
      <c r="J35" s="675">
        <v>21325.8</v>
      </c>
      <c r="K35" s="683">
        <f t="shared" si="0"/>
        <v>36261</v>
      </c>
      <c r="L35" s="305">
        <v>36261</v>
      </c>
      <c r="M35" s="304">
        <f t="shared" si="1"/>
        <v>0</v>
      </c>
      <c r="N35" s="306">
        <f t="shared" si="2"/>
        <v>31197</v>
      </c>
      <c r="O35" s="305">
        <v>31197</v>
      </c>
      <c r="P35" s="304">
        <f t="shared" si="3"/>
        <v>0</v>
      </c>
      <c r="Q35" s="304" t="e">
        <f>#REF!</f>
        <v>#REF!</v>
      </c>
      <c r="R35" s="305">
        <v>36489</v>
      </c>
      <c r="S35" s="304" t="e">
        <f t="shared" si="5"/>
        <v>#REF!</v>
      </c>
      <c r="T35" s="304">
        <f t="shared" si="6"/>
        <v>33660</v>
      </c>
      <c r="U35" s="305">
        <v>33660</v>
      </c>
      <c r="V35" s="304">
        <f t="shared" si="7"/>
        <v>0</v>
      </c>
      <c r="W35" s="306">
        <f t="shared" si="8"/>
        <v>22034</v>
      </c>
      <c r="X35" s="673">
        <v>22034</v>
      </c>
      <c r="Y35" s="304">
        <f t="shared" si="9"/>
        <v>0</v>
      </c>
      <c r="Z35" s="307" t="e">
        <f t="shared" si="12"/>
        <v>#REF!</v>
      </c>
      <c r="AA35" s="125">
        <v>250</v>
      </c>
      <c r="AB35" s="125">
        <v>130</v>
      </c>
      <c r="AC35" s="684">
        <f>Gen!AR40</f>
        <v>1394.01</v>
      </c>
    </row>
    <row r="36" spans="1:29" ht="20.100000000000001" customHeight="1" thickBot="1">
      <c r="A36" s="679">
        <f>Gen!A41</f>
        <v>0</v>
      </c>
      <c r="B36" s="674"/>
      <c r="C36" s="788">
        <v>5587.56</v>
      </c>
      <c r="D36" s="145">
        <v>22273</v>
      </c>
      <c r="E36" s="305"/>
      <c r="F36" s="305"/>
      <c r="G36" s="305"/>
      <c r="H36" s="305"/>
      <c r="I36" s="305">
        <v>31991.4</v>
      </c>
      <c r="J36" s="675">
        <v>21328.7</v>
      </c>
      <c r="K36" s="683">
        <f t="shared" si="0"/>
        <v>36261</v>
      </c>
      <c r="L36" s="305"/>
      <c r="M36" s="304">
        <f t="shared" si="1"/>
        <v>-36261</v>
      </c>
      <c r="N36" s="306">
        <f t="shared" si="2"/>
        <v>31197</v>
      </c>
      <c r="O36" s="305"/>
      <c r="P36" s="304">
        <f t="shared" si="3"/>
        <v>-31197</v>
      </c>
      <c r="Q36" s="304">
        <f t="shared" si="4"/>
        <v>36489</v>
      </c>
      <c r="R36" s="305"/>
      <c r="S36" s="304">
        <f t="shared" si="5"/>
        <v>-36489</v>
      </c>
      <c r="T36" s="304">
        <f t="shared" si="6"/>
        <v>33660</v>
      </c>
      <c r="U36" s="305"/>
      <c r="V36" s="304">
        <f t="shared" si="7"/>
        <v>-33660</v>
      </c>
      <c r="W36" s="306">
        <f t="shared" si="8"/>
        <v>22034</v>
      </c>
      <c r="X36" s="305"/>
      <c r="Y36" s="304">
        <f t="shared" si="9"/>
        <v>-22034</v>
      </c>
      <c r="Z36" s="307">
        <f t="shared" si="12"/>
        <v>-159641</v>
      </c>
      <c r="AA36" s="125"/>
      <c r="AB36" s="125"/>
      <c r="AC36" s="684">
        <f>Gen!AR41</f>
        <v>0</v>
      </c>
    </row>
    <row r="37" spans="1:29" ht="21" customHeight="1" thickBot="1">
      <c r="A37" s="679">
        <f>Gen!A42</f>
        <v>0</v>
      </c>
      <c r="B37" s="674">
        <f>Gen!B42</f>
        <v>0</v>
      </c>
      <c r="C37" s="676"/>
      <c r="D37" s="676"/>
      <c r="E37" s="676"/>
      <c r="F37" s="676"/>
      <c r="G37" s="676"/>
      <c r="H37" s="676"/>
      <c r="I37" s="676"/>
      <c r="J37" s="677"/>
      <c r="K37" s="685">
        <f t="shared" si="0"/>
        <v>0</v>
      </c>
      <c r="L37" s="676"/>
      <c r="M37" s="686">
        <f t="shared" si="1"/>
        <v>0</v>
      </c>
      <c r="N37" s="687">
        <f t="shared" si="2"/>
        <v>0</v>
      </c>
      <c r="O37" s="676"/>
      <c r="P37" s="686">
        <f t="shared" si="3"/>
        <v>0</v>
      </c>
      <c r="Q37" s="686">
        <f t="shared" si="4"/>
        <v>0</v>
      </c>
      <c r="R37" s="676"/>
      <c r="S37" s="686">
        <f t="shared" si="5"/>
        <v>0</v>
      </c>
      <c r="T37" s="686">
        <f t="shared" si="6"/>
        <v>0</v>
      </c>
      <c r="U37" s="676"/>
      <c r="V37" s="686">
        <f t="shared" si="7"/>
        <v>0</v>
      </c>
      <c r="W37" s="687">
        <f t="shared" si="8"/>
        <v>0</v>
      </c>
      <c r="X37" s="305"/>
      <c r="Y37" s="686">
        <f t="shared" si="9"/>
        <v>0</v>
      </c>
      <c r="Z37" s="688">
        <f t="shared" si="12"/>
        <v>0</v>
      </c>
      <c r="AA37" s="689"/>
      <c r="AB37" s="689"/>
      <c r="AC37" s="684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topLeftCell="A22" workbookViewId="0">
      <pane xSplit="1" topLeftCell="B1" activePane="topRight" state="frozen"/>
      <selection pane="topRight" activeCell="O19" sqref="O19"/>
    </sheetView>
  </sheetViews>
  <sheetFormatPr defaultColWidth="9.140625" defaultRowHeight="11.25"/>
  <cols>
    <col min="1" max="1" width="9.85546875" style="789" customWidth="1"/>
    <col min="2" max="2" width="9.5703125" style="789" customWidth="1"/>
    <col min="3" max="3" width="9.85546875" style="789" bestFit="1" customWidth="1"/>
    <col min="4" max="4" width="9.140625" style="789" customWidth="1"/>
    <col min="5" max="5" width="10.140625" style="789" customWidth="1"/>
    <col min="6" max="6" width="10.7109375" style="789" customWidth="1"/>
    <col min="7" max="7" width="11.28515625" style="789" customWidth="1"/>
    <col min="8" max="8" width="9.7109375" style="789" customWidth="1"/>
    <col min="9" max="9" width="8" style="789" customWidth="1"/>
    <col min="10" max="10" width="8.7109375" style="789" customWidth="1"/>
    <col min="11" max="11" width="8.85546875" style="789" bestFit="1" customWidth="1"/>
    <col min="12" max="12" width="10.140625" style="789" customWidth="1"/>
    <col min="13" max="13" width="10.85546875" style="789" customWidth="1"/>
    <col min="14" max="14" width="11.42578125" style="789" customWidth="1"/>
    <col min="15" max="15" width="10.140625" style="789" customWidth="1"/>
    <col min="16" max="16" width="11.140625" style="789" customWidth="1"/>
    <col min="17" max="17" width="10.7109375" style="789" customWidth="1"/>
    <col min="18" max="18" width="13.140625" style="789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909"/>
      <c r="B1" s="909"/>
    </row>
    <row r="2" spans="1:46" ht="26.25">
      <c r="A2" s="909"/>
      <c r="B2" s="909"/>
      <c r="D2" s="910">
        <f>A11</f>
        <v>44287</v>
      </c>
      <c r="E2" s="910"/>
      <c r="F2" s="911"/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1"/>
      <c r="S2" s="911"/>
      <c r="T2" s="911"/>
      <c r="U2" s="911"/>
      <c r="V2" s="911"/>
      <c r="W2" s="911"/>
      <c r="X2" s="911"/>
      <c r="Y2" s="911"/>
      <c r="Z2" s="911"/>
      <c r="AA2" s="911"/>
      <c r="AB2" s="911"/>
      <c r="AC2" s="911"/>
      <c r="AD2" s="911"/>
      <c r="AE2" s="911"/>
      <c r="AF2" s="911"/>
      <c r="AG2" s="911"/>
      <c r="AH2" s="911"/>
      <c r="AI2" s="911"/>
      <c r="AJ2" s="911"/>
      <c r="AK2" s="911"/>
      <c r="AL2" s="911"/>
      <c r="AM2" s="911"/>
      <c r="AN2" s="911"/>
      <c r="AO2" s="911"/>
      <c r="AP2" s="911"/>
      <c r="AQ2" s="911"/>
      <c r="AR2" s="911"/>
      <c r="AS2" s="911"/>
      <c r="AT2" s="911"/>
    </row>
    <row r="3" spans="1:46" ht="12.75" customHeight="1">
      <c r="A3" s="909"/>
      <c r="B3" s="909"/>
      <c r="H3" s="912"/>
      <c r="I3" s="912"/>
      <c r="J3" s="912"/>
      <c r="K3" s="181"/>
      <c r="Q3" s="181"/>
    </row>
    <row r="4" spans="1:46" ht="11.25" customHeight="1">
      <c r="A4" s="909"/>
      <c r="B4" s="909"/>
      <c r="H4" s="912"/>
      <c r="I4" s="912"/>
      <c r="J4" s="912"/>
      <c r="K4" s="181"/>
      <c r="Q4" s="181"/>
    </row>
    <row r="5" spans="1:46" ht="12" thickBot="1">
      <c r="A5" s="909"/>
      <c r="B5" s="909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909"/>
      <c r="B6" s="909"/>
      <c r="C6" s="186"/>
      <c r="F6" s="913" t="s">
        <v>57</v>
      </c>
      <c r="G6" s="914"/>
      <c r="H6" s="914"/>
      <c r="I6" s="914"/>
      <c r="J6" s="914"/>
      <c r="K6" s="914"/>
      <c r="L6" s="915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38"/>
      <c r="AT6" s="839"/>
    </row>
    <row r="7" spans="1:46" ht="21" thickBot="1">
      <c r="C7" s="188"/>
      <c r="D7" s="188"/>
      <c r="E7" s="188"/>
      <c r="F7" s="916" t="s">
        <v>201</v>
      </c>
      <c r="G7" s="917"/>
      <c r="H7" s="917"/>
      <c r="I7" s="917"/>
      <c r="J7" s="917"/>
      <c r="K7" s="917"/>
      <c r="L7" s="918"/>
      <c r="M7" s="919" t="s">
        <v>40</v>
      </c>
      <c r="N7" s="920"/>
      <c r="O7" s="920"/>
      <c r="P7" s="920"/>
      <c r="Q7" s="920"/>
      <c r="R7" s="921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0"/>
      <c r="AT7" s="841"/>
    </row>
    <row r="8" spans="1:46" s="193" customFormat="1" ht="30" customHeight="1" thickBot="1">
      <c r="A8" s="380" t="s">
        <v>0</v>
      </c>
      <c r="B8" s="381" t="s">
        <v>310</v>
      </c>
      <c r="C8" s="790" t="s">
        <v>2</v>
      </c>
      <c r="D8" s="791" t="s">
        <v>38</v>
      </c>
      <c r="E8" s="791" t="s">
        <v>96</v>
      </c>
      <c r="F8" s="792" t="s">
        <v>306</v>
      </c>
      <c r="G8" s="491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2"/>
      <c r="B9" s="194"/>
      <c r="C9" s="822">
        <f>[4]Gen!$C$43</f>
        <v>34515.97</v>
      </c>
      <c r="D9" s="793"/>
      <c r="E9" s="794"/>
      <c r="F9" s="795"/>
      <c r="G9" s="796"/>
      <c r="H9" s="554"/>
      <c r="I9" s="555"/>
      <c r="J9" s="556"/>
      <c r="K9" s="557"/>
      <c r="L9" s="558"/>
      <c r="M9" s="372"/>
      <c r="N9" s="373"/>
      <c r="O9" s="373"/>
      <c r="P9" s="373"/>
      <c r="Q9" s="373"/>
      <c r="R9" s="561"/>
      <c r="S9" s="567">
        <f t="shared" ref="S9:S44" si="0">SUM(F9:L9)</f>
        <v>0</v>
      </c>
      <c r="T9" s="568">
        <f t="shared" ref="T9:T44" si="1">SUM(M9:R9)</f>
        <v>0</v>
      </c>
      <c r="U9" s="569"/>
      <c r="V9" s="565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3"/>
      <c r="B10" s="573"/>
      <c r="C10" s="797"/>
      <c r="D10" s="798"/>
      <c r="E10" s="799"/>
      <c r="F10" s="299"/>
      <c r="G10" s="800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2"/>
      <c r="S10" s="570">
        <f t="shared" si="0"/>
        <v>0</v>
      </c>
      <c r="T10" s="218">
        <f t="shared" si="1"/>
        <v>0</v>
      </c>
      <c r="U10" s="571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5">
        <v>44287</v>
      </c>
      <c r="B11" s="823">
        <v>0.156</v>
      </c>
      <c r="C11" s="801">
        <f>SUM(C9+D11)</f>
        <v>34515.97</v>
      </c>
      <c r="D11" s="802"/>
      <c r="E11" s="799"/>
      <c r="F11" s="299"/>
      <c r="G11" s="800"/>
      <c r="H11" s="204">
        <v>1326.45</v>
      </c>
      <c r="I11" s="223"/>
      <c r="J11" s="204"/>
      <c r="K11" s="204"/>
      <c r="L11" s="299"/>
      <c r="M11" s="298"/>
      <c r="N11" s="206">
        <v>3175</v>
      </c>
      <c r="O11" s="206"/>
      <c r="P11" s="206"/>
      <c r="Q11" s="206"/>
      <c r="R11" s="562"/>
      <c r="S11" s="570">
        <f t="shared" si="0"/>
        <v>1326.45</v>
      </c>
      <c r="T11" s="218">
        <f t="shared" si="1"/>
        <v>3175</v>
      </c>
      <c r="U11" s="571">
        <f t="shared" ref="U11:U41" si="4">S11/T11</f>
        <v>0.41777952755905512</v>
      </c>
      <c r="V11" s="211"/>
      <c r="W11" s="219"/>
      <c r="X11" s="197">
        <v>34.9</v>
      </c>
      <c r="Y11" s="219"/>
      <c r="Z11" s="204">
        <v>110.53</v>
      </c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145.43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1471.88</v>
      </c>
      <c r="AS11" s="221">
        <f>AR11*AU11</f>
        <v>0</v>
      </c>
      <c r="AT11" s="283">
        <f t="shared" ref="AT11:AT43" si="5">C11</f>
        <v>34515.97</v>
      </c>
    </row>
    <row r="12" spans="1:46" ht="13.5" customHeight="1">
      <c r="A12" s="575">
        <v>44288</v>
      </c>
      <c r="B12" s="824">
        <v>0.16900000000000001</v>
      </c>
      <c r="C12" s="801">
        <f t="shared" ref="C12:C43" si="6">SUM(C11-AR11+D12)</f>
        <v>33044.090000000004</v>
      </c>
      <c r="D12" s="802"/>
      <c r="E12" s="799"/>
      <c r="F12" s="525"/>
      <c r="G12" s="800"/>
      <c r="H12" s="204"/>
      <c r="I12" s="223"/>
      <c r="J12" s="204">
        <v>1308.83</v>
      </c>
      <c r="K12" s="204"/>
      <c r="L12" s="299"/>
      <c r="M12" s="298"/>
      <c r="N12" s="206"/>
      <c r="O12" s="206"/>
      <c r="P12" s="206">
        <v>3187</v>
      </c>
      <c r="Q12" s="206"/>
      <c r="R12" s="562"/>
      <c r="S12" s="570">
        <f t="shared" si="0"/>
        <v>1308.83</v>
      </c>
      <c r="T12" s="218">
        <f t="shared" si="1"/>
        <v>3187</v>
      </c>
      <c r="U12" s="571">
        <f t="shared" si="4"/>
        <v>0.4106777533730781</v>
      </c>
      <c r="V12" s="211"/>
      <c r="W12" s="219"/>
      <c r="X12" s="197"/>
      <c r="Y12" s="219"/>
      <c r="Z12" s="204"/>
      <c r="AA12" s="273"/>
      <c r="AB12" s="219"/>
      <c r="AC12" s="219">
        <v>54.9</v>
      </c>
      <c r="AD12" s="219"/>
      <c r="AE12" s="219"/>
      <c r="AF12" s="219"/>
      <c r="AG12" s="219"/>
      <c r="AH12" s="219">
        <v>20</v>
      </c>
      <c r="AI12" s="386">
        <v>150</v>
      </c>
      <c r="AJ12" s="271">
        <f t="shared" si="3"/>
        <v>224.9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1533.73</v>
      </c>
      <c r="AS12" s="221">
        <f t="shared" ref="AS12:AS44" si="7">AR12*AU12</f>
        <v>0</v>
      </c>
      <c r="AT12" s="283">
        <f t="shared" si="5"/>
        <v>33044.090000000004</v>
      </c>
    </row>
    <row r="13" spans="1:46" ht="13.5" customHeight="1">
      <c r="A13" s="575">
        <v>44289</v>
      </c>
      <c r="B13" s="825">
        <v>0.23</v>
      </c>
      <c r="C13" s="801">
        <f t="shared" si="6"/>
        <v>31510.360000000004</v>
      </c>
      <c r="D13" s="802"/>
      <c r="E13" s="799"/>
      <c r="F13" s="525"/>
      <c r="G13" s="800">
        <v>1426.47</v>
      </c>
      <c r="H13" s="204"/>
      <c r="I13" s="223"/>
      <c r="J13" s="204"/>
      <c r="K13" s="204"/>
      <c r="L13" s="299"/>
      <c r="M13" s="298">
        <v>3546</v>
      </c>
      <c r="N13" s="206"/>
      <c r="O13" s="206"/>
      <c r="P13" s="206"/>
      <c r="Q13" s="206"/>
      <c r="R13" s="562"/>
      <c r="S13" s="570">
        <f t="shared" si="0"/>
        <v>1426.47</v>
      </c>
      <c r="T13" s="218">
        <f t="shared" si="1"/>
        <v>3546</v>
      </c>
      <c r="U13" s="571">
        <f t="shared" si="4"/>
        <v>0.40227580372250421</v>
      </c>
      <c r="V13" s="211"/>
      <c r="W13" s="219"/>
      <c r="X13" s="197">
        <v>59.09</v>
      </c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>
        <v>80.2</v>
      </c>
      <c r="AJ13" s="271">
        <f t="shared" si="3"/>
        <v>139.29000000000002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1565.76</v>
      </c>
      <c r="AS13" s="221">
        <f t="shared" si="7"/>
        <v>0</v>
      </c>
      <c r="AT13" s="283">
        <f t="shared" si="5"/>
        <v>31510.360000000004</v>
      </c>
    </row>
    <row r="14" spans="1:46" ht="13.5" customHeight="1">
      <c r="A14" s="575">
        <v>44290</v>
      </c>
      <c r="B14" s="825">
        <v>0.247</v>
      </c>
      <c r="C14" s="801">
        <f t="shared" si="6"/>
        <v>29944.600000000006</v>
      </c>
      <c r="D14" s="802"/>
      <c r="E14" s="799"/>
      <c r="F14" s="803"/>
      <c r="G14" s="800"/>
      <c r="H14" s="204"/>
      <c r="I14" s="223"/>
      <c r="J14" s="204"/>
      <c r="K14" s="204">
        <v>1363.11</v>
      </c>
      <c r="L14" s="299"/>
      <c r="M14" s="298"/>
      <c r="N14" s="206"/>
      <c r="O14" s="206"/>
      <c r="P14" s="206"/>
      <c r="Q14" s="206">
        <v>3328</v>
      </c>
      <c r="R14" s="562"/>
      <c r="S14" s="570">
        <f t="shared" si="0"/>
        <v>1363.11</v>
      </c>
      <c r="T14" s="218">
        <f t="shared" si="1"/>
        <v>3328</v>
      </c>
      <c r="U14" s="571">
        <f t="shared" si="4"/>
        <v>0.40958834134615379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1363.11</v>
      </c>
      <c r="AS14" s="221">
        <f t="shared" si="7"/>
        <v>0</v>
      </c>
      <c r="AT14" s="283">
        <f t="shared" si="5"/>
        <v>29944.600000000006</v>
      </c>
    </row>
    <row r="15" spans="1:46" ht="13.5" customHeight="1">
      <c r="A15" s="575">
        <v>44291</v>
      </c>
      <c r="B15" s="825">
        <v>0.13</v>
      </c>
      <c r="C15" s="801">
        <f t="shared" si="6"/>
        <v>28581.490000000005</v>
      </c>
      <c r="D15" s="802"/>
      <c r="E15" s="799"/>
      <c r="F15" s="803"/>
      <c r="G15" s="800"/>
      <c r="H15" s="204"/>
      <c r="I15" s="223"/>
      <c r="J15" s="204">
        <v>1331.48</v>
      </c>
      <c r="K15" s="204"/>
      <c r="L15" s="299"/>
      <c r="M15" s="298"/>
      <c r="N15" s="206"/>
      <c r="O15" s="206"/>
      <c r="P15" s="206">
        <v>3250</v>
      </c>
      <c r="Q15" s="206"/>
      <c r="R15" s="562"/>
      <c r="S15" s="570">
        <f t="shared" si="0"/>
        <v>1331.48</v>
      </c>
      <c r="T15" s="218">
        <f t="shared" si="1"/>
        <v>3250</v>
      </c>
      <c r="U15" s="571">
        <f t="shared" si="4"/>
        <v>0.40968615384615387</v>
      </c>
      <c r="V15" s="211"/>
      <c r="W15" s="219"/>
      <c r="X15" s="197">
        <v>23.51</v>
      </c>
      <c r="Y15" s="219"/>
      <c r="Z15" s="204">
        <v>115</v>
      </c>
      <c r="AA15" s="273"/>
      <c r="AB15" s="219"/>
      <c r="AC15" s="219"/>
      <c r="AD15" s="219"/>
      <c r="AE15" s="219"/>
      <c r="AF15" s="219"/>
      <c r="AG15" s="219"/>
      <c r="AH15" s="219">
        <v>80</v>
      </c>
      <c r="AI15" s="386"/>
      <c r="AJ15" s="271">
        <f t="shared" si="3"/>
        <v>218.51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1549.99</v>
      </c>
      <c r="AS15" s="221">
        <f t="shared" si="7"/>
        <v>0</v>
      </c>
      <c r="AT15" s="283">
        <f t="shared" si="5"/>
        <v>28581.490000000005</v>
      </c>
    </row>
    <row r="16" spans="1:46" ht="13.5" customHeight="1">
      <c r="A16" s="575">
        <v>44292</v>
      </c>
      <c r="B16" s="825">
        <v>9.0999999999999998E-2</v>
      </c>
      <c r="C16" s="801">
        <f t="shared" si="6"/>
        <v>27031.500000000004</v>
      </c>
      <c r="D16" s="802"/>
      <c r="E16" s="799">
        <v>15000</v>
      </c>
      <c r="F16" s="845" t="s">
        <v>319</v>
      </c>
      <c r="G16" s="800"/>
      <c r="H16" s="204">
        <v>1267.0999999999999</v>
      </c>
      <c r="I16" s="223"/>
      <c r="J16" s="204"/>
      <c r="K16" s="204"/>
      <c r="L16" s="299"/>
      <c r="M16" s="298">
        <v>3070</v>
      </c>
      <c r="N16" s="206"/>
      <c r="O16" s="206"/>
      <c r="P16" s="206"/>
      <c r="Q16" s="206"/>
      <c r="R16" s="562"/>
      <c r="S16" s="570">
        <f t="shared" si="0"/>
        <v>1267.0999999999999</v>
      </c>
      <c r="T16" s="218">
        <f t="shared" si="1"/>
        <v>3070</v>
      </c>
      <c r="U16" s="571">
        <f t="shared" si="4"/>
        <v>0.41273615635179151</v>
      </c>
      <c r="V16" s="211"/>
      <c r="W16" s="219"/>
      <c r="X16" s="197">
        <v>42.44</v>
      </c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42.44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1309.54</v>
      </c>
      <c r="AS16" s="221">
        <f t="shared" si="7"/>
        <v>0</v>
      </c>
      <c r="AT16" s="283">
        <f t="shared" si="5"/>
        <v>27031.500000000004</v>
      </c>
    </row>
    <row r="17" spans="1:46" ht="13.5" customHeight="1">
      <c r="A17" s="575">
        <v>44293</v>
      </c>
      <c r="B17" s="825">
        <v>6.5000000000000002E-2</v>
      </c>
      <c r="C17" s="801">
        <f t="shared" si="6"/>
        <v>43721.960000000006</v>
      </c>
      <c r="D17" s="802">
        <v>18000</v>
      </c>
      <c r="E17" s="799"/>
      <c r="F17" s="803"/>
      <c r="G17" s="800">
        <v>1350.42</v>
      </c>
      <c r="H17" s="204"/>
      <c r="I17" s="223"/>
      <c r="J17" s="204"/>
      <c r="K17" s="204"/>
      <c r="L17" s="299"/>
      <c r="M17" s="298">
        <v>3363</v>
      </c>
      <c r="N17" s="206"/>
      <c r="O17" s="206"/>
      <c r="P17" s="206"/>
      <c r="Q17" s="206"/>
      <c r="R17" s="562"/>
      <c r="S17" s="570">
        <f t="shared" si="0"/>
        <v>1350.42</v>
      </c>
      <c r="T17" s="218">
        <f t="shared" si="1"/>
        <v>3363</v>
      </c>
      <c r="U17" s="571">
        <f t="shared" si="4"/>
        <v>0.40155218554861732</v>
      </c>
      <c r="V17" s="211"/>
      <c r="W17" s="219"/>
      <c r="X17" s="197">
        <v>10.14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>
        <v>109</v>
      </c>
      <c r="AI17" s="386"/>
      <c r="AJ17" s="271">
        <f t="shared" si="3"/>
        <v>119.14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1469.5600000000002</v>
      </c>
      <c r="AS17" s="221">
        <f t="shared" si="7"/>
        <v>0</v>
      </c>
      <c r="AT17" s="283">
        <f t="shared" si="5"/>
        <v>43721.960000000006</v>
      </c>
    </row>
    <row r="18" spans="1:46" ht="13.5" customHeight="1">
      <c r="A18" s="575">
        <v>44294</v>
      </c>
      <c r="B18" s="825">
        <v>9.0999999999999998E-2</v>
      </c>
      <c r="C18" s="801">
        <f t="shared" si="6"/>
        <v>42252.400000000009</v>
      </c>
      <c r="D18" s="802"/>
      <c r="E18" s="799"/>
      <c r="F18" s="803"/>
      <c r="G18" s="800"/>
      <c r="H18" s="204"/>
      <c r="I18" s="223"/>
      <c r="J18" s="204">
        <v>1264.32</v>
      </c>
      <c r="K18" s="204"/>
      <c r="L18" s="299"/>
      <c r="M18" s="298"/>
      <c r="N18" s="206"/>
      <c r="O18" s="206"/>
      <c r="P18" s="206">
        <v>3146</v>
      </c>
      <c r="Q18" s="206"/>
      <c r="R18" s="562"/>
      <c r="S18" s="570">
        <f t="shared" si="0"/>
        <v>1264.32</v>
      </c>
      <c r="T18" s="218">
        <f t="shared" si="1"/>
        <v>3146</v>
      </c>
      <c r="U18" s="571">
        <f t="shared" si="4"/>
        <v>0.40188175460902731</v>
      </c>
      <c r="V18" s="211"/>
      <c r="W18" s="219"/>
      <c r="X18" s="197"/>
      <c r="Y18" s="219"/>
      <c r="Z18" s="204">
        <v>60.32</v>
      </c>
      <c r="AA18" s="273"/>
      <c r="AB18" s="219"/>
      <c r="AC18" s="219"/>
      <c r="AD18" s="219"/>
      <c r="AE18" s="219"/>
      <c r="AF18" s="219"/>
      <c r="AG18" s="219"/>
      <c r="AH18" s="219">
        <v>96</v>
      </c>
      <c r="AI18" s="386"/>
      <c r="AJ18" s="271">
        <f t="shared" si="3"/>
        <v>156.32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1420.6399999999999</v>
      </c>
      <c r="AS18" s="221">
        <f t="shared" si="7"/>
        <v>0</v>
      </c>
      <c r="AT18" s="283">
        <f t="shared" si="5"/>
        <v>42252.400000000009</v>
      </c>
    </row>
    <row r="19" spans="1:46" ht="13.5" customHeight="1">
      <c r="A19" s="575">
        <v>44295</v>
      </c>
      <c r="B19" s="825">
        <v>6.5000000000000002E-2</v>
      </c>
      <c r="C19" s="801">
        <f t="shared" si="6"/>
        <v>40831.760000000009</v>
      </c>
      <c r="D19" s="802"/>
      <c r="E19" s="799"/>
      <c r="F19" s="803"/>
      <c r="G19" s="800"/>
      <c r="H19" s="204"/>
      <c r="I19" s="223"/>
      <c r="J19" s="204"/>
      <c r="K19" s="204">
        <v>1306.29</v>
      </c>
      <c r="L19" s="299"/>
      <c r="M19" s="298"/>
      <c r="N19" s="206"/>
      <c r="O19" s="206"/>
      <c r="P19" s="206"/>
      <c r="Q19" s="206">
        <v>3314</v>
      </c>
      <c r="R19" s="562"/>
      <c r="S19" s="570">
        <f t="shared" si="0"/>
        <v>1306.29</v>
      </c>
      <c r="T19" s="218">
        <f t="shared" si="1"/>
        <v>3314</v>
      </c>
      <c r="U19" s="571">
        <f t="shared" si="4"/>
        <v>0.39417320458660227</v>
      </c>
      <c r="V19" s="211"/>
      <c r="W19" s="219"/>
      <c r="X19" s="197">
        <v>65.010000000000005</v>
      </c>
      <c r="Y19" s="219"/>
      <c r="Z19" s="204">
        <v>78.099999999999994</v>
      </c>
      <c r="AA19" s="273"/>
      <c r="AB19" s="219"/>
      <c r="AC19" s="219"/>
      <c r="AD19" s="219"/>
      <c r="AE19" s="219"/>
      <c r="AF19" s="219"/>
      <c r="AG19" s="219"/>
      <c r="AH19" s="219">
        <v>159</v>
      </c>
      <c r="AI19" s="386"/>
      <c r="AJ19" s="271">
        <f t="shared" si="3"/>
        <v>302.11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1608.4</v>
      </c>
      <c r="AS19" s="221">
        <f t="shared" si="7"/>
        <v>0</v>
      </c>
      <c r="AT19" s="283">
        <f t="shared" si="5"/>
        <v>40831.760000000009</v>
      </c>
    </row>
    <row r="20" spans="1:46" ht="15.75">
      <c r="A20" s="575">
        <v>44296</v>
      </c>
      <c r="B20" s="825">
        <v>5.1999999999999998E-2</v>
      </c>
      <c r="C20" s="801">
        <f t="shared" si="6"/>
        <v>39223.360000000008</v>
      </c>
      <c r="D20" s="802"/>
      <c r="E20" s="799"/>
      <c r="F20" s="803"/>
      <c r="G20" s="800"/>
      <c r="H20" s="219">
        <v>1245.81</v>
      </c>
      <c r="I20" s="223"/>
      <c r="J20" s="204"/>
      <c r="K20" s="204"/>
      <c r="L20" s="525"/>
      <c r="M20" s="298"/>
      <c r="N20" s="206">
        <v>3168</v>
      </c>
      <c r="O20" s="206"/>
      <c r="P20" s="206"/>
      <c r="Q20" s="206"/>
      <c r="R20" s="563"/>
      <c r="S20" s="570">
        <f t="shared" si="0"/>
        <v>1245.81</v>
      </c>
      <c r="T20" s="218">
        <f t="shared" si="1"/>
        <v>3168</v>
      </c>
      <c r="U20" s="571">
        <f t="shared" si="4"/>
        <v>0.39324810606060606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>
        <v>112</v>
      </c>
      <c r="AI20" s="386"/>
      <c r="AJ20" s="271">
        <f t="shared" si="3"/>
        <v>112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1357.81</v>
      </c>
      <c r="AS20" s="221">
        <f t="shared" si="7"/>
        <v>0</v>
      </c>
      <c r="AT20" s="283">
        <f t="shared" si="5"/>
        <v>39223.360000000008</v>
      </c>
    </row>
    <row r="21" spans="1:46" ht="15.75">
      <c r="A21" s="575">
        <v>44297</v>
      </c>
      <c r="B21" s="825">
        <v>0.104</v>
      </c>
      <c r="C21" s="801">
        <f t="shared" si="6"/>
        <v>37865.55000000001</v>
      </c>
      <c r="D21" s="802"/>
      <c r="E21" s="799"/>
      <c r="F21" s="803"/>
      <c r="G21" s="800">
        <v>1283.98</v>
      </c>
      <c r="H21" s="219"/>
      <c r="I21" s="223"/>
      <c r="J21" s="204"/>
      <c r="K21" s="204"/>
      <c r="L21" s="494"/>
      <c r="M21" s="298">
        <v>3237</v>
      </c>
      <c r="N21" s="298"/>
      <c r="O21" s="206"/>
      <c r="P21" s="206"/>
      <c r="Q21" s="206"/>
      <c r="R21" s="562"/>
      <c r="S21" s="570">
        <f t="shared" si="0"/>
        <v>1283.98</v>
      </c>
      <c r="T21" s="218">
        <f t="shared" si="1"/>
        <v>3237</v>
      </c>
      <c r="U21" s="571">
        <f t="shared" si="4"/>
        <v>0.39665739882607354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>
        <v>25</v>
      </c>
      <c r="AI21" s="386"/>
      <c r="AJ21" s="271">
        <f t="shared" si="3"/>
        <v>25</v>
      </c>
      <c r="AK21" s="213"/>
      <c r="AL21" s="214"/>
      <c r="AM21" s="220"/>
      <c r="AN21" s="225"/>
      <c r="AO21" s="225"/>
      <c r="AP21" s="225"/>
      <c r="AQ21" s="226"/>
      <c r="AR21" s="215">
        <f>SUM(AJ21+S21)</f>
        <v>1308.98</v>
      </c>
      <c r="AS21" s="221">
        <f t="shared" si="7"/>
        <v>0</v>
      </c>
      <c r="AT21" s="283">
        <f t="shared" si="5"/>
        <v>37865.55000000001</v>
      </c>
    </row>
    <row r="22" spans="1:46" ht="15.75">
      <c r="A22" s="575">
        <v>44298</v>
      </c>
      <c r="B22" s="825">
        <v>0.104</v>
      </c>
      <c r="C22" s="801">
        <f t="shared" si="6"/>
        <v>36556.570000000007</v>
      </c>
      <c r="D22" s="802"/>
      <c r="E22" s="799"/>
      <c r="F22" s="804"/>
      <c r="G22" s="800"/>
      <c r="H22" s="204"/>
      <c r="I22" s="223"/>
      <c r="J22" s="204">
        <v>1166.75</v>
      </c>
      <c r="K22" s="204"/>
      <c r="L22" s="525"/>
      <c r="M22" s="298"/>
      <c r="N22" s="298"/>
      <c r="O22" s="206"/>
      <c r="P22" s="206">
        <v>3269</v>
      </c>
      <c r="Q22" s="206"/>
      <c r="R22" s="562"/>
      <c r="S22" s="570">
        <f t="shared" si="0"/>
        <v>1166.75</v>
      </c>
      <c r="T22" s="218">
        <f t="shared" si="1"/>
        <v>3269</v>
      </c>
      <c r="U22" s="571">
        <f t="shared" si="4"/>
        <v>0.35691342918323649</v>
      </c>
      <c r="V22" s="211"/>
      <c r="W22" s="219"/>
      <c r="X22" s="197">
        <v>37.14</v>
      </c>
      <c r="Y22" s="219">
        <v>213.5</v>
      </c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250.64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1417.3899999999999</v>
      </c>
      <c r="AS22" s="221">
        <f t="shared" si="7"/>
        <v>0</v>
      </c>
      <c r="AT22" s="283">
        <f t="shared" si="5"/>
        <v>36556.570000000007</v>
      </c>
    </row>
    <row r="23" spans="1:46" ht="13.5" customHeight="1">
      <c r="A23" s="575">
        <v>44299</v>
      </c>
      <c r="B23" s="825">
        <v>1.2999999999999999E-2</v>
      </c>
      <c r="C23" s="801">
        <f t="shared" si="6"/>
        <v>35139.180000000008</v>
      </c>
      <c r="D23" s="802"/>
      <c r="E23" s="799"/>
      <c r="F23" s="804"/>
      <c r="G23" s="800"/>
      <c r="H23" s="219"/>
      <c r="I23" s="223"/>
      <c r="J23" s="204"/>
      <c r="K23" s="204">
        <v>1083.74</v>
      </c>
      <c r="L23" s="525"/>
      <c r="M23" s="298"/>
      <c r="N23" s="206"/>
      <c r="O23" s="206"/>
      <c r="P23" s="206"/>
      <c r="Q23" s="206">
        <v>2665</v>
      </c>
      <c r="R23" s="562"/>
      <c r="S23" s="570">
        <f t="shared" si="0"/>
        <v>1083.74</v>
      </c>
      <c r="T23" s="218">
        <f t="shared" si="1"/>
        <v>2665</v>
      </c>
      <c r="U23" s="571">
        <f t="shared" si="4"/>
        <v>0.406656660412758</v>
      </c>
      <c r="V23" s="211"/>
      <c r="W23" s="219"/>
      <c r="X23" s="197">
        <v>22.54</v>
      </c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22.54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1106.28</v>
      </c>
      <c r="AS23" s="221">
        <f t="shared" si="7"/>
        <v>0</v>
      </c>
      <c r="AT23" s="283">
        <f t="shared" si="5"/>
        <v>35139.180000000008</v>
      </c>
    </row>
    <row r="24" spans="1:46" ht="15.75">
      <c r="A24" s="575">
        <v>44300</v>
      </c>
      <c r="B24" s="825">
        <v>0</v>
      </c>
      <c r="C24" s="801">
        <f t="shared" si="6"/>
        <v>34032.900000000009</v>
      </c>
      <c r="D24" s="805"/>
      <c r="E24" s="799"/>
      <c r="F24" s="804"/>
      <c r="G24" s="800"/>
      <c r="H24" s="204">
        <v>1063.99</v>
      </c>
      <c r="I24" s="223"/>
      <c r="J24" s="204"/>
      <c r="K24" s="204"/>
      <c r="L24" s="525"/>
      <c r="M24" s="298"/>
      <c r="N24" s="298">
        <v>2643</v>
      </c>
      <c r="O24" s="206"/>
      <c r="P24" s="206"/>
      <c r="Q24" s="206"/>
      <c r="R24" s="562"/>
      <c r="S24" s="570">
        <f>SUM(F24:L24)</f>
        <v>1063.99</v>
      </c>
      <c r="T24" s="218">
        <f t="shared" si="1"/>
        <v>2643</v>
      </c>
      <c r="U24" s="571">
        <f>S24/T24</f>
        <v>0.40256905032160423</v>
      </c>
      <c r="V24" s="211"/>
      <c r="W24" s="219"/>
      <c r="X24" s="197">
        <v>13.49</v>
      </c>
      <c r="Y24" s="219"/>
      <c r="Z24" s="204"/>
      <c r="AA24" s="273"/>
      <c r="AB24" s="219"/>
      <c r="AC24" s="219"/>
      <c r="AD24" s="219"/>
      <c r="AE24" s="219"/>
      <c r="AF24" s="219"/>
      <c r="AG24" s="219"/>
      <c r="AH24" s="219">
        <v>147</v>
      </c>
      <c r="AI24" s="386"/>
      <c r="AJ24" s="271">
        <f t="shared" si="3"/>
        <v>160.49</v>
      </c>
      <c r="AK24" s="213"/>
      <c r="AL24" s="213"/>
      <c r="AM24" s="213"/>
      <c r="AN24" s="213"/>
      <c r="AO24" s="213"/>
      <c r="AP24" s="213"/>
      <c r="AQ24" s="213"/>
      <c r="AR24" s="215">
        <f>SUM(AJ24+S24)</f>
        <v>1224.48</v>
      </c>
      <c r="AS24" s="221">
        <f t="shared" si="7"/>
        <v>0</v>
      </c>
      <c r="AT24" s="283">
        <f t="shared" si="5"/>
        <v>34032.900000000009</v>
      </c>
    </row>
    <row r="25" spans="1:46" ht="15.75">
      <c r="A25" s="575">
        <v>44301</v>
      </c>
      <c r="B25" s="825">
        <v>0</v>
      </c>
      <c r="C25" s="801">
        <f t="shared" si="6"/>
        <v>32808.420000000006</v>
      </c>
      <c r="D25" s="802"/>
      <c r="E25" s="799"/>
      <c r="F25" s="803"/>
      <c r="G25" s="800">
        <v>1051.08</v>
      </c>
      <c r="H25" s="219"/>
      <c r="I25" s="223"/>
      <c r="J25" s="204"/>
      <c r="K25" s="204"/>
      <c r="L25" s="525"/>
      <c r="M25" s="298">
        <v>2618</v>
      </c>
      <c r="N25" s="206"/>
      <c r="O25" s="206"/>
      <c r="P25" s="206"/>
      <c r="Q25" s="206"/>
      <c r="R25" s="562"/>
      <c r="S25" s="570">
        <f t="shared" si="0"/>
        <v>1051.08</v>
      </c>
      <c r="T25" s="218">
        <f>SUM(M25:R25)</f>
        <v>2618</v>
      </c>
      <c r="U25" s="571">
        <f t="shared" si="4"/>
        <v>0.4014820473644003</v>
      </c>
      <c r="V25" s="211"/>
      <c r="W25" s="219"/>
      <c r="X25" s="197">
        <v>17.649999999999999</v>
      </c>
      <c r="Y25" s="219"/>
      <c r="Z25" s="204">
        <v>84.26</v>
      </c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101.91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1152.99</v>
      </c>
      <c r="AS25" s="221">
        <f t="shared" si="7"/>
        <v>0</v>
      </c>
      <c r="AT25" s="283">
        <f t="shared" si="5"/>
        <v>32808.420000000006</v>
      </c>
    </row>
    <row r="26" spans="1:46" ht="15.75">
      <c r="A26" s="575">
        <v>44302</v>
      </c>
      <c r="B26" s="825">
        <v>0</v>
      </c>
      <c r="C26" s="801">
        <f t="shared" si="6"/>
        <v>31655.430000000004</v>
      </c>
      <c r="D26" s="802"/>
      <c r="E26" s="799"/>
      <c r="F26" s="804"/>
      <c r="G26" s="800"/>
      <c r="H26" s="219"/>
      <c r="I26" s="205"/>
      <c r="J26" s="204"/>
      <c r="K26" s="204">
        <v>1038.83</v>
      </c>
      <c r="L26" s="525"/>
      <c r="M26" s="298"/>
      <c r="N26" s="206"/>
      <c r="O26" s="206"/>
      <c r="P26" s="206"/>
      <c r="Q26" s="206">
        <v>2546</v>
      </c>
      <c r="R26" s="562"/>
      <c r="S26" s="570">
        <f t="shared" si="0"/>
        <v>1038.83</v>
      </c>
      <c r="T26" s="218">
        <f>SUM(M26:R26)</f>
        <v>2546</v>
      </c>
      <c r="U26" s="571">
        <f t="shared" si="4"/>
        <v>0.40802435192458758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1038.83</v>
      </c>
      <c r="AS26" s="221">
        <f t="shared" si="7"/>
        <v>0</v>
      </c>
      <c r="AT26" s="283">
        <f t="shared" si="5"/>
        <v>31655.430000000004</v>
      </c>
    </row>
    <row r="27" spans="1:46" ht="15.75">
      <c r="A27" s="575">
        <v>44303</v>
      </c>
      <c r="B27" s="825">
        <v>1.2999999999999999E-2</v>
      </c>
      <c r="C27" s="801">
        <f t="shared" si="6"/>
        <v>30616.600000000006</v>
      </c>
      <c r="D27" s="802"/>
      <c r="E27" s="799"/>
      <c r="F27" s="803"/>
      <c r="G27" s="800"/>
      <c r="H27" s="219">
        <v>1102.78</v>
      </c>
      <c r="I27" s="205"/>
      <c r="J27" s="204"/>
      <c r="K27" s="204"/>
      <c r="L27" s="525"/>
      <c r="M27" s="298"/>
      <c r="N27" s="206">
        <v>2694</v>
      </c>
      <c r="O27" s="206"/>
      <c r="P27" s="206"/>
      <c r="Q27" s="206"/>
      <c r="R27" s="562"/>
      <c r="S27" s="570">
        <f t="shared" si="0"/>
        <v>1102.78</v>
      </c>
      <c r="T27" s="218">
        <f t="shared" si="1"/>
        <v>2694</v>
      </c>
      <c r="U27" s="571">
        <f t="shared" si="4"/>
        <v>0.40934669636228654</v>
      </c>
      <c r="V27" s="211"/>
      <c r="W27" s="219"/>
      <c r="X27" s="197">
        <v>79.650000000000006</v>
      </c>
      <c r="Y27" s="219"/>
      <c r="Z27" s="204"/>
      <c r="AA27" s="273"/>
      <c r="AB27" s="219">
        <v>66.66</v>
      </c>
      <c r="AC27" s="219"/>
      <c r="AD27" s="219"/>
      <c r="AE27" s="219"/>
      <c r="AF27" s="219"/>
      <c r="AG27" s="219"/>
      <c r="AH27" s="219"/>
      <c r="AI27" s="386"/>
      <c r="AJ27" s="271">
        <f t="shared" si="3"/>
        <v>146.31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1249.0899999999999</v>
      </c>
      <c r="AS27" s="221">
        <f t="shared" si="7"/>
        <v>0</v>
      </c>
      <c r="AT27" s="283">
        <f t="shared" si="5"/>
        <v>30616.600000000006</v>
      </c>
    </row>
    <row r="28" spans="1:46" ht="15.75">
      <c r="A28" s="575">
        <v>44304</v>
      </c>
      <c r="B28" s="825">
        <v>3.9E-2</v>
      </c>
      <c r="C28" s="801">
        <f t="shared" si="6"/>
        <v>29367.510000000006</v>
      </c>
      <c r="D28" s="802"/>
      <c r="E28" s="799"/>
      <c r="F28" s="803"/>
      <c r="G28" s="800"/>
      <c r="H28" s="219"/>
      <c r="I28" s="205"/>
      <c r="J28" s="204">
        <v>1165.3</v>
      </c>
      <c r="K28" s="204"/>
      <c r="L28" s="525"/>
      <c r="M28" s="298"/>
      <c r="N28" s="206"/>
      <c r="O28" s="206"/>
      <c r="P28" s="206">
        <v>2839</v>
      </c>
      <c r="Q28" s="206"/>
      <c r="R28" s="562"/>
      <c r="S28" s="570">
        <f t="shared" si="0"/>
        <v>1165.3</v>
      </c>
      <c r="T28" s="218">
        <f t="shared" si="1"/>
        <v>2839</v>
      </c>
      <c r="U28" s="571">
        <f t="shared" si="4"/>
        <v>0.41046143008101443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1165.3</v>
      </c>
      <c r="AS28" s="221">
        <f t="shared" si="7"/>
        <v>0</v>
      </c>
      <c r="AT28" s="283">
        <f>C28</f>
        <v>29367.510000000006</v>
      </c>
    </row>
    <row r="29" spans="1:46" ht="15.75">
      <c r="A29" s="575">
        <v>44305</v>
      </c>
      <c r="B29" s="825">
        <v>6.5000000000000002E-2</v>
      </c>
      <c r="C29" s="801">
        <f t="shared" si="6"/>
        <v>28202.210000000006</v>
      </c>
      <c r="D29" s="802"/>
      <c r="E29" s="799"/>
      <c r="F29" s="803"/>
      <c r="G29" s="800">
        <v>1149</v>
      </c>
      <c r="H29" s="219"/>
      <c r="I29" s="205"/>
      <c r="J29" s="204"/>
      <c r="K29" s="204"/>
      <c r="L29" s="525"/>
      <c r="M29" s="298">
        <v>2733</v>
      </c>
      <c r="N29" s="206"/>
      <c r="O29" s="206"/>
      <c r="P29" s="206"/>
      <c r="Q29" s="206"/>
      <c r="R29" s="562"/>
      <c r="S29" s="570">
        <f t="shared" si="0"/>
        <v>1149</v>
      </c>
      <c r="T29" s="218">
        <f t="shared" si="1"/>
        <v>2733</v>
      </c>
      <c r="U29" s="571">
        <f t="shared" si="4"/>
        <v>0.42041712403951703</v>
      </c>
      <c r="V29" s="211"/>
      <c r="W29" s="219"/>
      <c r="X29" s="197">
        <v>24.72</v>
      </c>
      <c r="Y29" s="219"/>
      <c r="Z29" s="204">
        <v>85.63</v>
      </c>
      <c r="AA29" s="273"/>
      <c r="AB29" s="219"/>
      <c r="AC29" s="219"/>
      <c r="AD29" s="219">
        <v>130.86000000000001</v>
      </c>
      <c r="AE29" s="219"/>
      <c r="AF29" s="219"/>
      <c r="AG29" s="219"/>
      <c r="AH29" s="219">
        <v>105</v>
      </c>
      <c r="AI29" s="386"/>
      <c r="AJ29" s="271">
        <f t="shared" si="3"/>
        <v>346.21000000000004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1495.21</v>
      </c>
      <c r="AS29" s="221">
        <f t="shared" si="7"/>
        <v>0</v>
      </c>
      <c r="AT29" s="283">
        <f t="shared" si="5"/>
        <v>28202.210000000006</v>
      </c>
    </row>
    <row r="30" spans="1:46" ht="15.75">
      <c r="A30" s="575">
        <v>44306</v>
      </c>
      <c r="B30" s="825">
        <v>5.1999999999999998E-2</v>
      </c>
      <c r="C30" s="801">
        <f t="shared" si="6"/>
        <v>26707.000000000007</v>
      </c>
      <c r="D30" s="802"/>
      <c r="E30" s="799">
        <v>15000</v>
      </c>
      <c r="F30" s="846" t="s">
        <v>319</v>
      </c>
      <c r="G30" s="800"/>
      <c r="H30" s="219"/>
      <c r="I30" s="205"/>
      <c r="J30" s="204"/>
      <c r="K30" s="204">
        <v>1187.58</v>
      </c>
      <c r="L30" s="525"/>
      <c r="M30" s="298"/>
      <c r="N30" s="206"/>
      <c r="O30" s="206"/>
      <c r="P30" s="206"/>
      <c r="Q30" s="206">
        <v>2856</v>
      </c>
      <c r="R30" s="562"/>
      <c r="S30" s="570">
        <f t="shared" si="0"/>
        <v>1187.58</v>
      </c>
      <c r="T30" s="218">
        <f t="shared" si="1"/>
        <v>2856</v>
      </c>
      <c r="U30" s="571">
        <f t="shared" si="4"/>
        <v>0.41581932773109243</v>
      </c>
      <c r="V30" s="211"/>
      <c r="W30" s="219"/>
      <c r="X30" s="197"/>
      <c r="Y30" s="219"/>
      <c r="Z30" s="204"/>
      <c r="AA30" s="273"/>
      <c r="AB30" s="219"/>
      <c r="AC30" s="219">
        <v>67.459999999999994</v>
      </c>
      <c r="AD30" s="219"/>
      <c r="AE30" s="219"/>
      <c r="AF30" s="219"/>
      <c r="AG30" s="219"/>
      <c r="AH30" s="219"/>
      <c r="AI30" s="386"/>
      <c r="AJ30" s="271">
        <f t="shared" si="3"/>
        <v>67.459999999999994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1255.04</v>
      </c>
      <c r="AS30" s="221">
        <f t="shared" si="7"/>
        <v>0</v>
      </c>
      <c r="AT30" s="283">
        <f t="shared" si="5"/>
        <v>26707.000000000007</v>
      </c>
    </row>
    <row r="31" spans="1:46" ht="15.75">
      <c r="A31" s="575">
        <v>44307</v>
      </c>
      <c r="B31" s="825">
        <v>2.5999999999999999E-2</v>
      </c>
      <c r="C31" s="801">
        <f t="shared" si="6"/>
        <v>25451.960000000006</v>
      </c>
      <c r="D31" s="802"/>
      <c r="E31" s="799"/>
      <c r="F31" s="803"/>
      <c r="G31" s="800"/>
      <c r="H31" s="219">
        <v>1117.46</v>
      </c>
      <c r="I31" s="205"/>
      <c r="J31" s="204"/>
      <c r="K31" s="204"/>
      <c r="L31" s="525"/>
      <c r="M31" s="298"/>
      <c r="N31" s="206">
        <v>2700</v>
      </c>
      <c r="O31" s="206"/>
      <c r="P31" s="206"/>
      <c r="Q31" s="206"/>
      <c r="R31" s="562"/>
      <c r="S31" s="570">
        <f t="shared" si="0"/>
        <v>1117.46</v>
      </c>
      <c r="T31" s="218">
        <f t="shared" si="1"/>
        <v>2700</v>
      </c>
      <c r="U31" s="571">
        <f t="shared" si="4"/>
        <v>0.41387407407407406</v>
      </c>
      <c r="V31" s="211"/>
      <c r="W31" s="219"/>
      <c r="X31" s="197">
        <v>17.399999999999999</v>
      </c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17.399999999999999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1134.8600000000001</v>
      </c>
      <c r="AS31" s="221">
        <f t="shared" si="7"/>
        <v>0</v>
      </c>
      <c r="AT31" s="283">
        <f t="shared" si="5"/>
        <v>25451.960000000006</v>
      </c>
    </row>
    <row r="32" spans="1:46" ht="15.75">
      <c r="A32" s="575">
        <v>44308</v>
      </c>
      <c r="B32" s="825">
        <v>0</v>
      </c>
      <c r="C32" s="801">
        <f t="shared" si="6"/>
        <v>39117.100000000006</v>
      </c>
      <c r="D32" s="802">
        <v>14800</v>
      </c>
      <c r="E32" s="799"/>
      <c r="F32" s="803"/>
      <c r="G32" s="800"/>
      <c r="H32" s="204"/>
      <c r="I32" s="204"/>
      <c r="J32" s="204">
        <v>1065.54</v>
      </c>
      <c r="K32" s="204"/>
      <c r="L32" s="525"/>
      <c r="M32" s="298"/>
      <c r="N32" s="206"/>
      <c r="O32" s="206"/>
      <c r="P32" s="206">
        <v>2593</v>
      </c>
      <c r="Q32" s="206"/>
      <c r="R32" s="562"/>
      <c r="S32" s="570">
        <f t="shared" si="0"/>
        <v>1065.54</v>
      </c>
      <c r="T32" s="218">
        <f t="shared" si="1"/>
        <v>2593</v>
      </c>
      <c r="U32" s="571">
        <f t="shared" si="4"/>
        <v>0.41092942537601235</v>
      </c>
      <c r="V32" s="211"/>
      <c r="W32" s="219"/>
      <c r="X32" s="197">
        <v>13.16</v>
      </c>
      <c r="Y32" s="219"/>
      <c r="Z32" s="204">
        <v>41.77</v>
      </c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54.930000000000007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1120.47</v>
      </c>
      <c r="AS32" s="221">
        <f t="shared" si="7"/>
        <v>0</v>
      </c>
      <c r="AT32" s="283">
        <f t="shared" si="5"/>
        <v>39117.100000000006</v>
      </c>
    </row>
    <row r="33" spans="1:46" ht="15.75">
      <c r="A33" s="575">
        <v>44309</v>
      </c>
      <c r="B33" s="825">
        <v>1.2999999999999999E-2</v>
      </c>
      <c r="C33" s="801">
        <f t="shared" si="6"/>
        <v>37996.630000000005</v>
      </c>
      <c r="D33" s="802"/>
      <c r="E33" s="799"/>
      <c r="F33" s="803"/>
      <c r="G33" s="800">
        <v>1088.06</v>
      </c>
      <c r="H33" s="204"/>
      <c r="I33" s="204"/>
      <c r="J33" s="204"/>
      <c r="K33" s="204"/>
      <c r="L33" s="525"/>
      <c r="M33" s="298">
        <v>2657</v>
      </c>
      <c r="N33" s="206"/>
      <c r="O33" s="206"/>
      <c r="P33" s="206"/>
      <c r="Q33" s="206"/>
      <c r="R33" s="562"/>
      <c r="S33" s="570">
        <f t="shared" si="0"/>
        <v>1088.06</v>
      </c>
      <c r="T33" s="218">
        <f t="shared" si="1"/>
        <v>2657</v>
      </c>
      <c r="U33" s="571">
        <f t="shared" si="4"/>
        <v>0.40950696273993226</v>
      </c>
      <c r="V33" s="211"/>
      <c r="W33" s="219"/>
      <c r="X33" s="197">
        <v>61.94</v>
      </c>
      <c r="Y33" s="219"/>
      <c r="Z33" s="204">
        <v>78.13</v>
      </c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140.07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1228.1299999999999</v>
      </c>
      <c r="AS33" s="221">
        <f t="shared" si="7"/>
        <v>0</v>
      </c>
      <c r="AT33" s="283">
        <f t="shared" si="5"/>
        <v>37996.630000000005</v>
      </c>
    </row>
    <row r="34" spans="1:46" ht="15.75">
      <c r="A34" s="575">
        <v>44310</v>
      </c>
      <c r="B34" s="825">
        <v>2.5999999999999999E-2</v>
      </c>
      <c r="C34" s="801">
        <f t="shared" si="6"/>
        <v>36768.500000000007</v>
      </c>
      <c r="D34" s="802"/>
      <c r="E34" s="799"/>
      <c r="F34" s="803"/>
      <c r="G34" s="800"/>
      <c r="H34" s="219"/>
      <c r="I34" s="205"/>
      <c r="J34" s="204"/>
      <c r="K34" s="204">
        <v>1050.72</v>
      </c>
      <c r="L34" s="525"/>
      <c r="M34" s="298"/>
      <c r="N34" s="206"/>
      <c r="O34" s="206"/>
      <c r="P34" s="206"/>
      <c r="Q34" s="206">
        <v>2629</v>
      </c>
      <c r="R34" s="562"/>
      <c r="S34" s="570">
        <f t="shared" si="0"/>
        <v>1050.72</v>
      </c>
      <c r="T34" s="218">
        <f t="shared" si="1"/>
        <v>2629</v>
      </c>
      <c r="U34" s="571">
        <f t="shared" si="4"/>
        <v>0.39966527196652718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>
        <v>147</v>
      </c>
      <c r="AI34" s="386"/>
      <c r="AJ34" s="271">
        <f t="shared" si="3"/>
        <v>147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1197.72</v>
      </c>
      <c r="AS34" s="221">
        <f t="shared" si="7"/>
        <v>0</v>
      </c>
      <c r="AT34" s="283">
        <f t="shared" si="5"/>
        <v>36768.500000000007</v>
      </c>
    </row>
    <row r="35" spans="1:46" ht="15.75">
      <c r="A35" s="575">
        <v>44311</v>
      </c>
      <c r="B35" s="825">
        <v>5.1999999999999998E-2</v>
      </c>
      <c r="C35" s="801">
        <f t="shared" si="6"/>
        <v>35570.780000000006</v>
      </c>
      <c r="D35" s="802"/>
      <c r="E35" s="799"/>
      <c r="F35" s="803"/>
      <c r="G35" s="800"/>
      <c r="H35" s="219">
        <v>1147.08</v>
      </c>
      <c r="I35" s="205"/>
      <c r="J35" s="204"/>
      <c r="K35" s="204"/>
      <c r="L35" s="525"/>
      <c r="M35" s="298"/>
      <c r="N35" s="206">
        <v>2890</v>
      </c>
      <c r="O35" s="206"/>
      <c r="P35" s="206"/>
      <c r="Q35" s="206"/>
      <c r="R35" s="562"/>
      <c r="S35" s="570">
        <f t="shared" si="0"/>
        <v>1147.08</v>
      </c>
      <c r="T35" s="218">
        <f t="shared" si="1"/>
        <v>2890</v>
      </c>
      <c r="U35" s="571">
        <f t="shared" si="4"/>
        <v>0.39691349480968857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>
        <v>104.04</v>
      </c>
      <c r="AF35" s="219"/>
      <c r="AG35" s="219"/>
      <c r="AH35" s="219"/>
      <c r="AI35" s="386"/>
      <c r="AJ35" s="271">
        <f t="shared" si="3"/>
        <v>104.04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1251.1199999999999</v>
      </c>
      <c r="AS35" s="221">
        <f t="shared" si="7"/>
        <v>0</v>
      </c>
      <c r="AT35" s="283">
        <f t="shared" si="5"/>
        <v>35570.780000000006</v>
      </c>
    </row>
    <row r="36" spans="1:46" ht="15.75">
      <c r="A36" s="575">
        <v>44312</v>
      </c>
      <c r="B36" s="825">
        <v>5.1999999999999998E-2</v>
      </c>
      <c r="C36" s="801">
        <f t="shared" si="6"/>
        <v>34319.660000000003</v>
      </c>
      <c r="D36" s="802"/>
      <c r="E36" s="799"/>
      <c r="F36" s="803"/>
      <c r="G36" s="800"/>
      <c r="H36" s="219"/>
      <c r="I36" s="205"/>
      <c r="J36" s="204">
        <v>1113.17</v>
      </c>
      <c r="K36" s="204"/>
      <c r="L36" s="525"/>
      <c r="M36" s="298"/>
      <c r="N36" s="206"/>
      <c r="O36" s="206"/>
      <c r="P36" s="206">
        <v>2691</v>
      </c>
      <c r="Q36" s="206"/>
      <c r="R36" s="562"/>
      <c r="S36" s="570">
        <f t="shared" si="0"/>
        <v>1113.17</v>
      </c>
      <c r="T36" s="218">
        <f t="shared" si="1"/>
        <v>2691</v>
      </c>
      <c r="U36" s="571">
        <f t="shared" si="4"/>
        <v>0.41366406540319589</v>
      </c>
      <c r="V36" s="211"/>
      <c r="W36" s="219"/>
      <c r="X36" s="197"/>
      <c r="Y36" s="219"/>
      <c r="Z36" s="204">
        <v>62.67</v>
      </c>
      <c r="AA36" s="273"/>
      <c r="AB36" s="219"/>
      <c r="AC36" s="219">
        <v>47.39</v>
      </c>
      <c r="AD36" s="219"/>
      <c r="AE36" s="219"/>
      <c r="AF36" s="219"/>
      <c r="AG36" s="219"/>
      <c r="AH36" s="219">
        <v>159</v>
      </c>
      <c r="AI36" s="386"/>
      <c r="AJ36" s="271">
        <f t="shared" si="3"/>
        <v>269.06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1382.23</v>
      </c>
      <c r="AS36" s="221">
        <f t="shared" si="7"/>
        <v>0</v>
      </c>
      <c r="AT36" s="283">
        <f t="shared" si="5"/>
        <v>34319.660000000003</v>
      </c>
    </row>
    <row r="37" spans="1:46" ht="15.75">
      <c r="A37" s="575">
        <v>44313</v>
      </c>
      <c r="B37" s="825">
        <v>3.5999999999999997E-2</v>
      </c>
      <c r="C37" s="801">
        <f t="shared" si="6"/>
        <v>32937.43</v>
      </c>
      <c r="D37" s="802"/>
      <c r="E37" s="799"/>
      <c r="F37" s="525"/>
      <c r="G37" s="800">
        <v>1116.6400000000001</v>
      </c>
      <c r="H37" s="219"/>
      <c r="I37" s="205"/>
      <c r="J37" s="204"/>
      <c r="K37" s="204"/>
      <c r="L37" s="525"/>
      <c r="M37" s="298">
        <v>2733</v>
      </c>
      <c r="N37" s="206"/>
      <c r="O37" s="206"/>
      <c r="P37" s="206"/>
      <c r="Q37" s="206"/>
      <c r="R37" s="206"/>
      <c r="S37" s="570">
        <f t="shared" si="0"/>
        <v>1116.6400000000001</v>
      </c>
      <c r="T37" s="218">
        <f t="shared" si="1"/>
        <v>2733</v>
      </c>
      <c r="U37" s="571">
        <f t="shared" si="4"/>
        <v>0.40857665568971829</v>
      </c>
      <c r="V37" s="211"/>
      <c r="W37" s="219"/>
      <c r="X37" s="197">
        <v>30.73</v>
      </c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30.73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1147.3700000000001</v>
      </c>
      <c r="AS37" s="221">
        <f t="shared" si="7"/>
        <v>0</v>
      </c>
      <c r="AT37" s="283">
        <f t="shared" si="5"/>
        <v>32937.43</v>
      </c>
    </row>
    <row r="38" spans="1:46" ht="15.75">
      <c r="A38" s="575">
        <v>44314</v>
      </c>
      <c r="B38" s="825">
        <v>3.9E-2</v>
      </c>
      <c r="C38" s="801">
        <f t="shared" si="6"/>
        <v>31790.06</v>
      </c>
      <c r="D38" s="802"/>
      <c r="E38" s="799"/>
      <c r="F38" s="803"/>
      <c r="G38" s="800"/>
      <c r="H38" s="219"/>
      <c r="I38" s="205"/>
      <c r="J38" s="204"/>
      <c r="K38" s="204">
        <v>1170.6600000000001</v>
      </c>
      <c r="L38" s="525"/>
      <c r="M38" s="298"/>
      <c r="N38" s="206"/>
      <c r="O38" s="206"/>
      <c r="P38" s="206"/>
      <c r="Q38" s="206">
        <v>2725</v>
      </c>
      <c r="R38" s="206"/>
      <c r="S38" s="570">
        <f t="shared" si="0"/>
        <v>1170.6600000000001</v>
      </c>
      <c r="T38" s="218">
        <f t="shared" si="1"/>
        <v>2725</v>
      </c>
      <c r="U38" s="571">
        <f t="shared" si="4"/>
        <v>0.42960000000000004</v>
      </c>
      <c r="V38" s="211"/>
      <c r="W38" s="219"/>
      <c r="X38" s="197"/>
      <c r="Y38" s="219"/>
      <c r="Z38" s="204"/>
      <c r="AA38" s="273"/>
      <c r="AB38" s="219"/>
      <c r="AC38" s="219">
        <v>15.67</v>
      </c>
      <c r="AD38" s="219"/>
      <c r="AE38" s="219"/>
      <c r="AF38" s="219"/>
      <c r="AG38" s="441"/>
      <c r="AH38" s="219"/>
      <c r="AI38" s="386"/>
      <c r="AJ38" s="271">
        <f t="shared" si="3"/>
        <v>15.67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1186.3300000000002</v>
      </c>
      <c r="AS38" s="221">
        <f t="shared" si="7"/>
        <v>0</v>
      </c>
      <c r="AT38" s="283">
        <f t="shared" si="5"/>
        <v>31790.06</v>
      </c>
    </row>
    <row r="39" spans="1:46" ht="15.75">
      <c r="A39" s="575">
        <v>44315</v>
      </c>
      <c r="B39" s="825">
        <v>2.5999999999999999E-2</v>
      </c>
      <c r="C39" s="801">
        <f t="shared" si="6"/>
        <v>30603.73</v>
      </c>
      <c r="D39" s="802"/>
      <c r="E39" s="799"/>
      <c r="F39" s="525"/>
      <c r="G39" s="800"/>
      <c r="H39" s="219">
        <v>1105.68</v>
      </c>
      <c r="I39" s="227"/>
      <c r="J39" s="204"/>
      <c r="K39" s="204"/>
      <c r="L39" s="525"/>
      <c r="M39" s="298"/>
      <c r="N39" s="206">
        <v>2813</v>
      </c>
      <c r="O39" s="228"/>
      <c r="P39" s="206"/>
      <c r="Q39" s="206"/>
      <c r="R39" s="562"/>
      <c r="S39" s="570">
        <f t="shared" si="0"/>
        <v>1105.68</v>
      </c>
      <c r="T39" s="218">
        <f t="shared" si="1"/>
        <v>2813</v>
      </c>
      <c r="U39" s="571">
        <f t="shared" si="4"/>
        <v>0.39306078919303239</v>
      </c>
      <c r="V39" s="211"/>
      <c r="W39" s="219"/>
      <c r="X39" s="197">
        <v>50.16</v>
      </c>
      <c r="Y39" s="219"/>
      <c r="Z39" s="204">
        <v>29.32</v>
      </c>
      <c r="AA39" s="273"/>
      <c r="AB39" s="219"/>
      <c r="AC39" s="219"/>
      <c r="AD39" s="219"/>
      <c r="AE39" s="219"/>
      <c r="AF39" s="219"/>
      <c r="AG39" s="441"/>
      <c r="AH39" s="219">
        <v>164</v>
      </c>
      <c r="AI39" s="386"/>
      <c r="AJ39" s="271">
        <f t="shared" si="3"/>
        <v>243.48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1349.16</v>
      </c>
      <c r="AS39" s="221">
        <f t="shared" si="7"/>
        <v>0</v>
      </c>
      <c r="AT39" s="283">
        <f t="shared" si="5"/>
        <v>30603.73</v>
      </c>
    </row>
    <row r="40" spans="1:46" ht="15.75">
      <c r="A40" s="575">
        <v>44316</v>
      </c>
      <c r="B40" s="825">
        <v>0.01</v>
      </c>
      <c r="C40" s="801">
        <f t="shared" si="6"/>
        <v>29254.57</v>
      </c>
      <c r="D40" s="802"/>
      <c r="E40" s="799"/>
      <c r="F40" s="299"/>
      <c r="G40" s="800"/>
      <c r="H40" s="219"/>
      <c r="I40" s="205"/>
      <c r="J40" s="204">
        <v>1119.69</v>
      </c>
      <c r="K40" s="204"/>
      <c r="L40" s="525"/>
      <c r="M40" s="298"/>
      <c r="N40" s="206"/>
      <c r="O40" s="206"/>
      <c r="P40" s="206">
        <v>2731</v>
      </c>
      <c r="Q40" s="206"/>
      <c r="R40" s="562"/>
      <c r="S40" s="570">
        <f t="shared" si="0"/>
        <v>1119.69</v>
      </c>
      <c r="T40" s="218">
        <f t="shared" si="1"/>
        <v>2731</v>
      </c>
      <c r="U40" s="571">
        <f t="shared" si="4"/>
        <v>0.40999267667521055</v>
      </c>
      <c r="V40" s="211"/>
      <c r="W40" s="219"/>
      <c r="X40" s="197">
        <v>63.16</v>
      </c>
      <c r="Y40" s="219"/>
      <c r="Z40" s="204">
        <v>80.16</v>
      </c>
      <c r="AA40" s="273"/>
      <c r="AB40" s="219"/>
      <c r="AC40" s="219"/>
      <c r="AD40" s="219"/>
      <c r="AE40" s="219"/>
      <c r="AF40" s="219"/>
      <c r="AG40" s="441"/>
      <c r="AH40" s="219">
        <v>131</v>
      </c>
      <c r="AI40" s="386"/>
      <c r="AJ40" s="271">
        <f t="shared" si="3"/>
        <v>274.32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1394.01</v>
      </c>
      <c r="AS40" s="221">
        <f t="shared" si="7"/>
        <v>0</v>
      </c>
      <c r="AT40" s="283">
        <f t="shared" si="5"/>
        <v>29254.57</v>
      </c>
    </row>
    <row r="41" spans="1:46" ht="15.75">
      <c r="A41" s="575"/>
      <c r="B41" s="825"/>
      <c r="C41" s="801">
        <f t="shared" si="6"/>
        <v>27860.560000000001</v>
      </c>
      <c r="D41" s="802"/>
      <c r="E41" s="799"/>
      <c r="F41" s="299"/>
      <c r="G41" s="800"/>
      <c r="H41" s="204"/>
      <c r="I41" s="204"/>
      <c r="J41" s="204"/>
      <c r="K41" s="204"/>
      <c r="L41" s="525"/>
      <c r="M41" s="298"/>
      <c r="N41" s="206"/>
      <c r="O41" s="206"/>
      <c r="P41" s="206"/>
      <c r="Q41" s="206"/>
      <c r="R41" s="562"/>
      <c r="S41" s="570">
        <f t="shared" si="0"/>
        <v>0</v>
      </c>
      <c r="T41" s="218">
        <f t="shared" si="1"/>
        <v>0</v>
      </c>
      <c r="U41" s="571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27860.560000000001</v>
      </c>
    </row>
    <row r="42" spans="1:46" ht="14.25">
      <c r="A42" s="575"/>
      <c r="B42" s="574"/>
      <c r="C42" s="801">
        <f t="shared" si="6"/>
        <v>27860.560000000001</v>
      </c>
      <c r="D42" s="806"/>
      <c r="E42" s="799"/>
      <c r="F42" s="299"/>
      <c r="G42" s="800"/>
      <c r="H42" s="204"/>
      <c r="I42" s="204"/>
      <c r="J42" s="204"/>
      <c r="K42" s="204"/>
      <c r="L42" s="525"/>
      <c r="M42" s="298"/>
      <c r="N42" s="206"/>
      <c r="O42" s="206"/>
      <c r="P42" s="206"/>
      <c r="Q42" s="206"/>
      <c r="R42" s="562"/>
      <c r="S42" s="570">
        <f t="shared" si="0"/>
        <v>0</v>
      </c>
      <c r="T42" s="218">
        <f t="shared" si="1"/>
        <v>0</v>
      </c>
      <c r="U42" s="571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27860.560000000001</v>
      </c>
    </row>
    <row r="43" spans="1:46" ht="14.25">
      <c r="A43" s="495" t="s">
        <v>25</v>
      </c>
      <c r="B43" s="469">
        <f>AVERAGE(B11:B42)</f>
        <v>6.5533333333333332E-2</v>
      </c>
      <c r="C43" s="797">
        <f t="shared" si="6"/>
        <v>27860.560000000001</v>
      </c>
      <c r="D43" s="806"/>
      <c r="E43" s="799"/>
      <c r="F43" s="299"/>
      <c r="G43" s="513"/>
      <c r="H43" s="204"/>
      <c r="I43" s="204"/>
      <c r="J43" s="204"/>
      <c r="K43" s="204"/>
      <c r="L43" s="525"/>
      <c r="M43" s="298"/>
      <c r="N43" s="206"/>
      <c r="O43" s="206"/>
      <c r="P43" s="206"/>
      <c r="Q43" s="206"/>
      <c r="R43" s="562"/>
      <c r="S43" s="570">
        <f t="shared" si="0"/>
        <v>0</v>
      </c>
      <c r="T43" s="218">
        <f t="shared" si="1"/>
        <v>0</v>
      </c>
      <c r="U43" s="571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27860.560000000001</v>
      </c>
    </row>
    <row r="44" spans="1:46" ht="15" thickBot="1">
      <c r="A44" s="496"/>
      <c r="B44" s="497"/>
      <c r="C44" s="807"/>
      <c r="D44" s="808"/>
      <c r="E44" s="809"/>
      <c r="F44" s="810"/>
      <c r="G44" s="811"/>
      <c r="H44" s="559"/>
      <c r="I44" s="559"/>
      <c r="J44" s="559"/>
      <c r="K44" s="559"/>
      <c r="L44" s="560"/>
      <c r="M44" s="297"/>
      <c r="N44" s="195"/>
      <c r="O44" s="195"/>
      <c r="P44" s="195"/>
      <c r="Q44" s="195"/>
      <c r="R44" s="564"/>
      <c r="S44" s="570">
        <f t="shared" si="0"/>
        <v>0</v>
      </c>
      <c r="T44" s="218">
        <f t="shared" si="1"/>
        <v>0</v>
      </c>
      <c r="U44" s="572"/>
      <c r="V44" s="566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5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2"/>
      <c r="B45" s="552"/>
      <c r="C45" s="812"/>
      <c r="D45" s="308">
        <f>SUM(D11:D44)</f>
        <v>32800</v>
      </c>
      <c r="E45" s="313">
        <f>SUM(E11:E42)</f>
        <v>30000</v>
      </c>
      <c r="F45" s="813">
        <f t="shared" ref="F45:O45" si="8">SUM(F11:F44)</f>
        <v>0</v>
      </c>
      <c r="G45" s="313">
        <f t="shared" si="8"/>
        <v>8465.65</v>
      </c>
      <c r="H45" s="308">
        <f t="shared" si="8"/>
        <v>9376.35</v>
      </c>
      <c r="I45" s="313">
        <f t="shared" si="8"/>
        <v>0</v>
      </c>
      <c r="J45" s="308">
        <f t="shared" si="8"/>
        <v>9535.08</v>
      </c>
      <c r="K45" s="313">
        <f t="shared" si="8"/>
        <v>8200.93</v>
      </c>
      <c r="L45" s="308">
        <f t="shared" si="8"/>
        <v>0</v>
      </c>
      <c r="M45" s="313">
        <f t="shared" si="8"/>
        <v>23957</v>
      </c>
      <c r="N45" s="553">
        <f t="shared" si="8"/>
        <v>20083</v>
      </c>
      <c r="O45" s="313">
        <f t="shared" si="8"/>
        <v>0</v>
      </c>
      <c r="P45" s="308">
        <f>SUM(P11:P43)</f>
        <v>23706</v>
      </c>
      <c r="Q45" s="313">
        <f>SUM(Q11:Q44)</f>
        <v>20063</v>
      </c>
      <c r="R45" s="308">
        <f>SUM(R11:R44)</f>
        <v>0</v>
      </c>
      <c r="S45" s="551">
        <f>SUM(G45:L45)</f>
        <v>35578.01</v>
      </c>
      <c r="T45" s="308">
        <f>SUM(M45:R45)</f>
        <v>87809</v>
      </c>
      <c r="U45" s="234" t="e">
        <f>SUM(U11:U42)</f>
        <v>#DIV/0!</v>
      </c>
      <c r="V45" s="546">
        <f t="shared" ref="V45:AB45" si="9">SUM(V9:V44)</f>
        <v>0</v>
      </c>
      <c r="W45" s="234">
        <f t="shared" si="9"/>
        <v>0</v>
      </c>
      <c r="X45" s="546">
        <f t="shared" si="9"/>
        <v>666.82999999999993</v>
      </c>
      <c r="Y45" s="234">
        <f t="shared" si="9"/>
        <v>213.5</v>
      </c>
      <c r="Z45" s="546">
        <f t="shared" si="9"/>
        <v>825.89</v>
      </c>
      <c r="AA45" s="234">
        <f t="shared" si="9"/>
        <v>0</v>
      </c>
      <c r="AB45" s="546">
        <f t="shared" si="9"/>
        <v>66.66</v>
      </c>
      <c r="AC45" s="234">
        <f>SUM(AC10:AC44)</f>
        <v>185.42</v>
      </c>
      <c r="AD45" s="546">
        <f>SUM(AD10:AD44)</f>
        <v>130.86000000000001</v>
      </c>
      <c r="AE45" s="234">
        <f>SUM(AE9:AE44)</f>
        <v>104.04</v>
      </c>
      <c r="AF45" s="546">
        <f>SUM(AF9:AF44)</f>
        <v>0</v>
      </c>
      <c r="AG45" s="234">
        <f>SUM(AG9:AG44)</f>
        <v>0</v>
      </c>
      <c r="AH45" s="546">
        <f>SUM(AH9:AH43)</f>
        <v>1454</v>
      </c>
      <c r="AI45" s="234">
        <f>SUM(AI9:AI39)</f>
        <v>230.2</v>
      </c>
      <c r="AJ45" s="546">
        <f>SUM(AJ9:AJ44)</f>
        <v>3877.4000000000005</v>
      </c>
      <c r="AK45" s="234"/>
      <c r="AL45" s="234"/>
      <c r="AM45" s="234"/>
      <c r="AN45" s="234"/>
      <c r="AO45" s="234"/>
      <c r="AP45" s="234"/>
      <c r="AQ45" s="547"/>
      <c r="AR45" s="548">
        <f>SUM(AR11:AR43)</f>
        <v>39455.410000000011</v>
      </c>
      <c r="AS45" s="549">
        <f>SUM(AS11:AS44)</f>
        <v>0</v>
      </c>
      <c r="AT45" s="550"/>
    </row>
    <row r="46" spans="1:46" ht="14.25" thickBot="1">
      <c r="A46" s="789" t="s">
        <v>67</v>
      </c>
      <c r="S46" s="602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14">
        <f>AVERAGE(S11:S41)</f>
        <v>1147.6777419354839</v>
      </c>
      <c r="T47" s="316">
        <f>S45*2315</f>
        <v>82363093.150000006</v>
      </c>
      <c r="U47" s="317" t="s">
        <v>244</v>
      </c>
      <c r="AR47" s="522">
        <f>AR45*2143</f>
        <v>84552943.630000025</v>
      </c>
      <c r="AS47" s="521" t="s">
        <v>244</v>
      </c>
      <c r="AT47" s="180"/>
    </row>
    <row r="48" spans="1:46" ht="14.25" thickBot="1">
      <c r="A48" s="324" t="s">
        <v>247</v>
      </c>
      <c r="B48" s="238"/>
      <c r="F48" s="789" t="s">
        <v>253</v>
      </c>
      <c r="T48" s="316">
        <f>T47/2289</f>
        <v>35982.12894276977</v>
      </c>
      <c r="U48" s="317" t="s">
        <v>245</v>
      </c>
      <c r="W48" s="191"/>
      <c r="X48" s="191"/>
      <c r="Y48" s="191"/>
      <c r="Z48" s="191"/>
      <c r="AA48" s="191"/>
      <c r="AR48" s="316">
        <f>AR47/2289</f>
        <v>36938.813294014864</v>
      </c>
      <c r="AS48" s="523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22" t="s">
        <v>241</v>
      </c>
      <c r="C50" s="923"/>
      <c r="D50" s="923"/>
      <c r="E50" s="923"/>
      <c r="F50" s="924"/>
      <c r="H50" s="900" t="s">
        <v>213</v>
      </c>
      <c r="I50" s="901"/>
      <c r="J50" s="901"/>
      <c r="K50" s="901"/>
      <c r="L50" s="902"/>
      <c r="N50" s="903" t="s">
        <v>309</v>
      </c>
      <c r="O50" s="904"/>
      <c r="P50" s="904"/>
      <c r="Q50" s="904"/>
      <c r="R50" s="905"/>
      <c r="T50" s="906" t="s">
        <v>226</v>
      </c>
      <c r="U50" s="907"/>
      <c r="V50" s="907"/>
      <c r="W50" s="907"/>
      <c r="X50" s="907"/>
      <c r="Y50" s="908"/>
    </row>
    <row r="51" spans="2:46" ht="25.5" customHeight="1" thickBot="1">
      <c r="B51" s="501" t="s">
        <v>98</v>
      </c>
      <c r="C51" s="421" t="s">
        <v>196</v>
      </c>
      <c r="D51" s="502" t="s">
        <v>197</v>
      </c>
      <c r="E51" s="502" t="s">
        <v>212</v>
      </c>
      <c r="F51" s="503" t="s">
        <v>308</v>
      </c>
      <c r="H51" s="501" t="s">
        <v>98</v>
      </c>
      <c r="I51" s="421" t="s">
        <v>196</v>
      </c>
      <c r="J51" s="544" t="s">
        <v>197</v>
      </c>
      <c r="K51" s="505" t="s">
        <v>212</v>
      </c>
      <c r="L51" s="503" t="s">
        <v>308</v>
      </c>
      <c r="N51" s="542" t="s">
        <v>98</v>
      </c>
      <c r="O51" s="536" t="s">
        <v>196</v>
      </c>
      <c r="P51" s="543" t="s">
        <v>197</v>
      </c>
      <c r="Q51" s="537" t="s">
        <v>212</v>
      </c>
      <c r="R51" s="538" t="s">
        <v>215</v>
      </c>
      <c r="T51" s="345" t="s">
        <v>0</v>
      </c>
      <c r="U51" s="614" t="s">
        <v>196</v>
      </c>
      <c r="V51" s="616" t="s">
        <v>227</v>
      </c>
      <c r="W51" s="615" t="s">
        <v>212</v>
      </c>
      <c r="X51" s="346" t="s">
        <v>228</v>
      </c>
      <c r="Y51" s="347" t="s">
        <v>229</v>
      </c>
    </row>
    <row r="52" spans="2:46" ht="11.25" customHeight="1" thickBot="1">
      <c r="B52" s="498">
        <v>44288</v>
      </c>
      <c r="C52" s="498" t="s">
        <v>320</v>
      </c>
      <c r="D52" s="500">
        <v>20</v>
      </c>
      <c r="E52" s="499" t="s">
        <v>321</v>
      </c>
      <c r="F52" s="526" t="s">
        <v>326</v>
      </c>
      <c r="H52" s="529"/>
      <c r="I52" s="506"/>
      <c r="J52" s="506"/>
      <c r="K52" s="506"/>
      <c r="L52" s="530"/>
      <c r="N52" s="348">
        <v>44288</v>
      </c>
      <c r="O52" s="506" t="s">
        <v>322</v>
      </c>
      <c r="P52" s="524">
        <v>150</v>
      </c>
      <c r="Q52" s="524" t="s">
        <v>323</v>
      </c>
      <c r="R52" s="510" t="s">
        <v>326</v>
      </c>
      <c r="T52" s="348">
        <v>44289</v>
      </c>
      <c r="U52" s="531" t="s">
        <v>324</v>
      </c>
      <c r="V52" s="612">
        <v>50</v>
      </c>
      <c r="W52" s="532" t="s">
        <v>325</v>
      </c>
      <c r="X52" s="532" t="s">
        <v>326</v>
      </c>
      <c r="Y52" s="533" t="s">
        <v>327</v>
      </c>
    </row>
    <row r="53" spans="2:46" ht="11.25" customHeight="1">
      <c r="B53" s="498">
        <v>44291</v>
      </c>
      <c r="C53" s="498" t="s">
        <v>330</v>
      </c>
      <c r="D53" s="500">
        <v>80</v>
      </c>
      <c r="E53" s="499" t="s">
        <v>331</v>
      </c>
      <c r="F53" s="526" t="s">
        <v>326</v>
      </c>
      <c r="H53" s="815"/>
      <c r="I53" s="816"/>
      <c r="J53" s="816"/>
      <c r="K53" s="816"/>
      <c r="L53" s="526"/>
      <c r="N53" s="498"/>
      <c r="O53" s="816"/>
      <c r="P53" s="817"/>
      <c r="Q53" s="817"/>
      <c r="R53" s="510"/>
      <c r="T53" s="498">
        <v>44289</v>
      </c>
      <c r="U53" s="200" t="s">
        <v>328</v>
      </c>
      <c r="V53" s="612">
        <v>30</v>
      </c>
      <c r="W53" s="499" t="s">
        <v>329</v>
      </c>
      <c r="X53" s="499" t="s">
        <v>326</v>
      </c>
      <c r="Y53" s="818" t="s">
        <v>327</v>
      </c>
    </row>
    <row r="54" spans="2:46" ht="11.25" customHeight="1">
      <c r="B54" s="498">
        <v>44293</v>
      </c>
      <c r="C54" s="498" t="s">
        <v>342</v>
      </c>
      <c r="D54" s="500">
        <v>109</v>
      </c>
      <c r="E54" s="499" t="s">
        <v>343</v>
      </c>
      <c r="F54" s="526" t="s">
        <v>326</v>
      </c>
      <c r="H54" s="515"/>
      <c r="I54" s="265"/>
      <c r="J54" s="265"/>
      <c r="K54" s="265"/>
      <c r="L54" s="526"/>
      <c r="N54" s="341"/>
      <c r="O54" s="265"/>
      <c r="P54" s="420"/>
      <c r="Q54" s="420"/>
      <c r="R54" s="511"/>
      <c r="T54" s="341"/>
      <c r="U54" s="386"/>
      <c r="V54" s="613"/>
      <c r="W54" s="302"/>
      <c r="X54" s="302"/>
      <c r="Y54" s="534"/>
    </row>
    <row r="55" spans="2:46" ht="11.25" customHeight="1">
      <c r="B55" s="341">
        <v>44294</v>
      </c>
      <c r="C55" s="302" t="s">
        <v>332</v>
      </c>
      <c r="D55" s="382">
        <v>96</v>
      </c>
      <c r="E55" s="302" t="s">
        <v>333</v>
      </c>
      <c r="F55" s="526" t="s">
        <v>326</v>
      </c>
      <c r="H55" s="515"/>
      <c r="I55" s="265"/>
      <c r="J55" s="265"/>
      <c r="K55" s="265"/>
      <c r="L55" s="527"/>
      <c r="N55" s="341"/>
      <c r="O55" s="265"/>
      <c r="P55" s="420"/>
      <c r="Q55" s="420"/>
      <c r="R55" s="511"/>
      <c r="T55" s="341"/>
      <c r="U55" s="386"/>
      <c r="V55" s="613"/>
      <c r="W55" s="302"/>
      <c r="X55" s="302"/>
      <c r="Y55" s="534"/>
    </row>
    <row r="56" spans="2:46" ht="11.25" customHeight="1">
      <c r="B56" s="341">
        <v>44295</v>
      </c>
      <c r="C56" s="302" t="s">
        <v>320</v>
      </c>
      <c r="D56" s="382">
        <v>104</v>
      </c>
      <c r="E56" s="302" t="s">
        <v>334</v>
      </c>
      <c r="F56" s="526" t="s">
        <v>326</v>
      </c>
      <c r="H56" s="507"/>
      <c r="I56" s="265"/>
      <c r="J56" s="265"/>
      <c r="K56" s="265"/>
      <c r="L56" s="527"/>
      <c r="N56" s="513"/>
      <c r="O56" s="265"/>
      <c r="P56" s="420"/>
      <c r="Q56" s="420"/>
      <c r="R56" s="511"/>
      <c r="T56" s="341"/>
      <c r="U56" s="386"/>
      <c r="V56" s="613"/>
      <c r="W56" s="302"/>
      <c r="X56" s="302"/>
      <c r="Y56" s="534"/>
    </row>
    <row r="57" spans="2:46" ht="11.25" customHeight="1">
      <c r="B57" s="341">
        <v>44295</v>
      </c>
      <c r="C57" s="302" t="s">
        <v>335</v>
      </c>
      <c r="D57" s="382">
        <v>39</v>
      </c>
      <c r="E57" s="302" t="s">
        <v>334</v>
      </c>
      <c r="F57" s="526" t="s">
        <v>326</v>
      </c>
      <c r="H57" s="507"/>
      <c r="I57" s="265"/>
      <c r="J57" s="265"/>
      <c r="K57" s="265"/>
      <c r="L57" s="527"/>
      <c r="N57" s="513"/>
      <c r="O57" s="265"/>
      <c r="P57" s="420"/>
      <c r="Q57" s="420"/>
      <c r="R57" s="511"/>
      <c r="T57" s="341"/>
      <c r="U57" s="386"/>
      <c r="V57" s="613"/>
      <c r="W57" s="302"/>
      <c r="X57" s="302"/>
      <c r="Y57" s="534"/>
    </row>
    <row r="58" spans="2:46" ht="11.25" customHeight="1">
      <c r="B58" s="341">
        <v>44295</v>
      </c>
      <c r="C58" s="302" t="s">
        <v>320</v>
      </c>
      <c r="D58" s="382">
        <v>16</v>
      </c>
      <c r="E58" s="302" t="s">
        <v>334</v>
      </c>
      <c r="F58" s="526" t="s">
        <v>326</v>
      </c>
      <c r="H58" s="507"/>
      <c r="I58" s="265"/>
      <c r="J58" s="265"/>
      <c r="K58" s="265"/>
      <c r="L58" s="527"/>
      <c r="N58" s="513"/>
      <c r="O58" s="265"/>
      <c r="P58" s="420"/>
      <c r="Q58" s="420"/>
      <c r="R58" s="511"/>
      <c r="T58" s="341"/>
      <c r="U58" s="386"/>
      <c r="V58" s="613"/>
      <c r="W58" s="302"/>
      <c r="X58" s="302"/>
      <c r="Y58" s="534"/>
    </row>
    <row r="59" spans="2:46" ht="11.25" customHeight="1">
      <c r="B59" s="341">
        <v>44296</v>
      </c>
      <c r="C59" s="302" t="s">
        <v>336</v>
      </c>
      <c r="D59" s="382">
        <v>112</v>
      </c>
      <c r="E59" s="302" t="s">
        <v>337</v>
      </c>
      <c r="F59" s="526" t="s">
        <v>326</v>
      </c>
      <c r="H59" s="507"/>
      <c r="I59" s="265"/>
      <c r="J59" s="265"/>
      <c r="K59" s="265"/>
      <c r="L59" s="527"/>
      <c r="N59" s="513"/>
      <c r="O59" s="265"/>
      <c r="P59" s="420"/>
      <c r="Q59" s="420"/>
      <c r="R59" s="511"/>
      <c r="T59" s="341"/>
      <c r="U59" s="386"/>
      <c r="V59" s="613"/>
      <c r="W59" s="302"/>
      <c r="X59" s="302"/>
      <c r="Y59" s="534"/>
    </row>
    <row r="60" spans="2:46" ht="11.25" customHeight="1">
      <c r="B60" s="341">
        <v>44297</v>
      </c>
      <c r="C60" s="498" t="s">
        <v>338</v>
      </c>
      <c r="D60" s="382">
        <v>25</v>
      </c>
      <c r="E60" s="302" t="s">
        <v>339</v>
      </c>
      <c r="F60" s="526" t="s">
        <v>326</v>
      </c>
      <c r="H60" s="507"/>
      <c r="I60" s="265"/>
      <c r="J60" s="265"/>
      <c r="K60" s="265"/>
      <c r="L60" s="527"/>
      <c r="N60" s="513"/>
      <c r="O60" s="265"/>
      <c r="P60" s="420"/>
      <c r="Q60" s="420"/>
      <c r="R60" s="511"/>
      <c r="T60" s="341"/>
      <c r="U60" s="386"/>
      <c r="V60" s="613"/>
      <c r="W60" s="302"/>
      <c r="X60" s="302"/>
      <c r="Y60" s="534"/>
    </row>
    <row r="61" spans="2:46" ht="11.25" customHeight="1">
      <c r="B61" s="341">
        <v>44300</v>
      </c>
      <c r="C61" s="302" t="s">
        <v>340</v>
      </c>
      <c r="D61" s="382">
        <v>126</v>
      </c>
      <c r="E61" s="302" t="s">
        <v>341</v>
      </c>
      <c r="F61" s="526" t="s">
        <v>326</v>
      </c>
      <c r="H61" s="507"/>
      <c r="I61" s="265"/>
      <c r="J61" s="265"/>
      <c r="K61" s="265"/>
      <c r="L61" s="527"/>
      <c r="N61" s="513"/>
      <c r="O61" s="265"/>
      <c r="P61" s="420"/>
      <c r="Q61" s="420"/>
      <c r="R61" s="511"/>
      <c r="T61" s="341"/>
      <c r="U61" s="386"/>
      <c r="V61" s="613"/>
      <c r="W61" s="302"/>
      <c r="X61" s="302"/>
      <c r="Y61" s="534"/>
    </row>
    <row r="62" spans="2:46" ht="11.25" customHeight="1">
      <c r="B62" s="341">
        <v>44300</v>
      </c>
      <c r="C62" s="302" t="s">
        <v>335</v>
      </c>
      <c r="D62" s="382">
        <v>21</v>
      </c>
      <c r="E62" s="302" t="s">
        <v>341</v>
      </c>
      <c r="F62" s="526" t="s">
        <v>326</v>
      </c>
      <c r="H62" s="507"/>
      <c r="I62" s="265"/>
      <c r="J62" s="265"/>
      <c r="K62" s="265"/>
      <c r="L62" s="527"/>
      <c r="N62" s="513"/>
      <c r="O62" s="265"/>
      <c r="P62" s="420"/>
      <c r="Q62" s="420"/>
      <c r="R62" s="511"/>
      <c r="T62" s="341"/>
      <c r="U62" s="386"/>
      <c r="V62" s="613"/>
      <c r="W62" s="302"/>
      <c r="X62" s="302"/>
      <c r="Y62" s="534"/>
    </row>
    <row r="63" spans="2:46" ht="11.25" customHeight="1">
      <c r="B63" s="341">
        <v>44305</v>
      </c>
      <c r="C63" s="302" t="s">
        <v>342</v>
      </c>
      <c r="D63" s="382">
        <v>105</v>
      </c>
      <c r="E63" s="302" t="s">
        <v>343</v>
      </c>
      <c r="F63" s="526" t="s">
        <v>326</v>
      </c>
      <c r="H63" s="507"/>
      <c r="I63" s="265"/>
      <c r="J63" s="265"/>
      <c r="K63" s="265"/>
      <c r="L63" s="527"/>
      <c r="N63" s="513"/>
      <c r="O63" s="265"/>
      <c r="P63" s="420"/>
      <c r="Q63" s="420"/>
      <c r="R63" s="511"/>
      <c r="T63" s="341"/>
      <c r="U63" s="386"/>
      <c r="V63" s="613"/>
      <c r="W63" s="302"/>
      <c r="X63" s="302"/>
      <c r="Y63" s="534"/>
    </row>
    <row r="64" spans="2:46" ht="11.25" customHeight="1">
      <c r="B64" s="341">
        <v>44310</v>
      </c>
      <c r="C64" s="498" t="s">
        <v>336</v>
      </c>
      <c r="D64" s="382">
        <v>147</v>
      </c>
      <c r="E64" s="302" t="s">
        <v>337</v>
      </c>
      <c r="F64" s="526" t="s">
        <v>326</v>
      </c>
      <c r="H64" s="507"/>
      <c r="I64" s="265"/>
      <c r="J64" s="265"/>
      <c r="K64" s="265"/>
      <c r="L64" s="527"/>
      <c r="N64" s="513"/>
      <c r="O64" s="265"/>
      <c r="P64" s="420"/>
      <c r="Q64" s="420"/>
      <c r="R64" s="511"/>
      <c r="T64" s="341"/>
      <c r="U64" s="386"/>
      <c r="V64" s="613"/>
      <c r="W64" s="302"/>
      <c r="X64" s="302"/>
      <c r="Y64" s="534"/>
    </row>
    <row r="65" spans="2:25" ht="11.25" customHeight="1">
      <c r="B65" s="341">
        <v>44312</v>
      </c>
      <c r="C65" s="302" t="s">
        <v>338</v>
      </c>
      <c r="D65" s="382">
        <v>159</v>
      </c>
      <c r="E65" s="302" t="s">
        <v>339</v>
      </c>
      <c r="F65" s="526" t="s">
        <v>326</v>
      </c>
      <c r="H65" s="507"/>
      <c r="I65" s="265"/>
      <c r="J65" s="265"/>
      <c r="K65" s="265"/>
      <c r="L65" s="527"/>
      <c r="N65" s="513"/>
      <c r="O65" s="265"/>
      <c r="P65" s="420"/>
      <c r="Q65" s="420"/>
      <c r="R65" s="511"/>
      <c r="T65" s="341"/>
      <c r="U65" s="386"/>
      <c r="V65" s="613"/>
      <c r="W65" s="302"/>
      <c r="X65" s="302"/>
      <c r="Y65" s="534"/>
    </row>
    <row r="66" spans="2:25" ht="11.25" customHeight="1">
      <c r="B66" s="341">
        <v>44315</v>
      </c>
      <c r="C66" s="302" t="s">
        <v>342</v>
      </c>
      <c r="D66" s="382">
        <v>84</v>
      </c>
      <c r="E66" s="302" t="s">
        <v>343</v>
      </c>
      <c r="F66" s="526" t="s">
        <v>326</v>
      </c>
      <c r="H66" s="507"/>
      <c r="I66" s="265"/>
      <c r="J66" s="265"/>
      <c r="K66" s="265"/>
      <c r="L66" s="527"/>
      <c r="N66" s="513"/>
      <c r="O66" s="265"/>
      <c r="P66" s="420"/>
      <c r="Q66" s="420"/>
      <c r="R66" s="511"/>
      <c r="T66" s="341"/>
      <c r="U66" s="386"/>
      <c r="V66" s="613"/>
      <c r="W66" s="302"/>
      <c r="X66" s="302"/>
      <c r="Y66" s="534"/>
    </row>
    <row r="67" spans="2:25" ht="11.25" customHeight="1">
      <c r="B67" s="341">
        <v>44315</v>
      </c>
      <c r="C67" s="302" t="s">
        <v>340</v>
      </c>
      <c r="D67" s="382">
        <v>68</v>
      </c>
      <c r="E67" s="302" t="s">
        <v>341</v>
      </c>
      <c r="F67" s="526" t="s">
        <v>326</v>
      </c>
      <c r="H67" s="507"/>
      <c r="I67" s="265"/>
      <c r="J67" s="265"/>
      <c r="K67" s="265"/>
      <c r="L67" s="527"/>
      <c r="N67" s="513"/>
      <c r="O67" s="265"/>
      <c r="P67" s="265"/>
      <c r="Q67" s="539"/>
      <c r="R67" s="511"/>
      <c r="T67" s="341"/>
      <c r="U67" s="386"/>
      <c r="V67" s="613"/>
      <c r="W67" s="302"/>
      <c r="X67" s="302"/>
      <c r="Y67" s="534"/>
    </row>
    <row r="68" spans="2:25" ht="11.25" customHeight="1">
      <c r="B68" s="341">
        <v>44315</v>
      </c>
      <c r="C68" s="302" t="s">
        <v>336</v>
      </c>
      <c r="D68" s="382">
        <v>12</v>
      </c>
      <c r="E68" s="302" t="s">
        <v>337</v>
      </c>
      <c r="F68" s="526" t="s">
        <v>326</v>
      </c>
      <c r="H68" s="507"/>
      <c r="I68" s="265"/>
      <c r="J68" s="265"/>
      <c r="K68" s="265"/>
      <c r="L68" s="527"/>
      <c r="N68" s="513"/>
      <c r="O68" s="265"/>
      <c r="P68" s="265"/>
      <c r="Q68" s="539"/>
      <c r="R68" s="511"/>
      <c r="T68" s="341"/>
      <c r="U68" s="386"/>
      <c r="V68" s="613"/>
      <c r="W68" s="302"/>
      <c r="X68" s="302"/>
      <c r="Y68" s="534"/>
    </row>
    <row r="69" spans="2:25" ht="11.25" customHeight="1">
      <c r="B69" s="341">
        <v>44316</v>
      </c>
      <c r="C69" s="498" t="s">
        <v>347</v>
      </c>
      <c r="D69" s="382">
        <v>43</v>
      </c>
      <c r="E69" s="302" t="s">
        <v>348</v>
      </c>
      <c r="F69" s="526" t="s">
        <v>326</v>
      </c>
      <c r="H69" s="507"/>
      <c r="I69" s="265"/>
      <c r="J69" s="265"/>
      <c r="K69" s="265"/>
      <c r="L69" s="527"/>
      <c r="N69" s="513"/>
      <c r="O69" s="265"/>
      <c r="P69" s="265"/>
      <c r="Q69" s="420"/>
      <c r="R69" s="511"/>
      <c r="T69" s="341"/>
      <c r="U69" s="386"/>
      <c r="V69" s="613"/>
      <c r="W69" s="302"/>
      <c r="X69" s="302"/>
      <c r="Y69" s="534"/>
    </row>
    <row r="70" spans="2:25" ht="11.25" customHeight="1">
      <c r="B70" s="341">
        <v>44316</v>
      </c>
      <c r="C70" s="302" t="s">
        <v>338</v>
      </c>
      <c r="D70" s="382">
        <v>73</v>
      </c>
      <c r="E70" s="302" t="s">
        <v>349</v>
      </c>
      <c r="F70" s="526" t="s">
        <v>326</v>
      </c>
      <c r="H70" s="507"/>
      <c r="I70" s="265"/>
      <c r="J70" s="265"/>
      <c r="K70" s="265"/>
      <c r="L70" s="527"/>
      <c r="N70" s="513"/>
      <c r="O70" s="265"/>
      <c r="P70" s="265"/>
      <c r="Q70" s="420"/>
      <c r="R70" s="511"/>
      <c r="T70" s="341"/>
      <c r="U70" s="386"/>
      <c r="V70" s="613"/>
      <c r="W70" s="302"/>
      <c r="X70" s="302"/>
      <c r="Y70" s="534"/>
    </row>
    <row r="71" spans="2:25" ht="11.25" customHeight="1">
      <c r="B71" s="341">
        <v>44316</v>
      </c>
      <c r="C71" s="302" t="s">
        <v>332</v>
      </c>
      <c r="D71" s="382">
        <v>15</v>
      </c>
      <c r="E71" s="302" t="s">
        <v>337</v>
      </c>
      <c r="F71" s="526" t="s">
        <v>326</v>
      </c>
      <c r="H71" s="507"/>
      <c r="I71" s="265"/>
      <c r="J71" s="265"/>
      <c r="K71" s="265"/>
      <c r="L71" s="527"/>
      <c r="N71" s="513"/>
      <c r="O71" s="265"/>
      <c r="P71" s="265"/>
      <c r="Q71" s="420"/>
      <c r="R71" s="511"/>
      <c r="T71" s="341"/>
      <c r="U71" s="386"/>
      <c r="V71" s="613"/>
      <c r="W71" s="302"/>
      <c r="X71" s="302"/>
      <c r="Y71" s="534"/>
    </row>
    <row r="72" spans="2:25" ht="11.25" customHeight="1">
      <c r="B72" s="341"/>
      <c r="C72" s="302"/>
      <c r="D72" s="382"/>
      <c r="E72" s="302"/>
      <c r="F72" s="527"/>
      <c r="H72" s="507"/>
      <c r="I72" s="265"/>
      <c r="J72" s="265"/>
      <c r="K72" s="265"/>
      <c r="L72" s="527"/>
      <c r="N72" s="513"/>
      <c r="O72" s="265"/>
      <c r="P72" s="265"/>
      <c r="Q72" s="420"/>
      <c r="R72" s="511"/>
      <c r="T72" s="341"/>
      <c r="U72" s="386"/>
      <c r="V72" s="613"/>
      <c r="W72" s="302"/>
      <c r="X72" s="302"/>
      <c r="Y72" s="534"/>
    </row>
    <row r="73" spans="2:25" ht="11.25" customHeight="1">
      <c r="B73" s="341"/>
      <c r="C73" s="302"/>
      <c r="D73" s="382"/>
      <c r="E73" s="302"/>
      <c r="F73" s="527"/>
      <c r="H73" s="508"/>
      <c r="I73" s="267"/>
      <c r="J73" s="267"/>
      <c r="K73" s="267"/>
      <c r="L73" s="527"/>
      <c r="N73" s="513"/>
      <c r="O73" s="265"/>
      <c r="P73" s="265"/>
      <c r="Q73" s="540"/>
      <c r="R73" s="511"/>
      <c r="T73" s="341"/>
      <c r="U73" s="386"/>
      <c r="V73" s="613"/>
      <c r="W73" s="302"/>
      <c r="X73" s="302"/>
      <c r="Y73" s="534"/>
    </row>
    <row r="74" spans="2:25" ht="11.25" customHeight="1">
      <c r="B74" s="341"/>
      <c r="C74" s="302"/>
      <c r="D74" s="382"/>
      <c r="E74" s="302"/>
      <c r="F74" s="527"/>
      <c r="H74" s="507"/>
      <c r="I74" s="265"/>
      <c r="J74" s="265"/>
      <c r="K74" s="265"/>
      <c r="L74" s="527"/>
      <c r="N74" s="513"/>
      <c r="O74" s="265"/>
      <c r="P74" s="265"/>
      <c r="Q74" s="420"/>
      <c r="R74" s="511"/>
      <c r="T74" s="341"/>
      <c r="U74" s="386"/>
      <c r="V74" s="613"/>
      <c r="W74" s="302"/>
      <c r="X74" s="302"/>
      <c r="Y74" s="534"/>
    </row>
    <row r="75" spans="2:25" ht="11.25" customHeight="1">
      <c r="B75" s="341"/>
      <c r="C75" s="302"/>
      <c r="D75" s="382"/>
      <c r="E75" s="302"/>
      <c r="F75" s="527"/>
      <c r="H75" s="507"/>
      <c r="I75" s="265"/>
      <c r="J75" s="265"/>
      <c r="K75" s="265"/>
      <c r="L75" s="527"/>
      <c r="N75" s="513"/>
      <c r="O75" s="265"/>
      <c r="P75" s="265"/>
      <c r="Q75" s="420"/>
      <c r="R75" s="511"/>
      <c r="T75" s="341"/>
      <c r="U75" s="386"/>
      <c r="V75" s="613"/>
      <c r="W75" s="302"/>
      <c r="X75" s="302"/>
      <c r="Y75" s="534"/>
    </row>
    <row r="76" spans="2:25" ht="9.75" customHeight="1">
      <c r="B76" s="341"/>
      <c r="C76" s="302"/>
      <c r="D76" s="382"/>
      <c r="E76" s="302"/>
      <c r="F76" s="527"/>
      <c r="H76" s="507"/>
      <c r="I76" s="265"/>
      <c r="J76" s="265"/>
      <c r="K76" s="265"/>
      <c r="L76" s="527"/>
      <c r="N76" s="513"/>
      <c r="O76" s="265"/>
      <c r="P76" s="265"/>
      <c r="Q76" s="420"/>
      <c r="R76" s="511"/>
      <c r="T76" s="341"/>
      <c r="U76" s="386"/>
      <c r="V76" s="613"/>
      <c r="W76" s="302"/>
      <c r="X76" s="302"/>
      <c r="Y76" s="534"/>
    </row>
    <row r="77" spans="2:25" ht="11.25" hidden="1" customHeight="1">
      <c r="B77" s="341"/>
      <c r="C77" s="302"/>
      <c r="D77" s="382"/>
      <c r="E77" s="302"/>
      <c r="F77" s="527"/>
      <c r="H77" s="507"/>
      <c r="I77" s="265"/>
      <c r="J77" s="265"/>
      <c r="K77" s="265"/>
      <c r="L77" s="527"/>
      <c r="N77" s="513"/>
      <c r="O77" s="265"/>
      <c r="P77" s="265"/>
      <c r="Q77" s="420"/>
      <c r="R77" s="511"/>
      <c r="T77" s="341"/>
      <c r="U77" s="386"/>
      <c r="V77" s="612"/>
      <c r="W77" s="302"/>
      <c r="X77" s="302"/>
      <c r="Y77" s="534"/>
    </row>
    <row r="78" spans="2:25" ht="11.25" customHeight="1">
      <c r="B78" s="341"/>
      <c r="C78" s="302"/>
      <c r="D78" s="382"/>
      <c r="E78" s="302"/>
      <c r="F78" s="527"/>
      <c r="H78" s="507"/>
      <c r="I78" s="420"/>
      <c r="J78" s="420"/>
      <c r="K78" s="265"/>
      <c r="L78" s="527"/>
      <c r="N78" s="513"/>
      <c r="O78" s="265"/>
      <c r="P78" s="265"/>
      <c r="Q78" s="420"/>
      <c r="R78" s="511"/>
      <c r="T78" s="341"/>
      <c r="U78" s="386"/>
      <c r="V78" s="302"/>
      <c r="W78" s="302"/>
      <c r="X78" s="302"/>
      <c r="Y78" s="534"/>
    </row>
    <row r="79" spans="2:25" ht="11.25" customHeight="1">
      <c r="B79" s="341"/>
      <c r="C79" s="302"/>
      <c r="D79" s="382"/>
      <c r="E79" s="302"/>
      <c r="F79" s="527"/>
      <c r="H79" s="507"/>
      <c r="I79" s="265"/>
      <c r="J79" s="265"/>
      <c r="K79" s="265"/>
      <c r="L79" s="527"/>
      <c r="N79" s="513"/>
      <c r="O79" s="265"/>
      <c r="P79" s="265"/>
      <c r="Q79" s="420"/>
      <c r="R79" s="511"/>
      <c r="T79" s="341"/>
      <c r="U79" s="386"/>
      <c r="V79" s="302"/>
      <c r="W79" s="302"/>
      <c r="X79" s="302"/>
      <c r="Y79" s="534"/>
    </row>
    <row r="80" spans="2:25" ht="11.25" customHeight="1">
      <c r="B80" s="341"/>
      <c r="C80" s="302"/>
      <c r="D80" s="382"/>
      <c r="E80" s="302"/>
      <c r="F80" s="527"/>
      <c r="H80" s="507"/>
      <c r="I80" s="265"/>
      <c r="J80" s="265"/>
      <c r="K80" s="265"/>
      <c r="L80" s="527"/>
      <c r="N80" s="513"/>
      <c r="O80" s="265"/>
      <c r="P80" s="265"/>
      <c r="Q80" s="420"/>
      <c r="R80" s="511"/>
      <c r="T80" s="341"/>
      <c r="U80" s="386"/>
      <c r="V80" s="302"/>
      <c r="W80" s="302"/>
      <c r="X80" s="302"/>
      <c r="Y80" s="534"/>
    </row>
    <row r="81" spans="2:25" ht="11.25" customHeight="1">
      <c r="B81" s="341"/>
      <c r="C81" s="302"/>
      <c r="D81" s="382"/>
      <c r="E81" s="302"/>
      <c r="F81" s="527"/>
      <c r="H81" s="507"/>
      <c r="I81" s="265"/>
      <c r="J81" s="265"/>
      <c r="K81" s="265"/>
      <c r="L81" s="527"/>
      <c r="N81" s="513"/>
      <c r="O81" s="265"/>
      <c r="P81" s="265"/>
      <c r="Q81" s="420"/>
      <c r="R81" s="511"/>
      <c r="T81" s="341"/>
      <c r="U81" s="386"/>
      <c r="V81" s="302"/>
      <c r="W81" s="302"/>
      <c r="X81" s="302"/>
      <c r="Y81" s="534"/>
    </row>
    <row r="82" spans="2:25" ht="11.25" customHeight="1">
      <c r="B82" s="341"/>
      <c r="C82" s="302"/>
      <c r="D82" s="382"/>
      <c r="E82" s="302"/>
      <c r="F82" s="527"/>
      <c r="H82" s="507"/>
      <c r="I82" s="265"/>
      <c r="J82" s="265"/>
      <c r="K82" s="265"/>
      <c r="L82" s="527"/>
      <c r="N82" s="513"/>
      <c r="O82" s="265"/>
      <c r="P82" s="265"/>
      <c r="Q82" s="420"/>
      <c r="R82" s="511"/>
      <c r="T82" s="341"/>
      <c r="U82" s="386"/>
      <c r="V82" s="302"/>
      <c r="W82" s="302"/>
      <c r="X82" s="302"/>
      <c r="Y82" s="534"/>
    </row>
    <row r="83" spans="2:25" ht="11.25" customHeight="1">
      <c r="B83" s="341"/>
      <c r="C83" s="302"/>
      <c r="D83" s="382"/>
      <c r="E83" s="302"/>
      <c r="F83" s="527"/>
      <c r="H83" s="507"/>
      <c r="I83" s="265"/>
      <c r="J83" s="265"/>
      <c r="K83" s="265"/>
      <c r="L83" s="527"/>
      <c r="N83" s="513"/>
      <c r="O83" s="265"/>
      <c r="P83" s="265"/>
      <c r="Q83" s="420"/>
      <c r="R83" s="511"/>
      <c r="T83" s="341"/>
      <c r="U83" s="386"/>
      <c r="V83" s="302"/>
      <c r="W83" s="302"/>
      <c r="X83" s="302"/>
      <c r="Y83" s="534"/>
    </row>
    <row r="84" spans="2:25" ht="11.25" customHeight="1">
      <c r="B84" s="341"/>
      <c r="C84" s="302"/>
      <c r="D84" s="382"/>
      <c r="E84" s="302"/>
      <c r="F84" s="527"/>
      <c r="H84" s="507"/>
      <c r="I84" s="265"/>
      <c r="J84" s="265"/>
      <c r="K84" s="265"/>
      <c r="L84" s="527"/>
      <c r="N84" s="513"/>
      <c r="O84" s="265"/>
      <c r="P84" s="265"/>
      <c r="Q84" s="420"/>
      <c r="R84" s="511"/>
      <c r="T84" s="341"/>
      <c r="U84" s="386"/>
      <c r="V84" s="302"/>
      <c r="W84" s="302"/>
      <c r="X84" s="302"/>
      <c r="Y84" s="534"/>
    </row>
    <row r="85" spans="2:25" ht="11.25" customHeight="1">
      <c r="B85" s="341"/>
      <c r="C85" s="302"/>
      <c r="D85" s="382"/>
      <c r="E85" s="302"/>
      <c r="F85" s="527"/>
      <c r="H85" s="507"/>
      <c r="I85" s="265"/>
      <c r="J85" s="265"/>
      <c r="K85" s="265"/>
      <c r="L85" s="527"/>
      <c r="N85" s="513"/>
      <c r="O85" s="265"/>
      <c r="P85" s="265"/>
      <c r="Q85" s="420"/>
      <c r="R85" s="511"/>
      <c r="T85" s="341"/>
      <c r="U85" s="302"/>
      <c r="V85" s="302"/>
      <c r="W85" s="302"/>
      <c r="X85" s="302"/>
      <c r="Y85" s="534"/>
    </row>
    <row r="86" spans="2:25" ht="11.25" customHeight="1">
      <c r="B86" s="341"/>
      <c r="C86" s="302"/>
      <c r="D86" s="382"/>
      <c r="E86" s="302"/>
      <c r="F86" s="527"/>
      <c r="H86" s="507"/>
      <c r="I86" s="265"/>
      <c r="J86" s="265"/>
      <c r="K86" s="265"/>
      <c r="L86" s="527"/>
      <c r="N86" s="513"/>
      <c r="O86" s="265"/>
      <c r="P86" s="265"/>
      <c r="Q86" s="420"/>
      <c r="R86" s="511"/>
      <c r="T86" s="341"/>
      <c r="U86" s="302"/>
      <c r="V86" s="302"/>
      <c r="W86" s="302"/>
      <c r="X86" s="302"/>
      <c r="Y86" s="534"/>
    </row>
    <row r="87" spans="2:25" ht="11.25" customHeight="1">
      <c r="B87" s="341"/>
      <c r="C87" s="302"/>
      <c r="D87" s="382"/>
      <c r="E87" s="302"/>
      <c r="F87" s="527"/>
      <c r="H87" s="507"/>
      <c r="I87" s="265"/>
      <c r="J87" s="265"/>
      <c r="K87" s="265"/>
      <c r="L87" s="527"/>
      <c r="N87" s="513"/>
      <c r="O87" s="265"/>
      <c r="P87" s="265"/>
      <c r="Q87" s="420"/>
      <c r="R87" s="511"/>
      <c r="T87" s="341"/>
      <c r="U87" s="302"/>
      <c r="V87" s="302"/>
      <c r="W87" s="302"/>
      <c r="X87" s="302"/>
      <c r="Y87" s="534"/>
    </row>
    <row r="88" spans="2:25" ht="11.25" customHeight="1">
      <c r="B88" s="341"/>
      <c r="C88" s="302"/>
      <c r="D88" s="382"/>
      <c r="E88" s="302"/>
      <c r="F88" s="527"/>
      <c r="H88" s="507"/>
      <c r="I88" s="265"/>
      <c r="J88" s="265"/>
      <c r="K88" s="265"/>
      <c r="L88" s="527"/>
      <c r="N88" s="513"/>
      <c r="O88" s="265"/>
      <c r="P88" s="265"/>
      <c r="Q88" s="420"/>
      <c r="R88" s="511"/>
      <c r="T88" s="341"/>
      <c r="U88" s="302"/>
      <c r="V88" s="302"/>
      <c r="W88" s="302"/>
      <c r="X88" s="302"/>
      <c r="Y88" s="534"/>
    </row>
    <row r="89" spans="2:25" ht="11.25" customHeight="1">
      <c r="B89" s="341"/>
      <c r="C89" s="302"/>
      <c r="D89" s="382"/>
      <c r="E89" s="302"/>
      <c r="F89" s="527"/>
      <c r="H89" s="507"/>
      <c r="I89" s="265"/>
      <c r="J89" s="265"/>
      <c r="K89" s="265"/>
      <c r="L89" s="527"/>
      <c r="N89" s="513"/>
      <c r="O89" s="265"/>
      <c r="P89" s="265"/>
      <c r="Q89" s="420"/>
      <c r="R89" s="511"/>
      <c r="T89" s="341"/>
      <c r="U89" s="302"/>
      <c r="V89" s="302"/>
      <c r="W89" s="302"/>
      <c r="X89" s="302"/>
      <c r="Y89" s="534"/>
    </row>
    <row r="90" spans="2:25" ht="11.25" customHeight="1">
      <c r="B90" s="341"/>
      <c r="C90" s="302"/>
      <c r="D90" s="382"/>
      <c r="E90" s="302"/>
      <c r="F90" s="527"/>
      <c r="H90" s="507"/>
      <c r="I90" s="265"/>
      <c r="J90" s="265"/>
      <c r="K90" s="265"/>
      <c r="L90" s="527"/>
      <c r="N90" s="513"/>
      <c r="O90" s="265"/>
      <c r="P90" s="265"/>
      <c r="Q90" s="420"/>
      <c r="R90" s="511"/>
      <c r="T90" s="341"/>
      <c r="U90" s="302"/>
      <c r="V90" s="302"/>
      <c r="W90" s="302"/>
      <c r="X90" s="302"/>
      <c r="Y90" s="534"/>
    </row>
    <row r="91" spans="2:25">
      <c r="B91" s="341"/>
      <c r="C91" s="302"/>
      <c r="D91" s="382"/>
      <c r="E91" s="302"/>
      <c r="F91" s="527"/>
      <c r="H91" s="507"/>
      <c r="I91" s="265"/>
      <c r="J91" s="265"/>
      <c r="K91" s="265"/>
      <c r="L91" s="527"/>
      <c r="N91" s="513"/>
      <c r="O91" s="265"/>
      <c r="P91" s="265"/>
      <c r="Q91" s="420"/>
      <c r="R91" s="511"/>
      <c r="T91" s="341"/>
      <c r="U91" s="302"/>
      <c r="V91" s="302"/>
      <c r="W91" s="302"/>
      <c r="X91" s="302"/>
      <c r="Y91" s="534"/>
    </row>
    <row r="92" spans="2:25">
      <c r="B92" s="341"/>
      <c r="C92" s="302"/>
      <c r="D92" s="382"/>
      <c r="E92" s="302"/>
      <c r="F92" s="527"/>
      <c r="H92" s="507"/>
      <c r="I92" s="265"/>
      <c r="J92" s="265"/>
      <c r="K92" s="265"/>
      <c r="L92" s="527"/>
      <c r="N92" s="513"/>
      <c r="O92" s="265"/>
      <c r="P92" s="265"/>
      <c r="Q92" s="420"/>
      <c r="R92" s="511"/>
      <c r="T92" s="341"/>
      <c r="U92" s="302"/>
      <c r="V92" s="302"/>
      <c r="W92" s="302"/>
      <c r="X92" s="302"/>
      <c r="Y92" s="534"/>
    </row>
    <row r="93" spans="2:25">
      <c r="B93" s="341"/>
      <c r="C93" s="302"/>
      <c r="D93" s="382"/>
      <c r="E93" s="302"/>
      <c r="F93" s="527"/>
      <c r="H93" s="507"/>
      <c r="I93" s="265"/>
      <c r="J93" s="265"/>
      <c r="K93" s="265"/>
      <c r="L93" s="527"/>
      <c r="N93" s="513"/>
      <c r="O93" s="265"/>
      <c r="P93" s="265"/>
      <c r="Q93" s="420"/>
      <c r="R93" s="511"/>
      <c r="T93" s="341"/>
      <c r="U93" s="302"/>
      <c r="V93" s="302"/>
      <c r="W93" s="302"/>
      <c r="X93" s="302"/>
      <c r="Y93" s="534"/>
    </row>
    <row r="94" spans="2:25">
      <c r="B94" s="341"/>
      <c r="C94" s="302"/>
      <c r="D94" s="382"/>
      <c r="E94" s="302"/>
      <c r="F94" s="527"/>
      <c r="H94" s="507"/>
      <c r="I94" s="265"/>
      <c r="J94" s="265"/>
      <c r="K94" s="265"/>
      <c r="L94" s="527"/>
      <c r="N94" s="513"/>
      <c r="O94" s="265"/>
      <c r="P94" s="265"/>
      <c r="Q94" s="420"/>
      <c r="R94" s="511"/>
      <c r="T94" s="341"/>
      <c r="U94" s="302"/>
      <c r="V94" s="302"/>
      <c r="W94" s="302"/>
      <c r="X94" s="302"/>
      <c r="Y94" s="534"/>
    </row>
    <row r="95" spans="2:25">
      <c r="B95" s="341"/>
      <c r="C95" s="302"/>
      <c r="D95" s="382"/>
      <c r="E95" s="302"/>
      <c r="F95" s="527"/>
      <c r="H95" s="507"/>
      <c r="I95" s="265"/>
      <c r="J95" s="265"/>
      <c r="K95" s="265"/>
      <c r="L95" s="527"/>
      <c r="N95" s="513"/>
      <c r="O95" s="265"/>
      <c r="P95" s="265"/>
      <c r="Q95" s="420"/>
      <c r="R95" s="511"/>
      <c r="T95" s="341"/>
      <c r="U95" s="302"/>
      <c r="V95" s="302"/>
      <c r="W95" s="302"/>
      <c r="X95" s="302"/>
      <c r="Y95" s="534"/>
    </row>
    <row r="96" spans="2:25">
      <c r="B96" s="341"/>
      <c r="C96" s="302"/>
      <c r="D96" s="382"/>
      <c r="E96" s="302"/>
      <c r="F96" s="527"/>
      <c r="H96" s="507"/>
      <c r="I96" s="265"/>
      <c r="J96" s="265"/>
      <c r="K96" s="265"/>
      <c r="L96" s="527"/>
      <c r="N96" s="513"/>
      <c r="O96" s="265"/>
      <c r="P96" s="265"/>
      <c r="Q96" s="420"/>
      <c r="R96" s="511"/>
      <c r="T96" s="341"/>
      <c r="U96" s="302"/>
      <c r="V96" s="302"/>
      <c r="W96" s="302"/>
      <c r="X96" s="302"/>
      <c r="Y96" s="534"/>
    </row>
    <row r="97" spans="2:25">
      <c r="B97" s="341"/>
      <c r="C97" s="302"/>
      <c r="D97" s="382"/>
      <c r="E97" s="302"/>
      <c r="F97" s="527"/>
      <c r="H97" s="507"/>
      <c r="I97" s="265"/>
      <c r="J97" s="265"/>
      <c r="K97" s="265"/>
      <c r="L97" s="527"/>
      <c r="N97" s="513"/>
      <c r="O97" s="265"/>
      <c r="P97" s="265"/>
      <c r="Q97" s="420"/>
      <c r="R97" s="511"/>
      <c r="T97" s="341"/>
      <c r="U97" s="302"/>
      <c r="V97" s="302"/>
      <c r="W97" s="302"/>
      <c r="X97" s="302"/>
      <c r="Y97" s="534"/>
    </row>
    <row r="98" spans="2:25" ht="12" thickBot="1">
      <c r="B98" s="342"/>
      <c r="C98" s="343"/>
      <c r="D98" s="344"/>
      <c r="E98" s="343"/>
      <c r="F98" s="528"/>
      <c r="H98" s="509"/>
      <c r="I98" s="504"/>
      <c r="J98" s="504"/>
      <c r="K98" s="504"/>
      <c r="L98" s="528"/>
      <c r="N98" s="514"/>
      <c r="O98" s="504"/>
      <c r="P98" s="504"/>
      <c r="Q98" s="541"/>
      <c r="R98" s="512"/>
      <c r="T98" s="342"/>
      <c r="U98" s="343"/>
      <c r="V98" s="343"/>
      <c r="W98" s="343"/>
      <c r="X98" s="343"/>
      <c r="Y98" s="535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44287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44288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44289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44290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44291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44292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44293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44294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44295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44296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44297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44298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44299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44300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44301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44302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44303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44304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44305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44306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44307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44308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44309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44310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44311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44312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44313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44314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44315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44316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topLeftCell="A19" zoomScale="70" zoomScaleNormal="70" workbookViewId="0">
      <selection activeCell="J57" sqref="J57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6" t="s">
        <v>70</v>
      </c>
      <c r="D3" s="517"/>
      <c r="E3" s="517"/>
      <c r="F3" s="518"/>
      <c r="G3" s="519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30"/>
      <c r="D6" s="931"/>
      <c r="E6" s="932"/>
      <c r="F6" s="932"/>
      <c r="G6" s="48" t="s">
        <v>4</v>
      </c>
      <c r="H6" s="46" t="s">
        <v>14</v>
      </c>
      <c r="I6" s="41"/>
      <c r="J6" s="113"/>
    </row>
    <row r="7" spans="1:15" ht="18" customHeight="1">
      <c r="A7" s="933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34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>
        <v>75771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44287</v>
      </c>
      <c r="B10" s="268">
        <v>0</v>
      </c>
      <c r="C10" s="268">
        <v>15</v>
      </c>
      <c r="D10" s="268">
        <v>85</v>
      </c>
      <c r="E10" s="268"/>
      <c r="F10" s="268">
        <v>75790.2</v>
      </c>
      <c r="G10" s="268">
        <f t="shared" ref="G10:G41" si="0">(F10-F9)*4.4</f>
        <v>84.4799999999872</v>
      </c>
      <c r="H10" s="111">
        <f>[5]Gen!B11</f>
        <v>7.6999999999999999E-2</v>
      </c>
      <c r="I10" s="842">
        <f>SUM(F10/H10)</f>
        <v>984288.31168831163</v>
      </c>
      <c r="J10" s="843">
        <f t="shared" ref="J10:J40" si="1">SUM(G10/I10)</f>
        <v>8.582851081009174E-5</v>
      </c>
      <c r="N10" s="156"/>
      <c r="O10" s="156"/>
    </row>
    <row r="11" spans="1:15" ht="18.75">
      <c r="A11" s="94">
        <f>Gen!A12</f>
        <v>44288</v>
      </c>
      <c r="B11" s="268">
        <v>0</v>
      </c>
      <c r="C11" s="268">
        <v>10</v>
      </c>
      <c r="D11" s="268">
        <v>85</v>
      </c>
      <c r="E11" s="268"/>
      <c r="F11" s="268">
        <v>75809.87</v>
      </c>
      <c r="G11" s="268">
        <f t="shared" si="0"/>
        <v>86.547999999992328</v>
      </c>
      <c r="H11" s="111">
        <f>[5]Gen!B12</f>
        <v>9.0999999999999998E-2</v>
      </c>
      <c r="I11" s="842">
        <f t="shared" ref="I11:I41" si="2">SUM(F11/H11)</f>
        <v>833075.49450549448</v>
      </c>
      <c r="J11" s="843">
        <f t="shared" si="1"/>
        <v>1.0388974417182488E-4</v>
      </c>
      <c r="M11" s="156"/>
      <c r="N11" s="156"/>
    </row>
    <row r="12" spans="1:15" ht="18.75">
      <c r="A12" s="94">
        <f>Gen!A13</f>
        <v>44289</v>
      </c>
      <c r="B12" s="268">
        <v>0</v>
      </c>
      <c r="C12" s="268">
        <v>3</v>
      </c>
      <c r="D12" s="268">
        <v>85</v>
      </c>
      <c r="E12" s="268"/>
      <c r="F12" s="268">
        <v>75830.09</v>
      </c>
      <c r="G12" s="268">
        <f t="shared" si="0"/>
        <v>88.968000000005134</v>
      </c>
      <c r="H12" s="111">
        <f>[5]Gen!B13</f>
        <v>1.2999999999999999E-2</v>
      </c>
      <c r="I12" s="842">
        <f t="shared" si="2"/>
        <v>5833083.846153846</v>
      </c>
      <c r="J12" s="843">
        <f t="shared" si="1"/>
        <v>1.5252309472401612E-5</v>
      </c>
      <c r="M12" s="156"/>
      <c r="N12" s="156"/>
    </row>
    <row r="13" spans="1:15" ht="18.75">
      <c r="A13" s="94">
        <f>Gen!A14</f>
        <v>44290</v>
      </c>
      <c r="B13" s="268">
        <v>0</v>
      </c>
      <c r="C13" s="268">
        <v>0</v>
      </c>
      <c r="D13" s="268">
        <v>83</v>
      </c>
      <c r="E13" s="268"/>
      <c r="F13" s="268">
        <v>75849.72</v>
      </c>
      <c r="G13" s="268">
        <f t="shared" ref="G13" si="3">(F13-F12)*4.4</f>
        <v>86.372000000020492</v>
      </c>
      <c r="H13" s="111">
        <f>[5]Gen!B14</f>
        <v>1.2999999999999999E-2</v>
      </c>
      <c r="I13" s="842">
        <f t="shared" si="2"/>
        <v>5834593.8461538469</v>
      </c>
      <c r="J13" s="843">
        <f t="shared" si="1"/>
        <v>1.4803429729210157E-5</v>
      </c>
      <c r="M13" s="156"/>
      <c r="N13" s="156"/>
    </row>
    <row r="14" spans="1:15" ht="18.75">
      <c r="A14" s="94">
        <f>Gen!A15</f>
        <v>44291</v>
      </c>
      <c r="B14" s="268">
        <v>0</v>
      </c>
      <c r="C14" s="268">
        <v>0</v>
      </c>
      <c r="D14" s="268">
        <v>82</v>
      </c>
      <c r="E14" s="268"/>
      <c r="F14" s="268">
        <v>75869.84</v>
      </c>
      <c r="G14" s="268">
        <f t="shared" si="0"/>
        <v>88.527999999979514</v>
      </c>
      <c r="H14" s="111">
        <f>[5]Gen!B15</f>
        <v>0.01</v>
      </c>
      <c r="I14" s="842">
        <f t="shared" si="2"/>
        <v>7586983.9999999991</v>
      </c>
      <c r="J14" s="843">
        <f t="shared" si="1"/>
        <v>1.1668404731047216E-5</v>
      </c>
      <c r="M14" s="156"/>
      <c r="N14" s="156"/>
    </row>
    <row r="15" spans="1:15" ht="18.75">
      <c r="A15" s="94">
        <f>Gen!A16</f>
        <v>44292</v>
      </c>
      <c r="B15" s="268">
        <v>0</v>
      </c>
      <c r="C15" s="268">
        <v>0</v>
      </c>
      <c r="D15" s="268">
        <v>81</v>
      </c>
      <c r="E15" s="268"/>
      <c r="F15" s="268">
        <v>75888.679999999993</v>
      </c>
      <c r="G15" s="268">
        <f t="shared" si="0"/>
        <v>82.895999999984639</v>
      </c>
      <c r="H15" s="111">
        <f>[5]Gen!B16</f>
        <v>0.01</v>
      </c>
      <c r="I15" s="842">
        <f t="shared" si="2"/>
        <v>7588867.9999999991</v>
      </c>
      <c r="J15" s="843">
        <f t="shared" si="1"/>
        <v>1.0923368281011693E-5</v>
      </c>
      <c r="M15" s="156"/>
      <c r="N15" s="156"/>
    </row>
    <row r="16" spans="1:15" ht="18.75">
      <c r="A16" s="94">
        <f>Gen!A17</f>
        <v>44293</v>
      </c>
      <c r="B16" s="268">
        <v>0</v>
      </c>
      <c r="C16" s="268">
        <v>0</v>
      </c>
      <c r="D16" s="268">
        <v>80</v>
      </c>
      <c r="E16" s="268"/>
      <c r="F16" s="268">
        <v>75906.91</v>
      </c>
      <c r="G16" s="268">
        <f t="shared" si="0"/>
        <v>80.212000000046103</v>
      </c>
      <c r="H16" s="111">
        <f>[5]Gen!B17</f>
        <v>0.01</v>
      </c>
      <c r="I16" s="842">
        <f t="shared" si="2"/>
        <v>7590691</v>
      </c>
      <c r="J16" s="843">
        <f t="shared" si="1"/>
        <v>1.0567153899433676E-5</v>
      </c>
      <c r="M16" s="156"/>
      <c r="N16" s="156"/>
    </row>
    <row r="17" spans="1:14" ht="18.75">
      <c r="A17" s="94">
        <f>Gen!A18</f>
        <v>44294</v>
      </c>
      <c r="B17" s="268">
        <v>0</v>
      </c>
      <c r="C17" s="268">
        <v>0</v>
      </c>
      <c r="D17" s="268">
        <v>80</v>
      </c>
      <c r="E17" s="268"/>
      <c r="F17" s="268">
        <v>75926</v>
      </c>
      <c r="G17" s="268">
        <f t="shared" si="0"/>
        <v>83.995999999984633</v>
      </c>
      <c r="H17" s="111">
        <f>[5]Gen!B18</f>
        <v>0.01</v>
      </c>
      <c r="I17" s="842">
        <f t="shared" si="2"/>
        <v>7592600</v>
      </c>
      <c r="J17" s="843">
        <f t="shared" si="1"/>
        <v>1.1062877011825282E-5</v>
      </c>
      <c r="M17" s="156"/>
      <c r="N17" s="156"/>
    </row>
    <row r="18" spans="1:14" ht="18.75">
      <c r="A18" s="94">
        <f>Gen!A19</f>
        <v>44295</v>
      </c>
      <c r="B18" s="268">
        <v>85</v>
      </c>
      <c r="C18" s="268">
        <v>85</v>
      </c>
      <c r="D18" s="268">
        <v>79</v>
      </c>
      <c r="E18" s="268"/>
      <c r="F18" s="268">
        <v>75936</v>
      </c>
      <c r="G18" s="268">
        <f t="shared" si="0"/>
        <v>44</v>
      </c>
      <c r="H18" s="111">
        <f>[5]Gen!B19</f>
        <v>0.01</v>
      </c>
      <c r="I18" s="842">
        <f t="shared" si="2"/>
        <v>7593600</v>
      </c>
      <c r="J18" s="843">
        <f t="shared" si="1"/>
        <v>5.794353139485883E-6</v>
      </c>
      <c r="M18" s="156"/>
      <c r="N18" s="156"/>
    </row>
    <row r="19" spans="1:14" ht="18.75">
      <c r="A19" s="94">
        <f>Gen!A20</f>
        <v>44296</v>
      </c>
      <c r="B19" s="268">
        <v>85</v>
      </c>
      <c r="C19" s="268">
        <v>85</v>
      </c>
      <c r="D19" s="268">
        <v>79</v>
      </c>
      <c r="E19" s="268"/>
      <c r="F19" s="268">
        <v>75956</v>
      </c>
      <c r="G19" s="268">
        <f t="shared" si="0"/>
        <v>88</v>
      </c>
      <c r="H19" s="111">
        <f>[5]Gen!B20</f>
        <v>0.01</v>
      </c>
      <c r="I19" s="842">
        <f t="shared" si="2"/>
        <v>7595600</v>
      </c>
      <c r="J19" s="843">
        <f t="shared" si="1"/>
        <v>1.1585654852809521E-5</v>
      </c>
      <c r="M19" s="156"/>
      <c r="N19" s="156"/>
    </row>
    <row r="20" spans="1:14" ht="18.75">
      <c r="A20" s="94">
        <f>Gen!A21</f>
        <v>44297</v>
      </c>
      <c r="B20" s="268">
        <v>85</v>
      </c>
      <c r="C20" s="268">
        <v>85</v>
      </c>
      <c r="D20" s="268">
        <v>75</v>
      </c>
      <c r="E20" s="268"/>
      <c r="F20" s="268">
        <v>75969.009999999995</v>
      </c>
      <c r="G20" s="268">
        <f t="shared" si="0"/>
        <v>57.243999999976957</v>
      </c>
      <c r="H20" s="111">
        <f>[5]Gen!B21</f>
        <v>0.01</v>
      </c>
      <c r="I20" s="842">
        <f t="shared" si="2"/>
        <v>7596900.9999999991</v>
      </c>
      <c r="J20" s="843">
        <f t="shared" si="1"/>
        <v>7.535177831062556E-6</v>
      </c>
    </row>
    <row r="21" spans="1:14" ht="18.75">
      <c r="A21" s="94">
        <f>Gen!A22</f>
        <v>44298</v>
      </c>
      <c r="B21" s="268">
        <v>85</v>
      </c>
      <c r="C21" s="268">
        <v>85</v>
      </c>
      <c r="D21" s="268">
        <v>65</v>
      </c>
      <c r="E21" s="268"/>
      <c r="F21" s="268">
        <v>75983.63</v>
      </c>
      <c r="G21" s="268">
        <f t="shared" si="0"/>
        <v>64.328000000043545</v>
      </c>
      <c r="H21" s="111">
        <f>[5]Gen!B22</f>
        <v>0.03</v>
      </c>
      <c r="I21" s="842">
        <f t="shared" si="2"/>
        <v>2532787.666666667</v>
      </c>
      <c r="J21" s="843">
        <f t="shared" si="1"/>
        <v>2.539810219650346E-5</v>
      </c>
    </row>
    <row r="22" spans="1:14" ht="18.75">
      <c r="A22" s="94">
        <f>Gen!A23</f>
        <v>44299</v>
      </c>
      <c r="B22" s="268">
        <v>85</v>
      </c>
      <c r="C22" s="268">
        <v>85</v>
      </c>
      <c r="D22" s="268">
        <v>60</v>
      </c>
      <c r="E22" s="268"/>
      <c r="F22" s="268">
        <v>75998</v>
      </c>
      <c r="G22" s="268">
        <f t="shared" si="0"/>
        <v>63.227999999979517</v>
      </c>
      <c r="H22" s="111">
        <f>[5]Gen!B23</f>
        <v>0.22</v>
      </c>
      <c r="I22" s="842">
        <f t="shared" si="2"/>
        <v>345445.45454545453</v>
      </c>
      <c r="J22" s="843">
        <f t="shared" si="1"/>
        <v>1.8303323771672272E-4</v>
      </c>
    </row>
    <row r="23" spans="1:14" ht="18.75">
      <c r="A23" s="94">
        <f>Gen!A24</f>
        <v>44300</v>
      </c>
      <c r="B23" s="268">
        <v>85</v>
      </c>
      <c r="C23" s="268">
        <v>85</v>
      </c>
      <c r="D23" s="268">
        <v>55</v>
      </c>
      <c r="E23" s="268"/>
      <c r="F23" s="268">
        <v>76011.570000000007</v>
      </c>
      <c r="G23" s="268">
        <f>(F23-F22)*4.4</f>
        <v>59.708000000030736</v>
      </c>
      <c r="H23" s="111">
        <f>[5]Gen!B24</f>
        <v>0.23</v>
      </c>
      <c r="I23" s="842">
        <f t="shared" si="2"/>
        <v>330485.08695652173</v>
      </c>
      <c r="J23" s="843">
        <f t="shared" si="1"/>
        <v>1.8066775886890733E-4</v>
      </c>
    </row>
    <row r="24" spans="1:14" ht="18.75">
      <c r="A24" s="94">
        <f>Gen!A25</f>
        <v>44301</v>
      </c>
      <c r="B24" s="268">
        <v>85</v>
      </c>
      <c r="C24" s="268">
        <v>85</v>
      </c>
      <c r="D24" s="268">
        <v>51</v>
      </c>
      <c r="E24" s="268"/>
      <c r="F24" s="268">
        <v>76025</v>
      </c>
      <c r="G24" s="268">
        <f t="shared" si="0"/>
        <v>59.091999999969268</v>
      </c>
      <c r="H24" s="111">
        <f>[5]Gen!B25</f>
        <v>0.21</v>
      </c>
      <c r="I24" s="842">
        <f t="shared" si="2"/>
        <v>362023.80952380953</v>
      </c>
      <c r="J24" s="843">
        <f t="shared" si="1"/>
        <v>1.6322683327844192E-4</v>
      </c>
    </row>
    <row r="25" spans="1:14" ht="18.75">
      <c r="A25" s="94">
        <f>Gen!A26</f>
        <v>44302</v>
      </c>
      <c r="B25" s="268">
        <v>85</v>
      </c>
      <c r="C25" s="268">
        <v>85</v>
      </c>
      <c r="D25" s="268">
        <v>49</v>
      </c>
      <c r="E25" s="268"/>
      <c r="F25" s="268">
        <v>76035</v>
      </c>
      <c r="G25" s="268">
        <f t="shared" si="0"/>
        <v>44</v>
      </c>
      <c r="H25" s="111">
        <f>[5]Gen!B26</f>
        <v>0.03</v>
      </c>
      <c r="I25" s="842">
        <f t="shared" si="2"/>
        <v>2534500</v>
      </c>
      <c r="J25" s="843">
        <f t="shared" si="1"/>
        <v>1.7360426119550208E-5</v>
      </c>
    </row>
    <row r="26" spans="1:14" ht="18.75">
      <c r="A26" s="94">
        <f>Gen!A27</f>
        <v>44303</v>
      </c>
      <c r="B26" s="268">
        <v>85</v>
      </c>
      <c r="C26" s="268">
        <v>85</v>
      </c>
      <c r="D26" s="268">
        <v>45</v>
      </c>
      <c r="E26" s="268"/>
      <c r="F26" s="268">
        <v>76047.92</v>
      </c>
      <c r="G26" s="268">
        <f t="shared" si="0"/>
        <v>56.847999999992318</v>
      </c>
      <c r="H26" s="111">
        <f>[5]Gen!B27</f>
        <v>0.06</v>
      </c>
      <c r="I26" s="842">
        <f t="shared" si="2"/>
        <v>1267465.3333333333</v>
      </c>
      <c r="J26" s="843">
        <f t="shared" si="1"/>
        <v>4.4851719810345099E-5</v>
      </c>
    </row>
    <row r="27" spans="1:14" ht="18.75">
      <c r="A27" s="94">
        <f>Gen!A28</f>
        <v>44304</v>
      </c>
      <c r="B27" s="268">
        <v>85</v>
      </c>
      <c r="C27" s="268">
        <v>85</v>
      </c>
      <c r="D27" s="268">
        <v>40</v>
      </c>
      <c r="E27" s="268"/>
      <c r="F27" s="268">
        <v>76062</v>
      </c>
      <c r="G27" s="268">
        <f t="shared" si="0"/>
        <v>61.952000000007686</v>
      </c>
      <c r="H27" s="111">
        <f>[5]Gen!B28</f>
        <v>0.05</v>
      </c>
      <c r="I27" s="842">
        <f t="shared" si="2"/>
        <v>1521240</v>
      </c>
      <c r="J27" s="843">
        <f t="shared" si="1"/>
        <v>4.0724671978128163E-5</v>
      </c>
    </row>
    <row r="28" spans="1:14" ht="18.75">
      <c r="A28" s="94">
        <f>Gen!A29</f>
        <v>44305</v>
      </c>
      <c r="B28" s="268">
        <v>85</v>
      </c>
      <c r="C28" s="268">
        <v>85</v>
      </c>
      <c r="D28" s="268">
        <v>35</v>
      </c>
      <c r="E28" s="268"/>
      <c r="F28" s="268">
        <v>76077.41</v>
      </c>
      <c r="G28" s="268">
        <f t="shared" si="0"/>
        <v>67.804000000015378</v>
      </c>
      <c r="H28" s="111">
        <f>[5]Gen!B29</f>
        <v>7.7899999999999997E-2</v>
      </c>
      <c r="I28" s="842">
        <f t="shared" si="2"/>
        <v>976603.46598202828</v>
      </c>
      <c r="J28" s="843">
        <f t="shared" si="1"/>
        <v>6.9428383537257617E-5</v>
      </c>
    </row>
    <row r="29" spans="1:14" ht="18.75">
      <c r="A29" s="94">
        <f>Gen!A30</f>
        <v>44306</v>
      </c>
      <c r="B29" s="268">
        <v>85</v>
      </c>
      <c r="C29" s="268">
        <v>85</v>
      </c>
      <c r="D29" s="268">
        <v>31</v>
      </c>
      <c r="E29" s="268"/>
      <c r="F29" s="268">
        <v>76092.399999999994</v>
      </c>
      <c r="G29" s="268">
        <f t="shared" si="0"/>
        <v>65.955999999959033</v>
      </c>
      <c r="H29" s="111">
        <f>[5]Gen!B30</f>
        <v>0.12989999999999999</v>
      </c>
      <c r="I29" s="842">
        <f t="shared" si="2"/>
        <v>585776.75134719012</v>
      </c>
      <c r="J29" s="843">
        <f t="shared" si="1"/>
        <v>1.1259579668921836E-4</v>
      </c>
    </row>
    <row r="30" spans="1:14" ht="18.75">
      <c r="A30" s="94">
        <f>Gen!A31</f>
        <v>44307</v>
      </c>
      <c r="B30" s="268">
        <v>85</v>
      </c>
      <c r="C30" s="268">
        <v>85</v>
      </c>
      <c r="D30" s="268">
        <v>27</v>
      </c>
      <c r="E30" s="268"/>
      <c r="F30" s="268">
        <v>76107.3</v>
      </c>
      <c r="G30" s="268">
        <f t="shared" si="0"/>
        <v>65.560000000038428</v>
      </c>
      <c r="H30" s="111">
        <f>[5]Gen!B31</f>
        <v>0.18179999999999999</v>
      </c>
      <c r="I30" s="842">
        <f t="shared" si="2"/>
        <v>418632.01320132019</v>
      </c>
      <c r="J30" s="843">
        <f t="shared" si="1"/>
        <v>1.566053190693532E-4</v>
      </c>
    </row>
    <row r="31" spans="1:14" ht="18.75">
      <c r="A31" s="94">
        <f>Gen!A32</f>
        <v>44308</v>
      </c>
      <c r="B31" s="268">
        <v>85</v>
      </c>
      <c r="C31" s="268">
        <v>85</v>
      </c>
      <c r="D31" s="268">
        <v>25</v>
      </c>
      <c r="E31" s="268"/>
      <c r="F31" s="268">
        <v>76120.53</v>
      </c>
      <c r="G31" s="268">
        <f t="shared" si="0"/>
        <v>58.211999999982076</v>
      </c>
      <c r="H31" s="111">
        <f>[5]Gen!B32</f>
        <v>0.31169999999999998</v>
      </c>
      <c r="I31" s="842">
        <f t="shared" si="2"/>
        <v>244210.87584215595</v>
      </c>
      <c r="J31" s="843">
        <f t="shared" si="1"/>
        <v>2.3836776228429324E-4</v>
      </c>
    </row>
    <row r="32" spans="1:14" ht="18.75">
      <c r="A32" s="94">
        <f>Gen!A33</f>
        <v>44309</v>
      </c>
      <c r="B32" s="268">
        <v>85</v>
      </c>
      <c r="C32" s="268">
        <v>85</v>
      </c>
      <c r="D32" s="268">
        <v>20</v>
      </c>
      <c r="E32" s="268"/>
      <c r="F32" s="268">
        <v>76129.88</v>
      </c>
      <c r="G32" s="268">
        <f t="shared" si="0"/>
        <v>41.140000000025616</v>
      </c>
      <c r="H32" s="111">
        <f>[5]Gen!B33</f>
        <v>0.41560000000000002</v>
      </c>
      <c r="I32" s="842">
        <f t="shared" si="2"/>
        <v>183180.65447545718</v>
      </c>
      <c r="J32" s="843">
        <f t="shared" si="1"/>
        <v>2.2458703468349937E-4</v>
      </c>
    </row>
    <row r="33" spans="1:10" ht="18.75">
      <c r="A33" s="94">
        <f>Gen!A34</f>
        <v>44310</v>
      </c>
      <c r="B33" s="268">
        <v>85</v>
      </c>
      <c r="C33" s="268">
        <v>85</v>
      </c>
      <c r="D33" s="268">
        <v>17</v>
      </c>
      <c r="E33" s="268"/>
      <c r="F33" s="268">
        <v>76144.149999999994</v>
      </c>
      <c r="G33" s="268">
        <f t="shared" si="0"/>
        <v>62.787999999953904</v>
      </c>
      <c r="H33" s="111">
        <f>[5]Gen!B34</f>
        <v>0.37659999999999999</v>
      </c>
      <c r="I33" s="842">
        <f t="shared" si="2"/>
        <v>202188.39617631439</v>
      </c>
      <c r="J33" s="843">
        <f t="shared" si="1"/>
        <v>3.1054205477351366E-4</v>
      </c>
    </row>
    <row r="34" spans="1:10" ht="18.75">
      <c r="A34" s="94">
        <f>Gen!A35</f>
        <v>44311</v>
      </c>
      <c r="B34" s="268">
        <v>85</v>
      </c>
      <c r="C34" s="268">
        <v>85</v>
      </c>
      <c r="D34" s="268">
        <v>15</v>
      </c>
      <c r="E34" s="268"/>
      <c r="F34" s="268">
        <v>76159.179999999993</v>
      </c>
      <c r="G34" s="268">
        <f t="shared" si="0"/>
        <v>66.131999999994889</v>
      </c>
      <c r="H34" s="111">
        <f>[5]Gen!B35</f>
        <v>0.37</v>
      </c>
      <c r="I34" s="842">
        <f t="shared" si="2"/>
        <v>205835.6216216216</v>
      </c>
      <c r="J34" s="843">
        <f t="shared" si="1"/>
        <v>3.212854970339506E-4</v>
      </c>
    </row>
    <row r="35" spans="1:10" ht="18.75">
      <c r="A35" s="94">
        <f>Gen!A36</f>
        <v>44312</v>
      </c>
      <c r="B35" s="268">
        <v>85</v>
      </c>
      <c r="C35" s="268">
        <v>85</v>
      </c>
      <c r="D35" s="268">
        <v>10</v>
      </c>
      <c r="E35" s="268"/>
      <c r="F35" s="268">
        <v>76174.259999999995</v>
      </c>
      <c r="G35" s="268">
        <f t="shared" si="0"/>
        <v>66.352000000007692</v>
      </c>
      <c r="H35" s="111">
        <f>[5]Gen!B36</f>
        <v>0.29870000000000002</v>
      </c>
      <c r="I35" s="842">
        <f t="shared" si="2"/>
        <v>255019.28356210241</v>
      </c>
      <c r="J35" s="843">
        <f t="shared" si="1"/>
        <v>2.6018424596448066E-4</v>
      </c>
    </row>
    <row r="36" spans="1:10" ht="18.75">
      <c r="A36" s="94">
        <f>Gen!A37</f>
        <v>44313</v>
      </c>
      <c r="B36" s="268">
        <v>85</v>
      </c>
      <c r="C36" s="268">
        <v>85</v>
      </c>
      <c r="D36" s="268">
        <v>7</v>
      </c>
      <c r="E36" s="268"/>
      <c r="F36" s="268">
        <v>76189.83</v>
      </c>
      <c r="G36" s="268">
        <f t="shared" si="0"/>
        <v>68.508000000030734</v>
      </c>
      <c r="H36" s="111">
        <f>[5]Gen!B37</f>
        <v>0.28570000000000001</v>
      </c>
      <c r="I36" s="842">
        <f t="shared" si="2"/>
        <v>266677.73888694437</v>
      </c>
      <c r="J36" s="843">
        <f t="shared" si="1"/>
        <v>2.5689433353518154E-4</v>
      </c>
    </row>
    <row r="37" spans="1:10" ht="18.75">
      <c r="A37" s="94">
        <f>Gen!A38</f>
        <v>44314</v>
      </c>
      <c r="B37" s="268">
        <v>85</v>
      </c>
      <c r="C37" s="268">
        <v>85</v>
      </c>
      <c r="D37" s="268">
        <v>5</v>
      </c>
      <c r="E37" s="268"/>
      <c r="F37" s="268">
        <v>76204.94</v>
      </c>
      <c r="G37" s="268">
        <f t="shared" si="0"/>
        <v>66.484000000002567</v>
      </c>
      <c r="H37" s="111">
        <f>[5]Gen!B38</f>
        <v>0.42859999999999998</v>
      </c>
      <c r="I37" s="842">
        <f t="shared" si="2"/>
        <v>177799.67335510967</v>
      </c>
      <c r="J37" s="843">
        <f t="shared" si="1"/>
        <v>3.7392644623827665E-4</v>
      </c>
    </row>
    <row r="38" spans="1:10" ht="18.75">
      <c r="A38" s="94">
        <f>Gen!A39</f>
        <v>44315</v>
      </c>
      <c r="B38" s="268">
        <v>85</v>
      </c>
      <c r="C38" s="268">
        <v>85</v>
      </c>
      <c r="D38" s="268">
        <v>3</v>
      </c>
      <c r="E38" s="268"/>
      <c r="F38" s="268">
        <v>76219.11</v>
      </c>
      <c r="G38" s="268">
        <f t="shared" si="0"/>
        <v>62.347999999992325</v>
      </c>
      <c r="H38" s="111">
        <f>[5]Gen!B39</f>
        <v>0.55800000000000005</v>
      </c>
      <c r="I38" s="842">
        <f t="shared" si="2"/>
        <v>136593.38709677418</v>
      </c>
      <c r="J38" s="843">
        <f t="shared" si="1"/>
        <v>4.5644962267331275E-4</v>
      </c>
    </row>
    <row r="39" spans="1:10" ht="18.75">
      <c r="A39" s="94">
        <f>Gen!A40</f>
        <v>44316</v>
      </c>
      <c r="B39" s="268">
        <v>85</v>
      </c>
      <c r="C39" s="268">
        <v>85</v>
      </c>
      <c r="D39" s="268">
        <v>2</v>
      </c>
      <c r="E39" s="268"/>
      <c r="F39" s="268">
        <v>76233.350000000006</v>
      </c>
      <c r="G39" s="268">
        <f t="shared" si="0"/>
        <v>62.656000000023056</v>
      </c>
      <c r="H39" s="111">
        <f>[5]Gen!B40</f>
        <v>0.6</v>
      </c>
      <c r="I39" s="842">
        <f t="shared" si="2"/>
        <v>127055.58333333334</v>
      </c>
      <c r="J39" s="843">
        <f t="shared" si="1"/>
        <v>4.9313850171891734E-4</v>
      </c>
    </row>
    <row r="40" spans="1:10" ht="18.75">
      <c r="A40" s="94">
        <f>Gen!A41</f>
        <v>0</v>
      </c>
      <c r="B40" s="268">
        <v>85</v>
      </c>
      <c r="C40" s="268">
        <v>85</v>
      </c>
      <c r="D40" s="268">
        <v>1</v>
      </c>
      <c r="E40" s="268"/>
      <c r="F40" s="268">
        <v>76246.31</v>
      </c>
      <c r="G40" s="268">
        <f t="shared" si="0"/>
        <v>57.023999999964147</v>
      </c>
      <c r="H40" s="111">
        <f>[5]Gen!B41</f>
        <v>0.63690000000000002</v>
      </c>
      <c r="I40" s="842">
        <f t="shared" si="2"/>
        <v>119714.72758674831</v>
      </c>
      <c r="J40" s="843">
        <f t="shared" si="1"/>
        <v>4.763323707072141E-4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-335483.76400000002</v>
      </c>
      <c r="H41" s="111">
        <f>[5]Gen!B42</f>
        <v>0</v>
      </c>
      <c r="I41" s="842" t="e">
        <f t="shared" si="2"/>
        <v>#DIV/0!</v>
      </c>
      <c r="J41" s="844"/>
    </row>
    <row r="42" spans="1:10" ht="17.25">
      <c r="A42" s="94"/>
      <c r="B42" s="5"/>
      <c r="C42" s="929" t="s">
        <v>6</v>
      </c>
      <c r="D42" s="929"/>
      <c r="E42" s="2">
        <f t="shared" ref="E42" si="4">SUM(E10:E40)</f>
        <v>0</v>
      </c>
      <c r="F42" s="2">
        <f>SUM(F10:F41)</f>
        <v>2356994.09</v>
      </c>
      <c r="G42" s="101">
        <f>SUM(G10:G40)</f>
        <v>2091.3639999999891</v>
      </c>
      <c r="H42" s="111">
        <f>[5]Gen!B43</f>
        <v>0.18598064516129031</v>
      </c>
      <c r="I42" s="842"/>
      <c r="J42" s="843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25"/>
      <c r="C45" s="926"/>
      <c r="D45" s="925"/>
      <c r="E45" s="935"/>
      <c r="F45" s="926"/>
      <c r="G45" s="925"/>
      <c r="H45" s="926"/>
      <c r="I45" s="830"/>
      <c r="J45" s="837"/>
    </row>
    <row r="46" spans="1:10">
      <c r="A46" s="19"/>
      <c r="B46" s="927"/>
      <c r="C46" s="928"/>
      <c r="D46" s="927"/>
      <c r="E46" s="936"/>
      <c r="F46" s="928"/>
      <c r="G46" s="927"/>
      <c r="H46" s="928"/>
      <c r="I46" s="830"/>
      <c r="J46" s="837"/>
    </row>
    <row r="47" spans="1:10">
      <c r="A47" s="19"/>
      <c r="B47" s="32"/>
      <c r="C47" s="863"/>
      <c r="D47" s="32"/>
      <c r="E47" s="19"/>
      <c r="F47" s="863"/>
      <c r="G47" s="32"/>
      <c r="H47" s="863"/>
      <c r="I47" s="19"/>
      <c r="J47" s="837"/>
    </row>
    <row r="48" spans="1:10">
      <c r="A48" s="19"/>
      <c r="B48" s="32"/>
      <c r="C48" s="863"/>
      <c r="D48" s="32"/>
      <c r="E48" s="19"/>
      <c r="F48" s="863"/>
      <c r="G48" s="32"/>
      <c r="H48" s="863"/>
      <c r="I48" s="19"/>
      <c r="J48" s="837"/>
    </row>
    <row r="49" spans="1:10">
      <c r="A49" s="19"/>
      <c r="B49" s="32"/>
      <c r="C49" s="863"/>
      <c r="D49" s="32"/>
      <c r="E49" s="19"/>
      <c r="F49" s="863"/>
      <c r="G49" s="32"/>
      <c r="H49" s="863"/>
      <c r="I49" s="19"/>
      <c r="J49" s="837"/>
    </row>
    <row r="50" spans="1:10">
      <c r="A50" s="19"/>
      <c r="B50" s="32"/>
      <c r="C50" s="863"/>
      <c r="D50" s="32"/>
      <c r="E50" s="19"/>
      <c r="F50" s="863"/>
      <c r="G50" s="32"/>
      <c r="H50" s="863"/>
      <c r="I50" s="19"/>
      <c r="J50" s="837"/>
    </row>
    <row r="51" spans="1:10">
      <c r="A51" s="19"/>
      <c r="B51" s="32"/>
      <c r="C51" s="863"/>
      <c r="D51" s="32"/>
      <c r="E51" s="19"/>
      <c r="F51" s="863"/>
      <c r="G51" s="32"/>
      <c r="H51" s="863"/>
      <c r="I51" s="19"/>
      <c r="J51" s="837"/>
    </row>
    <row r="52" spans="1:10">
      <c r="A52" s="19"/>
      <c r="B52" s="32"/>
      <c r="C52" s="863"/>
      <c r="D52" s="32"/>
      <c r="E52" s="19"/>
      <c r="F52" s="863"/>
      <c r="G52" s="32"/>
      <c r="H52" s="863"/>
      <c r="I52" s="19"/>
      <c r="J52" s="837"/>
    </row>
    <row r="53" spans="1:10">
      <c r="A53" s="19"/>
      <c r="B53" s="32"/>
      <c r="C53" s="863"/>
      <c r="D53" s="32"/>
      <c r="E53" s="19"/>
      <c r="F53" s="863"/>
      <c r="G53" s="32"/>
      <c r="H53" s="863"/>
      <c r="I53" s="19"/>
      <c r="J53" s="837"/>
    </row>
    <row r="54" spans="1:10">
      <c r="A54" s="19"/>
      <c r="B54" s="32"/>
      <c r="C54" s="863"/>
      <c r="D54" s="32"/>
      <c r="E54" s="19"/>
      <c r="F54" s="863"/>
      <c r="G54" s="32"/>
      <c r="H54" s="863"/>
      <c r="I54" s="19"/>
      <c r="J54" s="837"/>
    </row>
    <row r="55" spans="1:10">
      <c r="A55" s="19"/>
      <c r="B55" s="32"/>
      <c r="C55" s="863"/>
      <c r="D55" s="32"/>
      <c r="E55" s="19"/>
      <c r="F55" s="863"/>
      <c r="G55" s="32"/>
      <c r="H55" s="863"/>
      <c r="I55" s="19"/>
    </row>
    <row r="56" spans="1:10">
      <c r="A56" s="19"/>
      <c r="B56" s="30"/>
      <c r="C56" s="864"/>
      <c r="D56" s="30"/>
      <c r="E56" s="865"/>
      <c r="F56" s="864"/>
      <c r="G56" s="30"/>
      <c r="H56" s="864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 ht="18">
      <c r="A58" s="19"/>
      <c r="B58" s="867" t="s">
        <v>344</v>
      </c>
      <c r="C58" s="16"/>
      <c r="D58" s="867" t="s">
        <v>345</v>
      </c>
      <c r="E58" s="866"/>
      <c r="F58" s="16"/>
      <c r="G58" s="867" t="s">
        <v>346</v>
      </c>
      <c r="H58" s="16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36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44287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44288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44289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44290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44291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44292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44293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44294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44295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44296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44297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44298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44299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44300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44301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44302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44303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44304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44305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44306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44307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44308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44309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44310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44311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44312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44313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44314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44315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44316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43" zoomScale="94" zoomScaleNormal="94" workbookViewId="0">
      <pane xSplit="1" topLeftCell="B1" activePane="topRight" state="frozen"/>
      <selection pane="topRight" activeCell="AI36" sqref="AI3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56" t="s">
        <v>315</v>
      </c>
      <c r="B1" s="957"/>
      <c r="C1" s="957"/>
      <c r="D1" s="957"/>
      <c r="E1" s="957"/>
      <c r="F1" s="957"/>
      <c r="G1" s="957"/>
      <c r="H1" s="957"/>
      <c r="I1" s="957"/>
      <c r="J1" s="957"/>
      <c r="K1" s="957"/>
      <c r="L1" s="957"/>
      <c r="M1" s="957"/>
      <c r="N1" s="957"/>
      <c r="O1" s="957"/>
      <c r="P1" s="957"/>
      <c r="Q1" s="957"/>
      <c r="R1" s="957"/>
      <c r="S1" s="957"/>
      <c r="T1" s="957"/>
      <c r="U1" s="957"/>
      <c r="V1" s="957"/>
      <c r="W1" s="957"/>
      <c r="X1" s="957"/>
      <c r="Y1" s="957"/>
      <c r="Z1" s="957"/>
      <c r="AA1" s="957"/>
      <c r="AB1" s="957"/>
      <c r="AC1" s="957"/>
      <c r="AD1" s="957"/>
      <c r="AE1" s="957"/>
      <c r="AF1" s="957"/>
      <c r="AG1" s="957"/>
      <c r="AH1" s="957"/>
      <c r="AI1" s="957"/>
      <c r="AJ1" s="957"/>
      <c r="AK1" s="957"/>
      <c r="AL1" s="957"/>
      <c r="AM1" s="957"/>
      <c r="AN1" s="957"/>
    </row>
    <row r="2" spans="1:40" ht="13.5" customHeight="1" thickTop="1">
      <c r="A2" s="29"/>
      <c r="B2" s="29"/>
      <c r="C2" s="955" t="s">
        <v>52</v>
      </c>
      <c r="D2" s="955"/>
      <c r="E2" s="955"/>
      <c r="F2" s="955" t="s">
        <v>17</v>
      </c>
      <c r="G2" s="955"/>
      <c r="H2" s="955"/>
      <c r="I2" s="955" t="s">
        <v>131</v>
      </c>
      <c r="J2" s="955"/>
      <c r="K2" s="955"/>
      <c r="L2" s="955" t="s">
        <v>134</v>
      </c>
      <c r="M2" s="955"/>
      <c r="N2" s="955"/>
      <c r="O2" s="955" t="s">
        <v>132</v>
      </c>
      <c r="P2" s="955"/>
      <c r="Q2" s="955"/>
      <c r="R2" s="252"/>
      <c r="S2" s="964" t="s">
        <v>181</v>
      </c>
      <c r="T2" s="965"/>
      <c r="U2" s="966"/>
      <c r="V2" s="964" t="s">
        <v>182</v>
      </c>
      <c r="W2" s="965"/>
      <c r="X2" s="966"/>
      <c r="Y2" s="964" t="s">
        <v>183</v>
      </c>
      <c r="Z2" s="965"/>
      <c r="AA2" s="966"/>
      <c r="AB2" s="964" t="s">
        <v>184</v>
      </c>
      <c r="AC2" s="965"/>
      <c r="AD2" s="966"/>
      <c r="AE2" s="958" t="s">
        <v>239</v>
      </c>
      <c r="AF2" s="959"/>
      <c r="AG2" s="970"/>
      <c r="AH2" s="958" t="s">
        <v>243</v>
      </c>
      <c r="AI2" s="959"/>
      <c r="AJ2" s="970"/>
      <c r="AK2" s="958" t="s">
        <v>240</v>
      </c>
      <c r="AL2" s="959"/>
      <c r="AM2" s="959"/>
      <c r="AN2" s="962" t="s">
        <v>189</v>
      </c>
    </row>
    <row r="3" spans="1:40" ht="21.75" customHeight="1" thickBot="1">
      <c r="A3" s="953" t="s">
        <v>7</v>
      </c>
      <c r="B3" s="29"/>
      <c r="C3" s="955" t="s">
        <v>133</v>
      </c>
      <c r="D3" s="955" t="s">
        <v>15</v>
      </c>
      <c r="E3" s="955" t="s">
        <v>16</v>
      </c>
      <c r="F3" s="955" t="s">
        <v>133</v>
      </c>
      <c r="G3" s="955" t="s">
        <v>15</v>
      </c>
      <c r="H3" s="955" t="s">
        <v>16</v>
      </c>
      <c r="I3" s="955" t="s">
        <v>133</v>
      </c>
      <c r="J3" s="955" t="s">
        <v>15</v>
      </c>
      <c r="K3" s="955" t="s">
        <v>16</v>
      </c>
      <c r="L3" s="955" t="s">
        <v>133</v>
      </c>
      <c r="M3" s="955" t="s">
        <v>15</v>
      </c>
      <c r="N3" s="955" t="s">
        <v>16</v>
      </c>
      <c r="O3" s="955" t="s">
        <v>133</v>
      </c>
      <c r="P3" s="955" t="s">
        <v>15</v>
      </c>
      <c r="Q3" s="955" t="s">
        <v>16</v>
      </c>
      <c r="R3" s="972" t="s">
        <v>185</v>
      </c>
      <c r="S3" s="967"/>
      <c r="T3" s="968"/>
      <c r="U3" s="969"/>
      <c r="V3" s="967"/>
      <c r="W3" s="968"/>
      <c r="X3" s="969"/>
      <c r="Y3" s="967"/>
      <c r="Z3" s="968"/>
      <c r="AA3" s="969"/>
      <c r="AB3" s="967"/>
      <c r="AC3" s="968"/>
      <c r="AD3" s="969"/>
      <c r="AE3" s="960"/>
      <c r="AF3" s="961"/>
      <c r="AG3" s="971"/>
      <c r="AH3" s="960"/>
      <c r="AI3" s="961"/>
      <c r="AJ3" s="971"/>
      <c r="AK3" s="960"/>
      <c r="AL3" s="961"/>
      <c r="AM3" s="961"/>
      <c r="AN3" s="963"/>
    </row>
    <row r="4" spans="1:40" ht="15.75" thickTop="1">
      <c r="A4" s="954"/>
      <c r="B4" s="244"/>
      <c r="C4" s="955"/>
      <c r="D4" s="955"/>
      <c r="E4" s="955"/>
      <c r="F4" s="955"/>
      <c r="G4" s="955"/>
      <c r="H4" s="955"/>
      <c r="I4" s="955"/>
      <c r="J4" s="955"/>
      <c r="K4" s="955"/>
      <c r="L4" s="955"/>
      <c r="M4" s="955"/>
      <c r="N4" s="955"/>
      <c r="O4" s="955"/>
      <c r="P4" s="955"/>
      <c r="Q4" s="955"/>
      <c r="R4" s="972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3" t="s">
        <v>186</v>
      </c>
      <c r="AC4" s="604" t="s">
        <v>187</v>
      </c>
      <c r="AD4" s="605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252644</v>
      </c>
      <c r="E5" s="58">
        <f t="shared" ref="E5:E15" si="1">IF((D5-D4)&lt;0,"0",(D5-D4))</f>
        <v>252644</v>
      </c>
      <c r="F5" s="95">
        <f t="shared" ref="F5:F37" si="2">G4</f>
        <v>0</v>
      </c>
      <c r="G5" s="387">
        <v>75790</v>
      </c>
      <c r="H5" s="474">
        <v>0</v>
      </c>
      <c r="I5" s="95">
        <f t="shared" ref="I5:I24" si="3">J4</f>
        <v>0</v>
      </c>
      <c r="J5" s="1">
        <v>8362</v>
      </c>
      <c r="K5" s="474">
        <f t="shared" ref="K5:K6" si="4">J5-J4</f>
        <v>8362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21110</v>
      </c>
      <c r="Q5" s="474">
        <f t="shared" ref="Q5:Q27" si="7">IF((P5-P4)&lt;0,"0",(P5-P4))</f>
        <v>21110</v>
      </c>
      <c r="R5" s="246"/>
      <c r="S5" s="245"/>
      <c r="T5" s="384">
        <v>67456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89838</v>
      </c>
      <c r="AA5" s="246">
        <v>0</v>
      </c>
      <c r="AB5" s="606" t="str">
        <f>AC4</f>
        <v>FINAL</v>
      </c>
      <c r="AC5" s="610">
        <v>18773</v>
      </c>
      <c r="AD5" s="608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30309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44287</v>
      </c>
      <c r="B6" s="4"/>
      <c r="C6" s="95">
        <f t="shared" si="0"/>
        <v>252644</v>
      </c>
      <c r="D6" s="1">
        <v>252733</v>
      </c>
      <c r="E6" s="58">
        <f t="shared" si="1"/>
        <v>89</v>
      </c>
      <c r="F6" s="95">
        <f t="shared" si="2"/>
        <v>75790</v>
      </c>
      <c r="G6" s="387">
        <v>75790</v>
      </c>
      <c r="H6" s="474">
        <f t="shared" ref="H6:H24" si="13">IF((G6-G5)&lt;0,"0",(G6-G5))</f>
        <v>0</v>
      </c>
      <c r="I6" s="95">
        <f t="shared" si="3"/>
        <v>8362</v>
      </c>
      <c r="J6" s="1">
        <v>8364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21110</v>
      </c>
      <c r="P6" s="383">
        <v>21117</v>
      </c>
      <c r="Q6" s="474">
        <f t="shared" si="7"/>
        <v>7</v>
      </c>
      <c r="R6" s="250"/>
      <c r="S6" s="245">
        <f t="shared" ref="S6:S24" si="15">T5</f>
        <v>67456</v>
      </c>
      <c r="T6" s="384">
        <v>67537</v>
      </c>
      <c r="U6" s="475">
        <f t="shared" ref="U6:U24" si="16">IF((T6-T5)&lt;0,"0",(T6-T5))</f>
        <v>81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89838</v>
      </c>
      <c r="Z6" s="384">
        <v>89838</v>
      </c>
      <c r="AA6" s="475">
        <f t="shared" ref="AA6:AA37" si="18">IF((Z6-Z5)&lt;0,"0",(Z6-Z5))</f>
        <v>0</v>
      </c>
      <c r="AB6" s="606">
        <f>AC5</f>
        <v>18773</v>
      </c>
      <c r="AC6" s="617">
        <v>18788</v>
      </c>
      <c r="AD6" s="609">
        <f>IF((AC6-AC5)&lt;0,"0",(AC6-AC5))</f>
        <v>15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30309</v>
      </c>
      <c r="AI6" s="385">
        <v>30335</v>
      </c>
      <c r="AJ6" s="475">
        <f t="shared" ref="AJ6:AJ37" si="20">IF((AI6-AI5)&lt;0,"0",(AI6-AI5))</f>
        <v>26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122</v>
      </c>
    </row>
    <row r="7" spans="1:40" ht="23.1" customHeight="1">
      <c r="A7" s="57">
        <f>Gen!A12</f>
        <v>44288</v>
      </c>
      <c r="B7" s="4"/>
      <c r="C7" s="95">
        <f t="shared" si="0"/>
        <v>252733</v>
      </c>
      <c r="D7" s="1">
        <v>252850</v>
      </c>
      <c r="E7" s="58">
        <f t="shared" si="1"/>
        <v>117</v>
      </c>
      <c r="F7" s="95">
        <f t="shared" si="2"/>
        <v>75790</v>
      </c>
      <c r="G7" s="387">
        <v>75790</v>
      </c>
      <c r="H7" s="474">
        <f t="shared" si="13"/>
        <v>0</v>
      </c>
      <c r="I7" s="95">
        <f t="shared" si="3"/>
        <v>8364</v>
      </c>
      <c r="J7" s="1">
        <v>8366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21117</v>
      </c>
      <c r="P7" s="383">
        <v>21121</v>
      </c>
      <c r="Q7" s="474">
        <f t="shared" si="7"/>
        <v>4</v>
      </c>
      <c r="R7" s="250"/>
      <c r="S7" s="245">
        <f t="shared" si="15"/>
        <v>67537</v>
      </c>
      <c r="T7" s="384">
        <v>67617</v>
      </c>
      <c r="U7" s="475">
        <f t="shared" si="16"/>
        <v>80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89838</v>
      </c>
      <c r="Z7" s="384">
        <v>89838</v>
      </c>
      <c r="AA7" s="475">
        <f t="shared" si="18"/>
        <v>0</v>
      </c>
      <c r="AB7" s="606">
        <f t="shared" ref="AB7:AB37" si="22">AC6</f>
        <v>18788</v>
      </c>
      <c r="AC7" s="607">
        <v>18805</v>
      </c>
      <c r="AD7" s="609">
        <f t="shared" ref="AD7:AD37" si="23">IF((AC7-AC6)&lt;0,"0",(AC7-AC6))</f>
        <v>17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30335</v>
      </c>
      <c r="AI7" s="385">
        <v>30365</v>
      </c>
      <c r="AJ7" s="475">
        <f t="shared" si="20"/>
        <v>30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127</v>
      </c>
    </row>
    <row r="8" spans="1:40" ht="23.1" customHeight="1">
      <c r="A8" s="57">
        <f>Gen!A13</f>
        <v>44289</v>
      </c>
      <c r="B8" s="4"/>
      <c r="C8" s="95">
        <f t="shared" si="0"/>
        <v>252850</v>
      </c>
      <c r="D8" s="1">
        <v>253017</v>
      </c>
      <c r="E8" s="58">
        <f t="shared" si="1"/>
        <v>167</v>
      </c>
      <c r="F8" s="95">
        <f t="shared" si="2"/>
        <v>75790</v>
      </c>
      <c r="G8" s="387">
        <v>75790</v>
      </c>
      <c r="H8" s="474">
        <f t="shared" si="13"/>
        <v>0</v>
      </c>
      <c r="I8" s="95">
        <f t="shared" si="3"/>
        <v>8366</v>
      </c>
      <c r="J8" s="1">
        <v>8368</v>
      </c>
      <c r="K8" s="474">
        <f>J8-J7</f>
        <v>2</v>
      </c>
      <c r="L8" s="95">
        <f t="shared" si="5"/>
        <v>0</v>
      </c>
      <c r="M8" s="1"/>
      <c r="N8" s="474">
        <f t="shared" si="14"/>
        <v>0</v>
      </c>
      <c r="O8" s="95">
        <f t="shared" si="6"/>
        <v>21121</v>
      </c>
      <c r="P8" s="383">
        <v>21126</v>
      </c>
      <c r="Q8" s="474">
        <f t="shared" si="7"/>
        <v>5</v>
      </c>
      <c r="R8" s="250"/>
      <c r="S8" s="245">
        <f t="shared" si="15"/>
        <v>67617</v>
      </c>
      <c r="T8" s="384">
        <v>67705</v>
      </c>
      <c r="U8" s="475">
        <f t="shared" si="16"/>
        <v>88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89838</v>
      </c>
      <c r="Z8" s="384">
        <v>89890</v>
      </c>
      <c r="AA8" s="475">
        <f t="shared" si="18"/>
        <v>52</v>
      </c>
      <c r="AB8" s="606">
        <f t="shared" si="22"/>
        <v>18805</v>
      </c>
      <c r="AC8" s="607">
        <v>18820</v>
      </c>
      <c r="AD8" s="609">
        <f t="shared" si="23"/>
        <v>15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30365</v>
      </c>
      <c r="AI8" s="385">
        <v>30382</v>
      </c>
      <c r="AJ8" s="475">
        <f t="shared" si="20"/>
        <v>17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172</v>
      </c>
    </row>
    <row r="9" spans="1:40" ht="23.1" customHeight="1">
      <c r="A9" s="57">
        <f>Gen!A14</f>
        <v>44290</v>
      </c>
      <c r="B9" s="4"/>
      <c r="C9" s="95">
        <f t="shared" si="0"/>
        <v>253017</v>
      </c>
      <c r="D9" s="1">
        <v>253087</v>
      </c>
      <c r="E9" s="58">
        <f t="shared" si="1"/>
        <v>70</v>
      </c>
      <c r="F9" s="95">
        <f t="shared" si="2"/>
        <v>75790</v>
      </c>
      <c r="G9" s="387">
        <v>75790</v>
      </c>
      <c r="H9" s="474">
        <f t="shared" si="13"/>
        <v>0</v>
      </c>
      <c r="I9" s="95">
        <f t="shared" si="3"/>
        <v>8368</v>
      </c>
      <c r="J9" s="1">
        <v>8369</v>
      </c>
      <c r="K9" s="474">
        <f>J9-J8</f>
        <v>1</v>
      </c>
      <c r="L9" s="95">
        <f t="shared" si="5"/>
        <v>0</v>
      </c>
      <c r="M9" s="1"/>
      <c r="N9" s="474">
        <f t="shared" si="14"/>
        <v>0</v>
      </c>
      <c r="O9" s="95">
        <f t="shared" si="6"/>
        <v>21126</v>
      </c>
      <c r="P9" s="383">
        <v>21130</v>
      </c>
      <c r="Q9" s="474">
        <f t="shared" si="7"/>
        <v>4</v>
      </c>
      <c r="R9" s="250"/>
      <c r="S9" s="245">
        <f t="shared" si="15"/>
        <v>67705</v>
      </c>
      <c r="T9" s="384">
        <v>67788</v>
      </c>
      <c r="U9" s="475">
        <f t="shared" si="16"/>
        <v>83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89890</v>
      </c>
      <c r="Z9" s="384">
        <v>89938</v>
      </c>
      <c r="AA9" s="475">
        <f t="shared" si="18"/>
        <v>48</v>
      </c>
      <c r="AB9" s="606">
        <f t="shared" si="22"/>
        <v>18820</v>
      </c>
      <c r="AC9" s="607">
        <v>18837</v>
      </c>
      <c r="AD9" s="609">
        <f t="shared" si="23"/>
        <v>17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30420</v>
      </c>
      <c r="AI9" s="385">
        <v>30420</v>
      </c>
      <c r="AJ9" s="475">
        <f t="shared" si="20"/>
        <v>38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186</v>
      </c>
    </row>
    <row r="10" spans="1:40" ht="23.1" customHeight="1">
      <c r="A10" s="57">
        <f>Gen!A15</f>
        <v>44291</v>
      </c>
      <c r="B10" s="4"/>
      <c r="C10" s="95">
        <f t="shared" si="0"/>
        <v>253087</v>
      </c>
      <c r="D10" s="1">
        <v>253146</v>
      </c>
      <c r="E10" s="58">
        <f t="shared" si="1"/>
        <v>59</v>
      </c>
      <c r="F10" s="95">
        <f t="shared" si="2"/>
        <v>75790</v>
      </c>
      <c r="G10" s="387">
        <v>75790</v>
      </c>
      <c r="H10" s="474">
        <f t="shared" si="13"/>
        <v>0</v>
      </c>
      <c r="I10" s="95">
        <f t="shared" si="3"/>
        <v>8369</v>
      </c>
      <c r="J10" s="1">
        <v>8371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21130</v>
      </c>
      <c r="P10" s="383">
        <v>21134</v>
      </c>
      <c r="Q10" s="474">
        <f t="shared" si="7"/>
        <v>4</v>
      </c>
      <c r="R10" s="250"/>
      <c r="S10" s="245">
        <f t="shared" si="15"/>
        <v>67788</v>
      </c>
      <c r="T10" s="384">
        <v>67868</v>
      </c>
      <c r="U10" s="475">
        <f t="shared" si="16"/>
        <v>80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89938</v>
      </c>
      <c r="Z10" s="384">
        <v>89983</v>
      </c>
      <c r="AA10" s="475">
        <f t="shared" si="18"/>
        <v>45</v>
      </c>
      <c r="AB10" s="606">
        <f t="shared" si="22"/>
        <v>18837</v>
      </c>
      <c r="AC10" s="607">
        <v>18852</v>
      </c>
      <c r="AD10" s="609">
        <f t="shared" si="23"/>
        <v>15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30420</v>
      </c>
      <c r="AI10" s="385">
        <v>30446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166</v>
      </c>
    </row>
    <row r="11" spans="1:40" ht="23.1" customHeight="1">
      <c r="A11" s="57">
        <f>Gen!A16</f>
        <v>44292</v>
      </c>
      <c r="B11" s="4"/>
      <c r="C11" s="95">
        <f t="shared" si="0"/>
        <v>253146</v>
      </c>
      <c r="D11" s="1">
        <v>253356</v>
      </c>
      <c r="E11" s="58">
        <f t="shared" si="1"/>
        <v>210</v>
      </c>
      <c r="F11" s="95">
        <f t="shared" si="2"/>
        <v>75790</v>
      </c>
      <c r="G11" s="387">
        <v>75790</v>
      </c>
      <c r="H11" s="474">
        <f t="shared" si="13"/>
        <v>0</v>
      </c>
      <c r="I11" s="95">
        <f t="shared" si="3"/>
        <v>8371</v>
      </c>
      <c r="J11" s="1">
        <v>8372</v>
      </c>
      <c r="K11" s="474">
        <f t="shared" si="26"/>
        <v>1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21134</v>
      </c>
      <c r="P11" s="383">
        <v>21142</v>
      </c>
      <c r="Q11" s="474">
        <f t="shared" si="7"/>
        <v>8</v>
      </c>
      <c r="R11" s="250"/>
      <c r="S11" s="245">
        <f t="shared" si="15"/>
        <v>67868</v>
      </c>
      <c r="T11" s="384">
        <v>67950</v>
      </c>
      <c r="U11" s="475">
        <f t="shared" si="16"/>
        <v>82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89983</v>
      </c>
      <c r="Z11" s="384">
        <v>90033</v>
      </c>
      <c r="AA11" s="475">
        <f t="shared" si="18"/>
        <v>50</v>
      </c>
      <c r="AB11" s="606">
        <f t="shared" si="22"/>
        <v>18852</v>
      </c>
      <c r="AC11" s="607">
        <v>18870</v>
      </c>
      <c r="AD11" s="609">
        <f t="shared" si="23"/>
        <v>18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30446</v>
      </c>
      <c r="AI11" s="385">
        <v>30474</v>
      </c>
      <c r="AJ11" s="475">
        <f t="shared" si="20"/>
        <v>28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178</v>
      </c>
    </row>
    <row r="12" spans="1:40" ht="23.1" customHeight="1">
      <c r="A12" s="57">
        <f>Gen!A17</f>
        <v>44293</v>
      </c>
      <c r="B12" s="4"/>
      <c r="C12" s="95">
        <f t="shared" si="0"/>
        <v>253356</v>
      </c>
      <c r="D12" s="1">
        <v>253416</v>
      </c>
      <c r="E12" s="58">
        <f t="shared" si="1"/>
        <v>60</v>
      </c>
      <c r="F12" s="95">
        <f t="shared" si="2"/>
        <v>75790</v>
      </c>
      <c r="G12" s="387">
        <v>75790</v>
      </c>
      <c r="H12" s="474">
        <f t="shared" si="13"/>
        <v>0</v>
      </c>
      <c r="I12" s="95">
        <f t="shared" si="3"/>
        <v>8372</v>
      </c>
      <c r="J12" s="1">
        <v>8374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21142</v>
      </c>
      <c r="P12" s="383">
        <v>21145</v>
      </c>
      <c r="Q12" s="474">
        <f t="shared" si="7"/>
        <v>3</v>
      </c>
      <c r="R12" s="250"/>
      <c r="S12" s="245">
        <f t="shared" si="15"/>
        <v>67950</v>
      </c>
      <c r="T12" s="384">
        <v>68031</v>
      </c>
      <c r="U12" s="475">
        <f t="shared" si="16"/>
        <v>81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90033</v>
      </c>
      <c r="Z12" s="384">
        <v>90080</v>
      </c>
      <c r="AA12" s="475">
        <f t="shared" si="18"/>
        <v>47</v>
      </c>
      <c r="AB12" s="606">
        <f t="shared" si="22"/>
        <v>18870</v>
      </c>
      <c r="AC12" s="607">
        <v>18886</v>
      </c>
      <c r="AD12" s="609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30474</v>
      </c>
      <c r="AI12" s="385">
        <v>30502</v>
      </c>
      <c r="AJ12" s="475">
        <f t="shared" si="20"/>
        <v>28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172</v>
      </c>
    </row>
    <row r="13" spans="1:40" ht="23.1" customHeight="1">
      <c r="A13" s="57">
        <f>Gen!A18</f>
        <v>44294</v>
      </c>
      <c r="B13" s="4"/>
      <c r="C13" s="95">
        <f t="shared" si="0"/>
        <v>253416</v>
      </c>
      <c r="D13" s="1">
        <v>253491</v>
      </c>
      <c r="E13" s="58">
        <f t="shared" si="1"/>
        <v>75</v>
      </c>
      <c r="F13" s="95">
        <f t="shared" si="2"/>
        <v>75790</v>
      </c>
      <c r="G13" s="387">
        <v>75790</v>
      </c>
      <c r="H13" s="474">
        <f t="shared" si="13"/>
        <v>0</v>
      </c>
      <c r="I13" s="95">
        <f t="shared" si="3"/>
        <v>8374</v>
      </c>
      <c r="J13" s="1">
        <v>8376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21145</v>
      </c>
      <c r="P13" s="383">
        <v>21151</v>
      </c>
      <c r="Q13" s="474">
        <f t="shared" si="7"/>
        <v>6</v>
      </c>
      <c r="R13" s="250"/>
      <c r="S13" s="245">
        <f t="shared" si="15"/>
        <v>68031</v>
      </c>
      <c r="T13" s="384">
        <v>68113</v>
      </c>
      <c r="U13" s="475">
        <f t="shared" si="16"/>
        <v>82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90080</v>
      </c>
      <c r="Z13" s="384">
        <v>90128</v>
      </c>
      <c r="AA13" s="475">
        <f t="shared" si="18"/>
        <v>48</v>
      </c>
      <c r="AB13" s="606">
        <f t="shared" si="22"/>
        <v>18886</v>
      </c>
      <c r="AC13" s="607">
        <v>18902</v>
      </c>
      <c r="AD13" s="609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30502</v>
      </c>
      <c r="AI13" s="385">
        <v>30529</v>
      </c>
      <c r="AJ13" s="475">
        <f t="shared" si="20"/>
        <v>27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173</v>
      </c>
    </row>
    <row r="14" spans="1:40" ht="23.1" customHeight="1">
      <c r="A14" s="57">
        <f>Gen!A19</f>
        <v>44295</v>
      </c>
      <c r="B14" s="4"/>
      <c r="C14" s="95">
        <f t="shared" si="0"/>
        <v>253491</v>
      </c>
      <c r="D14" s="1">
        <v>253538</v>
      </c>
      <c r="E14" s="58">
        <f t="shared" si="1"/>
        <v>47</v>
      </c>
      <c r="F14" s="95">
        <f t="shared" si="2"/>
        <v>75790</v>
      </c>
      <c r="G14" s="387">
        <v>75790</v>
      </c>
      <c r="H14" s="474">
        <f t="shared" si="13"/>
        <v>0</v>
      </c>
      <c r="I14" s="95">
        <f t="shared" si="3"/>
        <v>8376</v>
      </c>
      <c r="J14" s="1">
        <v>8377</v>
      </c>
      <c r="K14" s="474">
        <f t="shared" ref="K14:K27" si="28">IF((J14-J13)&lt;0,"0",(J14-J13))</f>
        <v>1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21151</v>
      </c>
      <c r="P14" s="383">
        <v>21155</v>
      </c>
      <c r="Q14" s="474">
        <f t="shared" si="7"/>
        <v>4</v>
      </c>
      <c r="R14" s="250"/>
      <c r="S14" s="245">
        <f t="shared" si="15"/>
        <v>68113</v>
      </c>
      <c r="T14" s="384">
        <v>68194</v>
      </c>
      <c r="U14" s="475">
        <f t="shared" si="16"/>
        <v>81</v>
      </c>
      <c r="V14" s="245">
        <f t="shared" si="8"/>
        <v>73031</v>
      </c>
      <c r="W14" s="384">
        <v>73031</v>
      </c>
      <c r="X14" s="475">
        <f t="shared" si="17"/>
        <v>0</v>
      </c>
      <c r="Y14" s="245">
        <f t="shared" si="9"/>
        <v>90128</v>
      </c>
      <c r="Z14" s="384">
        <v>90129</v>
      </c>
      <c r="AA14" s="475">
        <f t="shared" si="18"/>
        <v>1</v>
      </c>
      <c r="AB14" s="606">
        <f t="shared" si="22"/>
        <v>18902</v>
      </c>
      <c r="AC14" s="610">
        <v>18918</v>
      </c>
      <c r="AD14" s="609">
        <f t="shared" si="23"/>
        <v>16</v>
      </c>
      <c r="AE14" s="245">
        <f t="shared" si="27"/>
        <v>18300</v>
      </c>
      <c r="AF14" s="385">
        <v>18300</v>
      </c>
      <c r="AG14" s="475">
        <f t="shared" si="19"/>
        <v>0</v>
      </c>
      <c r="AH14" s="245">
        <f t="shared" si="11"/>
        <v>30529</v>
      </c>
      <c r="AI14" s="385">
        <v>30557</v>
      </c>
      <c r="AJ14" s="475">
        <f t="shared" si="20"/>
        <v>28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126</v>
      </c>
    </row>
    <row r="15" spans="1:40" ht="23.1" customHeight="1">
      <c r="A15" s="57">
        <f>Gen!A20</f>
        <v>44296</v>
      </c>
      <c r="B15" s="4"/>
      <c r="C15" s="95">
        <f t="shared" si="0"/>
        <v>253538</v>
      </c>
      <c r="D15" s="1">
        <v>253584</v>
      </c>
      <c r="E15" s="58">
        <f t="shared" si="1"/>
        <v>46</v>
      </c>
      <c r="F15" s="95">
        <f t="shared" si="2"/>
        <v>75790</v>
      </c>
      <c r="G15" s="387">
        <v>75790</v>
      </c>
      <c r="H15" s="474">
        <f t="shared" si="13"/>
        <v>0</v>
      </c>
      <c r="I15" s="95">
        <f t="shared" si="3"/>
        <v>8377</v>
      </c>
      <c r="J15" s="1">
        <v>8379</v>
      </c>
      <c r="K15" s="474">
        <f t="shared" si="28"/>
        <v>2</v>
      </c>
      <c r="L15" s="95">
        <f t="shared" si="5"/>
        <v>0</v>
      </c>
      <c r="M15" s="1"/>
      <c r="N15" s="474">
        <f t="shared" si="14"/>
        <v>0</v>
      </c>
      <c r="O15" s="95">
        <f t="shared" si="6"/>
        <v>21155</v>
      </c>
      <c r="P15" s="383">
        <v>21158</v>
      </c>
      <c r="Q15" s="474">
        <f t="shared" si="7"/>
        <v>3</v>
      </c>
      <c r="R15" s="250"/>
      <c r="S15" s="245">
        <f t="shared" si="15"/>
        <v>68194</v>
      </c>
      <c r="T15" s="384">
        <v>68194</v>
      </c>
      <c r="U15" s="475">
        <f t="shared" si="16"/>
        <v>0</v>
      </c>
      <c r="V15" s="245">
        <f t="shared" si="8"/>
        <v>73031</v>
      </c>
      <c r="W15" s="384">
        <v>73031</v>
      </c>
      <c r="X15" s="475">
        <f t="shared" si="17"/>
        <v>0</v>
      </c>
      <c r="Y15" s="245">
        <f t="shared" si="9"/>
        <v>90129</v>
      </c>
      <c r="Z15" s="384">
        <v>90129</v>
      </c>
      <c r="AA15" s="475">
        <f t="shared" si="18"/>
        <v>0</v>
      </c>
      <c r="AB15" s="606">
        <f t="shared" si="22"/>
        <v>18918</v>
      </c>
      <c r="AC15" s="610">
        <v>18935</v>
      </c>
      <c r="AD15" s="609">
        <f t="shared" si="23"/>
        <v>17</v>
      </c>
      <c r="AE15" s="245">
        <f t="shared" si="27"/>
        <v>18300</v>
      </c>
      <c r="AF15" s="385">
        <v>18300</v>
      </c>
      <c r="AG15" s="475">
        <f t="shared" si="19"/>
        <v>0</v>
      </c>
      <c r="AH15" s="245">
        <f t="shared" si="11"/>
        <v>30557</v>
      </c>
      <c r="AI15" s="385">
        <v>30584</v>
      </c>
      <c r="AJ15" s="475">
        <f t="shared" si="20"/>
        <v>27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44</v>
      </c>
    </row>
    <row r="16" spans="1:40" ht="23.1" customHeight="1">
      <c r="A16" s="57">
        <f>Gen!A21</f>
        <v>44297</v>
      </c>
      <c r="B16" s="4"/>
      <c r="C16" s="95">
        <f t="shared" si="0"/>
        <v>253584</v>
      </c>
      <c r="D16" s="1">
        <v>253634</v>
      </c>
      <c r="E16" s="58">
        <f>IF((D16-D15)&lt;0,"0",(D16-D15))</f>
        <v>50</v>
      </c>
      <c r="F16" s="95">
        <f t="shared" si="2"/>
        <v>75790</v>
      </c>
      <c r="G16" s="387">
        <v>75790</v>
      </c>
      <c r="H16" s="474">
        <f t="shared" si="13"/>
        <v>0</v>
      </c>
      <c r="I16" s="95">
        <f t="shared" si="3"/>
        <v>8379</v>
      </c>
      <c r="J16" s="1">
        <v>8381</v>
      </c>
      <c r="K16" s="474">
        <f t="shared" si="28"/>
        <v>2</v>
      </c>
      <c r="L16" s="95">
        <f t="shared" si="5"/>
        <v>0</v>
      </c>
      <c r="M16" s="1"/>
      <c r="N16" s="474">
        <f t="shared" si="14"/>
        <v>0</v>
      </c>
      <c r="O16" s="95">
        <f t="shared" si="6"/>
        <v>21158</v>
      </c>
      <c r="P16" s="383">
        <v>21161</v>
      </c>
      <c r="Q16" s="474">
        <f t="shared" si="7"/>
        <v>3</v>
      </c>
      <c r="R16" s="250"/>
      <c r="S16" s="245">
        <f t="shared" si="15"/>
        <v>68194</v>
      </c>
      <c r="T16" s="384">
        <v>68194</v>
      </c>
      <c r="U16" s="475">
        <f t="shared" si="16"/>
        <v>0</v>
      </c>
      <c r="V16" s="245">
        <f t="shared" si="8"/>
        <v>73031</v>
      </c>
      <c r="W16" s="384">
        <v>73031</v>
      </c>
      <c r="X16" s="475">
        <f t="shared" si="17"/>
        <v>0</v>
      </c>
      <c r="Y16" s="245">
        <f t="shared" si="9"/>
        <v>90129</v>
      </c>
      <c r="Z16" s="384">
        <v>90129</v>
      </c>
      <c r="AA16" s="475">
        <f t="shared" si="18"/>
        <v>0</v>
      </c>
      <c r="AB16" s="606">
        <f t="shared" si="22"/>
        <v>18935</v>
      </c>
      <c r="AC16" s="610">
        <v>18952</v>
      </c>
      <c r="AD16" s="609">
        <f t="shared" si="23"/>
        <v>17</v>
      </c>
      <c r="AE16" s="245">
        <f t="shared" si="27"/>
        <v>18300</v>
      </c>
      <c r="AF16" s="385">
        <v>18300</v>
      </c>
      <c r="AG16" s="475">
        <f t="shared" si="19"/>
        <v>0</v>
      </c>
      <c r="AH16" s="245">
        <f t="shared" si="11"/>
        <v>30584</v>
      </c>
      <c r="AI16" s="385">
        <v>30610</v>
      </c>
      <c r="AJ16" s="475">
        <f t="shared" si="20"/>
        <v>26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43</v>
      </c>
    </row>
    <row r="17" spans="1:40" ht="23.1" customHeight="1">
      <c r="A17" s="57">
        <f>Gen!A22</f>
        <v>44298</v>
      </c>
      <c r="B17" s="4"/>
      <c r="C17" s="95">
        <f t="shared" si="0"/>
        <v>253634</v>
      </c>
      <c r="D17" s="1">
        <v>253695</v>
      </c>
      <c r="E17" s="474">
        <f>IF((D17-D16)&lt;0,"0",(D17-D16))</f>
        <v>61</v>
      </c>
      <c r="F17" s="95">
        <f t="shared" si="2"/>
        <v>75790</v>
      </c>
      <c r="G17" s="387">
        <v>75790</v>
      </c>
      <c r="H17" s="474">
        <f t="shared" si="13"/>
        <v>0</v>
      </c>
      <c r="I17" s="95">
        <f t="shared" si="3"/>
        <v>8381</v>
      </c>
      <c r="J17" s="1">
        <v>8382</v>
      </c>
      <c r="K17" s="474">
        <f t="shared" si="28"/>
        <v>1</v>
      </c>
      <c r="L17" s="95">
        <f t="shared" si="5"/>
        <v>0</v>
      </c>
      <c r="M17" s="1"/>
      <c r="N17" s="474">
        <f t="shared" si="14"/>
        <v>0</v>
      </c>
      <c r="O17" s="95">
        <f t="shared" si="6"/>
        <v>21161</v>
      </c>
      <c r="P17" s="383">
        <v>21167</v>
      </c>
      <c r="Q17" s="474">
        <f t="shared" si="7"/>
        <v>6</v>
      </c>
      <c r="R17" s="250"/>
      <c r="S17" s="245">
        <f t="shared" si="15"/>
        <v>68194</v>
      </c>
      <c r="T17" s="384">
        <v>68194</v>
      </c>
      <c r="U17" s="475">
        <f t="shared" si="16"/>
        <v>0</v>
      </c>
      <c r="V17" s="245">
        <f t="shared" si="8"/>
        <v>73031</v>
      </c>
      <c r="W17" s="384">
        <v>73031</v>
      </c>
      <c r="X17" s="475">
        <f>IF((W17-W16)&lt;0,"0",(W17-W16))</f>
        <v>0</v>
      </c>
      <c r="Y17" s="245">
        <f t="shared" si="9"/>
        <v>90129</v>
      </c>
      <c r="Z17" s="384">
        <v>90129</v>
      </c>
      <c r="AA17" s="475">
        <f>IF((Z17-Z16)&lt;0,"0",(Z17-Z16))</f>
        <v>0</v>
      </c>
      <c r="AB17" s="606">
        <f t="shared" si="22"/>
        <v>18952</v>
      </c>
      <c r="AC17" s="610">
        <v>18968</v>
      </c>
      <c r="AD17" s="609">
        <f t="shared" si="23"/>
        <v>16</v>
      </c>
      <c r="AE17" s="245">
        <f t="shared" si="27"/>
        <v>18300</v>
      </c>
      <c r="AF17" s="385">
        <v>18300</v>
      </c>
      <c r="AG17" s="475">
        <f t="shared" si="19"/>
        <v>0</v>
      </c>
      <c r="AH17" s="245">
        <f t="shared" si="11"/>
        <v>30610</v>
      </c>
      <c r="AI17" s="385">
        <v>30643</v>
      </c>
      <c r="AJ17" s="475">
        <f t="shared" si="20"/>
        <v>33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49</v>
      </c>
    </row>
    <row r="18" spans="1:40" ht="23.1" customHeight="1">
      <c r="A18" s="57">
        <f>Gen!A23</f>
        <v>44299</v>
      </c>
      <c r="B18" s="4"/>
      <c r="C18" s="95">
        <f t="shared" si="0"/>
        <v>253695</v>
      </c>
      <c r="D18" s="1">
        <v>253876</v>
      </c>
      <c r="E18" s="474">
        <f t="shared" ref="E18:E37" si="29">IF((D18-D17)&lt;0,"0",(D18-D17))</f>
        <v>181</v>
      </c>
      <c r="F18" s="95">
        <f t="shared" si="2"/>
        <v>75790</v>
      </c>
      <c r="G18" s="387">
        <v>75790</v>
      </c>
      <c r="H18" s="474">
        <f t="shared" si="13"/>
        <v>0</v>
      </c>
      <c r="I18" s="95"/>
      <c r="J18" s="1">
        <v>8383</v>
      </c>
      <c r="K18" s="474">
        <f t="shared" si="28"/>
        <v>1</v>
      </c>
      <c r="L18" s="95">
        <f t="shared" si="5"/>
        <v>0</v>
      </c>
      <c r="M18" s="1"/>
      <c r="N18" s="474">
        <f t="shared" si="14"/>
        <v>0</v>
      </c>
      <c r="O18" s="95">
        <f t="shared" si="6"/>
        <v>21167</v>
      </c>
      <c r="P18" s="383">
        <v>21169</v>
      </c>
      <c r="Q18" s="474">
        <f t="shared" si="7"/>
        <v>2</v>
      </c>
      <c r="R18" s="250"/>
      <c r="S18" s="245">
        <f t="shared" si="15"/>
        <v>68194</v>
      </c>
      <c r="T18" s="384">
        <v>68194</v>
      </c>
      <c r="U18" s="475">
        <f t="shared" si="16"/>
        <v>0</v>
      </c>
      <c r="V18" s="245">
        <f t="shared" si="8"/>
        <v>73031</v>
      </c>
      <c r="W18" s="384">
        <v>73031</v>
      </c>
      <c r="X18" s="475">
        <f t="shared" si="17"/>
        <v>0</v>
      </c>
      <c r="Y18" s="245">
        <f t="shared" si="9"/>
        <v>90129</v>
      </c>
      <c r="Z18" s="384">
        <v>90129</v>
      </c>
      <c r="AA18" s="475">
        <f t="shared" si="18"/>
        <v>0</v>
      </c>
      <c r="AB18" s="606">
        <f t="shared" si="22"/>
        <v>18968</v>
      </c>
      <c r="AC18" s="610">
        <v>18984</v>
      </c>
      <c r="AD18" s="609">
        <f t="shared" si="23"/>
        <v>16</v>
      </c>
      <c r="AE18" s="245">
        <f t="shared" si="27"/>
        <v>18300</v>
      </c>
      <c r="AF18" s="385">
        <v>18300</v>
      </c>
      <c r="AG18" s="475">
        <f t="shared" si="19"/>
        <v>0</v>
      </c>
      <c r="AH18" s="245">
        <f>AI17</f>
        <v>30643</v>
      </c>
      <c r="AI18" s="385">
        <v>30672</v>
      </c>
      <c r="AJ18" s="475">
        <f t="shared" si="20"/>
        <v>29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45</v>
      </c>
    </row>
    <row r="19" spans="1:40" ht="23.1" customHeight="1">
      <c r="A19" s="57">
        <f>Gen!A24</f>
        <v>44300</v>
      </c>
      <c r="B19" s="4"/>
      <c r="C19" s="95">
        <f t="shared" si="0"/>
        <v>253876</v>
      </c>
      <c r="D19" s="1">
        <v>253922</v>
      </c>
      <c r="E19" s="474">
        <f t="shared" si="29"/>
        <v>46</v>
      </c>
      <c r="F19" s="95">
        <f t="shared" si="2"/>
        <v>75790</v>
      </c>
      <c r="G19" s="387">
        <v>75790</v>
      </c>
      <c r="H19" s="474">
        <f t="shared" si="13"/>
        <v>0</v>
      </c>
      <c r="I19" s="95">
        <f t="shared" si="3"/>
        <v>8383</v>
      </c>
      <c r="J19" s="1">
        <v>8384</v>
      </c>
      <c r="K19" s="474">
        <f t="shared" si="28"/>
        <v>1</v>
      </c>
      <c r="L19" s="95">
        <f t="shared" si="5"/>
        <v>0</v>
      </c>
      <c r="M19" s="1"/>
      <c r="N19" s="474">
        <f t="shared" si="14"/>
        <v>0</v>
      </c>
      <c r="O19" s="95">
        <f t="shared" si="6"/>
        <v>21169</v>
      </c>
      <c r="P19" s="383">
        <v>21171</v>
      </c>
      <c r="Q19" s="474">
        <f t="shared" si="7"/>
        <v>2</v>
      </c>
      <c r="R19" s="250"/>
      <c r="S19" s="245">
        <f t="shared" si="15"/>
        <v>68194</v>
      </c>
      <c r="T19" s="384">
        <v>68283</v>
      </c>
      <c r="U19" s="475">
        <f t="shared" si="16"/>
        <v>89</v>
      </c>
      <c r="V19" s="245">
        <f t="shared" si="8"/>
        <v>73031</v>
      </c>
      <c r="W19" s="384">
        <v>73031</v>
      </c>
      <c r="X19" s="475">
        <f t="shared" si="17"/>
        <v>0</v>
      </c>
      <c r="Y19" s="245">
        <f t="shared" si="9"/>
        <v>90129</v>
      </c>
      <c r="Z19" s="384">
        <v>90129</v>
      </c>
      <c r="AA19" s="475">
        <f t="shared" si="18"/>
        <v>0</v>
      </c>
      <c r="AB19" s="606">
        <f t="shared" si="22"/>
        <v>18984</v>
      </c>
      <c r="AC19" s="610">
        <v>19001</v>
      </c>
      <c r="AD19" s="609">
        <f t="shared" si="23"/>
        <v>17</v>
      </c>
      <c r="AE19" s="245">
        <f t="shared" si="27"/>
        <v>18300</v>
      </c>
      <c r="AF19" s="385">
        <v>18300</v>
      </c>
      <c r="AG19" s="475">
        <f t="shared" si="19"/>
        <v>0</v>
      </c>
      <c r="AH19" s="245">
        <f>AI18</f>
        <v>30672</v>
      </c>
      <c r="AI19" s="385">
        <v>30691</v>
      </c>
      <c r="AJ19" s="475">
        <f t="shared" si="20"/>
        <v>19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125</v>
      </c>
    </row>
    <row r="20" spans="1:40" ht="23.1" customHeight="1">
      <c r="A20" s="57">
        <f>Gen!A25</f>
        <v>44301</v>
      </c>
      <c r="B20" s="4"/>
      <c r="C20" s="95">
        <f t="shared" si="0"/>
        <v>253922</v>
      </c>
      <c r="D20" s="1">
        <v>253969</v>
      </c>
      <c r="E20" s="474">
        <f t="shared" si="29"/>
        <v>47</v>
      </c>
      <c r="F20" s="95">
        <f t="shared" si="2"/>
        <v>75790</v>
      </c>
      <c r="G20" s="387">
        <v>75790</v>
      </c>
      <c r="H20" s="474">
        <f t="shared" si="13"/>
        <v>0</v>
      </c>
      <c r="I20" s="95">
        <f t="shared" si="3"/>
        <v>8384</v>
      </c>
      <c r="J20" s="1">
        <v>8385</v>
      </c>
      <c r="K20" s="474">
        <f t="shared" si="28"/>
        <v>1</v>
      </c>
      <c r="L20" s="95">
        <f t="shared" si="5"/>
        <v>0</v>
      </c>
      <c r="M20" s="1"/>
      <c r="N20" s="474">
        <f t="shared" si="14"/>
        <v>0</v>
      </c>
      <c r="O20" s="95">
        <f t="shared" si="6"/>
        <v>21171</v>
      </c>
      <c r="P20" s="383">
        <v>21176</v>
      </c>
      <c r="Q20" s="474">
        <f t="shared" si="7"/>
        <v>5</v>
      </c>
      <c r="R20" s="250"/>
      <c r="S20" s="245">
        <f t="shared" si="15"/>
        <v>68283</v>
      </c>
      <c r="T20" s="384">
        <v>68365</v>
      </c>
      <c r="U20" s="475">
        <f t="shared" si="16"/>
        <v>82</v>
      </c>
      <c r="V20" s="245">
        <f t="shared" si="8"/>
        <v>73031</v>
      </c>
      <c r="W20" s="384">
        <v>73031</v>
      </c>
      <c r="X20" s="475">
        <f t="shared" si="17"/>
        <v>0</v>
      </c>
      <c r="Y20" s="245">
        <f t="shared" si="9"/>
        <v>90129</v>
      </c>
      <c r="Z20" s="384">
        <v>90129</v>
      </c>
      <c r="AA20" s="475">
        <f t="shared" si="18"/>
        <v>0</v>
      </c>
      <c r="AB20" s="606">
        <f t="shared" si="22"/>
        <v>19001</v>
      </c>
      <c r="AC20" s="610">
        <v>19017</v>
      </c>
      <c r="AD20" s="609">
        <f t="shared" si="23"/>
        <v>16</v>
      </c>
      <c r="AE20" s="245">
        <f t="shared" si="27"/>
        <v>18300</v>
      </c>
      <c r="AF20" s="385">
        <v>18300</v>
      </c>
      <c r="AG20" s="475">
        <f t="shared" si="19"/>
        <v>0</v>
      </c>
      <c r="AH20" s="245">
        <f t="shared" si="11"/>
        <v>30691</v>
      </c>
      <c r="AI20" s="385">
        <v>30730</v>
      </c>
      <c r="AJ20" s="475">
        <f t="shared" si="20"/>
        <v>39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137</v>
      </c>
    </row>
    <row r="21" spans="1:40" ht="23.1" customHeight="1">
      <c r="A21" s="57">
        <f>Gen!A26</f>
        <v>44302</v>
      </c>
      <c r="B21" s="4"/>
      <c r="C21" s="95">
        <f t="shared" si="0"/>
        <v>253969</v>
      </c>
      <c r="D21" s="1">
        <v>254009</v>
      </c>
      <c r="E21" s="474">
        <f t="shared" si="29"/>
        <v>40</v>
      </c>
      <c r="F21" s="95">
        <f t="shared" si="2"/>
        <v>75790</v>
      </c>
      <c r="G21" s="387">
        <v>75790</v>
      </c>
      <c r="H21" s="474">
        <f t="shared" si="13"/>
        <v>0</v>
      </c>
      <c r="I21" s="95">
        <f t="shared" si="3"/>
        <v>8385</v>
      </c>
      <c r="J21" s="1">
        <v>8387</v>
      </c>
      <c r="K21" s="474">
        <f t="shared" si="28"/>
        <v>2</v>
      </c>
      <c r="L21" s="95">
        <f t="shared" si="5"/>
        <v>0</v>
      </c>
      <c r="M21" s="1"/>
      <c r="N21" s="474">
        <f t="shared" si="14"/>
        <v>0</v>
      </c>
      <c r="O21" s="95">
        <f t="shared" si="6"/>
        <v>21176</v>
      </c>
      <c r="P21" s="383">
        <v>21178</v>
      </c>
      <c r="Q21" s="474">
        <f t="shared" si="7"/>
        <v>2</v>
      </c>
      <c r="R21" s="250"/>
      <c r="S21" s="245">
        <f t="shared" si="15"/>
        <v>68365</v>
      </c>
      <c r="T21" s="384">
        <v>68447</v>
      </c>
      <c r="U21" s="475">
        <f t="shared" si="16"/>
        <v>82</v>
      </c>
      <c r="V21" s="245">
        <f t="shared" ref="V21:V35" si="31">W20</f>
        <v>73031</v>
      </c>
      <c r="W21" s="384">
        <v>73031</v>
      </c>
      <c r="X21" s="475">
        <f t="shared" si="17"/>
        <v>0</v>
      </c>
      <c r="Y21" s="245">
        <f t="shared" si="9"/>
        <v>90129</v>
      </c>
      <c r="Z21" s="384">
        <v>90129</v>
      </c>
      <c r="AA21" s="475">
        <f t="shared" si="18"/>
        <v>0</v>
      </c>
      <c r="AB21" s="606">
        <f t="shared" si="22"/>
        <v>19017</v>
      </c>
      <c r="AC21" s="610">
        <v>19034</v>
      </c>
      <c r="AD21" s="609">
        <f t="shared" si="23"/>
        <v>17</v>
      </c>
      <c r="AE21" s="245">
        <f t="shared" si="10"/>
        <v>18300</v>
      </c>
      <c r="AF21" s="385">
        <v>18300</v>
      </c>
      <c r="AG21" s="475">
        <f t="shared" si="19"/>
        <v>0</v>
      </c>
      <c r="AH21" s="245">
        <f t="shared" si="11"/>
        <v>30730</v>
      </c>
      <c r="AI21" s="385">
        <v>30759</v>
      </c>
      <c r="AJ21" s="475">
        <f t="shared" si="20"/>
        <v>29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128</v>
      </c>
    </row>
    <row r="22" spans="1:40" ht="23.1" customHeight="1">
      <c r="A22" s="57">
        <f>Gen!A27</f>
        <v>44303</v>
      </c>
      <c r="B22" s="4"/>
      <c r="C22" s="95">
        <f t="shared" si="0"/>
        <v>254009</v>
      </c>
      <c r="D22" s="1">
        <v>254061</v>
      </c>
      <c r="E22" s="474">
        <f t="shared" si="29"/>
        <v>52</v>
      </c>
      <c r="F22" s="95">
        <f t="shared" si="2"/>
        <v>75790</v>
      </c>
      <c r="G22" s="387">
        <v>75790</v>
      </c>
      <c r="H22" s="474">
        <f t="shared" si="13"/>
        <v>0</v>
      </c>
      <c r="I22" s="95">
        <f t="shared" si="3"/>
        <v>8387</v>
      </c>
      <c r="J22" s="1">
        <v>8389</v>
      </c>
      <c r="K22" s="474">
        <f t="shared" si="28"/>
        <v>2</v>
      </c>
      <c r="L22" s="95">
        <f t="shared" si="5"/>
        <v>0</v>
      </c>
      <c r="M22" s="1"/>
      <c r="N22" s="474">
        <f t="shared" si="14"/>
        <v>0</v>
      </c>
      <c r="O22" s="95">
        <f t="shared" si="6"/>
        <v>21178</v>
      </c>
      <c r="P22" s="383">
        <v>21183</v>
      </c>
      <c r="Q22" s="474">
        <f t="shared" si="7"/>
        <v>5</v>
      </c>
      <c r="R22" s="250"/>
      <c r="S22" s="245">
        <f t="shared" si="15"/>
        <v>68447</v>
      </c>
      <c r="T22" s="384">
        <v>68528</v>
      </c>
      <c r="U22" s="475">
        <f t="shared" si="16"/>
        <v>81</v>
      </c>
      <c r="V22" s="245">
        <f t="shared" si="31"/>
        <v>73031</v>
      </c>
      <c r="W22" s="384">
        <v>73031</v>
      </c>
      <c r="X22" s="475">
        <f t="shared" si="17"/>
        <v>0</v>
      </c>
      <c r="Y22" s="245">
        <f t="shared" si="9"/>
        <v>90129</v>
      </c>
      <c r="Z22" s="384">
        <v>90129</v>
      </c>
      <c r="AA22" s="475">
        <f t="shared" si="18"/>
        <v>0</v>
      </c>
      <c r="AB22" s="606">
        <f t="shared" si="22"/>
        <v>19034</v>
      </c>
      <c r="AC22" s="610">
        <v>19050</v>
      </c>
      <c r="AD22" s="609">
        <f t="shared" si="23"/>
        <v>16</v>
      </c>
      <c r="AE22" s="245">
        <f t="shared" si="10"/>
        <v>18300</v>
      </c>
      <c r="AF22" s="385">
        <v>18300</v>
      </c>
      <c r="AG22" s="475">
        <f t="shared" si="19"/>
        <v>0</v>
      </c>
      <c r="AH22" s="245">
        <f t="shared" si="11"/>
        <v>30759</v>
      </c>
      <c r="AI22" s="385">
        <v>30787</v>
      </c>
      <c r="AJ22" s="475">
        <f t="shared" si="20"/>
        <v>28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125</v>
      </c>
    </row>
    <row r="23" spans="1:40" ht="23.1" customHeight="1">
      <c r="A23" s="57">
        <f>Gen!A28</f>
        <v>44304</v>
      </c>
      <c r="B23" s="4"/>
      <c r="C23" s="95">
        <f t="shared" si="0"/>
        <v>254061</v>
      </c>
      <c r="D23" s="1">
        <v>254114</v>
      </c>
      <c r="E23" s="474">
        <f t="shared" si="29"/>
        <v>53</v>
      </c>
      <c r="F23" s="95">
        <f t="shared" si="2"/>
        <v>75790</v>
      </c>
      <c r="G23" s="387">
        <v>75790</v>
      </c>
      <c r="H23" s="474">
        <f t="shared" si="13"/>
        <v>0</v>
      </c>
      <c r="I23" s="95">
        <f t="shared" si="3"/>
        <v>8389</v>
      </c>
      <c r="J23" s="1">
        <v>8390</v>
      </c>
      <c r="K23" s="474">
        <f t="shared" si="28"/>
        <v>1</v>
      </c>
      <c r="L23" s="95">
        <f t="shared" si="5"/>
        <v>0</v>
      </c>
      <c r="M23" s="1"/>
      <c r="N23" s="474">
        <f t="shared" si="14"/>
        <v>0</v>
      </c>
      <c r="O23" s="95">
        <f t="shared" si="6"/>
        <v>21183</v>
      </c>
      <c r="P23" s="383">
        <v>21187</v>
      </c>
      <c r="Q23" s="474">
        <f t="shared" si="7"/>
        <v>4</v>
      </c>
      <c r="R23" s="250"/>
      <c r="S23" s="245">
        <f t="shared" si="15"/>
        <v>68528</v>
      </c>
      <c r="T23" s="384">
        <v>68609</v>
      </c>
      <c r="U23" s="475">
        <f t="shared" si="16"/>
        <v>81</v>
      </c>
      <c r="V23" s="245">
        <f t="shared" si="31"/>
        <v>73031</v>
      </c>
      <c r="W23" s="384">
        <v>73031</v>
      </c>
      <c r="X23" s="475">
        <f t="shared" si="17"/>
        <v>0</v>
      </c>
      <c r="Y23" s="245">
        <f t="shared" si="9"/>
        <v>90129</v>
      </c>
      <c r="Z23" s="384">
        <v>90129</v>
      </c>
      <c r="AA23" s="475">
        <f t="shared" si="18"/>
        <v>0</v>
      </c>
      <c r="AB23" s="606">
        <f t="shared" si="22"/>
        <v>19050</v>
      </c>
      <c r="AC23" s="607">
        <v>19067</v>
      </c>
      <c r="AD23" s="609">
        <f t="shared" si="23"/>
        <v>17</v>
      </c>
      <c r="AE23" s="245">
        <f t="shared" si="10"/>
        <v>18300</v>
      </c>
      <c r="AF23" s="385">
        <v>18300</v>
      </c>
      <c r="AG23" s="475">
        <f t="shared" si="19"/>
        <v>0</v>
      </c>
      <c r="AH23" s="245">
        <f t="shared" si="11"/>
        <v>30787</v>
      </c>
      <c r="AI23" s="385">
        <v>30814</v>
      </c>
      <c r="AJ23" s="475">
        <f t="shared" si="20"/>
        <v>27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125</v>
      </c>
    </row>
    <row r="24" spans="1:40" ht="23.1" customHeight="1">
      <c r="A24" s="57">
        <f>Gen!A29</f>
        <v>44305</v>
      </c>
      <c r="B24" s="4"/>
      <c r="C24" s="95">
        <f t="shared" si="0"/>
        <v>254114</v>
      </c>
      <c r="D24" s="1">
        <v>254172</v>
      </c>
      <c r="E24" s="474">
        <f t="shared" si="29"/>
        <v>58</v>
      </c>
      <c r="F24" s="95">
        <f t="shared" si="2"/>
        <v>75790</v>
      </c>
      <c r="G24" s="387">
        <v>75790</v>
      </c>
      <c r="H24" s="474">
        <f t="shared" si="13"/>
        <v>0</v>
      </c>
      <c r="I24" s="95">
        <f t="shared" si="3"/>
        <v>8390</v>
      </c>
      <c r="J24" s="1">
        <v>8391</v>
      </c>
      <c r="K24" s="474">
        <f t="shared" si="28"/>
        <v>1</v>
      </c>
      <c r="L24" s="95">
        <f t="shared" si="5"/>
        <v>0</v>
      </c>
      <c r="M24" s="1"/>
      <c r="N24" s="474">
        <f t="shared" si="14"/>
        <v>0</v>
      </c>
      <c r="O24" s="95">
        <f t="shared" si="6"/>
        <v>21187</v>
      </c>
      <c r="P24" s="383">
        <v>21191</v>
      </c>
      <c r="Q24" s="474">
        <f t="shared" si="7"/>
        <v>4</v>
      </c>
      <c r="R24" s="250"/>
      <c r="S24" s="245">
        <f t="shared" si="15"/>
        <v>68609</v>
      </c>
      <c r="T24" s="384">
        <v>68609</v>
      </c>
      <c r="U24" s="475">
        <f t="shared" si="16"/>
        <v>0</v>
      </c>
      <c r="V24" s="245">
        <f t="shared" si="31"/>
        <v>73031</v>
      </c>
      <c r="W24" s="384">
        <v>73031</v>
      </c>
      <c r="X24" s="475">
        <f t="shared" si="17"/>
        <v>0</v>
      </c>
      <c r="Y24" s="245">
        <f t="shared" si="9"/>
        <v>90129</v>
      </c>
      <c r="Z24" s="384">
        <v>90129</v>
      </c>
      <c r="AA24" s="475">
        <f t="shared" si="18"/>
        <v>0</v>
      </c>
      <c r="AB24" s="606">
        <f t="shared" si="22"/>
        <v>19067</v>
      </c>
      <c r="AC24" s="607">
        <v>19083</v>
      </c>
      <c r="AD24" s="609">
        <f t="shared" si="23"/>
        <v>16</v>
      </c>
      <c r="AE24" s="245">
        <f t="shared" si="10"/>
        <v>18300</v>
      </c>
      <c r="AF24" s="385">
        <v>18300</v>
      </c>
      <c r="AG24" s="475">
        <f t="shared" si="19"/>
        <v>0</v>
      </c>
      <c r="AH24" s="245">
        <f t="shared" si="11"/>
        <v>30814</v>
      </c>
      <c r="AI24" s="385">
        <v>30844</v>
      </c>
      <c r="AJ24" s="475">
        <f t="shared" si="20"/>
        <v>30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46</v>
      </c>
    </row>
    <row r="25" spans="1:40" ht="23.1" customHeight="1">
      <c r="A25" s="57">
        <f>Gen!A30</f>
        <v>44306</v>
      </c>
      <c r="B25" s="4"/>
      <c r="C25" s="95">
        <f>D24</f>
        <v>254172</v>
      </c>
      <c r="D25" s="1">
        <v>254238</v>
      </c>
      <c r="E25" s="474">
        <f t="shared" si="29"/>
        <v>66</v>
      </c>
      <c r="F25" s="95">
        <f t="shared" si="2"/>
        <v>75790</v>
      </c>
      <c r="G25" s="387">
        <v>75790</v>
      </c>
      <c r="H25" s="474">
        <f>IF((G26-G24)&lt;0,"0",(G26-G24))</f>
        <v>0</v>
      </c>
      <c r="I25" s="95">
        <f t="shared" ref="I25:I37" si="32">J24</f>
        <v>8391</v>
      </c>
      <c r="J25" s="1">
        <v>8392</v>
      </c>
      <c r="K25" s="474">
        <f t="shared" si="28"/>
        <v>1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21191</v>
      </c>
      <c r="P25" s="383">
        <v>21194</v>
      </c>
      <c r="Q25" s="474">
        <f t="shared" si="7"/>
        <v>3</v>
      </c>
      <c r="R25" s="250"/>
      <c r="S25" s="245">
        <f t="shared" ref="S25:S37" si="35">T24</f>
        <v>68609</v>
      </c>
      <c r="T25" s="384">
        <v>68609</v>
      </c>
      <c r="U25" s="475">
        <f t="shared" ref="U25:U37" si="36">IF((T25-T24)&lt;0,"0",(T25-T24))</f>
        <v>0</v>
      </c>
      <c r="V25" s="245">
        <f t="shared" si="31"/>
        <v>73031</v>
      </c>
      <c r="W25" s="384">
        <v>73031</v>
      </c>
      <c r="X25" s="475">
        <f t="shared" si="17"/>
        <v>0</v>
      </c>
      <c r="Y25" s="245">
        <f t="shared" si="9"/>
        <v>90129</v>
      </c>
      <c r="Z25" s="384">
        <v>90129</v>
      </c>
      <c r="AA25" s="475">
        <f t="shared" si="18"/>
        <v>0</v>
      </c>
      <c r="AB25" s="606">
        <f t="shared" si="22"/>
        <v>19083</v>
      </c>
      <c r="AC25" s="607">
        <v>19099</v>
      </c>
      <c r="AD25" s="609">
        <f t="shared" si="23"/>
        <v>16</v>
      </c>
      <c r="AE25" s="245">
        <f t="shared" si="10"/>
        <v>18300</v>
      </c>
      <c r="AF25" s="385">
        <v>18300</v>
      </c>
      <c r="AG25" s="475">
        <f t="shared" si="19"/>
        <v>0</v>
      </c>
      <c r="AH25" s="245">
        <f t="shared" si="11"/>
        <v>30844</v>
      </c>
      <c r="AI25" s="385">
        <v>30872</v>
      </c>
      <c r="AJ25" s="475">
        <f t="shared" si="20"/>
        <v>28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44</v>
      </c>
    </row>
    <row r="26" spans="1:40" ht="23.1" customHeight="1">
      <c r="A26" s="57">
        <f>Gen!A31</f>
        <v>44307</v>
      </c>
      <c r="B26" s="4"/>
      <c r="C26" s="95">
        <f>D25</f>
        <v>254238</v>
      </c>
      <c r="D26" s="1">
        <v>254285</v>
      </c>
      <c r="E26" s="474">
        <f t="shared" si="29"/>
        <v>47</v>
      </c>
      <c r="F26" s="95">
        <f>G26</f>
        <v>75790</v>
      </c>
      <c r="G26" s="387">
        <v>75790</v>
      </c>
      <c r="H26" s="474">
        <f t="shared" ref="H26:H27" si="37">IF((G27-G25)&lt;0,"0",(G27-G25))</f>
        <v>0</v>
      </c>
      <c r="I26" s="95">
        <f t="shared" si="32"/>
        <v>8392</v>
      </c>
      <c r="J26" s="1">
        <v>8395</v>
      </c>
      <c r="K26" s="474">
        <f t="shared" si="28"/>
        <v>3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21194</v>
      </c>
      <c r="P26" s="383">
        <v>21197</v>
      </c>
      <c r="Q26" s="474">
        <f t="shared" si="7"/>
        <v>3</v>
      </c>
      <c r="R26" s="250"/>
      <c r="S26" s="245">
        <f t="shared" si="35"/>
        <v>68609</v>
      </c>
      <c r="T26" s="384">
        <v>68609</v>
      </c>
      <c r="U26" s="475">
        <f t="shared" si="36"/>
        <v>0</v>
      </c>
      <c r="V26" s="245">
        <f t="shared" si="31"/>
        <v>73031</v>
      </c>
      <c r="W26" s="384">
        <v>73031</v>
      </c>
      <c r="X26" s="475">
        <f t="shared" si="17"/>
        <v>0</v>
      </c>
      <c r="Y26" s="245">
        <f t="shared" si="9"/>
        <v>90129</v>
      </c>
      <c r="Z26" s="384">
        <v>90129</v>
      </c>
      <c r="AA26" s="475">
        <f t="shared" si="18"/>
        <v>0</v>
      </c>
      <c r="AB26" s="606">
        <f t="shared" si="22"/>
        <v>19099</v>
      </c>
      <c r="AC26" s="607">
        <v>19116</v>
      </c>
      <c r="AD26" s="609">
        <f t="shared" si="23"/>
        <v>17</v>
      </c>
      <c r="AE26" s="245">
        <f t="shared" si="10"/>
        <v>18300</v>
      </c>
      <c r="AF26" s="385">
        <v>18300</v>
      </c>
      <c r="AG26" s="475">
        <f t="shared" si="19"/>
        <v>0</v>
      </c>
      <c r="AH26" s="245">
        <f t="shared" si="11"/>
        <v>30872</v>
      </c>
      <c r="AI26" s="385">
        <v>30901</v>
      </c>
      <c r="AJ26" s="475">
        <f t="shared" si="20"/>
        <v>29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46</v>
      </c>
    </row>
    <row r="27" spans="1:40" ht="23.1" customHeight="1">
      <c r="A27" s="57">
        <f>Gen!A32</f>
        <v>44308</v>
      </c>
      <c r="B27" s="4"/>
      <c r="C27" s="95">
        <f>D26</f>
        <v>254285</v>
      </c>
      <c r="D27" s="1">
        <v>254335</v>
      </c>
      <c r="E27" s="474">
        <f t="shared" si="29"/>
        <v>50</v>
      </c>
      <c r="F27" s="95">
        <f t="shared" ref="F27:F31" si="39">G27</f>
        <v>75790</v>
      </c>
      <c r="G27" s="387">
        <v>75790</v>
      </c>
      <c r="H27" s="474">
        <f t="shared" si="37"/>
        <v>0</v>
      </c>
      <c r="I27" s="95">
        <f t="shared" si="32"/>
        <v>8395</v>
      </c>
      <c r="J27" s="1">
        <v>8397</v>
      </c>
      <c r="K27" s="474">
        <f t="shared" si="28"/>
        <v>2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21197</v>
      </c>
      <c r="P27" s="383">
        <v>21203</v>
      </c>
      <c r="Q27" s="474">
        <f t="shared" si="7"/>
        <v>6</v>
      </c>
      <c r="R27" s="250"/>
      <c r="S27" s="245">
        <f t="shared" si="35"/>
        <v>68609</v>
      </c>
      <c r="T27" s="384">
        <v>68670</v>
      </c>
      <c r="U27" s="475">
        <f t="shared" si="36"/>
        <v>61</v>
      </c>
      <c r="V27" s="245">
        <f t="shared" si="31"/>
        <v>73031</v>
      </c>
      <c r="W27" s="384">
        <v>73031</v>
      </c>
      <c r="X27" s="475">
        <f t="shared" si="17"/>
        <v>0</v>
      </c>
      <c r="Y27" s="245">
        <f t="shared" si="9"/>
        <v>90129</v>
      </c>
      <c r="Z27" s="384">
        <v>90129</v>
      </c>
      <c r="AA27" s="475">
        <f t="shared" si="18"/>
        <v>0</v>
      </c>
      <c r="AB27" s="606">
        <f t="shared" si="22"/>
        <v>19116</v>
      </c>
      <c r="AC27" s="607">
        <v>19132</v>
      </c>
      <c r="AD27" s="609">
        <f t="shared" si="23"/>
        <v>16</v>
      </c>
      <c r="AE27" s="245">
        <f t="shared" si="10"/>
        <v>18300</v>
      </c>
      <c r="AF27" s="385">
        <v>18300</v>
      </c>
      <c r="AG27" s="475">
        <f t="shared" si="19"/>
        <v>0</v>
      </c>
      <c r="AH27" s="245">
        <f t="shared" si="11"/>
        <v>30901</v>
      </c>
      <c r="AI27" s="385">
        <v>30929</v>
      </c>
      <c r="AJ27" s="475">
        <f t="shared" si="20"/>
        <v>28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105</v>
      </c>
    </row>
    <row r="28" spans="1:40" ht="23.1" customHeight="1">
      <c r="A28" s="57">
        <f>Gen!A33</f>
        <v>44309</v>
      </c>
      <c r="B28" s="4"/>
      <c r="C28" s="95">
        <f t="shared" ref="C28:C37" si="40">D27</f>
        <v>254335</v>
      </c>
      <c r="D28" s="1">
        <v>254382</v>
      </c>
      <c r="E28" s="474">
        <f t="shared" si="29"/>
        <v>47</v>
      </c>
      <c r="F28" s="95">
        <f t="shared" si="39"/>
        <v>75790</v>
      </c>
      <c r="G28" s="387">
        <v>75790</v>
      </c>
      <c r="H28" s="474">
        <f t="shared" ref="H28:H37" si="41">IF((G28-G27)&lt;0,"0",(G28-G27))</f>
        <v>0</v>
      </c>
      <c r="I28" s="95">
        <f t="shared" si="32"/>
        <v>8397</v>
      </c>
      <c r="J28" s="1">
        <v>8398</v>
      </c>
      <c r="K28" s="474">
        <f>IF((J28-J27)&lt;0,"0",(J28-J27))</f>
        <v>1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21203</v>
      </c>
      <c r="P28" s="383">
        <v>21205</v>
      </c>
      <c r="Q28" s="474">
        <f t="shared" ref="Q28:Q37" si="42">IF((P28-P27)&lt;0,"0",(P28-P27))</f>
        <v>2</v>
      </c>
      <c r="R28" s="250"/>
      <c r="S28" s="245">
        <f t="shared" si="35"/>
        <v>68670</v>
      </c>
      <c r="T28" s="384">
        <v>68752</v>
      </c>
      <c r="U28" s="475">
        <f t="shared" si="36"/>
        <v>82</v>
      </c>
      <c r="V28" s="245">
        <f t="shared" si="31"/>
        <v>73031</v>
      </c>
      <c r="W28" s="384">
        <v>73031</v>
      </c>
      <c r="X28" s="475">
        <f t="shared" si="17"/>
        <v>0</v>
      </c>
      <c r="Y28" s="245">
        <f t="shared" si="9"/>
        <v>90129</v>
      </c>
      <c r="Z28" s="384">
        <v>90129</v>
      </c>
      <c r="AA28" s="475">
        <f t="shared" si="18"/>
        <v>0</v>
      </c>
      <c r="AB28" s="606">
        <f t="shared" si="22"/>
        <v>19132</v>
      </c>
      <c r="AC28" s="607">
        <v>19148</v>
      </c>
      <c r="AD28" s="609">
        <f t="shared" si="23"/>
        <v>16</v>
      </c>
      <c r="AE28" s="245">
        <f t="shared" si="10"/>
        <v>18300</v>
      </c>
      <c r="AF28" s="385">
        <v>18300</v>
      </c>
      <c r="AG28" s="475">
        <f t="shared" si="19"/>
        <v>0</v>
      </c>
      <c r="AH28" s="245">
        <f t="shared" si="11"/>
        <v>30929</v>
      </c>
      <c r="AI28" s="385">
        <v>30959</v>
      </c>
      <c r="AJ28" s="475">
        <f t="shared" si="20"/>
        <v>30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128</v>
      </c>
    </row>
    <row r="29" spans="1:40" ht="23.1" customHeight="1">
      <c r="A29" s="57">
        <f>Gen!A34</f>
        <v>44310</v>
      </c>
      <c r="B29" s="4"/>
      <c r="C29" s="95">
        <f t="shared" si="40"/>
        <v>254382</v>
      </c>
      <c r="D29" s="1">
        <v>254438</v>
      </c>
      <c r="E29" s="474">
        <f t="shared" si="29"/>
        <v>56</v>
      </c>
      <c r="F29" s="95">
        <f t="shared" si="39"/>
        <v>75790</v>
      </c>
      <c r="G29" s="387">
        <v>75790</v>
      </c>
      <c r="H29" s="474">
        <f t="shared" si="41"/>
        <v>0</v>
      </c>
      <c r="I29" s="95">
        <f t="shared" si="32"/>
        <v>8398</v>
      </c>
      <c r="J29" s="1">
        <v>8399</v>
      </c>
      <c r="K29" s="474">
        <f t="shared" ref="K29:K37" si="43">IF((J29-J28)&lt;0,"0",(J29-J28))</f>
        <v>1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21205</v>
      </c>
      <c r="P29" s="383">
        <v>21205</v>
      </c>
      <c r="Q29" s="474">
        <f t="shared" si="42"/>
        <v>0</v>
      </c>
      <c r="R29" s="250"/>
      <c r="S29" s="245">
        <f t="shared" si="35"/>
        <v>68752</v>
      </c>
      <c r="T29" s="384">
        <v>68835</v>
      </c>
      <c r="U29" s="475">
        <f t="shared" si="36"/>
        <v>83</v>
      </c>
      <c r="V29" s="245">
        <f t="shared" si="31"/>
        <v>73031</v>
      </c>
      <c r="W29" s="384">
        <v>73031</v>
      </c>
      <c r="X29" s="475">
        <f t="shared" si="17"/>
        <v>0</v>
      </c>
      <c r="Y29" s="245">
        <f t="shared" si="9"/>
        <v>90129</v>
      </c>
      <c r="Z29" s="384">
        <v>90129</v>
      </c>
      <c r="AA29" s="475">
        <f t="shared" si="18"/>
        <v>0</v>
      </c>
      <c r="AB29" s="606">
        <f t="shared" si="22"/>
        <v>19148</v>
      </c>
      <c r="AC29" s="607">
        <v>19165</v>
      </c>
      <c r="AD29" s="609">
        <f t="shared" si="23"/>
        <v>17</v>
      </c>
      <c r="AE29" s="245">
        <f t="shared" si="10"/>
        <v>18300</v>
      </c>
      <c r="AF29" s="385">
        <v>18300</v>
      </c>
      <c r="AG29" s="475">
        <f t="shared" si="19"/>
        <v>0</v>
      </c>
      <c r="AH29" s="245">
        <f t="shared" si="11"/>
        <v>30959</v>
      </c>
      <c r="AI29" s="385">
        <v>30987</v>
      </c>
      <c r="AJ29" s="475">
        <f t="shared" si="20"/>
        <v>28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128</v>
      </c>
    </row>
    <row r="30" spans="1:40" ht="23.1" customHeight="1">
      <c r="A30" s="57">
        <f>Gen!A35</f>
        <v>44311</v>
      </c>
      <c r="B30" s="4"/>
      <c r="C30" s="95">
        <f t="shared" si="40"/>
        <v>254438</v>
      </c>
      <c r="D30" s="1">
        <v>254484</v>
      </c>
      <c r="E30" s="474">
        <f t="shared" si="29"/>
        <v>46</v>
      </c>
      <c r="F30" s="95">
        <f t="shared" si="39"/>
        <v>75790</v>
      </c>
      <c r="G30" s="387">
        <v>75790</v>
      </c>
      <c r="H30" s="474">
        <f t="shared" si="41"/>
        <v>0</v>
      </c>
      <c r="I30" s="95">
        <f t="shared" si="32"/>
        <v>8399</v>
      </c>
      <c r="J30" s="1">
        <v>8401</v>
      </c>
      <c r="K30" s="474">
        <f t="shared" si="43"/>
        <v>2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21205</v>
      </c>
      <c r="P30" s="383">
        <v>21209</v>
      </c>
      <c r="Q30" s="474">
        <f t="shared" si="42"/>
        <v>4</v>
      </c>
      <c r="R30" s="250"/>
      <c r="S30" s="245">
        <f t="shared" si="35"/>
        <v>68835</v>
      </c>
      <c r="T30" s="384">
        <v>68916</v>
      </c>
      <c r="U30" s="475">
        <f t="shared" si="36"/>
        <v>81</v>
      </c>
      <c r="V30" s="245">
        <f t="shared" si="31"/>
        <v>73031</v>
      </c>
      <c r="W30" s="384">
        <v>73031</v>
      </c>
      <c r="X30" s="475">
        <f>IF((W31-W29)&lt;0,"0",(W31-W29))</f>
        <v>0</v>
      </c>
      <c r="Y30" s="245">
        <f t="shared" si="9"/>
        <v>90129</v>
      </c>
      <c r="Z30" s="384">
        <v>90129</v>
      </c>
      <c r="AA30" s="475">
        <f t="shared" si="18"/>
        <v>0</v>
      </c>
      <c r="AB30" s="606">
        <f t="shared" si="22"/>
        <v>19165</v>
      </c>
      <c r="AC30" s="607">
        <v>19181</v>
      </c>
      <c r="AD30" s="609">
        <f t="shared" si="23"/>
        <v>16</v>
      </c>
      <c r="AE30" s="245">
        <f t="shared" si="10"/>
        <v>18300</v>
      </c>
      <c r="AF30" s="385">
        <v>18300</v>
      </c>
      <c r="AG30" s="475">
        <f t="shared" si="19"/>
        <v>0</v>
      </c>
      <c r="AH30" s="245">
        <f t="shared" si="11"/>
        <v>30987</v>
      </c>
      <c r="AI30" s="385">
        <v>31017</v>
      </c>
      <c r="AJ30" s="475">
        <f t="shared" si="20"/>
        <v>30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127</v>
      </c>
    </row>
    <row r="31" spans="1:40" ht="23.1" customHeight="1">
      <c r="A31" s="57">
        <f>Gen!A36</f>
        <v>44312</v>
      </c>
      <c r="B31" s="4"/>
      <c r="C31" s="95">
        <f t="shared" si="40"/>
        <v>254484</v>
      </c>
      <c r="D31" s="1">
        <v>254537</v>
      </c>
      <c r="E31" s="474">
        <f t="shared" si="29"/>
        <v>53</v>
      </c>
      <c r="F31" s="95">
        <f t="shared" si="39"/>
        <v>75790</v>
      </c>
      <c r="G31" s="387">
        <v>75790</v>
      </c>
      <c r="H31" s="474">
        <f t="shared" si="41"/>
        <v>0</v>
      </c>
      <c r="I31" s="95">
        <f t="shared" si="32"/>
        <v>8401</v>
      </c>
      <c r="J31" s="1">
        <v>8404</v>
      </c>
      <c r="K31" s="474">
        <f t="shared" si="43"/>
        <v>3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21209</v>
      </c>
      <c r="P31" s="383">
        <v>21213</v>
      </c>
      <c r="Q31" s="474">
        <f t="shared" si="42"/>
        <v>4</v>
      </c>
      <c r="R31" s="250"/>
      <c r="S31" s="245">
        <f t="shared" si="35"/>
        <v>68916</v>
      </c>
      <c r="T31" s="384">
        <v>68997</v>
      </c>
      <c r="U31" s="475">
        <f t="shared" si="36"/>
        <v>81</v>
      </c>
      <c r="V31" s="245">
        <f>W31</f>
        <v>73031</v>
      </c>
      <c r="W31" s="384">
        <v>73031</v>
      </c>
      <c r="X31" s="475" t="e">
        <f>IF((#REF!-W31)&lt;0,"0",(#REF!-W31))</f>
        <v>#REF!</v>
      </c>
      <c r="Y31" s="245">
        <f t="shared" si="9"/>
        <v>90129</v>
      </c>
      <c r="Z31" s="384">
        <v>90129</v>
      </c>
      <c r="AA31" s="475">
        <f t="shared" si="18"/>
        <v>0</v>
      </c>
      <c r="AB31" s="606">
        <f t="shared" si="22"/>
        <v>19181</v>
      </c>
      <c r="AC31" s="607">
        <v>19198</v>
      </c>
      <c r="AD31" s="609">
        <f t="shared" si="23"/>
        <v>17</v>
      </c>
      <c r="AE31" s="245">
        <f t="shared" si="10"/>
        <v>18300</v>
      </c>
      <c r="AF31" s="385">
        <v>18300</v>
      </c>
      <c r="AG31" s="475">
        <f t="shared" si="19"/>
        <v>0</v>
      </c>
      <c r="AH31" s="245">
        <f t="shared" si="11"/>
        <v>31017</v>
      </c>
      <c r="AI31" s="385">
        <v>31045</v>
      </c>
      <c r="AJ31" s="475">
        <f t="shared" si="20"/>
        <v>28</v>
      </c>
      <c r="AK31" s="315">
        <f t="shared" si="12"/>
        <v>0</v>
      </c>
      <c r="AL31" s="384"/>
      <c r="AM31" s="475">
        <f t="shared" si="21"/>
        <v>0</v>
      </c>
      <c r="AN31" s="389" t="e">
        <f t="shared" si="24"/>
        <v>#REF!</v>
      </c>
    </row>
    <row r="32" spans="1:40" ht="23.1" customHeight="1">
      <c r="A32" s="57">
        <f>Gen!A37</f>
        <v>44313</v>
      </c>
      <c r="B32" s="4" t="s">
        <v>27</v>
      </c>
      <c r="C32" s="95">
        <f t="shared" si="40"/>
        <v>254537</v>
      </c>
      <c r="D32" s="1">
        <v>254580</v>
      </c>
      <c r="E32" s="474">
        <f t="shared" si="29"/>
        <v>43</v>
      </c>
      <c r="F32" s="95">
        <f t="shared" si="2"/>
        <v>75790</v>
      </c>
      <c r="G32" s="387">
        <v>75790</v>
      </c>
      <c r="H32" s="474">
        <f t="shared" si="41"/>
        <v>0</v>
      </c>
      <c r="I32" s="95">
        <f t="shared" si="32"/>
        <v>8404</v>
      </c>
      <c r="J32" s="1">
        <v>8406</v>
      </c>
      <c r="K32" s="474">
        <f t="shared" si="43"/>
        <v>2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21213</v>
      </c>
      <c r="P32" s="383">
        <v>21217</v>
      </c>
      <c r="Q32" s="474">
        <f t="shared" si="42"/>
        <v>4</v>
      </c>
      <c r="R32" s="250"/>
      <c r="S32" s="245">
        <f t="shared" si="35"/>
        <v>68997</v>
      </c>
      <c r="T32" s="384">
        <v>68997</v>
      </c>
      <c r="U32" s="475">
        <f t="shared" si="36"/>
        <v>0</v>
      </c>
      <c r="V32" s="245" t="e">
        <f>#REF!</f>
        <v>#REF!</v>
      </c>
      <c r="W32" s="384">
        <v>73031</v>
      </c>
      <c r="X32" s="475" t="e">
        <f>IF((W32-#REF!)&lt;0,"0",(W32-#REF!))</f>
        <v>#REF!</v>
      </c>
      <c r="Y32" s="245">
        <f t="shared" si="9"/>
        <v>90129</v>
      </c>
      <c r="Z32" s="384">
        <v>90129</v>
      </c>
      <c r="AA32" s="475">
        <f t="shared" si="18"/>
        <v>0</v>
      </c>
      <c r="AB32" s="606">
        <f t="shared" si="22"/>
        <v>19198</v>
      </c>
      <c r="AC32" s="607">
        <v>19214</v>
      </c>
      <c r="AD32" s="609">
        <f t="shared" si="23"/>
        <v>16</v>
      </c>
      <c r="AE32" s="245">
        <f t="shared" si="10"/>
        <v>18300</v>
      </c>
      <c r="AF32" s="385">
        <v>18300</v>
      </c>
      <c r="AG32" s="475">
        <f t="shared" si="19"/>
        <v>0</v>
      </c>
      <c r="AH32" s="245">
        <f t="shared" si="11"/>
        <v>31045</v>
      </c>
      <c r="AI32" s="385">
        <v>31074</v>
      </c>
      <c r="AJ32" s="475">
        <f t="shared" si="20"/>
        <v>29</v>
      </c>
      <c r="AK32" s="315">
        <f t="shared" si="12"/>
        <v>0</v>
      </c>
      <c r="AL32" s="384"/>
      <c r="AM32" s="475">
        <f t="shared" si="21"/>
        <v>0</v>
      </c>
      <c r="AN32" s="389" t="e">
        <f t="shared" si="24"/>
        <v>#REF!</v>
      </c>
    </row>
    <row r="33" spans="1:41" ht="23.1" customHeight="1">
      <c r="A33" s="57">
        <f>Gen!A38</f>
        <v>44314</v>
      </c>
      <c r="B33" s="4"/>
      <c r="C33" s="95">
        <f t="shared" si="40"/>
        <v>254580</v>
      </c>
      <c r="D33" s="1">
        <v>254641</v>
      </c>
      <c r="E33" s="474">
        <f t="shared" si="29"/>
        <v>61</v>
      </c>
      <c r="F33" s="95">
        <f t="shared" si="2"/>
        <v>75790</v>
      </c>
      <c r="G33" s="387">
        <v>75790</v>
      </c>
      <c r="H33" s="474">
        <f t="shared" si="41"/>
        <v>0</v>
      </c>
      <c r="I33" s="95">
        <f t="shared" si="32"/>
        <v>8406</v>
      </c>
      <c r="J33" s="1">
        <v>8408</v>
      </c>
      <c r="K33" s="474">
        <f t="shared" si="43"/>
        <v>2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21217</v>
      </c>
      <c r="P33" s="383">
        <v>21221</v>
      </c>
      <c r="Q33" s="474">
        <f t="shared" si="42"/>
        <v>4</v>
      </c>
      <c r="R33" s="250"/>
      <c r="S33" s="245">
        <f t="shared" si="35"/>
        <v>68997</v>
      </c>
      <c r="T33" s="384">
        <v>68997</v>
      </c>
      <c r="U33" s="475">
        <f t="shared" si="36"/>
        <v>0</v>
      </c>
      <c r="V33" s="245">
        <f t="shared" si="31"/>
        <v>73031</v>
      </c>
      <c r="W33" s="384">
        <v>73031</v>
      </c>
      <c r="X33" s="475">
        <f t="shared" si="17"/>
        <v>0</v>
      </c>
      <c r="Y33" s="245">
        <f t="shared" si="9"/>
        <v>90129</v>
      </c>
      <c r="Z33" s="384">
        <v>90129</v>
      </c>
      <c r="AA33" s="475">
        <f t="shared" si="18"/>
        <v>0</v>
      </c>
      <c r="AB33" s="606">
        <f t="shared" si="22"/>
        <v>19214</v>
      </c>
      <c r="AC33" s="246">
        <v>19230</v>
      </c>
      <c r="AD33" s="609">
        <f t="shared" si="23"/>
        <v>16</v>
      </c>
      <c r="AE33" s="245">
        <f t="shared" si="10"/>
        <v>18300</v>
      </c>
      <c r="AF33" s="385">
        <v>18300</v>
      </c>
      <c r="AG33" s="475">
        <f t="shared" si="19"/>
        <v>0</v>
      </c>
      <c r="AH33" s="245">
        <f t="shared" si="11"/>
        <v>31074</v>
      </c>
      <c r="AI33" s="385">
        <v>31098</v>
      </c>
      <c r="AJ33" s="475">
        <f t="shared" si="20"/>
        <v>24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40</v>
      </c>
    </row>
    <row r="34" spans="1:41" ht="23.1" customHeight="1">
      <c r="A34" s="57">
        <f>Gen!A39</f>
        <v>44315</v>
      </c>
      <c r="B34" s="148"/>
      <c r="C34" s="95">
        <f t="shared" si="40"/>
        <v>254641</v>
      </c>
      <c r="D34" s="1">
        <v>254694</v>
      </c>
      <c r="E34" s="474">
        <f t="shared" si="29"/>
        <v>53</v>
      </c>
      <c r="F34" s="95">
        <f t="shared" si="2"/>
        <v>75790</v>
      </c>
      <c r="G34" s="387">
        <v>75790</v>
      </c>
      <c r="H34" s="474">
        <f t="shared" si="41"/>
        <v>0</v>
      </c>
      <c r="I34" s="95">
        <f t="shared" si="32"/>
        <v>8408</v>
      </c>
      <c r="J34" s="1">
        <v>8409</v>
      </c>
      <c r="K34" s="474">
        <f t="shared" si="43"/>
        <v>1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21221</v>
      </c>
      <c r="P34" s="383">
        <v>21227</v>
      </c>
      <c r="Q34" s="474">
        <f t="shared" si="42"/>
        <v>6</v>
      </c>
      <c r="R34" s="250"/>
      <c r="S34" s="245">
        <f t="shared" si="35"/>
        <v>68997</v>
      </c>
      <c r="T34" s="384">
        <v>68997</v>
      </c>
      <c r="U34" s="475">
        <f t="shared" si="36"/>
        <v>0</v>
      </c>
      <c r="V34" s="245">
        <f t="shared" si="31"/>
        <v>73031</v>
      </c>
      <c r="W34" s="384">
        <v>73031</v>
      </c>
      <c r="X34" s="475">
        <f t="shared" si="17"/>
        <v>0</v>
      </c>
      <c r="Y34" s="245">
        <f t="shared" si="9"/>
        <v>90129</v>
      </c>
      <c r="Z34" s="384">
        <v>90129</v>
      </c>
      <c r="AA34" s="475">
        <f t="shared" si="18"/>
        <v>0</v>
      </c>
      <c r="AB34" s="606">
        <f t="shared" si="22"/>
        <v>19230</v>
      </c>
      <c r="AC34" s="246">
        <v>19246</v>
      </c>
      <c r="AD34" s="609">
        <f t="shared" si="23"/>
        <v>16</v>
      </c>
      <c r="AE34" s="245">
        <f t="shared" si="10"/>
        <v>18300</v>
      </c>
      <c r="AF34" s="385">
        <v>18300</v>
      </c>
      <c r="AG34" s="475">
        <f t="shared" si="19"/>
        <v>0</v>
      </c>
      <c r="AH34" s="245">
        <f t="shared" si="11"/>
        <v>31098</v>
      </c>
      <c r="AI34" s="385">
        <v>31127</v>
      </c>
      <c r="AJ34" s="475">
        <f t="shared" si="20"/>
        <v>29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45</v>
      </c>
    </row>
    <row r="35" spans="1:41" ht="23.1" customHeight="1">
      <c r="A35" s="57">
        <f>Gen!A40</f>
        <v>44316</v>
      </c>
      <c r="B35" s="148"/>
      <c r="C35" s="95">
        <f t="shared" si="40"/>
        <v>254694</v>
      </c>
      <c r="D35" s="1">
        <v>254752</v>
      </c>
      <c r="E35" s="474">
        <f t="shared" si="29"/>
        <v>58</v>
      </c>
      <c r="F35" s="95">
        <f t="shared" si="2"/>
        <v>75790</v>
      </c>
      <c r="G35" s="387">
        <v>75790</v>
      </c>
      <c r="H35" s="474">
        <f t="shared" si="41"/>
        <v>0</v>
      </c>
      <c r="I35" s="95">
        <f t="shared" si="32"/>
        <v>8409</v>
      </c>
      <c r="J35" s="1">
        <v>8410</v>
      </c>
      <c r="K35" s="474">
        <f t="shared" si="43"/>
        <v>1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21227</v>
      </c>
      <c r="P35" s="383">
        <v>21230</v>
      </c>
      <c r="Q35" s="474">
        <f t="shared" si="42"/>
        <v>3</v>
      </c>
      <c r="R35" s="250"/>
      <c r="S35" s="245">
        <f t="shared" si="35"/>
        <v>68997</v>
      </c>
      <c r="T35" s="384">
        <v>68997</v>
      </c>
      <c r="U35" s="475">
        <f t="shared" si="36"/>
        <v>0</v>
      </c>
      <c r="V35" s="245">
        <f t="shared" si="31"/>
        <v>73031</v>
      </c>
      <c r="W35" s="384">
        <v>73031</v>
      </c>
      <c r="X35" s="475" t="str">
        <f>IF((W36-W34)&lt;0,"0",(W36-W34))</f>
        <v>0</v>
      </c>
      <c r="Y35" s="245">
        <f t="shared" si="9"/>
        <v>90129</v>
      </c>
      <c r="Z35" s="384">
        <v>90129</v>
      </c>
      <c r="AA35" s="475">
        <f t="shared" si="18"/>
        <v>0</v>
      </c>
      <c r="AB35" s="606">
        <f t="shared" si="22"/>
        <v>19246</v>
      </c>
      <c r="AC35" s="246">
        <v>19263</v>
      </c>
      <c r="AD35" s="609">
        <f t="shared" si="23"/>
        <v>17</v>
      </c>
      <c r="AE35" s="245">
        <f t="shared" si="10"/>
        <v>18300</v>
      </c>
      <c r="AF35" s="385">
        <v>18300</v>
      </c>
      <c r="AG35" s="475">
        <f t="shared" si="19"/>
        <v>0</v>
      </c>
      <c r="AH35" s="245">
        <f t="shared" si="11"/>
        <v>31127</v>
      </c>
      <c r="AI35" s="385">
        <v>31157</v>
      </c>
      <c r="AJ35" s="475">
        <f t="shared" si="20"/>
        <v>30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47</v>
      </c>
    </row>
    <row r="36" spans="1:41" ht="23.1" customHeight="1">
      <c r="A36" s="57">
        <f>Gen!A41</f>
        <v>0</v>
      </c>
      <c r="B36" s="149"/>
      <c r="C36" s="95">
        <f t="shared" si="40"/>
        <v>254752</v>
      </c>
      <c r="D36" s="1"/>
      <c r="E36" s="474" t="str">
        <f t="shared" si="29"/>
        <v>0</v>
      </c>
      <c r="F36" s="95">
        <f t="shared" si="2"/>
        <v>75790</v>
      </c>
      <c r="G36" s="387"/>
      <c r="H36" s="474" t="str">
        <f t="shared" si="41"/>
        <v>0</v>
      </c>
      <c r="I36" s="95">
        <f t="shared" si="32"/>
        <v>8410</v>
      </c>
      <c r="J36" s="1"/>
      <c r="K36" s="474" t="str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21230</v>
      </c>
      <c r="P36" s="383"/>
      <c r="Q36" s="474" t="str">
        <f t="shared" si="42"/>
        <v>0</v>
      </c>
      <c r="R36" s="250"/>
      <c r="S36" s="245">
        <f t="shared" si="35"/>
        <v>68997</v>
      </c>
      <c r="T36" s="384"/>
      <c r="U36" s="475" t="str">
        <f t="shared" si="36"/>
        <v>0</v>
      </c>
      <c r="V36" s="245">
        <f>W36</f>
        <v>0</v>
      </c>
      <c r="W36" s="384"/>
      <c r="X36" s="475" t="str">
        <f>IF((W37-W35)&lt;0,"0",(W37-W35))</f>
        <v>0</v>
      </c>
      <c r="Y36" s="245">
        <f t="shared" si="9"/>
        <v>90129</v>
      </c>
      <c r="Z36" s="384"/>
      <c r="AA36" s="475" t="str">
        <f t="shared" si="18"/>
        <v>0</v>
      </c>
      <c r="AB36" s="606">
        <f t="shared" si="22"/>
        <v>19263</v>
      </c>
      <c r="AC36" s="246"/>
      <c r="AD36" s="609" t="str">
        <f t="shared" si="23"/>
        <v>0</v>
      </c>
      <c r="AE36" s="245">
        <f t="shared" si="10"/>
        <v>18300</v>
      </c>
      <c r="AF36" s="385"/>
      <c r="AG36" s="475" t="str">
        <f t="shared" si="19"/>
        <v>0</v>
      </c>
      <c r="AH36" s="245">
        <f t="shared" si="11"/>
        <v>31157</v>
      </c>
      <c r="AI36" s="385"/>
      <c r="AJ36" s="475" t="str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6">
        <f t="shared" si="22"/>
        <v>0</v>
      </c>
      <c r="AC37" s="246"/>
      <c r="AD37" s="609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1541</v>
      </c>
    </row>
    <row r="38" spans="1:41" ht="18.75">
      <c r="A38" s="57"/>
      <c r="B38" s="21"/>
      <c r="C38" s="973" t="s">
        <v>6</v>
      </c>
      <c r="D38" s="973"/>
      <c r="E38" s="22">
        <f>SUM(E6:E36)</f>
        <v>2108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48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2108</v>
      </c>
      <c r="S38" s="247"/>
      <c r="T38" s="247"/>
      <c r="U38" s="257">
        <f>SUM(U6:U37)</f>
        <v>1541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1541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2"/>
      <c r="B42" s="277"/>
      <c r="C42" s="939" t="s">
        <v>222</v>
      </c>
      <c r="D42" s="940"/>
      <c r="E42" s="940"/>
      <c r="F42" s="940"/>
      <c r="G42" s="940"/>
      <c r="H42" s="940"/>
      <c r="I42" s="940"/>
      <c r="J42" s="940"/>
      <c r="K42" s="941"/>
      <c r="R42" s="19"/>
    </row>
    <row r="43" spans="1:41" ht="24.75" customHeight="1">
      <c r="A43" s="943"/>
      <c r="B43" s="19"/>
      <c r="C43" s="945" t="s">
        <v>216</v>
      </c>
      <c r="D43" s="946"/>
      <c r="E43" s="947" t="s">
        <v>237</v>
      </c>
      <c r="F43" s="948"/>
      <c r="G43" s="949" t="s">
        <v>217</v>
      </c>
      <c r="H43" s="950"/>
      <c r="I43" s="949" t="s">
        <v>238</v>
      </c>
      <c r="J43" s="950"/>
      <c r="K43" s="937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3"/>
      <c r="B44" s="19"/>
      <c r="C44" s="951" t="s">
        <v>218</v>
      </c>
      <c r="D44" s="952"/>
      <c r="E44" s="951" t="s">
        <v>219</v>
      </c>
      <c r="F44" s="952"/>
      <c r="G44" s="951" t="s">
        <v>220</v>
      </c>
      <c r="H44" s="952"/>
      <c r="I44" s="951" t="s">
        <v>221</v>
      </c>
      <c r="J44" s="952"/>
      <c r="K44" s="938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4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44287</v>
      </c>
      <c r="B46" s="19"/>
      <c r="C46" s="62">
        <v>229</v>
      </c>
      <c r="D46" s="325">
        <f t="shared" ref="D46:D77" si="49">C46*217/300</f>
        <v>165.64333333333335</v>
      </c>
      <c r="E46" s="6">
        <v>194</v>
      </c>
      <c r="F46" s="325">
        <f t="shared" ref="F46:F77" si="50">E46*92/305</f>
        <v>58.518032786885243</v>
      </c>
      <c r="G46" s="618">
        <v>145</v>
      </c>
      <c r="H46" s="325">
        <f t="shared" ref="H46:H77" si="51">G46*146/383</f>
        <v>55.274151436031332</v>
      </c>
      <c r="I46" s="6">
        <v>290</v>
      </c>
      <c r="J46" s="325">
        <f t="shared" ref="J46:J77" si="52">I46*213/308</f>
        <v>200.55194805194805</v>
      </c>
      <c r="K46" s="331">
        <f>D46+F46+H46+J46</f>
        <v>479.98746560819797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44288</v>
      </c>
      <c r="B47" s="19"/>
      <c r="C47" s="62">
        <v>125</v>
      </c>
      <c r="D47" s="325">
        <f t="shared" si="49"/>
        <v>90.416666666666671</v>
      </c>
      <c r="E47" s="6">
        <v>90</v>
      </c>
      <c r="F47" s="325">
        <f t="shared" si="50"/>
        <v>27.147540983606557</v>
      </c>
      <c r="G47" s="618">
        <v>225</v>
      </c>
      <c r="H47" s="325">
        <f t="shared" si="51"/>
        <v>85.770234986945169</v>
      </c>
      <c r="I47" s="6">
        <v>288</v>
      </c>
      <c r="J47" s="325">
        <f t="shared" si="52"/>
        <v>199.16883116883116</v>
      </c>
      <c r="K47" s="331">
        <f t="shared" ref="K47:K77" si="53">D47+F47+H47+J47</f>
        <v>402.50327380604955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44289</v>
      </c>
      <c r="B48" s="19"/>
      <c r="C48" s="62">
        <v>140</v>
      </c>
      <c r="D48" s="325">
        <f t="shared" si="49"/>
        <v>101.26666666666667</v>
      </c>
      <c r="E48" s="6">
        <v>100</v>
      </c>
      <c r="F48" s="325">
        <f t="shared" si="50"/>
        <v>30.16393442622951</v>
      </c>
      <c r="G48" s="618">
        <v>300</v>
      </c>
      <c r="H48" s="325">
        <f t="shared" si="51"/>
        <v>114.36031331592689</v>
      </c>
      <c r="I48" s="6">
        <v>290</v>
      </c>
      <c r="J48" s="325">
        <f t="shared" si="52"/>
        <v>200.55194805194805</v>
      </c>
      <c r="K48" s="331">
        <f t="shared" si="53"/>
        <v>446.34286246077113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44290</v>
      </c>
      <c r="B49" s="19"/>
      <c r="C49" s="62">
        <v>145</v>
      </c>
      <c r="D49" s="325">
        <f t="shared" si="49"/>
        <v>104.88333333333334</v>
      </c>
      <c r="E49" s="6">
        <v>110</v>
      </c>
      <c r="F49" s="325">
        <f t="shared" si="50"/>
        <v>33.180327868852459</v>
      </c>
      <c r="G49" s="618">
        <v>5</v>
      </c>
      <c r="H49" s="325">
        <f t="shared" si="51"/>
        <v>1.9060052219321149</v>
      </c>
      <c r="I49" s="6">
        <v>290</v>
      </c>
      <c r="J49" s="325">
        <f t="shared" si="52"/>
        <v>200.55194805194805</v>
      </c>
      <c r="K49" s="331">
        <f t="shared" si="53"/>
        <v>340.52161447606596</v>
      </c>
    </row>
    <row r="50" spans="1:15" ht="13.5">
      <c r="A50" s="293">
        <f>Gen!A15</f>
        <v>44291</v>
      </c>
      <c r="B50" s="19"/>
      <c r="C50" s="62">
        <v>276</v>
      </c>
      <c r="D50" s="325">
        <f t="shared" si="49"/>
        <v>199.64</v>
      </c>
      <c r="E50" s="6">
        <v>240</v>
      </c>
      <c r="F50" s="325">
        <f t="shared" si="50"/>
        <v>72.393442622950815</v>
      </c>
      <c r="G50" s="618">
        <v>114</v>
      </c>
      <c r="H50" s="325">
        <f t="shared" si="51"/>
        <v>43.456919060052222</v>
      </c>
      <c r="I50" s="6">
        <v>155</v>
      </c>
      <c r="J50" s="325">
        <f t="shared" si="52"/>
        <v>107.19155844155844</v>
      </c>
      <c r="K50" s="331">
        <f t="shared" si="53"/>
        <v>422.68192012456143</v>
      </c>
    </row>
    <row r="51" spans="1:15" ht="13.5">
      <c r="A51" s="293">
        <f>Gen!A16</f>
        <v>44292</v>
      </c>
      <c r="B51" s="19"/>
      <c r="C51" s="62">
        <v>100</v>
      </c>
      <c r="D51" s="325">
        <f t="shared" si="49"/>
        <v>72.333333333333329</v>
      </c>
      <c r="E51" s="6">
        <v>55</v>
      </c>
      <c r="F51" s="325">
        <f t="shared" si="50"/>
        <v>16.590163934426229</v>
      </c>
      <c r="G51" s="618">
        <v>300</v>
      </c>
      <c r="H51" s="325">
        <f t="shared" si="51"/>
        <v>114.36031331592689</v>
      </c>
      <c r="I51" s="6">
        <v>275</v>
      </c>
      <c r="J51" s="325">
        <f t="shared" si="52"/>
        <v>190.17857142857142</v>
      </c>
      <c r="K51" s="331">
        <f t="shared" si="53"/>
        <v>393.46238201225788</v>
      </c>
    </row>
    <row r="52" spans="1:15" ht="13.5">
      <c r="A52" s="293">
        <f>Gen!A17</f>
        <v>44293</v>
      </c>
      <c r="B52" s="19"/>
      <c r="C52" s="62">
        <v>238</v>
      </c>
      <c r="D52" s="325">
        <f t="shared" si="49"/>
        <v>172.15333333333334</v>
      </c>
      <c r="E52" s="6">
        <v>202</v>
      </c>
      <c r="F52" s="325">
        <f t="shared" si="50"/>
        <v>60.931147540983609</v>
      </c>
      <c r="G52" s="618">
        <v>63</v>
      </c>
      <c r="H52" s="325">
        <f t="shared" si="51"/>
        <v>24.015665796344649</v>
      </c>
      <c r="I52" s="6">
        <v>281</v>
      </c>
      <c r="J52" s="325">
        <f t="shared" si="52"/>
        <v>194.32792207792207</v>
      </c>
      <c r="K52" s="331">
        <f t="shared" si="53"/>
        <v>451.42806874858366</v>
      </c>
    </row>
    <row r="53" spans="1:15" ht="13.5">
      <c r="A53" s="293">
        <f>Gen!A18</f>
        <v>44294</v>
      </c>
      <c r="B53" s="19"/>
      <c r="C53" s="62">
        <v>209</v>
      </c>
      <c r="D53" s="325">
        <f t="shared" si="49"/>
        <v>151.17666666666668</v>
      </c>
      <c r="E53" s="6">
        <v>174</v>
      </c>
      <c r="F53" s="325">
        <f t="shared" si="50"/>
        <v>52.485245901639345</v>
      </c>
      <c r="G53" s="618">
        <v>300</v>
      </c>
      <c r="H53" s="325">
        <f t="shared" si="51"/>
        <v>114.36031331592689</v>
      </c>
      <c r="I53" s="6">
        <v>284</v>
      </c>
      <c r="J53" s="325">
        <f t="shared" si="52"/>
        <v>196.40259740259739</v>
      </c>
      <c r="K53" s="331">
        <f t="shared" si="53"/>
        <v>514.42482328683036</v>
      </c>
    </row>
    <row r="54" spans="1:15" ht="13.5">
      <c r="A54" s="293">
        <f>Gen!A19</f>
        <v>44295</v>
      </c>
      <c r="B54" s="19"/>
      <c r="C54" s="62">
        <v>300</v>
      </c>
      <c r="D54" s="325">
        <f t="shared" si="49"/>
        <v>217</v>
      </c>
      <c r="E54" s="6">
        <v>295</v>
      </c>
      <c r="F54" s="325">
        <f t="shared" si="50"/>
        <v>88.983606557377044</v>
      </c>
      <c r="G54" s="618">
        <v>236</v>
      </c>
      <c r="H54" s="325">
        <f t="shared" si="51"/>
        <v>89.963446475195823</v>
      </c>
      <c r="I54" s="6">
        <v>279</v>
      </c>
      <c r="J54" s="325">
        <f t="shared" si="52"/>
        <v>192.94480519480518</v>
      </c>
      <c r="K54" s="331">
        <f t="shared" si="53"/>
        <v>588.89185822737807</v>
      </c>
    </row>
    <row r="55" spans="1:15" ht="13.5">
      <c r="A55" s="293">
        <f>Gen!A20</f>
        <v>44296</v>
      </c>
      <c r="B55" s="19"/>
      <c r="C55" s="62">
        <v>300</v>
      </c>
      <c r="D55" s="325">
        <f t="shared" si="49"/>
        <v>217</v>
      </c>
      <c r="E55" s="6">
        <v>290</v>
      </c>
      <c r="F55" s="325">
        <f t="shared" si="50"/>
        <v>87.47540983606558</v>
      </c>
      <c r="G55" s="618">
        <v>295</v>
      </c>
      <c r="H55" s="325">
        <f t="shared" si="51"/>
        <v>112.45430809399478</v>
      </c>
      <c r="I55" s="6">
        <v>290</v>
      </c>
      <c r="J55" s="325">
        <f t="shared" si="52"/>
        <v>200.55194805194805</v>
      </c>
      <c r="K55" s="331">
        <f t="shared" si="53"/>
        <v>617.48166598200839</v>
      </c>
    </row>
    <row r="56" spans="1:15" ht="13.5">
      <c r="A56" s="293">
        <f>Gen!A21</f>
        <v>44297</v>
      </c>
      <c r="B56" s="19"/>
      <c r="C56" s="62">
        <v>298</v>
      </c>
      <c r="D56" s="325">
        <f t="shared" si="49"/>
        <v>215.55333333333334</v>
      </c>
      <c r="E56" s="6">
        <v>274</v>
      </c>
      <c r="F56" s="325">
        <f t="shared" si="50"/>
        <v>82.649180327868848</v>
      </c>
      <c r="G56" s="618">
        <v>217</v>
      </c>
      <c r="H56" s="325">
        <f t="shared" si="51"/>
        <v>82.72062663185379</v>
      </c>
      <c r="I56" s="6">
        <v>291</v>
      </c>
      <c r="J56" s="325">
        <f t="shared" si="52"/>
        <v>201.24350649350649</v>
      </c>
      <c r="K56" s="331">
        <f t="shared" si="53"/>
        <v>582.16664678656252</v>
      </c>
    </row>
    <row r="57" spans="1:15" ht="13.5">
      <c r="A57" s="293">
        <f>Gen!A22</f>
        <v>44298</v>
      </c>
      <c r="B57" s="19"/>
      <c r="C57" s="62">
        <v>280</v>
      </c>
      <c r="D57" s="325">
        <f t="shared" si="49"/>
        <v>202.53333333333333</v>
      </c>
      <c r="E57" s="6">
        <v>245</v>
      </c>
      <c r="F57" s="325">
        <f t="shared" si="50"/>
        <v>73.901639344262293</v>
      </c>
      <c r="G57" s="618">
        <v>185</v>
      </c>
      <c r="H57" s="325">
        <f t="shared" si="51"/>
        <v>70.522193211488258</v>
      </c>
      <c r="I57" s="6">
        <v>289</v>
      </c>
      <c r="J57" s="325">
        <f t="shared" si="52"/>
        <v>199.8603896103896</v>
      </c>
      <c r="K57" s="331">
        <f t="shared" si="53"/>
        <v>546.81755549947343</v>
      </c>
    </row>
    <row r="58" spans="1:15" ht="13.5">
      <c r="A58" s="293">
        <f>Gen!A23</f>
        <v>44299</v>
      </c>
      <c r="B58" s="19"/>
      <c r="C58" s="62">
        <v>260</v>
      </c>
      <c r="D58" s="325">
        <f t="shared" si="49"/>
        <v>188.06666666666666</v>
      </c>
      <c r="E58" s="6">
        <v>225</v>
      </c>
      <c r="F58" s="325">
        <f t="shared" si="50"/>
        <v>67.868852459016395</v>
      </c>
      <c r="G58" s="618">
        <v>120</v>
      </c>
      <c r="H58" s="325">
        <f t="shared" si="51"/>
        <v>45.744125326370757</v>
      </c>
      <c r="I58" s="6">
        <v>290</v>
      </c>
      <c r="J58" s="325">
        <f t="shared" si="52"/>
        <v>200.55194805194805</v>
      </c>
      <c r="K58" s="331">
        <f t="shared" si="53"/>
        <v>502.23159250400187</v>
      </c>
    </row>
    <row r="59" spans="1:15" ht="13.5">
      <c r="A59" s="293">
        <f>Gen!A24</f>
        <v>44300</v>
      </c>
      <c r="B59" s="19"/>
      <c r="C59" s="62">
        <v>258</v>
      </c>
      <c r="D59" s="325">
        <f t="shared" si="49"/>
        <v>186.62</v>
      </c>
      <c r="E59" s="6">
        <v>223</v>
      </c>
      <c r="F59" s="325">
        <f t="shared" si="50"/>
        <v>67.265573770491798</v>
      </c>
      <c r="G59" s="618">
        <v>5</v>
      </c>
      <c r="H59" s="325">
        <f t="shared" si="51"/>
        <v>1.9060052219321149</v>
      </c>
      <c r="I59" s="6">
        <v>146</v>
      </c>
      <c r="J59" s="325">
        <f t="shared" si="52"/>
        <v>100.96753246753246</v>
      </c>
      <c r="K59" s="331">
        <f t="shared" si="53"/>
        <v>356.75911145995639</v>
      </c>
    </row>
    <row r="60" spans="1:15" ht="13.5">
      <c r="A60" s="293">
        <f>Gen!A25</f>
        <v>44301</v>
      </c>
      <c r="B60" s="19"/>
      <c r="C60" s="62">
        <v>125</v>
      </c>
      <c r="D60" s="325">
        <f t="shared" si="49"/>
        <v>90.416666666666671</v>
      </c>
      <c r="E60" s="6">
        <v>90</v>
      </c>
      <c r="F60" s="325">
        <f t="shared" si="50"/>
        <v>27.147540983606557</v>
      </c>
      <c r="G60" s="618">
        <v>300</v>
      </c>
      <c r="H60" s="325">
        <f t="shared" si="51"/>
        <v>114.36031331592689</v>
      </c>
      <c r="I60" s="6">
        <v>170</v>
      </c>
      <c r="J60" s="325">
        <f t="shared" si="52"/>
        <v>117.56493506493507</v>
      </c>
      <c r="K60" s="331">
        <f t="shared" si="53"/>
        <v>349.48945603113521</v>
      </c>
      <c r="L60" t="s">
        <v>249</v>
      </c>
      <c r="O60" t="s">
        <v>250</v>
      </c>
    </row>
    <row r="61" spans="1:15" ht="13.5">
      <c r="A61" s="293">
        <f>Gen!A26</f>
        <v>44302</v>
      </c>
      <c r="B61" s="19"/>
      <c r="C61" s="62">
        <v>123</v>
      </c>
      <c r="D61" s="325">
        <f t="shared" si="49"/>
        <v>88.97</v>
      </c>
      <c r="E61" s="6">
        <v>200</v>
      </c>
      <c r="F61" s="325">
        <f t="shared" si="50"/>
        <v>60.327868852459019</v>
      </c>
      <c r="G61" s="618">
        <v>250</v>
      </c>
      <c r="H61" s="325">
        <f t="shared" si="51"/>
        <v>95.300261096605738</v>
      </c>
      <c r="I61" s="6">
        <v>286</v>
      </c>
      <c r="J61" s="325">
        <f t="shared" si="52"/>
        <v>197.78571428571428</v>
      </c>
      <c r="K61" s="331">
        <f t="shared" si="53"/>
        <v>442.38384423477908</v>
      </c>
      <c r="L61" t="s">
        <v>252</v>
      </c>
      <c r="N61" t="s">
        <v>251</v>
      </c>
    </row>
    <row r="62" spans="1:15" ht="13.5">
      <c r="A62" s="293">
        <f>Gen!A27</f>
        <v>44303</v>
      </c>
      <c r="B62" s="19"/>
      <c r="C62" s="62">
        <v>175</v>
      </c>
      <c r="D62" s="325">
        <f t="shared" si="49"/>
        <v>126.58333333333333</v>
      </c>
      <c r="E62" s="6">
        <v>140</v>
      </c>
      <c r="F62" s="325">
        <f t="shared" si="50"/>
        <v>42.229508196721312</v>
      </c>
      <c r="G62" s="618">
        <v>240</v>
      </c>
      <c r="H62" s="325">
        <f t="shared" si="51"/>
        <v>91.488250652741513</v>
      </c>
      <c r="I62" s="6">
        <v>290</v>
      </c>
      <c r="J62" s="325">
        <f t="shared" si="52"/>
        <v>200.55194805194805</v>
      </c>
      <c r="K62" s="331">
        <f t="shared" si="53"/>
        <v>460.85304023474418</v>
      </c>
    </row>
    <row r="63" spans="1:15" ht="13.5">
      <c r="A63" s="293">
        <f>Gen!A28</f>
        <v>44304</v>
      </c>
      <c r="B63" s="19"/>
      <c r="C63" s="62">
        <v>236</v>
      </c>
      <c r="D63" s="325">
        <f t="shared" si="49"/>
        <v>170.70666666666668</v>
      </c>
      <c r="E63" s="6">
        <v>200</v>
      </c>
      <c r="F63" s="325">
        <f t="shared" si="50"/>
        <v>60.327868852459019</v>
      </c>
      <c r="G63" s="477">
        <v>183</v>
      </c>
      <c r="H63" s="325">
        <f t="shared" si="51"/>
        <v>69.759791122715399</v>
      </c>
      <c r="I63" s="6">
        <v>288</v>
      </c>
      <c r="J63" s="325">
        <f t="shared" si="52"/>
        <v>199.16883116883116</v>
      </c>
      <c r="K63" s="331">
        <f t="shared" si="53"/>
        <v>499.96315781067227</v>
      </c>
    </row>
    <row r="64" spans="1:15" ht="13.5">
      <c r="A64" s="293">
        <f>Gen!A29</f>
        <v>44305</v>
      </c>
      <c r="B64" s="19"/>
      <c r="C64" s="62">
        <v>300</v>
      </c>
      <c r="D64" s="325">
        <f t="shared" si="49"/>
        <v>217</v>
      </c>
      <c r="E64" s="6">
        <v>289</v>
      </c>
      <c r="F64" s="325">
        <f t="shared" si="50"/>
        <v>87.173770491803282</v>
      </c>
      <c r="G64" s="477">
        <v>147</v>
      </c>
      <c r="H64" s="325">
        <f t="shared" si="51"/>
        <v>56.036553524804177</v>
      </c>
      <c r="I64" s="6">
        <v>290</v>
      </c>
      <c r="J64" s="325">
        <f t="shared" si="52"/>
        <v>200.55194805194805</v>
      </c>
      <c r="K64" s="331">
        <f t="shared" si="53"/>
        <v>560.76227206855549</v>
      </c>
    </row>
    <row r="65" spans="1:11" ht="13.5">
      <c r="A65" s="293">
        <f>Gen!A30</f>
        <v>44306</v>
      </c>
      <c r="B65" s="19"/>
      <c r="C65" s="62">
        <v>275</v>
      </c>
      <c r="D65" s="325">
        <f t="shared" si="49"/>
        <v>198.91666666666666</v>
      </c>
      <c r="E65" s="6">
        <v>240</v>
      </c>
      <c r="F65" s="325">
        <f t="shared" si="50"/>
        <v>72.393442622950815</v>
      </c>
      <c r="G65" s="477">
        <v>70</v>
      </c>
      <c r="H65" s="325">
        <f t="shared" si="51"/>
        <v>26.68407310704961</v>
      </c>
      <c r="I65" s="6">
        <v>291</v>
      </c>
      <c r="J65" s="325">
        <f t="shared" si="52"/>
        <v>201.24350649350649</v>
      </c>
      <c r="K65" s="331">
        <f t="shared" si="53"/>
        <v>499.23768889017356</v>
      </c>
    </row>
    <row r="66" spans="1:11" ht="13.5">
      <c r="A66" s="293">
        <f>Gen!A31</f>
        <v>44307</v>
      </c>
      <c r="B66" s="19"/>
      <c r="C66" s="62">
        <v>145</v>
      </c>
      <c r="D66" s="325">
        <f t="shared" si="49"/>
        <v>104.88333333333334</v>
      </c>
      <c r="E66" s="6">
        <v>110</v>
      </c>
      <c r="F66" s="325">
        <f t="shared" si="50"/>
        <v>33.180327868852459</v>
      </c>
      <c r="G66" s="477">
        <v>247</v>
      </c>
      <c r="H66" s="325">
        <f t="shared" si="51"/>
        <v>94.156657963446477</v>
      </c>
      <c r="I66" s="6">
        <v>288</v>
      </c>
      <c r="J66" s="325">
        <f t="shared" si="52"/>
        <v>199.16883116883116</v>
      </c>
      <c r="K66" s="331">
        <f t="shared" si="53"/>
        <v>431.38915033446347</v>
      </c>
    </row>
    <row r="67" spans="1:11" ht="13.5">
      <c r="A67" s="293">
        <f>Gen!A32</f>
        <v>44308</v>
      </c>
      <c r="B67" s="19"/>
      <c r="C67" s="62">
        <v>105</v>
      </c>
      <c r="D67" s="325">
        <f t="shared" si="49"/>
        <v>75.95</v>
      </c>
      <c r="E67" s="6">
        <v>60</v>
      </c>
      <c r="F67" s="325">
        <f t="shared" si="50"/>
        <v>18.098360655737704</v>
      </c>
      <c r="G67" s="477">
        <v>265</v>
      </c>
      <c r="H67" s="325">
        <f t="shared" si="51"/>
        <v>101.0182767624021</v>
      </c>
      <c r="I67" s="6">
        <v>280</v>
      </c>
      <c r="J67" s="325">
        <f t="shared" si="52"/>
        <v>193.63636363636363</v>
      </c>
      <c r="K67" s="331">
        <f t="shared" si="53"/>
        <v>388.70300105450343</v>
      </c>
    </row>
    <row r="68" spans="1:11" ht="13.5">
      <c r="A68" s="293">
        <f>Gen!A33</f>
        <v>44309</v>
      </c>
      <c r="B68" s="19"/>
      <c r="C68" s="62">
        <v>225</v>
      </c>
      <c r="D68" s="325">
        <f t="shared" si="49"/>
        <v>162.75</v>
      </c>
      <c r="E68" s="6">
        <v>190</v>
      </c>
      <c r="F68" s="325">
        <f t="shared" si="50"/>
        <v>57.311475409836063</v>
      </c>
      <c r="G68" s="477">
        <v>103</v>
      </c>
      <c r="H68" s="325">
        <f t="shared" si="51"/>
        <v>39.263707571801568</v>
      </c>
      <c r="I68" s="6">
        <v>285</v>
      </c>
      <c r="J68" s="325">
        <f t="shared" si="52"/>
        <v>197.09415584415584</v>
      </c>
      <c r="K68" s="331">
        <f t="shared" si="53"/>
        <v>456.41933882579349</v>
      </c>
    </row>
    <row r="69" spans="1:11" ht="13.5">
      <c r="A69" s="293">
        <f>Gen!A34</f>
        <v>44310</v>
      </c>
      <c r="B69" s="19"/>
      <c r="C69" s="62">
        <v>280</v>
      </c>
      <c r="D69" s="325">
        <f t="shared" si="49"/>
        <v>202.53333333333333</v>
      </c>
      <c r="E69" s="6">
        <v>245</v>
      </c>
      <c r="F69" s="325">
        <f t="shared" si="50"/>
        <v>73.901639344262293</v>
      </c>
      <c r="G69" s="477">
        <v>90</v>
      </c>
      <c r="H69" s="325">
        <f t="shared" si="51"/>
        <v>34.308093994778069</v>
      </c>
      <c r="I69" s="6">
        <v>287</v>
      </c>
      <c r="J69" s="325">
        <f t="shared" si="52"/>
        <v>198.47727272727272</v>
      </c>
      <c r="K69" s="331">
        <f t="shared" si="53"/>
        <v>509.22033939964638</v>
      </c>
    </row>
    <row r="70" spans="1:11" ht="13.5">
      <c r="A70" s="293">
        <f>Gen!A35</f>
        <v>44311</v>
      </c>
      <c r="B70" s="19"/>
      <c r="C70" s="62">
        <v>300</v>
      </c>
      <c r="D70" s="325">
        <f t="shared" si="49"/>
        <v>217</v>
      </c>
      <c r="E70" s="6">
        <v>290</v>
      </c>
      <c r="F70" s="325">
        <f t="shared" si="50"/>
        <v>87.47540983606558</v>
      </c>
      <c r="G70" s="477">
        <v>20</v>
      </c>
      <c r="H70" s="325">
        <f t="shared" si="51"/>
        <v>7.6240208877284594</v>
      </c>
      <c r="I70" s="6">
        <v>290</v>
      </c>
      <c r="J70" s="325">
        <f t="shared" si="52"/>
        <v>200.55194805194805</v>
      </c>
      <c r="K70" s="331">
        <f t="shared" si="53"/>
        <v>512.65137877574216</v>
      </c>
    </row>
    <row r="71" spans="1:11" ht="13.5">
      <c r="A71" s="293">
        <f>Gen!A36</f>
        <v>44312</v>
      </c>
      <c r="B71" s="19"/>
      <c r="C71" s="62">
        <v>250</v>
      </c>
      <c r="D71" s="325">
        <f t="shared" si="49"/>
        <v>180.83333333333334</v>
      </c>
      <c r="E71" s="6">
        <v>215</v>
      </c>
      <c r="F71" s="325">
        <f t="shared" si="50"/>
        <v>64.852459016393439</v>
      </c>
      <c r="G71" s="477">
        <v>300</v>
      </c>
      <c r="H71" s="325">
        <f t="shared" si="51"/>
        <v>114.36031331592689</v>
      </c>
      <c r="I71" s="6">
        <v>290</v>
      </c>
      <c r="J71" s="325">
        <f t="shared" si="52"/>
        <v>200.55194805194805</v>
      </c>
      <c r="K71" s="331">
        <f t="shared" si="53"/>
        <v>560.59805371760172</v>
      </c>
    </row>
    <row r="72" spans="1:11" ht="13.5">
      <c r="A72" s="293">
        <f>Gen!A37</f>
        <v>44313</v>
      </c>
      <c r="B72" s="19"/>
      <c r="C72" s="62">
        <v>300</v>
      </c>
      <c r="D72" s="325">
        <f t="shared" si="49"/>
        <v>217</v>
      </c>
      <c r="E72" s="6">
        <v>288</v>
      </c>
      <c r="F72" s="325">
        <f t="shared" si="50"/>
        <v>86.872131147540983</v>
      </c>
      <c r="G72" s="477">
        <v>300</v>
      </c>
      <c r="H72" s="325">
        <f t="shared" si="51"/>
        <v>114.36031331592689</v>
      </c>
      <c r="I72" s="6">
        <v>168</v>
      </c>
      <c r="J72" s="325">
        <f t="shared" si="52"/>
        <v>116.18181818181819</v>
      </c>
      <c r="K72" s="331">
        <f t="shared" si="53"/>
        <v>534.41426264528604</v>
      </c>
    </row>
    <row r="73" spans="1:11" ht="13.5">
      <c r="A73" s="293">
        <f>Gen!A38</f>
        <v>44314</v>
      </c>
      <c r="B73" s="19"/>
      <c r="C73" s="62">
        <v>276</v>
      </c>
      <c r="D73" s="325">
        <f t="shared" si="49"/>
        <v>199.64</v>
      </c>
      <c r="E73" s="6">
        <v>240</v>
      </c>
      <c r="F73" s="325">
        <f t="shared" si="50"/>
        <v>72.393442622950815</v>
      </c>
      <c r="G73" s="477">
        <v>113</v>
      </c>
      <c r="H73" s="325">
        <f t="shared" si="51"/>
        <v>43.075718015665799</v>
      </c>
      <c r="I73" s="6">
        <v>260</v>
      </c>
      <c r="J73" s="325">
        <f t="shared" si="52"/>
        <v>179.80519480519482</v>
      </c>
      <c r="K73" s="331">
        <f t="shared" si="53"/>
        <v>494.91435544381147</v>
      </c>
    </row>
    <row r="74" spans="1:11" ht="13.5">
      <c r="A74" s="293">
        <f>Gen!A39</f>
        <v>44315</v>
      </c>
      <c r="B74" s="19"/>
      <c r="C74" s="62">
        <v>200</v>
      </c>
      <c r="D74" s="325">
        <f t="shared" si="49"/>
        <v>144.66666666666666</v>
      </c>
      <c r="E74" s="6">
        <v>165</v>
      </c>
      <c r="F74" s="325">
        <f t="shared" si="50"/>
        <v>49.770491803278688</v>
      </c>
      <c r="G74" s="477">
        <v>300</v>
      </c>
      <c r="H74" s="325">
        <f t="shared" si="51"/>
        <v>114.36031331592689</v>
      </c>
      <c r="I74" s="6">
        <v>265</v>
      </c>
      <c r="J74" s="325">
        <f t="shared" si="52"/>
        <v>183.26298701298703</v>
      </c>
      <c r="K74" s="331">
        <f t="shared" si="53"/>
        <v>492.06045879885926</v>
      </c>
    </row>
    <row r="75" spans="1:11" ht="14.25" thickBot="1">
      <c r="A75" s="293">
        <f>Gen!A40</f>
        <v>44316</v>
      </c>
      <c r="B75" s="251"/>
      <c r="C75" s="62">
        <v>196</v>
      </c>
      <c r="D75" s="325">
        <f t="shared" si="49"/>
        <v>141.77333333333334</v>
      </c>
      <c r="E75" s="6">
        <v>160</v>
      </c>
      <c r="F75" s="325">
        <f t="shared" si="50"/>
        <v>48.26229508196721</v>
      </c>
      <c r="G75" s="477">
        <v>105</v>
      </c>
      <c r="H75" s="325">
        <f t="shared" si="51"/>
        <v>40.026109660574413</v>
      </c>
      <c r="I75" s="6">
        <v>271</v>
      </c>
      <c r="J75" s="325">
        <f t="shared" si="52"/>
        <v>187.41233766233765</v>
      </c>
      <c r="K75" s="331">
        <f t="shared" si="53"/>
        <v>417.4740757382126</v>
      </c>
    </row>
    <row r="76" spans="1:11" ht="13.5">
      <c r="A76" s="293">
        <f>Gen!A41</f>
        <v>0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44287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44288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44289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44290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44291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44292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44293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44294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44295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44296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44297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44298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44299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44300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44301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44302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44303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44304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44305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44306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44307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44308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44309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44310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44311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44312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44313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44314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44315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44316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74" t="s">
        <v>316</v>
      </c>
      <c r="B2" s="975"/>
      <c r="C2" s="975"/>
      <c r="D2" s="975"/>
      <c r="E2" s="97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44287</v>
      </c>
      <c r="B5" s="82">
        <v>0</v>
      </c>
      <c r="C5" s="87">
        <f>Gen!B11</f>
        <v>0.156</v>
      </c>
      <c r="D5" s="434">
        <f>SUM(77*C5)</f>
        <v>12.012</v>
      </c>
      <c r="E5" s="74"/>
      <c r="F5" s="70">
        <f>Gen!U11</f>
        <v>0.41777952755905512</v>
      </c>
      <c r="G5" s="85">
        <f>Gen!T11</f>
        <v>3175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89</v>
      </c>
      <c r="L5" s="447">
        <f>'Lpg (2)'!G10</f>
        <v>84.4799999999872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5.7310606060606064</v>
      </c>
      <c r="U5" s="122">
        <f>SUM(L5*1963)/X5</f>
        <v>104.69333333331747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44288</v>
      </c>
      <c r="B6" s="82">
        <v>0</v>
      </c>
      <c r="C6" s="87">
        <f>Gen!B12</f>
        <v>0.16900000000000001</v>
      </c>
      <c r="D6" s="434">
        <f t="shared" ref="D6:D35" si="2">SUM(77*C6)</f>
        <v>13.013000000000002</v>
      </c>
      <c r="E6" s="74"/>
      <c r="F6" s="70">
        <f>Gen!U12</f>
        <v>0.4106777533730781</v>
      </c>
      <c r="G6" s="85">
        <f>Gen!T12</f>
        <v>3187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117</v>
      </c>
      <c r="L6" s="447">
        <f>'Lpg (2)'!G11</f>
        <v>86.547999999992328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7.5340909090909092</v>
      </c>
      <c r="U6" s="122">
        <f t="shared" ref="U6:U35" si="6">SUM(L6*1963)/X6</f>
        <v>107.25613888887938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44289</v>
      </c>
      <c r="B7" s="82">
        <v>0</v>
      </c>
      <c r="C7" s="87">
        <f>Gen!B13</f>
        <v>0.23</v>
      </c>
      <c r="D7" s="434">
        <f t="shared" si="2"/>
        <v>17.71</v>
      </c>
      <c r="E7" s="74"/>
      <c r="F7" s="70">
        <f>Gen!U13</f>
        <v>0.40227580372250421</v>
      </c>
      <c r="G7" s="85">
        <f>Gen!T13</f>
        <v>3546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167</v>
      </c>
      <c r="L7" s="447">
        <f>'Lpg (2)'!G12</f>
        <v>88.968000000005134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10.753787878787879</v>
      </c>
      <c r="U7" s="122">
        <f t="shared" si="6"/>
        <v>110.25516666667303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44290</v>
      </c>
      <c r="B8" s="82">
        <v>0</v>
      </c>
      <c r="C8" s="87">
        <f>Gen!B14</f>
        <v>0.247</v>
      </c>
      <c r="D8" s="434">
        <f t="shared" si="2"/>
        <v>19.018999999999998</v>
      </c>
      <c r="E8" s="74"/>
      <c r="F8" s="70">
        <f>Gen!U14</f>
        <v>0.40958834134615379</v>
      </c>
      <c r="G8" s="85">
        <f>Gen!T14</f>
        <v>3328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70</v>
      </c>
      <c r="L8" s="447">
        <f>'Lpg (2)'!G13</f>
        <v>86.372000000020492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4.5075757575757578</v>
      </c>
      <c r="U8" s="122">
        <f t="shared" si="6"/>
        <v>107.03802777780318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44291</v>
      </c>
      <c r="B9" s="82">
        <v>0</v>
      </c>
      <c r="C9" s="87">
        <f>Gen!B15</f>
        <v>0.13</v>
      </c>
      <c r="D9" s="434">
        <f t="shared" si="2"/>
        <v>10.01</v>
      </c>
      <c r="E9" s="74"/>
      <c r="F9" s="70">
        <f>Gen!U15</f>
        <v>0.40968615384615387</v>
      </c>
      <c r="G9" s="85">
        <f>Gen!T15</f>
        <v>3250</v>
      </c>
      <c r="H9" s="85">
        <f>[1]Gen!AJ10</f>
        <v>0</v>
      </c>
      <c r="I9" s="85">
        <f t="shared" si="0"/>
        <v>3250</v>
      </c>
      <c r="J9" s="85">
        <f>[1]Gen!AT15</f>
        <v>37525.210000000021</v>
      </c>
      <c r="K9" s="69">
        <f>'Water-Meter'!E10</f>
        <v>59</v>
      </c>
      <c r="L9" s="447">
        <f>'Lpg (2)'!G14</f>
        <v>88.527999999979514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7182012.5</v>
      </c>
      <c r="R9" s="76">
        <f t="shared" si="3"/>
        <v>452.95692312737765</v>
      </c>
      <c r="S9" s="438" t="e">
        <f t="shared" si="4"/>
        <v>#DIV/0!</v>
      </c>
      <c r="T9" s="76">
        <f t="shared" si="5"/>
        <v>3.7992424242424243</v>
      </c>
      <c r="U9" s="122">
        <f t="shared" si="6"/>
        <v>109.7098888888635</v>
      </c>
      <c r="V9" s="17">
        <f t="shared" si="7"/>
        <v>7182126.0091313124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44292</v>
      </c>
      <c r="B10" s="82">
        <v>0</v>
      </c>
      <c r="C10" s="87">
        <f>Gen!B16</f>
        <v>9.0999999999999998E-2</v>
      </c>
      <c r="D10" s="434">
        <f t="shared" si="2"/>
        <v>7.0069999999999997</v>
      </c>
      <c r="E10" s="74"/>
      <c r="F10" s="70">
        <f>Gen!U16</f>
        <v>0.41273615635179151</v>
      </c>
      <c r="G10" s="85">
        <f>Gen!T16</f>
        <v>3070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210</v>
      </c>
      <c r="L10" s="447">
        <f>'Lpg (2)'!G15</f>
        <v>82.895999999984639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13.522727272727273</v>
      </c>
      <c r="U10" s="122">
        <f t="shared" si="6"/>
        <v>102.73033333331429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44293</v>
      </c>
      <c r="B11" s="82">
        <v>0</v>
      </c>
      <c r="C11" s="87">
        <f>Gen!B17</f>
        <v>6.5000000000000002E-2</v>
      </c>
      <c r="D11" s="434">
        <f t="shared" si="2"/>
        <v>5.0049999999999999</v>
      </c>
      <c r="E11" s="74"/>
      <c r="F11" s="70">
        <f>Gen!U17</f>
        <v>0.40155218554861732</v>
      </c>
      <c r="G11" s="85">
        <f>Gen!T17</f>
        <v>3363</v>
      </c>
      <c r="H11" s="85">
        <f>[1]Gen!AJ25</f>
        <v>80.56</v>
      </c>
      <c r="I11" s="85">
        <f t="shared" si="0"/>
        <v>3443.56</v>
      </c>
      <c r="J11" s="85">
        <f>[1]Gen!AT17</f>
        <v>47513.140000000029</v>
      </c>
      <c r="K11" s="69">
        <f>'Water-Meter'!E12</f>
        <v>60</v>
      </c>
      <c r="L11" s="447">
        <f>'Lpg (2)'!G16</f>
        <v>80.212000000046103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7609751.0659999996</v>
      </c>
      <c r="R11" s="76">
        <f t="shared" si="3"/>
        <v>959.8672875104694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99.404138888946022</v>
      </c>
      <c r="V11" s="17">
        <f t="shared" si="7"/>
        <v>7609854.3337752521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44294</v>
      </c>
      <c r="B12" s="82">
        <v>0</v>
      </c>
      <c r="C12" s="87">
        <f>Gen!B18</f>
        <v>9.0999999999999998E-2</v>
      </c>
      <c r="D12" s="434">
        <f t="shared" si="2"/>
        <v>7.0069999999999997</v>
      </c>
      <c r="E12" s="74"/>
      <c r="F12" s="70">
        <f>Gen!U18</f>
        <v>0.40188175460902731</v>
      </c>
      <c r="G12" s="85">
        <f>Gen!T18</f>
        <v>3146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75</v>
      </c>
      <c r="L12" s="447">
        <f>'Lpg (2)'!G17</f>
        <v>83.995999999984633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4.8295454545454541</v>
      </c>
      <c r="U12" s="122">
        <f t="shared" si="6"/>
        <v>104.09352777775874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44295</v>
      </c>
      <c r="B13" s="82">
        <v>0</v>
      </c>
      <c r="C13" s="87">
        <f>Gen!B19</f>
        <v>6.5000000000000002E-2</v>
      </c>
      <c r="D13" s="434">
        <f t="shared" si="2"/>
        <v>5.0049999999999999</v>
      </c>
      <c r="E13" s="74"/>
      <c r="F13" s="70">
        <f>Gen!U19</f>
        <v>0.39417320458660227</v>
      </c>
      <c r="G13" s="85">
        <f>Gen!T19</f>
        <v>3314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47</v>
      </c>
      <c r="L13" s="447">
        <f>'Lpg (2)'!G18</f>
        <v>44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3.0265151515151514</v>
      </c>
      <c r="U13" s="122">
        <f t="shared" si="6"/>
        <v>54.527777777777779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44296</v>
      </c>
      <c r="B14" s="82">
        <v>0</v>
      </c>
      <c r="C14" s="87">
        <f>Gen!B20</f>
        <v>5.1999999999999998E-2</v>
      </c>
      <c r="D14" s="434">
        <f t="shared" si="2"/>
        <v>4.0039999999999996</v>
      </c>
      <c r="E14" s="74"/>
      <c r="F14" s="70">
        <f>Gen!U20</f>
        <v>0.39324810606060606</v>
      </c>
      <c r="G14" s="85">
        <f>Gen!T20</f>
        <v>3168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46</v>
      </c>
      <c r="L14" s="447">
        <f>'Lpg (2)'!G19</f>
        <v>88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2.9621212121212119</v>
      </c>
      <c r="U14" s="122">
        <f t="shared" si="6"/>
        <v>109.05555555555556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44297</v>
      </c>
      <c r="B15" s="82">
        <v>0</v>
      </c>
      <c r="C15" s="87">
        <f>Gen!B21</f>
        <v>0.104</v>
      </c>
      <c r="D15" s="434">
        <f t="shared" si="2"/>
        <v>8.0079999999999991</v>
      </c>
      <c r="E15" s="74"/>
      <c r="F15" s="70">
        <f>Gen!U21</f>
        <v>0.39665739882607354</v>
      </c>
      <c r="G15" s="85">
        <f>Gen!T21</f>
        <v>3237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50</v>
      </c>
      <c r="L15" s="447">
        <f>'Lpg (2)'!G20</f>
        <v>57.243999999976957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3.2196969696969697</v>
      </c>
      <c r="U15" s="122">
        <f t="shared" si="6"/>
        <v>70.940638888860335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44298</v>
      </c>
      <c r="B16" s="82">
        <v>0</v>
      </c>
      <c r="C16" s="87">
        <f>Gen!B22</f>
        <v>0.104</v>
      </c>
      <c r="D16" s="434">
        <f t="shared" si="2"/>
        <v>8.0079999999999991</v>
      </c>
      <c r="E16" s="74"/>
      <c r="F16" s="70">
        <f>Gen!U22</f>
        <v>0.35691342918323649</v>
      </c>
      <c r="G16" s="85">
        <f>Gen!T22</f>
        <v>3269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61</v>
      </c>
      <c r="L16" s="447">
        <f>'Lpg (2)'!G21</f>
        <v>64.328000000043545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3.9280303030303032</v>
      </c>
      <c r="U16" s="122">
        <f t="shared" si="6"/>
        <v>79.719611111165079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44299</v>
      </c>
      <c r="B17" s="82">
        <v>0</v>
      </c>
      <c r="C17" s="87">
        <f>Gen!B23</f>
        <v>1.2999999999999999E-2</v>
      </c>
      <c r="D17" s="434">
        <f t="shared" si="2"/>
        <v>1.0009999999999999</v>
      </c>
      <c r="E17" s="74"/>
      <c r="F17" s="70">
        <f>Gen!U23</f>
        <v>0.406656660412758</v>
      </c>
      <c r="G17" s="85">
        <f>Gen!T23</f>
        <v>2665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181</v>
      </c>
      <c r="L17" s="447">
        <f>'Lpg (2)'!G22</f>
        <v>63.227999999979517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11.655303030303031</v>
      </c>
      <c r="U17" s="122">
        <f t="shared" si="6"/>
        <v>78.35641666664128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44300</v>
      </c>
      <c r="B18" s="82">
        <v>0</v>
      </c>
      <c r="C18" s="87">
        <f>Gen!B24</f>
        <v>0</v>
      </c>
      <c r="D18" s="434">
        <f t="shared" si="2"/>
        <v>0</v>
      </c>
      <c r="E18" s="74"/>
      <c r="F18" s="70">
        <f>Gen!U24</f>
        <v>0.40256905032160423</v>
      </c>
      <c r="G18" s="85">
        <f>Gen!T24</f>
        <v>2643</v>
      </c>
      <c r="H18" s="85">
        <f>[1]Gen!AJ27</f>
        <v>597.9</v>
      </c>
      <c r="I18" s="85">
        <f t="shared" si="0"/>
        <v>3240.9</v>
      </c>
      <c r="J18" s="85">
        <f>[1]Gen!AT24</f>
        <v>29915.45000000003</v>
      </c>
      <c r="K18" s="69">
        <f>'Water-Meter'!E19</f>
        <v>46</v>
      </c>
      <c r="L18" s="447">
        <f>'Lpg (2)'!G23</f>
        <v>59.708000000030736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7161902.8650000002</v>
      </c>
      <c r="R18" s="76" t="e">
        <f t="shared" si="3"/>
        <v>#DIV/0!</v>
      </c>
      <c r="S18" s="438" t="e">
        <f t="shared" si="4"/>
        <v>#DIV/0!</v>
      </c>
      <c r="T18" s="76">
        <f t="shared" si="5"/>
        <v>2.9621212121212119</v>
      </c>
      <c r="U18" s="122">
        <f t="shared" si="6"/>
        <v>73.994194444482531</v>
      </c>
      <c r="V18" s="17">
        <f t="shared" si="7"/>
        <v>7161979.8213156564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44301</v>
      </c>
      <c r="B19" s="82">
        <v>0</v>
      </c>
      <c r="C19" s="87">
        <f>Gen!B25</f>
        <v>0</v>
      </c>
      <c r="D19" s="434">
        <f t="shared" si="2"/>
        <v>0</v>
      </c>
      <c r="E19" s="74"/>
      <c r="F19" s="70">
        <f>Gen!U25</f>
        <v>0.4014820473644003</v>
      </c>
      <c r="G19" s="85">
        <f>Gen!T25</f>
        <v>2618</v>
      </c>
      <c r="H19" s="85">
        <f>[1]Gen!AJ28</f>
        <v>227.73000000000002</v>
      </c>
      <c r="I19" s="85">
        <f t="shared" si="0"/>
        <v>2845.73</v>
      </c>
      <c r="J19" s="85">
        <f>[1]Gen!AT25</f>
        <v>42248.240000000034</v>
      </c>
      <c r="K19" s="69">
        <f>'Water-Meter'!E20</f>
        <v>47</v>
      </c>
      <c r="L19" s="447">
        <f>'Lpg (2)'!G24</f>
        <v>59.091999999969268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6288636.4404999996</v>
      </c>
      <c r="R19" s="76" t="e">
        <f t="shared" si="3"/>
        <v>#DIV/0!</v>
      </c>
      <c r="S19" s="438" t="e">
        <f t="shared" si="4"/>
        <v>#DIV/0!</v>
      </c>
      <c r="T19" s="76">
        <f t="shared" si="5"/>
        <v>3.0265151515151514</v>
      </c>
      <c r="U19" s="122">
        <f t="shared" si="6"/>
        <v>73.230805555517463</v>
      </c>
      <c r="V19" s="17">
        <f t="shared" si="7"/>
        <v>6288712.6978207063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44302</v>
      </c>
      <c r="B20" s="82">
        <v>0</v>
      </c>
      <c r="C20" s="87">
        <f>Gen!B26</f>
        <v>0</v>
      </c>
      <c r="D20" s="434">
        <f t="shared" si="2"/>
        <v>0</v>
      </c>
      <c r="E20" s="74"/>
      <c r="F20" s="70">
        <f>Gen!U26</f>
        <v>0.40802435192458758</v>
      </c>
      <c r="G20" s="85">
        <f>Gen!T26</f>
        <v>2546</v>
      </c>
      <c r="H20" s="85">
        <f>[1]Gen!AJ29</f>
        <v>88.289999999999992</v>
      </c>
      <c r="I20" s="85">
        <f t="shared" si="0"/>
        <v>2634.29</v>
      </c>
      <c r="J20" s="85">
        <f>[1]Gen!AT26</f>
        <v>39497.370000000032</v>
      </c>
      <c r="K20" s="69">
        <f>'Water-Meter'!E21</f>
        <v>40</v>
      </c>
      <c r="L20" s="447">
        <f>'Lpg (2)'!G25</f>
        <v>44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5821385.7565000001</v>
      </c>
      <c r="R20" s="76" t="e">
        <f t="shared" si="3"/>
        <v>#DIV/0!</v>
      </c>
      <c r="S20" s="438" t="e">
        <f t="shared" si="4"/>
        <v>#DIV/0!</v>
      </c>
      <c r="T20" s="76">
        <f t="shared" si="5"/>
        <v>2.5757575757575757</v>
      </c>
      <c r="U20" s="122">
        <f t="shared" si="6"/>
        <v>54.527777777777779</v>
      </c>
      <c r="V20" s="17">
        <f t="shared" si="7"/>
        <v>5821442.8600353543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44303</v>
      </c>
      <c r="B21" s="82">
        <v>0</v>
      </c>
      <c r="C21" s="87">
        <f>Gen!B27</f>
        <v>1.2999999999999999E-2</v>
      </c>
      <c r="D21" s="434">
        <f t="shared" si="2"/>
        <v>1.0009999999999999</v>
      </c>
      <c r="E21" s="74"/>
      <c r="F21" s="70">
        <f>Gen!U27</f>
        <v>0.40934669636228654</v>
      </c>
      <c r="G21" s="85">
        <f>Gen!T27</f>
        <v>2694</v>
      </c>
      <c r="H21" s="85">
        <f>[1]Gen!AJ30</f>
        <v>783.92</v>
      </c>
      <c r="I21" s="85">
        <f t="shared" si="0"/>
        <v>3477.92</v>
      </c>
      <c r="J21" s="85">
        <f>[1]Gen!AT27</f>
        <v>36688.350000000035</v>
      </c>
      <c r="K21" s="69">
        <f>'Water-Meter'!E22</f>
        <v>52</v>
      </c>
      <c r="L21" s="447">
        <f>'Lpg (2)'!G26</f>
        <v>56.847999999992318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7685681.5120000001</v>
      </c>
      <c r="R21" s="76">
        <f t="shared" si="3"/>
        <v>4847.224437178983</v>
      </c>
      <c r="S21" s="438" t="e">
        <f t="shared" si="4"/>
        <v>#DIV/0!</v>
      </c>
      <c r="T21" s="76">
        <f t="shared" si="5"/>
        <v>3.3484848484848486</v>
      </c>
      <c r="U21" s="122">
        <f t="shared" si="6"/>
        <v>70.449888888879372</v>
      </c>
      <c r="V21" s="17">
        <f t="shared" si="7"/>
        <v>7685755.3103737375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44304</v>
      </c>
      <c r="B22" s="82">
        <v>0</v>
      </c>
      <c r="C22" s="87">
        <f>Gen!B28</f>
        <v>3.9E-2</v>
      </c>
      <c r="D22" s="434">
        <f t="shared" si="2"/>
        <v>3.0030000000000001</v>
      </c>
      <c r="E22" s="74"/>
      <c r="F22" s="70">
        <f>Gen!U28</f>
        <v>0.41046143008101443</v>
      </c>
      <c r="G22" s="85">
        <f>Gen!T28</f>
        <v>2839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53</v>
      </c>
      <c r="L22" s="447">
        <f>'Lpg (2)'!G27</f>
        <v>61.952000000007686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3.4128787878787881</v>
      </c>
      <c r="U22" s="122">
        <f t="shared" si="6"/>
        <v>76.775111111120637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44305</v>
      </c>
      <c r="B23" s="82">
        <v>0</v>
      </c>
      <c r="C23" s="87">
        <f>Gen!B29</f>
        <v>6.5000000000000002E-2</v>
      </c>
      <c r="D23" s="434">
        <f t="shared" si="2"/>
        <v>5.0049999999999999</v>
      </c>
      <c r="E23" s="74"/>
      <c r="F23" s="70">
        <f>Gen!U29</f>
        <v>0.42041712403951703</v>
      </c>
      <c r="G23" s="85">
        <f>Gen!T29</f>
        <v>2733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58</v>
      </c>
      <c r="L23" s="447">
        <f>'Lpg (2)'!G28</f>
        <v>67.804000000015378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3.7348484848484849</v>
      </c>
      <c r="U23" s="122">
        <f t="shared" si="6"/>
        <v>84.027305555574614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44306</v>
      </c>
      <c r="B24" s="82">
        <v>0</v>
      </c>
      <c r="C24" s="87">
        <f>Gen!B30</f>
        <v>5.1999999999999998E-2</v>
      </c>
      <c r="D24" s="434">
        <f t="shared" si="2"/>
        <v>4.0039999999999996</v>
      </c>
      <c r="E24" s="74"/>
      <c r="F24" s="70">
        <f>Gen!U30</f>
        <v>0.41581932773109243</v>
      </c>
      <c r="G24" s="85">
        <f>Gen!T30</f>
        <v>2856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66</v>
      </c>
      <c r="L24" s="447">
        <f>'Lpg (2)'!G29</f>
        <v>65.955999999959033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4.25</v>
      </c>
      <c r="U24" s="122">
        <f t="shared" si="6"/>
        <v>81.737138888838118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44307</v>
      </c>
      <c r="B25" s="82">
        <v>0</v>
      </c>
      <c r="C25" s="87">
        <f>Gen!B31</f>
        <v>2.5999999999999999E-2</v>
      </c>
      <c r="D25" s="434">
        <f t="shared" si="2"/>
        <v>2.0019999999999998</v>
      </c>
      <c r="E25" s="74"/>
      <c r="F25" s="70">
        <f>Gen!U31</f>
        <v>0.41387407407407406</v>
      </c>
      <c r="G25" s="85">
        <f>Gen!T31</f>
        <v>2700</v>
      </c>
      <c r="H25" s="85">
        <f>[1]Gen!AJ31</f>
        <v>172.05</v>
      </c>
      <c r="I25" s="85">
        <f t="shared" si="0"/>
        <v>2872.05</v>
      </c>
      <c r="J25" s="85">
        <f>[1]Gen!AT31</f>
        <v>41422.370000000032</v>
      </c>
      <c r="K25" s="69">
        <f>'Water-Meter'!E26</f>
        <v>47</v>
      </c>
      <c r="L25" s="447">
        <f>'Lpg (2)'!G30</f>
        <v>65.560000000038428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6346799.6924999999</v>
      </c>
      <c r="R25" s="76">
        <f t="shared" si="3"/>
        <v>2001.4075862584386</v>
      </c>
      <c r="S25" s="438" t="e">
        <f t="shared" si="4"/>
        <v>#DIV/0!</v>
      </c>
      <c r="T25" s="76">
        <f t="shared" si="5"/>
        <v>3.0265151515151514</v>
      </c>
      <c r="U25" s="122">
        <f t="shared" si="6"/>
        <v>81.246388888936508</v>
      </c>
      <c r="V25" s="17">
        <f t="shared" si="7"/>
        <v>6346883.9654040402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44308</v>
      </c>
      <c r="B26" s="82">
        <v>0</v>
      </c>
      <c r="C26" s="87">
        <f>Gen!B32</f>
        <v>0</v>
      </c>
      <c r="D26" s="434">
        <f t="shared" si="2"/>
        <v>0</v>
      </c>
      <c r="E26" s="74"/>
      <c r="F26" s="70">
        <f>Gen!U32</f>
        <v>0.41092942537601235</v>
      </c>
      <c r="G26" s="85">
        <f>Gen!T32</f>
        <v>2593</v>
      </c>
      <c r="H26" s="85">
        <f>[1]Gen!AJ32</f>
        <v>18.63</v>
      </c>
      <c r="I26" s="85">
        <f t="shared" si="0"/>
        <v>2611.63</v>
      </c>
      <c r="J26" s="85">
        <f>[1]Gen!AT32</f>
        <v>38988.160000000033</v>
      </c>
      <c r="K26" s="69">
        <f>'Water-Meter'!E27</f>
        <v>50</v>
      </c>
      <c r="L26" s="447">
        <f>'Lpg (2)'!G31</f>
        <v>58.211999999982076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5771310.5554999998</v>
      </c>
      <c r="R26" s="76" t="e">
        <f t="shared" si="3"/>
        <v>#DIV/0!</v>
      </c>
      <c r="S26" s="438" t="e">
        <f t="shared" si="4"/>
        <v>#DIV/0!</v>
      </c>
      <c r="T26" s="76">
        <f t="shared" si="5"/>
        <v>3.2196969696969697</v>
      </c>
      <c r="U26" s="122">
        <f t="shared" si="6"/>
        <v>72.140249999977783</v>
      </c>
      <c r="V26" s="17">
        <f t="shared" si="7"/>
        <v>5771385.9154469697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44309</v>
      </c>
      <c r="B27" s="82">
        <v>0</v>
      </c>
      <c r="C27" s="87">
        <f>Gen!B33</f>
        <v>1.2999999999999999E-2</v>
      </c>
      <c r="D27" s="434">
        <f t="shared" si="2"/>
        <v>1.0009999999999999</v>
      </c>
      <c r="E27" s="74"/>
      <c r="F27" s="70">
        <f>Gen!U33</f>
        <v>0.40950696273993226</v>
      </c>
      <c r="G27" s="85">
        <f>Gen!T33</f>
        <v>2657</v>
      </c>
      <c r="H27" s="85">
        <f>[1]Gen!AJ33</f>
        <v>311.34000000000003</v>
      </c>
      <c r="I27" s="85">
        <f t="shared" si="0"/>
        <v>2968.34</v>
      </c>
      <c r="J27" s="85">
        <f>[1]Gen!AT33</f>
        <v>36682.670000000035</v>
      </c>
      <c r="K27" s="69">
        <f>'Water-Meter'!E28</f>
        <v>47</v>
      </c>
      <c r="L27" s="447">
        <f>'Lpg (2)'!G32</f>
        <v>41.140000000025616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6559586.1490000002</v>
      </c>
      <c r="R27" s="76">
        <f t="shared" si="3"/>
        <v>4137.0158559874471</v>
      </c>
      <c r="S27" s="438" t="e">
        <f t="shared" si="4"/>
        <v>#DIV/0!</v>
      </c>
      <c r="T27" s="76">
        <f t="shared" si="5"/>
        <v>3.0265151515151514</v>
      </c>
      <c r="U27" s="122">
        <f t="shared" si="6"/>
        <v>50.983472222253965</v>
      </c>
      <c r="V27" s="17">
        <f t="shared" si="7"/>
        <v>6559640.158987374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44310</v>
      </c>
      <c r="B28" s="82">
        <v>0</v>
      </c>
      <c r="C28" s="87">
        <f>Gen!B34</f>
        <v>2.5999999999999999E-2</v>
      </c>
      <c r="D28" s="434">
        <f t="shared" si="2"/>
        <v>2.0019999999999998</v>
      </c>
      <c r="E28" s="74"/>
      <c r="F28" s="70">
        <f>Gen!U34</f>
        <v>0.39966527196652718</v>
      </c>
      <c r="G28" s="85">
        <f>Gen!T34</f>
        <v>2629</v>
      </c>
      <c r="H28" s="85">
        <f>[1]Gen!AJ34</f>
        <v>380.7</v>
      </c>
      <c r="I28" s="85">
        <f t="shared" si="0"/>
        <v>3009.7</v>
      </c>
      <c r="J28" s="85">
        <f>[1]Gen!AT34</f>
        <v>44223.030000000035</v>
      </c>
      <c r="K28" s="69">
        <f>'Water-Meter'!E29</f>
        <v>56</v>
      </c>
      <c r="L28" s="447">
        <f>'Lpg (2)'!G33</f>
        <v>62.787999999953904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6650985.544999999</v>
      </c>
      <c r="R28" s="76">
        <f t="shared" si="3"/>
        <v>2097.3299254407207</v>
      </c>
      <c r="S28" s="438" t="e">
        <f t="shared" si="4"/>
        <v>#DIV/0!</v>
      </c>
      <c r="T28" s="76">
        <f t="shared" si="5"/>
        <v>3.606060606060606</v>
      </c>
      <c r="U28" s="122">
        <f t="shared" si="6"/>
        <v>77.811138888831763</v>
      </c>
      <c r="V28" s="17">
        <f t="shared" si="7"/>
        <v>6651066.9621994942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44311</v>
      </c>
      <c r="B29" s="82">
        <v>0</v>
      </c>
      <c r="C29" s="87">
        <f>Gen!B35</f>
        <v>5.1999999999999998E-2</v>
      </c>
      <c r="D29" s="434">
        <f t="shared" si="2"/>
        <v>4.0039999999999996</v>
      </c>
      <c r="E29" s="74"/>
      <c r="F29" s="70">
        <f>Gen!U35</f>
        <v>0.39691349480968857</v>
      </c>
      <c r="G29" s="85">
        <f>Gen!T35</f>
        <v>2890</v>
      </c>
      <c r="H29" s="85">
        <f>[1]Gen!AJ35</f>
        <v>273.37</v>
      </c>
      <c r="I29" s="85">
        <f t="shared" si="0"/>
        <v>3163.37</v>
      </c>
      <c r="J29" s="85">
        <f>[1]Gen!AT35</f>
        <v>41629.060000000034</v>
      </c>
      <c r="K29" s="69">
        <f>'Water-Meter'!E30</f>
        <v>46</v>
      </c>
      <c r="L29" s="447">
        <f>'Lpg (2)'!G34</f>
        <v>66.131999999994889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6990573.1944999993</v>
      </c>
      <c r="R29" s="76">
        <f t="shared" si="3"/>
        <v>1102.2079553180406</v>
      </c>
      <c r="S29" s="438" t="e">
        <f t="shared" si="4"/>
        <v>#DIV/0!</v>
      </c>
      <c r="T29" s="76">
        <f t="shared" si="5"/>
        <v>2.9621212121212119</v>
      </c>
      <c r="U29" s="122">
        <f t="shared" si="6"/>
        <v>81.955249999993669</v>
      </c>
      <c r="V29" s="17">
        <f t="shared" si="7"/>
        <v>6990658.1118712109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44312</v>
      </c>
      <c r="B30" s="82">
        <v>0</v>
      </c>
      <c r="C30" s="87">
        <f>Gen!B36</f>
        <v>5.1999999999999998E-2</v>
      </c>
      <c r="D30" s="434">
        <f t="shared" si="2"/>
        <v>4.0039999999999996</v>
      </c>
      <c r="E30" s="74"/>
      <c r="F30" s="70">
        <f>Gen!U36</f>
        <v>0.41366406540319589</v>
      </c>
      <c r="G30" s="85">
        <f>Gen!T36</f>
        <v>2691</v>
      </c>
      <c r="H30" s="85">
        <f>[1]Gen!AJ36</f>
        <v>396.56</v>
      </c>
      <c r="I30" s="85">
        <f t="shared" si="0"/>
        <v>3087.56</v>
      </c>
      <c r="J30" s="85">
        <f>[1]Gen!AT36</f>
        <v>39251.170000000035</v>
      </c>
      <c r="K30" s="69">
        <f>'Water-Meter'!E31</f>
        <v>53</v>
      </c>
      <c r="L30" s="447">
        <f>'Lpg (2)'!G35</f>
        <v>66.352000000007692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6823044.466</v>
      </c>
      <c r="R30" s="76">
        <f t="shared" si="3"/>
        <v>1075.7935981316664</v>
      </c>
      <c r="S30" s="438" t="e">
        <f t="shared" si="4"/>
        <v>#DIV/0!</v>
      </c>
      <c r="T30" s="76">
        <f t="shared" si="5"/>
        <v>3.4128787878787881</v>
      </c>
      <c r="U30" s="122">
        <f t="shared" si="6"/>
        <v>82.22788888889842</v>
      </c>
      <c r="V30" s="17">
        <f t="shared" si="7"/>
        <v>6823130.1067676768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44313</v>
      </c>
      <c r="B31" s="82">
        <v>0</v>
      </c>
      <c r="C31" s="87">
        <f>Gen!B37</f>
        <v>3.5999999999999997E-2</v>
      </c>
      <c r="D31" s="434">
        <f t="shared" si="2"/>
        <v>2.7719999999999998</v>
      </c>
      <c r="E31" s="74"/>
      <c r="F31" s="70">
        <f>Gen!U37</f>
        <v>0.40857665568971829</v>
      </c>
      <c r="G31" s="85">
        <f>Gen!T37</f>
        <v>2733</v>
      </c>
      <c r="H31" s="85">
        <f>[1]Gen!AJ37</f>
        <v>280.63</v>
      </c>
      <c r="I31" s="85">
        <f t="shared" si="0"/>
        <v>3013.63</v>
      </c>
      <c r="J31" s="85">
        <f>[1]Gen!AT37</f>
        <v>36384.370000000032</v>
      </c>
      <c r="K31" s="69">
        <f>'Water-Meter'!E32</f>
        <v>43</v>
      </c>
      <c r="L31" s="447">
        <f>'Lpg (2)'!G36</f>
        <v>68.508000000030734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6659670.2555</v>
      </c>
      <c r="R31" s="76">
        <f t="shared" si="3"/>
        <v>1516.7161913826212</v>
      </c>
      <c r="S31" s="438" t="e">
        <f t="shared" si="4"/>
        <v>#DIV/0!</v>
      </c>
      <c r="T31" s="76">
        <f t="shared" si="5"/>
        <v>2.768939393939394</v>
      </c>
      <c r="U31" s="122">
        <f t="shared" si="6"/>
        <v>84.899750000038082</v>
      </c>
      <c r="V31" s="17">
        <f t="shared" si="7"/>
        <v>6659757.9241893934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44314</v>
      </c>
      <c r="B32" s="82">
        <v>0</v>
      </c>
      <c r="C32" s="87">
        <f>Gen!B38</f>
        <v>3.9E-2</v>
      </c>
      <c r="D32" s="434">
        <f t="shared" si="2"/>
        <v>3.0030000000000001</v>
      </c>
      <c r="E32" s="74"/>
      <c r="F32" s="70">
        <f>Gen!U38</f>
        <v>0.42960000000000004</v>
      </c>
      <c r="G32" s="85">
        <f>Gen!T38</f>
        <v>2725</v>
      </c>
      <c r="H32" s="85">
        <f>[1]Gen!AJ38</f>
        <v>0</v>
      </c>
      <c r="I32" s="85">
        <f t="shared" si="0"/>
        <v>2725</v>
      </c>
      <c r="J32" s="85">
        <f>[1]Gen!AT38</f>
        <v>33780.000000000029</v>
      </c>
      <c r="K32" s="69">
        <f>'Water-Meter'!E33</f>
        <v>61</v>
      </c>
      <c r="L32" s="447">
        <f>'Lpg (2)'!G37</f>
        <v>66.484000000002567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6021841.25</v>
      </c>
      <c r="R32" s="76">
        <f t="shared" si="3"/>
        <v>1265.9565287406197</v>
      </c>
      <c r="S32" s="438" t="e">
        <f t="shared" si="4"/>
        <v>#DIV/0!</v>
      </c>
      <c r="T32" s="76">
        <f t="shared" si="5"/>
        <v>3.9280303030303032</v>
      </c>
      <c r="U32" s="122">
        <f t="shared" si="6"/>
        <v>82.391472222225403</v>
      </c>
      <c r="V32" s="17">
        <f t="shared" si="7"/>
        <v>6021927.569502525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44315</v>
      </c>
      <c r="B33" s="82">
        <v>0</v>
      </c>
      <c r="C33" s="87">
        <f>Gen!B39</f>
        <v>2.5999999999999999E-2</v>
      </c>
      <c r="D33" s="434">
        <f t="shared" si="2"/>
        <v>2.0019999999999998</v>
      </c>
      <c r="E33" s="74"/>
      <c r="F33" s="70">
        <f>Gen!U39</f>
        <v>0.39306078919303239</v>
      </c>
      <c r="G33" s="85">
        <f>Gen!T39</f>
        <v>2813</v>
      </c>
      <c r="H33" s="85">
        <f>[1]Gen!AJ39</f>
        <v>0</v>
      </c>
      <c r="I33" s="85">
        <f t="shared" si="0"/>
        <v>2813</v>
      </c>
      <c r="J33" s="85">
        <f>[1]Gen!AT39</f>
        <v>33780.000000000029</v>
      </c>
      <c r="K33" s="69">
        <f>'Water-Meter'!E34</f>
        <v>53</v>
      </c>
      <c r="L33" s="447">
        <f>'Lpg (2)'!G38</f>
        <v>62.347999999992325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6216308.0499999998</v>
      </c>
      <c r="R33" s="76">
        <f t="shared" si="3"/>
        <v>1960.2581919343284</v>
      </c>
      <c r="S33" s="438" t="e">
        <f t="shared" si="4"/>
        <v>#DIV/0!</v>
      </c>
      <c r="T33" s="76">
        <f t="shared" si="5"/>
        <v>3.4128787878787881</v>
      </c>
      <c r="U33" s="122">
        <f t="shared" si="6"/>
        <v>77.2658611111016</v>
      </c>
      <c r="V33" s="17">
        <f t="shared" si="7"/>
        <v>6216388.7287398987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44316</v>
      </c>
      <c r="B34" s="82">
        <v>0</v>
      </c>
      <c r="C34" s="87">
        <f>Gen!B40</f>
        <v>0.01</v>
      </c>
      <c r="D34" s="434">
        <f t="shared" si="2"/>
        <v>0.77</v>
      </c>
      <c r="E34" s="74"/>
      <c r="F34" s="70">
        <f>Gen!U40</f>
        <v>0.40999267667521055</v>
      </c>
      <c r="G34" s="85">
        <f>Gen!T40</f>
        <v>2731</v>
      </c>
      <c r="H34" s="85">
        <f>[1]Gen!AJ40</f>
        <v>0</v>
      </c>
      <c r="I34" s="85">
        <f t="shared" si="0"/>
        <v>2731</v>
      </c>
      <c r="J34" s="85">
        <f>[1]Gen!AT40</f>
        <v>33780.000000000029</v>
      </c>
      <c r="K34" s="69">
        <f>'Water-Meter'!E35</f>
        <v>58</v>
      </c>
      <c r="L34" s="447">
        <f>'Lpg (2)'!G39</f>
        <v>62.656000000023056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6035100.3499999996</v>
      </c>
      <c r="R34" s="76">
        <f t="shared" si="3"/>
        <v>4948.1014282434735</v>
      </c>
      <c r="S34" s="438" t="e">
        <f t="shared" si="4"/>
        <v>#DIV/0!</v>
      </c>
      <c r="T34" s="76">
        <f t="shared" si="5"/>
        <v>3.7348484848484849</v>
      </c>
      <c r="U34" s="122">
        <f t="shared" si="6"/>
        <v>77.647555555584134</v>
      </c>
      <c r="V34" s="17">
        <f t="shared" si="7"/>
        <v>6035181.7324040392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 t="str">
        <f>'Water-Meter'!E36</f>
        <v>0</v>
      </c>
      <c r="L35" s="447">
        <f>'Lpg (2)'!G40</f>
        <v>57.023999999964147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70.667999999955569</v>
      </c>
      <c r="V35" s="17">
        <f t="shared" si="7"/>
        <v>70.667999999955569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2108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1220.9258426966294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52" workbookViewId="0">
      <selection activeCell="F48" sqref="F48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77" t="s">
        <v>180</v>
      </c>
      <c r="B1" s="978"/>
      <c r="C1" s="978"/>
      <c r="D1" s="978"/>
      <c r="E1" s="978"/>
      <c r="F1" s="978"/>
      <c r="G1" s="979"/>
    </row>
    <row r="2" spans="1:7" ht="13.5" thickBot="1">
      <c r="A2" s="300"/>
      <c r="B2" s="980" t="s">
        <v>175</v>
      </c>
      <c r="C2" s="981"/>
      <c r="D2" s="982"/>
      <c r="E2" s="980" t="s">
        <v>176</v>
      </c>
      <c r="F2" s="981"/>
      <c r="G2" s="98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>
        <v>124084</v>
      </c>
      <c r="D41" s="321">
        <f t="shared" si="1"/>
        <v>1968</v>
      </c>
      <c r="E41" s="322">
        <f t="shared" si="2"/>
        <v>296404</v>
      </c>
      <c r="F41" s="242">
        <v>298355</v>
      </c>
      <c r="G41" s="264">
        <f t="shared" si="3"/>
        <v>1951</v>
      </c>
    </row>
    <row r="42" spans="1:7">
      <c r="A42" s="240">
        <v>44256</v>
      </c>
      <c r="B42" s="479">
        <f t="shared" si="0"/>
        <v>124084</v>
      </c>
      <c r="C42" s="242">
        <v>126278</v>
      </c>
      <c r="D42" s="321">
        <f t="shared" si="1"/>
        <v>2194</v>
      </c>
      <c r="E42" s="322">
        <f t="shared" si="2"/>
        <v>298355</v>
      </c>
      <c r="F42" s="242">
        <v>300336</v>
      </c>
      <c r="G42" s="264">
        <f t="shared" si="3"/>
        <v>1981</v>
      </c>
    </row>
    <row r="43" spans="1:7">
      <c r="A43" s="240">
        <v>44287</v>
      </c>
      <c r="B43" s="479">
        <f t="shared" si="0"/>
        <v>126278</v>
      </c>
      <c r="C43" s="242">
        <v>128390</v>
      </c>
      <c r="D43" s="321">
        <f t="shared" si="1"/>
        <v>2112</v>
      </c>
      <c r="E43" s="322">
        <f t="shared" si="2"/>
        <v>300336</v>
      </c>
      <c r="F43" s="242">
        <v>302366</v>
      </c>
      <c r="G43" s="264">
        <f t="shared" si="3"/>
        <v>2030</v>
      </c>
    </row>
    <row r="44" spans="1:7">
      <c r="A44" s="240">
        <v>44317</v>
      </c>
      <c r="B44" s="479">
        <f t="shared" si="0"/>
        <v>128390</v>
      </c>
      <c r="C44" s="242"/>
      <c r="D44" s="321">
        <f t="shared" si="1"/>
        <v>-128390</v>
      </c>
      <c r="E44" s="322">
        <f t="shared" si="2"/>
        <v>302366</v>
      </c>
      <c r="F44" s="242"/>
      <c r="G44" s="264">
        <f t="shared" si="3"/>
        <v>-302366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1"/>
      <c r="C77" s="277"/>
      <c r="D77" s="832"/>
      <c r="E77" s="277"/>
      <c r="F77" s="277"/>
      <c r="G77" s="832"/>
    </row>
    <row r="78" spans="1:7">
      <c r="A78" s="19"/>
      <c r="B78" s="826"/>
      <c r="C78" s="19"/>
      <c r="D78" s="827"/>
      <c r="E78" s="19"/>
      <c r="F78" s="19"/>
      <c r="G78" s="827"/>
    </row>
    <row r="79" spans="1:7">
      <c r="A79" s="19"/>
      <c r="B79" s="826"/>
      <c r="C79" s="19"/>
      <c r="D79" s="827"/>
      <c r="E79" s="19"/>
      <c r="F79" s="19"/>
      <c r="G79" s="827"/>
    </row>
    <row r="80" spans="1:7">
      <c r="A80" s="19"/>
      <c r="B80" s="826"/>
      <c r="C80" s="19"/>
      <c r="D80" s="827"/>
      <c r="E80" s="19"/>
      <c r="F80" s="19"/>
      <c r="G80" s="827"/>
    </row>
    <row r="81" spans="1:7">
      <c r="A81" s="19"/>
      <c r="B81" s="826"/>
      <c r="C81" s="19"/>
      <c r="D81" s="827"/>
      <c r="E81" s="19"/>
      <c r="F81" s="19"/>
      <c r="G81" s="827"/>
    </row>
    <row r="82" spans="1:7">
      <c r="A82" s="19"/>
      <c r="B82" s="826"/>
      <c r="C82" s="19"/>
      <c r="D82" s="827"/>
      <c r="E82" s="19"/>
      <c r="F82" s="19"/>
      <c r="G82" s="827"/>
    </row>
    <row r="83" spans="1:7">
      <c r="A83" s="19"/>
      <c r="B83" s="826"/>
      <c r="C83" s="19"/>
      <c r="D83" s="827"/>
      <c r="E83" s="19"/>
      <c r="F83" s="19"/>
      <c r="G83" s="827"/>
    </row>
    <row r="84" spans="1:7">
      <c r="A84" s="19"/>
      <c r="B84" s="826"/>
      <c r="C84" s="19"/>
      <c r="D84" s="827"/>
      <c r="E84" s="19"/>
      <c r="F84" s="19"/>
      <c r="G84" s="827"/>
    </row>
    <row r="85" spans="1:7">
      <c r="A85" s="19"/>
      <c r="B85" s="826"/>
      <c r="C85" s="19"/>
      <c r="D85" s="827"/>
      <c r="E85" s="19"/>
      <c r="F85" s="19"/>
      <c r="G85" s="827"/>
    </row>
    <row r="86" spans="1:7">
      <c r="A86" s="19"/>
      <c r="B86" s="826"/>
      <c r="C86" s="19"/>
      <c r="D86" s="827"/>
      <c r="E86" s="19"/>
      <c r="F86" s="19"/>
      <c r="G86" s="827"/>
    </row>
    <row r="87" spans="1:7">
      <c r="A87" s="19"/>
      <c r="B87" s="826"/>
      <c r="C87" s="19"/>
      <c r="D87" s="827"/>
      <c r="E87" s="19"/>
      <c r="F87" s="19"/>
      <c r="G87" s="827"/>
    </row>
    <row r="88" spans="1:7" ht="13.5" thickBot="1">
      <c r="B88" s="828"/>
      <c r="C88" s="251"/>
      <c r="D88" s="829"/>
      <c r="E88" s="251"/>
      <c r="F88" s="251"/>
      <c r="G88" s="829"/>
    </row>
    <row r="89" spans="1:7" ht="13.5" thickBot="1">
      <c r="B89" s="833" t="s">
        <v>317</v>
      </c>
      <c r="C89" s="834"/>
      <c r="D89" s="835"/>
      <c r="E89" s="833" t="s">
        <v>318</v>
      </c>
      <c r="F89" s="834"/>
      <c r="G89" s="835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31" workbookViewId="0">
      <selection activeCell="B76" sqref="B76:E9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77" t="s">
        <v>230</v>
      </c>
      <c r="B1" s="978"/>
      <c r="C1" s="978"/>
      <c r="D1" s="97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>
        <v>8626044</v>
      </c>
      <c r="D40" s="392">
        <f t="shared" si="1"/>
        <v>31383</v>
      </c>
      <c r="E40" s="242">
        <v>31457.200000000001</v>
      </c>
      <c r="F40" s="488">
        <f t="shared" si="2"/>
        <v>-74.200000000000728</v>
      </c>
      <c r="G40" s="489">
        <f t="shared" si="3"/>
        <v>282519</v>
      </c>
      <c r="H40" s="242">
        <v>286104</v>
      </c>
      <c r="I40" s="269">
        <f t="shared" si="4"/>
        <v>3585</v>
      </c>
      <c r="J40" s="242">
        <v>3585.35</v>
      </c>
      <c r="K40" s="276">
        <f t="shared" si="5"/>
        <v>-0.34999999999990905</v>
      </c>
      <c r="L40" s="490">
        <f t="shared" si="6"/>
        <v>34968</v>
      </c>
    </row>
    <row r="41" spans="1:12">
      <c r="A41" s="240">
        <v>44256</v>
      </c>
      <c r="B41" s="314">
        <f t="shared" si="0"/>
        <v>8626044</v>
      </c>
      <c r="C41" s="242">
        <v>8662434</v>
      </c>
      <c r="D41" s="392">
        <f t="shared" si="1"/>
        <v>36390</v>
      </c>
      <c r="E41" s="242">
        <v>36518.83</v>
      </c>
      <c r="F41" s="488">
        <f t="shared" si="2"/>
        <v>-128.83000000000175</v>
      </c>
      <c r="G41" s="489">
        <f t="shared" si="3"/>
        <v>286104</v>
      </c>
      <c r="H41" s="242">
        <v>289959</v>
      </c>
      <c r="I41" s="269">
        <f t="shared" si="4"/>
        <v>3855</v>
      </c>
      <c r="J41" s="242">
        <v>3854.7</v>
      </c>
      <c r="K41" s="276">
        <f t="shared" si="5"/>
        <v>0.3000000000001819</v>
      </c>
      <c r="L41" s="490">
        <f t="shared" si="6"/>
        <v>40245</v>
      </c>
    </row>
    <row r="42" spans="1:12">
      <c r="A42" s="240">
        <v>44287</v>
      </c>
      <c r="B42" s="314">
        <f t="shared" si="0"/>
        <v>8662434</v>
      </c>
      <c r="C42" s="242">
        <v>8665049</v>
      </c>
      <c r="D42" s="392">
        <f t="shared" si="1"/>
        <v>2615</v>
      </c>
      <c r="E42" s="242">
        <v>2635.28</v>
      </c>
      <c r="F42" s="488">
        <f t="shared" si="2"/>
        <v>-20.2800000000002</v>
      </c>
      <c r="G42" s="489">
        <f t="shared" si="3"/>
        <v>289959</v>
      </c>
      <c r="H42" s="242">
        <v>326780</v>
      </c>
      <c r="I42" s="269">
        <f t="shared" si="4"/>
        <v>36821</v>
      </c>
      <c r="J42" s="242">
        <v>36819.769999999997</v>
      </c>
      <c r="K42" s="276">
        <f t="shared" si="5"/>
        <v>1.2300000000032014</v>
      </c>
      <c r="L42" s="490">
        <f t="shared" si="6"/>
        <v>39436</v>
      </c>
    </row>
    <row r="43" spans="1:12">
      <c r="A43" s="240">
        <v>44317</v>
      </c>
      <c r="B43" s="314">
        <f t="shared" si="0"/>
        <v>8665049</v>
      </c>
      <c r="C43" s="242"/>
      <c r="D43" s="392">
        <f t="shared" si="1"/>
        <v>-8665049</v>
      </c>
      <c r="E43" s="242"/>
      <c r="F43" s="488">
        <f t="shared" si="2"/>
        <v>-8665049</v>
      </c>
      <c r="G43" s="489">
        <f t="shared" si="3"/>
        <v>326780</v>
      </c>
      <c r="H43" s="242"/>
      <c r="I43" s="269">
        <f t="shared" si="4"/>
        <v>-326780</v>
      </c>
      <c r="J43" s="242"/>
      <c r="K43" s="276">
        <f t="shared" si="5"/>
        <v>-326780</v>
      </c>
      <c r="L43" s="490">
        <f t="shared" si="6"/>
        <v>-8991829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83"/>
      <c r="C76" s="984"/>
      <c r="D76" s="984"/>
      <c r="E76" s="985"/>
      <c r="H76" s="983"/>
      <c r="I76" s="984"/>
      <c r="J76" s="984"/>
      <c r="K76" s="984"/>
      <c r="L76" s="985"/>
    </row>
    <row r="77" spans="1:12">
      <c r="B77" s="986"/>
      <c r="C77" s="987"/>
      <c r="D77" s="987"/>
      <c r="E77" s="988"/>
      <c r="H77" s="986"/>
      <c r="I77" s="987"/>
      <c r="J77" s="987"/>
      <c r="K77" s="987"/>
      <c r="L77" s="988"/>
    </row>
    <row r="78" spans="1:12">
      <c r="B78" s="986"/>
      <c r="C78" s="987"/>
      <c r="D78" s="987"/>
      <c r="E78" s="988"/>
      <c r="H78" s="986"/>
      <c r="I78" s="987"/>
      <c r="J78" s="987"/>
      <c r="K78" s="987"/>
      <c r="L78" s="988"/>
    </row>
    <row r="79" spans="1:12">
      <c r="B79" s="986"/>
      <c r="C79" s="987"/>
      <c r="D79" s="987"/>
      <c r="E79" s="988"/>
      <c r="H79" s="986"/>
      <c r="I79" s="987"/>
      <c r="J79" s="987"/>
      <c r="K79" s="987"/>
      <c r="L79" s="988"/>
    </row>
    <row r="80" spans="1:12">
      <c r="B80" s="986"/>
      <c r="C80" s="987"/>
      <c r="D80" s="987"/>
      <c r="E80" s="988"/>
      <c r="H80" s="986"/>
      <c r="I80" s="987"/>
      <c r="J80" s="987"/>
      <c r="K80" s="987"/>
      <c r="L80" s="988"/>
    </row>
    <row r="81" spans="2:12">
      <c r="B81" s="986"/>
      <c r="C81" s="987"/>
      <c r="D81" s="987"/>
      <c r="E81" s="988"/>
      <c r="H81" s="986"/>
      <c r="I81" s="987"/>
      <c r="J81" s="987"/>
      <c r="K81" s="987"/>
      <c r="L81" s="988"/>
    </row>
    <row r="82" spans="2:12">
      <c r="B82" s="986"/>
      <c r="C82" s="987"/>
      <c r="D82" s="987"/>
      <c r="E82" s="988"/>
      <c r="H82" s="986"/>
      <c r="I82" s="987"/>
      <c r="J82" s="987"/>
      <c r="K82" s="987"/>
      <c r="L82" s="988"/>
    </row>
    <row r="83" spans="2:12">
      <c r="B83" s="986"/>
      <c r="C83" s="987"/>
      <c r="D83" s="987"/>
      <c r="E83" s="988"/>
      <c r="H83" s="986"/>
      <c r="I83" s="987"/>
      <c r="J83" s="987"/>
      <c r="K83" s="987"/>
      <c r="L83" s="988"/>
    </row>
    <row r="84" spans="2:12">
      <c r="B84" s="986"/>
      <c r="C84" s="987"/>
      <c r="D84" s="987"/>
      <c r="E84" s="988"/>
      <c r="H84" s="986"/>
      <c r="I84" s="987"/>
      <c r="J84" s="987"/>
      <c r="K84" s="987"/>
      <c r="L84" s="988"/>
    </row>
    <row r="85" spans="2:12">
      <c r="B85" s="986"/>
      <c r="C85" s="987"/>
      <c r="D85" s="987"/>
      <c r="E85" s="988"/>
      <c r="H85" s="986"/>
      <c r="I85" s="987"/>
      <c r="J85" s="987"/>
      <c r="K85" s="987"/>
      <c r="L85" s="988"/>
    </row>
    <row r="86" spans="2:12">
      <c r="B86" s="986"/>
      <c r="C86" s="987"/>
      <c r="D86" s="987"/>
      <c r="E86" s="988"/>
      <c r="H86" s="986"/>
      <c r="I86" s="987"/>
      <c r="J86" s="987"/>
      <c r="K86" s="987"/>
      <c r="L86" s="988"/>
    </row>
    <row r="87" spans="2:12">
      <c r="B87" s="986"/>
      <c r="C87" s="987"/>
      <c r="D87" s="987"/>
      <c r="E87" s="988"/>
      <c r="H87" s="986"/>
      <c r="I87" s="987"/>
      <c r="J87" s="987"/>
      <c r="K87" s="987"/>
      <c r="L87" s="988"/>
    </row>
    <row r="88" spans="2:12">
      <c r="B88" s="986"/>
      <c r="C88" s="987"/>
      <c r="D88" s="987"/>
      <c r="E88" s="988"/>
      <c r="H88" s="986"/>
      <c r="I88" s="987"/>
      <c r="J88" s="987"/>
      <c r="K88" s="987"/>
      <c r="L88" s="988"/>
    </row>
    <row r="89" spans="2:12">
      <c r="B89" s="986"/>
      <c r="C89" s="987"/>
      <c r="D89" s="987"/>
      <c r="E89" s="988"/>
      <c r="H89" s="986"/>
      <c r="I89" s="987"/>
      <c r="J89" s="987"/>
      <c r="K89" s="987"/>
      <c r="L89" s="988"/>
    </row>
    <row r="90" spans="2:12" ht="13.5" thickBot="1">
      <c r="B90" s="989"/>
      <c r="C90" s="990"/>
      <c r="D90" s="990"/>
      <c r="E90" s="991"/>
      <c r="H90" s="989"/>
      <c r="I90" s="990"/>
      <c r="J90" s="990"/>
      <c r="K90" s="990"/>
      <c r="L90" s="991"/>
    </row>
    <row r="91" spans="2:12">
      <c r="B91" s="992" t="s">
        <v>312</v>
      </c>
      <c r="C91" s="993"/>
      <c r="D91" s="993"/>
      <c r="E91" s="994"/>
      <c r="H91" s="992" t="s">
        <v>313</v>
      </c>
      <c r="I91" s="993"/>
      <c r="J91" s="993"/>
      <c r="K91" s="993"/>
      <c r="L91" s="994"/>
    </row>
    <row r="92" spans="2:12">
      <c r="B92" s="995"/>
      <c r="C92" s="996"/>
      <c r="D92" s="996"/>
      <c r="E92" s="997"/>
      <c r="H92" s="995"/>
      <c r="I92" s="996"/>
      <c r="J92" s="996"/>
      <c r="K92" s="996"/>
      <c r="L92" s="997"/>
    </row>
    <row r="93" spans="2:12" ht="13.5" thickBot="1">
      <c r="B93" s="998"/>
      <c r="C93" s="999"/>
      <c r="D93" s="999"/>
      <c r="E93" s="1000"/>
      <c r="H93" s="998"/>
      <c r="I93" s="999"/>
      <c r="J93" s="999"/>
      <c r="K93" s="999"/>
      <c r="L93" s="100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4" workbookViewId="0">
      <selection activeCell="D26" sqref="D26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1001" t="s">
        <v>254</v>
      </c>
      <c r="B1" s="1001"/>
      <c r="C1" s="1001"/>
      <c r="D1" s="1001"/>
      <c r="E1" s="1001"/>
      <c r="F1" s="1001"/>
      <c r="G1" s="1001"/>
      <c r="H1" s="1001"/>
      <c r="I1" s="1001"/>
      <c r="J1" s="1001"/>
    </row>
    <row r="2" spans="1:10" ht="19.5" thickBot="1">
      <c r="A2" s="1010">
        <f>A5</f>
        <v>44287</v>
      </c>
      <c r="B2" s="1011"/>
      <c r="C2" s="1011"/>
      <c r="D2" s="1011"/>
      <c r="E2" s="1011"/>
      <c r="F2" s="1011"/>
      <c r="G2" s="1011"/>
      <c r="H2" s="1011"/>
      <c r="I2" s="1011"/>
      <c r="J2" s="1011"/>
    </row>
    <row r="3" spans="1:10" ht="15.75" thickBot="1">
      <c r="A3" s="1002" t="s">
        <v>7</v>
      </c>
      <c r="B3" s="1004" t="s">
        <v>255</v>
      </c>
      <c r="C3" s="440"/>
      <c r="D3" s="1006" t="s">
        <v>256</v>
      </c>
      <c r="E3" s="1007"/>
      <c r="F3" s="1008" t="s">
        <v>257</v>
      </c>
      <c r="G3" s="1009"/>
      <c r="H3" s="1007"/>
      <c r="I3" s="1008" t="s">
        <v>258</v>
      </c>
      <c r="J3" s="1007"/>
    </row>
    <row r="4" spans="1:10" ht="30.75" thickBot="1">
      <c r="A4" s="1003"/>
      <c r="B4" s="100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44287</v>
      </c>
      <c r="B5" s="399">
        <f>Gen!B11</f>
        <v>0.156</v>
      </c>
      <c r="C5" s="443">
        <f>Gen!AJ11</f>
        <v>145.43</v>
      </c>
      <c r="D5" s="444">
        <f>Gen!S11</f>
        <v>1326.45</v>
      </c>
      <c r="E5" s="395">
        <f>Gen!C11</f>
        <v>34515.97</v>
      </c>
      <c r="F5" s="396">
        <f>'Water-Meter'!E6</f>
        <v>89</v>
      </c>
      <c r="G5" s="397">
        <f>'Water-Meter'!AN6</f>
        <v>122</v>
      </c>
      <c r="H5" s="395">
        <f>'Utility report '!AC6</f>
        <v>0</v>
      </c>
      <c r="I5" s="394">
        <f>'Kit report'!F4</f>
        <v>240</v>
      </c>
      <c r="J5" s="395">
        <f>'Kit report'!X4</f>
        <v>400</v>
      </c>
    </row>
    <row r="6" spans="1:10" ht="17.100000000000001" customHeight="1" thickBot="1">
      <c r="A6" s="217">
        <f>Gen!A12</f>
        <v>44288</v>
      </c>
      <c r="B6" s="399">
        <f>Gen!B12</f>
        <v>0.16900000000000001</v>
      </c>
      <c r="C6" s="443">
        <f>Gen!AJ12</f>
        <v>224.9</v>
      </c>
      <c r="D6" s="444">
        <f>Gen!S12</f>
        <v>1308.83</v>
      </c>
      <c r="E6" s="395">
        <f>Gen!C12</f>
        <v>33044.090000000004</v>
      </c>
      <c r="F6" s="396">
        <f>'Water-Meter'!E7</f>
        <v>117</v>
      </c>
      <c r="G6" s="397">
        <f>'Water-Meter'!AN7</f>
        <v>127</v>
      </c>
      <c r="H6" s="395">
        <f>'Utility report '!AC7</f>
        <v>0</v>
      </c>
      <c r="I6" s="394">
        <f>'Kit report'!F5</f>
        <v>360</v>
      </c>
      <c r="J6" s="395">
        <f>'Kit report'!X5</f>
        <v>600</v>
      </c>
    </row>
    <row r="7" spans="1:10" ht="17.100000000000001" customHeight="1" thickBot="1">
      <c r="A7" s="217">
        <f>Gen!A13</f>
        <v>44289</v>
      </c>
      <c r="B7" s="399">
        <f>Gen!B13</f>
        <v>0.23</v>
      </c>
      <c r="C7" s="443">
        <f>Gen!AJ13</f>
        <v>139.29000000000002</v>
      </c>
      <c r="D7" s="444">
        <f>Gen!S13</f>
        <v>1426.47</v>
      </c>
      <c r="E7" s="395">
        <f>Gen!C13</f>
        <v>31510.360000000004</v>
      </c>
      <c r="F7" s="396">
        <f>'Water-Meter'!E8</f>
        <v>167</v>
      </c>
      <c r="G7" s="397">
        <f>'Water-Meter'!AN8</f>
        <v>172</v>
      </c>
      <c r="H7" s="395">
        <f>'Utility report '!AC8</f>
        <v>0</v>
      </c>
      <c r="I7" s="394">
        <f>'Kit report'!F6</f>
        <v>324.00000000008731</v>
      </c>
      <c r="J7" s="395">
        <f>'Kit report'!X6</f>
        <v>400</v>
      </c>
    </row>
    <row r="8" spans="1:10" ht="17.100000000000001" customHeight="1" thickBot="1">
      <c r="A8" s="217">
        <f>Gen!A14</f>
        <v>44290</v>
      </c>
      <c r="B8" s="399">
        <f>Gen!B14</f>
        <v>0.247</v>
      </c>
      <c r="C8" s="443">
        <f>Gen!AJ14</f>
        <v>0</v>
      </c>
      <c r="D8" s="444">
        <f>Gen!S14</f>
        <v>1363.11</v>
      </c>
      <c r="E8" s="395">
        <f>Gen!C14</f>
        <v>29944.600000000006</v>
      </c>
      <c r="F8" s="396">
        <f>'Water-Meter'!E9</f>
        <v>70</v>
      </c>
      <c r="G8" s="397">
        <f>'Water-Meter'!AN9</f>
        <v>186</v>
      </c>
      <c r="H8" s="395">
        <f>'Utility report '!AC9</f>
        <v>0</v>
      </c>
      <c r="I8" s="394">
        <f>'Kit report'!F7</f>
        <v>300</v>
      </c>
      <c r="J8" s="395">
        <f>'Kit report'!X7</f>
        <v>360.00000000003638</v>
      </c>
    </row>
    <row r="9" spans="1:10" ht="17.100000000000001" customHeight="1" thickBot="1">
      <c r="A9" s="217">
        <f>Gen!A15</f>
        <v>44291</v>
      </c>
      <c r="B9" s="399">
        <f>Gen!B15</f>
        <v>0.13</v>
      </c>
      <c r="C9" s="443">
        <f>Gen!AJ15</f>
        <v>218.51</v>
      </c>
      <c r="D9" s="444">
        <f>Gen!S15</f>
        <v>1331.48</v>
      </c>
      <c r="E9" s="395">
        <f>Gen!C15</f>
        <v>28581.490000000005</v>
      </c>
      <c r="F9" s="396">
        <f>'Water-Meter'!E10</f>
        <v>59</v>
      </c>
      <c r="G9" s="397">
        <f>'Water-Meter'!AN10</f>
        <v>166</v>
      </c>
      <c r="H9" s="395">
        <f>'Utility report '!AC10</f>
        <v>0</v>
      </c>
      <c r="I9" s="394">
        <f>'Kit report'!F8</f>
        <v>300</v>
      </c>
      <c r="J9" s="395">
        <f>'Kit report'!X8</f>
        <v>439.99999999996362</v>
      </c>
    </row>
    <row r="10" spans="1:10" ht="17.100000000000001" customHeight="1" thickBot="1">
      <c r="A10" s="217">
        <f>Gen!A16</f>
        <v>44292</v>
      </c>
      <c r="B10" s="399">
        <f>Gen!B16</f>
        <v>9.0999999999999998E-2</v>
      </c>
      <c r="C10" s="443">
        <f>Gen!AJ16</f>
        <v>42.44</v>
      </c>
      <c r="D10" s="444">
        <f>Gen!S16</f>
        <v>1267.0999999999999</v>
      </c>
      <c r="E10" s="395">
        <f>Gen!C16</f>
        <v>27031.500000000004</v>
      </c>
      <c r="F10" s="396">
        <f>'Water-Meter'!E11</f>
        <v>210</v>
      </c>
      <c r="G10" s="397">
        <f>'Water-Meter'!AN11</f>
        <v>178</v>
      </c>
      <c r="H10" s="395">
        <f>'Utility report '!AC11</f>
        <v>0</v>
      </c>
      <c r="I10" s="394">
        <f>'Kit report'!F9</f>
        <v>311.99999999982538</v>
      </c>
      <c r="J10" s="395">
        <f>'Kit report'!X9</f>
        <v>500</v>
      </c>
    </row>
    <row r="11" spans="1:10" ht="17.100000000000001" customHeight="1" thickBot="1">
      <c r="A11" s="217">
        <f>Gen!A17</f>
        <v>44293</v>
      </c>
      <c r="B11" s="399">
        <f>Gen!B17</f>
        <v>6.5000000000000002E-2</v>
      </c>
      <c r="C11" s="443">
        <f>Gen!AJ17</f>
        <v>119.14</v>
      </c>
      <c r="D11" s="444">
        <f>Gen!S17</f>
        <v>1350.42</v>
      </c>
      <c r="E11" s="395">
        <f>Gen!C17</f>
        <v>43721.960000000006</v>
      </c>
      <c r="F11" s="396">
        <f>'Water-Meter'!E12</f>
        <v>60</v>
      </c>
      <c r="G11" s="397">
        <f>'Water-Meter'!AN12</f>
        <v>172</v>
      </c>
      <c r="H11" s="395">
        <f>'Utility report '!AC12</f>
        <v>101</v>
      </c>
      <c r="I11" s="394">
        <f>'Kit report'!F10</f>
        <v>288.00000000017462</v>
      </c>
      <c r="J11" s="395">
        <f>'Kit report'!X10</f>
        <v>379.99999999992724</v>
      </c>
    </row>
    <row r="12" spans="1:10" ht="17.100000000000001" customHeight="1" thickBot="1">
      <c r="A12" s="217">
        <f>Gen!A18</f>
        <v>44294</v>
      </c>
      <c r="B12" s="399">
        <f>Gen!B18</f>
        <v>9.0999999999999998E-2</v>
      </c>
      <c r="C12" s="443">
        <f>Gen!AJ18</f>
        <v>156.32</v>
      </c>
      <c r="D12" s="444">
        <f>Gen!S18</f>
        <v>1264.32</v>
      </c>
      <c r="E12" s="395">
        <f>Gen!C18</f>
        <v>42252.400000000009</v>
      </c>
      <c r="F12" s="396">
        <f>'Water-Meter'!E13</f>
        <v>75</v>
      </c>
      <c r="G12" s="397">
        <f>'Water-Meter'!AN13</f>
        <v>173</v>
      </c>
      <c r="H12" s="395">
        <f>'Utility report '!AC13</f>
        <v>12</v>
      </c>
      <c r="I12" s="394">
        <f>'Kit report'!F11</f>
        <v>275.99999999991269</v>
      </c>
      <c r="J12" s="395">
        <f>'Kit report'!X11</f>
        <v>360.00000000003638</v>
      </c>
    </row>
    <row r="13" spans="1:10" ht="17.100000000000001" customHeight="1" thickBot="1">
      <c r="A13" s="217">
        <f>Gen!A19</f>
        <v>44295</v>
      </c>
      <c r="B13" s="399">
        <f>Gen!B19</f>
        <v>6.5000000000000002E-2</v>
      </c>
      <c r="C13" s="443">
        <f>Gen!AJ19</f>
        <v>302.11</v>
      </c>
      <c r="D13" s="444">
        <f>Gen!S19</f>
        <v>1306.29</v>
      </c>
      <c r="E13" s="395">
        <f>Gen!C19</f>
        <v>40831.760000000009</v>
      </c>
      <c r="F13" s="396">
        <f>'Water-Meter'!E14</f>
        <v>47</v>
      </c>
      <c r="G13" s="397">
        <f>'Water-Meter'!AN14</f>
        <v>126</v>
      </c>
      <c r="H13" s="395">
        <f>'Utility report '!AC14</f>
        <v>0</v>
      </c>
      <c r="I13" s="394">
        <f>'Kit report'!F12</f>
        <v>240</v>
      </c>
      <c r="J13" s="395">
        <f>'Kit report'!X12</f>
        <v>420.00000000007276</v>
      </c>
    </row>
    <row r="14" spans="1:10" ht="17.100000000000001" customHeight="1" thickBot="1">
      <c r="A14" s="217">
        <f>Gen!A20</f>
        <v>44296</v>
      </c>
      <c r="B14" s="399">
        <f>Gen!B20</f>
        <v>5.1999999999999998E-2</v>
      </c>
      <c r="C14" s="443">
        <f>Gen!AJ20</f>
        <v>112</v>
      </c>
      <c r="D14" s="444">
        <f>Gen!S20</f>
        <v>1245.81</v>
      </c>
      <c r="E14" s="395">
        <f>Gen!C20</f>
        <v>39223.360000000008</v>
      </c>
      <c r="F14" s="396">
        <f>'Water-Meter'!E15</f>
        <v>46</v>
      </c>
      <c r="G14" s="397">
        <f>'Water-Meter'!AN15</f>
        <v>44</v>
      </c>
      <c r="H14" s="395">
        <f>'Utility report '!AC15</f>
        <v>0</v>
      </c>
      <c r="I14" s="394">
        <f>'Kit report'!F13</f>
        <v>215.99999999991269</v>
      </c>
      <c r="J14" s="395">
        <f>'Kit report'!X13</f>
        <v>260.00000000003638</v>
      </c>
    </row>
    <row r="15" spans="1:10" ht="17.100000000000001" customHeight="1" thickBot="1">
      <c r="A15" s="217">
        <f>Gen!A21</f>
        <v>44297</v>
      </c>
      <c r="B15" s="399">
        <f>Gen!B21</f>
        <v>0.104</v>
      </c>
      <c r="C15" s="443">
        <f>Gen!AJ21</f>
        <v>25</v>
      </c>
      <c r="D15" s="444">
        <f>Gen!S21</f>
        <v>1283.98</v>
      </c>
      <c r="E15" s="395">
        <f>Gen!C21</f>
        <v>37865.55000000001</v>
      </c>
      <c r="F15" s="396">
        <f>'Water-Meter'!E16</f>
        <v>50</v>
      </c>
      <c r="G15" s="397">
        <f>'Water-Meter'!AN16</f>
        <v>43</v>
      </c>
      <c r="H15" s="395">
        <f>'Utility report '!AC16</f>
        <v>0</v>
      </c>
      <c r="I15" s="394">
        <f>'Kit report'!F14</f>
        <v>216.00000000013097</v>
      </c>
      <c r="J15" s="395">
        <f>'Kit report'!X14</f>
        <v>279.99999999992724</v>
      </c>
    </row>
    <row r="16" spans="1:10" ht="17.100000000000001" customHeight="1" thickBot="1">
      <c r="A16" s="217">
        <f>Gen!A22</f>
        <v>44298</v>
      </c>
      <c r="B16" s="399">
        <f>Gen!B22</f>
        <v>0.104</v>
      </c>
      <c r="C16" s="443">
        <f>Gen!AJ22</f>
        <v>250.64</v>
      </c>
      <c r="D16" s="444">
        <f>Gen!S22</f>
        <v>1166.75</v>
      </c>
      <c r="E16" s="395">
        <f>Gen!C22</f>
        <v>36556.570000000007</v>
      </c>
      <c r="F16" s="396">
        <f>'Water-Meter'!E17</f>
        <v>61</v>
      </c>
      <c r="G16" s="397">
        <f>'Water-Meter'!AN17</f>
        <v>49</v>
      </c>
      <c r="H16" s="395">
        <f>'Utility report '!AC17</f>
        <v>0</v>
      </c>
      <c r="I16" s="394">
        <f>'Kit report'!F15</f>
        <v>240</v>
      </c>
      <c r="J16" s="395">
        <f>'Kit report'!X15</f>
        <v>239.99999999996362</v>
      </c>
    </row>
    <row r="17" spans="1:10" ht="17.100000000000001" customHeight="1" thickBot="1">
      <c r="A17" s="217">
        <f>Gen!A23</f>
        <v>44299</v>
      </c>
      <c r="B17" s="399">
        <f>Gen!B23</f>
        <v>1.2999999999999999E-2</v>
      </c>
      <c r="C17" s="443">
        <f>Gen!AJ23</f>
        <v>22.54</v>
      </c>
      <c r="D17" s="444">
        <f>Gen!S23</f>
        <v>1083.74</v>
      </c>
      <c r="E17" s="395">
        <f>Gen!C23</f>
        <v>35139.180000000008</v>
      </c>
      <c r="F17" s="396">
        <f>'Water-Meter'!E18</f>
        <v>181</v>
      </c>
      <c r="G17" s="397">
        <f>'Water-Meter'!AN18</f>
        <v>45</v>
      </c>
      <c r="H17" s="395">
        <f>'Utility report '!AC18</f>
        <v>-48865</v>
      </c>
      <c r="I17" s="394">
        <f>'Kit report'!F16</f>
        <v>215.99999999991269</v>
      </c>
      <c r="J17" s="395">
        <f>'Kit report'!X16</f>
        <v>300</v>
      </c>
    </row>
    <row r="18" spans="1:10" ht="17.100000000000001" customHeight="1" thickBot="1">
      <c r="A18" s="217">
        <f>Gen!A24</f>
        <v>44300</v>
      </c>
      <c r="B18" s="399">
        <f>Gen!B24</f>
        <v>0</v>
      </c>
      <c r="C18" s="443">
        <f>Gen!AJ24</f>
        <v>160.49</v>
      </c>
      <c r="D18" s="444">
        <f>Gen!S24</f>
        <v>1063.99</v>
      </c>
      <c r="E18" s="395">
        <f>Gen!C24</f>
        <v>34032.900000000009</v>
      </c>
      <c r="F18" s="396">
        <f>'Water-Meter'!E19</f>
        <v>46</v>
      </c>
      <c r="G18" s="397">
        <f>'Water-Meter'!AN19</f>
        <v>125</v>
      </c>
      <c r="H18" s="395">
        <f>'Utility report '!AC19</f>
        <v>177</v>
      </c>
      <c r="I18" s="394">
        <f>'Kit report'!F17</f>
        <v>227.99999999995634</v>
      </c>
      <c r="J18" s="395">
        <f>'Kit report'!X17</f>
        <v>180.00000000010914</v>
      </c>
    </row>
    <row r="19" spans="1:10" ht="17.100000000000001" customHeight="1" thickBot="1">
      <c r="A19" s="217">
        <f>Gen!A25</f>
        <v>44301</v>
      </c>
      <c r="B19" s="399">
        <f>Gen!B25</f>
        <v>0</v>
      </c>
      <c r="C19" s="443">
        <f>Gen!AJ25</f>
        <v>101.91</v>
      </c>
      <c r="D19" s="444">
        <f>Gen!S25</f>
        <v>1051.08</v>
      </c>
      <c r="E19" s="395">
        <f>Gen!C25</f>
        <v>32808.420000000006</v>
      </c>
      <c r="F19" s="396">
        <f>'Water-Meter'!E20</f>
        <v>47</v>
      </c>
      <c r="G19" s="397">
        <f>'Water-Meter'!AN20</f>
        <v>137</v>
      </c>
      <c r="H19" s="395">
        <f>'Utility report '!AC20</f>
        <v>35</v>
      </c>
      <c r="I19" s="394">
        <f>'Kit report'!F18</f>
        <v>216.00000000013097</v>
      </c>
      <c r="J19" s="395">
        <f>'Kit report'!X18</f>
        <v>300</v>
      </c>
    </row>
    <row r="20" spans="1:10" ht="17.100000000000001" customHeight="1" thickBot="1">
      <c r="A20" s="217">
        <f>Gen!A26</f>
        <v>44302</v>
      </c>
      <c r="B20" s="399">
        <f>Gen!B26</f>
        <v>0</v>
      </c>
      <c r="C20" s="443">
        <f>Gen!AJ26</f>
        <v>0</v>
      </c>
      <c r="D20" s="444">
        <f>Gen!S26</f>
        <v>1038.83</v>
      </c>
      <c r="E20" s="395">
        <f>Gen!C26</f>
        <v>31655.430000000004</v>
      </c>
      <c r="F20" s="396">
        <f>'Water-Meter'!E21</f>
        <v>40</v>
      </c>
      <c r="G20" s="397">
        <f>'Water-Meter'!AN21</f>
        <v>128</v>
      </c>
      <c r="H20" s="395">
        <f>'Utility report '!AC21</f>
        <v>38</v>
      </c>
      <c r="I20" s="394">
        <f>'Kit report'!F19</f>
        <v>203.99999999986903</v>
      </c>
      <c r="J20" s="395">
        <f>'Kit report'!X19</f>
        <v>200</v>
      </c>
    </row>
    <row r="21" spans="1:10" ht="15.75" thickBot="1">
      <c r="A21" s="217">
        <f>Gen!A27</f>
        <v>44303</v>
      </c>
      <c r="B21" s="399">
        <f>Gen!B27</f>
        <v>1.2999999999999999E-2</v>
      </c>
      <c r="C21" s="443">
        <f>Gen!AJ27</f>
        <v>146.31</v>
      </c>
      <c r="D21" s="444">
        <f>Gen!S27</f>
        <v>1102.78</v>
      </c>
      <c r="E21" s="395">
        <f>Gen!C27</f>
        <v>30616.600000000006</v>
      </c>
      <c r="F21" s="396">
        <f>'Water-Meter'!E22</f>
        <v>52</v>
      </c>
      <c r="G21" s="397">
        <f>'Water-Meter'!AN22</f>
        <v>125</v>
      </c>
      <c r="H21" s="395">
        <f>'Utility report '!AC22</f>
        <v>38</v>
      </c>
      <c r="I21" s="394">
        <f>'Kit report'!F20</f>
        <v>240</v>
      </c>
      <c r="J21" s="395">
        <f>'Kit report'!X20</f>
        <v>159.99999999985448</v>
      </c>
    </row>
    <row r="22" spans="1:10" ht="15" customHeight="1" thickBot="1">
      <c r="A22" s="217">
        <f>Gen!A28</f>
        <v>44304</v>
      </c>
      <c r="B22" s="399">
        <f>Gen!B28</f>
        <v>3.9E-2</v>
      </c>
      <c r="C22" s="443">
        <f>Gen!AJ28</f>
        <v>0</v>
      </c>
      <c r="D22" s="444">
        <f>Gen!S28</f>
        <v>1165.3</v>
      </c>
      <c r="E22" s="395">
        <f>Gen!C28</f>
        <v>29367.510000000006</v>
      </c>
      <c r="F22" s="396">
        <f>'Water-Meter'!E23</f>
        <v>53</v>
      </c>
      <c r="G22" s="397">
        <f>'Water-Meter'!AN23</f>
        <v>125</v>
      </c>
      <c r="H22" s="395">
        <f>'Utility report '!AC23</f>
        <v>38</v>
      </c>
      <c r="I22" s="394">
        <f>'Kit report'!F21</f>
        <v>252.00000000004366</v>
      </c>
      <c r="J22" s="395">
        <f>'Kit report'!X21</f>
        <v>280.00000000010914</v>
      </c>
    </row>
    <row r="23" spans="1:10" ht="15" customHeight="1" thickBot="1">
      <c r="A23" s="217">
        <f>Gen!A29</f>
        <v>44305</v>
      </c>
      <c r="B23" s="399">
        <f>Gen!B29</f>
        <v>6.5000000000000002E-2</v>
      </c>
      <c r="C23" s="443">
        <f>Gen!AJ29</f>
        <v>346.21000000000004</v>
      </c>
      <c r="D23" s="444">
        <f>Gen!S29</f>
        <v>1149</v>
      </c>
      <c r="E23" s="395">
        <f>Gen!C29</f>
        <v>28202.210000000006</v>
      </c>
      <c r="F23" s="396">
        <f>'Water-Meter'!E24</f>
        <v>58</v>
      </c>
      <c r="G23" s="397">
        <f>'Water-Meter'!AN24</f>
        <v>46</v>
      </c>
      <c r="H23" s="395">
        <f>'Utility report '!AC24</f>
        <v>37</v>
      </c>
      <c r="I23" s="394">
        <f>'Kit report'!F22</f>
        <v>252.00000000004366</v>
      </c>
      <c r="J23" s="395">
        <f>'Kit report'!X22</f>
        <v>260.00000000003638</v>
      </c>
    </row>
    <row r="24" spans="1:10" ht="15" customHeight="1" thickBot="1">
      <c r="A24" s="217">
        <f>Gen!A30</f>
        <v>44306</v>
      </c>
      <c r="B24" s="399">
        <f>Gen!B30</f>
        <v>5.1999999999999998E-2</v>
      </c>
      <c r="C24" s="443">
        <f>Gen!AJ30</f>
        <v>67.459999999999994</v>
      </c>
      <c r="D24" s="444">
        <f>Gen!S30</f>
        <v>1187.58</v>
      </c>
      <c r="E24" s="395">
        <f>Gen!C30</f>
        <v>26707.000000000007</v>
      </c>
      <c r="F24" s="396">
        <f>'Water-Meter'!E25</f>
        <v>66</v>
      </c>
      <c r="G24" s="397">
        <f>'Water-Meter'!AN25</f>
        <v>44</v>
      </c>
      <c r="H24" s="395">
        <f>'Utility report '!AC25</f>
        <v>130</v>
      </c>
      <c r="I24" s="394">
        <f>'Kit report'!F23</f>
        <v>252.00000000004366</v>
      </c>
      <c r="J24" s="395">
        <f>'Kit report'!X23</f>
        <v>239.99999999996362</v>
      </c>
    </row>
    <row r="25" spans="1:10" ht="15" customHeight="1" thickBot="1">
      <c r="A25" s="217">
        <f>Gen!A31</f>
        <v>44307</v>
      </c>
      <c r="B25" s="399">
        <f>Gen!B31</f>
        <v>2.5999999999999999E-2</v>
      </c>
      <c r="C25" s="443">
        <f>Gen!AJ31</f>
        <v>17.399999999999999</v>
      </c>
      <c r="D25" s="444">
        <f>Gen!S31</f>
        <v>1117.46</v>
      </c>
      <c r="E25" s="395">
        <f>Gen!C31</f>
        <v>25451.960000000006</v>
      </c>
      <c r="F25" s="396">
        <f>'Water-Meter'!E26</f>
        <v>47</v>
      </c>
      <c r="G25" s="397">
        <f>'Water-Meter'!AN26</f>
        <v>46</v>
      </c>
      <c r="H25" s="395">
        <f>'Utility report '!AC26</f>
        <v>56</v>
      </c>
      <c r="I25" s="394">
        <f>'Kit report'!F24</f>
        <v>227.99999999995634</v>
      </c>
      <c r="J25" s="395">
        <f>'Kit report'!X24</f>
        <v>279.99999999992724</v>
      </c>
    </row>
    <row r="26" spans="1:10" ht="15" customHeight="1" thickBot="1">
      <c r="A26" s="217">
        <f>Gen!A32</f>
        <v>44308</v>
      </c>
      <c r="B26" s="399">
        <f>Gen!B32</f>
        <v>0</v>
      </c>
      <c r="C26" s="443">
        <f>Gen!AJ32</f>
        <v>54.930000000000007</v>
      </c>
      <c r="D26" s="444">
        <f>Gen!S32</f>
        <v>1065.54</v>
      </c>
      <c r="E26" s="395">
        <f>Gen!C32</f>
        <v>39117.100000000006</v>
      </c>
      <c r="F26" s="396">
        <f>'Water-Meter'!E27</f>
        <v>50</v>
      </c>
      <c r="G26" s="397">
        <f>'Water-Meter'!AN27</f>
        <v>105</v>
      </c>
      <c r="H26" s="395">
        <f>'Utility report '!AC27</f>
        <v>0</v>
      </c>
      <c r="I26" s="394">
        <f>'Kit report'!F25</f>
        <v>227.99999999995634</v>
      </c>
      <c r="J26" s="395">
        <f>'Kit report'!X25</f>
        <v>339.99999999996362</v>
      </c>
    </row>
    <row r="27" spans="1:10" ht="15" customHeight="1" thickBot="1">
      <c r="A27" s="217">
        <f>Gen!A33</f>
        <v>44309</v>
      </c>
      <c r="B27" s="399">
        <f>Gen!B33</f>
        <v>1.2999999999999999E-2</v>
      </c>
      <c r="C27" s="443">
        <f>Gen!AJ33</f>
        <v>140.07</v>
      </c>
      <c r="D27" s="444">
        <f>Gen!S33</f>
        <v>1088.06</v>
      </c>
      <c r="E27" s="395">
        <f>Gen!C33</f>
        <v>37996.630000000005</v>
      </c>
      <c r="F27" s="396">
        <f>'Water-Meter'!E28</f>
        <v>47</v>
      </c>
      <c r="G27" s="397">
        <f>'Water-Meter'!AN28</f>
        <v>128</v>
      </c>
      <c r="H27" s="395">
        <f>'Utility report '!AC28</f>
        <v>38</v>
      </c>
      <c r="I27" s="394">
        <f>'Kit report'!F26</f>
        <v>240</v>
      </c>
      <c r="J27" s="395">
        <f>'Kit report'!X26</f>
        <v>340.00000000014552</v>
      </c>
    </row>
    <row r="28" spans="1:10" ht="15" customHeight="1" thickBot="1">
      <c r="A28" s="217">
        <f>Gen!A34</f>
        <v>44310</v>
      </c>
      <c r="B28" s="399">
        <f>Gen!B34</f>
        <v>2.5999999999999999E-2</v>
      </c>
      <c r="C28" s="443">
        <f>Gen!AJ34</f>
        <v>147</v>
      </c>
      <c r="D28" s="444">
        <f>Gen!S34</f>
        <v>1050.72</v>
      </c>
      <c r="E28" s="395">
        <f>Gen!C34</f>
        <v>36768.500000000007</v>
      </c>
      <c r="F28" s="396">
        <f>'Water-Meter'!E29</f>
        <v>56</v>
      </c>
      <c r="G28" s="397">
        <f>'Water-Meter'!AN29</f>
        <v>128</v>
      </c>
      <c r="H28" s="395">
        <f>'Utility report '!AC29</f>
        <v>37</v>
      </c>
      <c r="I28" s="394">
        <f>'Kit report'!F27</f>
        <v>252.00000000004366</v>
      </c>
      <c r="J28" s="395">
        <f>'Kit report'!X27</f>
        <v>139.99999999996362</v>
      </c>
    </row>
    <row r="29" spans="1:10" ht="15" customHeight="1" thickBot="1">
      <c r="A29" s="217">
        <f>Gen!A35</f>
        <v>44311</v>
      </c>
      <c r="B29" s="399">
        <f>Gen!B35</f>
        <v>5.1999999999999998E-2</v>
      </c>
      <c r="C29" s="443">
        <f>Gen!AJ35</f>
        <v>104.04</v>
      </c>
      <c r="D29" s="444">
        <f>Gen!S35</f>
        <v>1147.08</v>
      </c>
      <c r="E29" s="395">
        <f>Gen!C35</f>
        <v>35570.780000000006</v>
      </c>
      <c r="F29" s="396">
        <f>'Water-Meter'!E30</f>
        <v>46</v>
      </c>
      <c r="G29" s="397">
        <f>'Water-Meter'!AN30</f>
        <v>127</v>
      </c>
      <c r="H29" s="395">
        <f>'Utility report '!AC30</f>
        <v>131</v>
      </c>
      <c r="I29" s="394">
        <f>'Kit report'!F28</f>
        <v>300</v>
      </c>
      <c r="J29" s="395">
        <f>'Kit report'!X28</f>
        <v>279.99999999992724</v>
      </c>
    </row>
    <row r="30" spans="1:10" ht="15" customHeight="1" thickBot="1">
      <c r="A30" s="217">
        <f>Gen!A36</f>
        <v>44312</v>
      </c>
      <c r="B30" s="399">
        <f>Gen!B36</f>
        <v>5.1999999999999998E-2</v>
      </c>
      <c r="C30" s="443">
        <f>Gen!AJ36</f>
        <v>269.06</v>
      </c>
      <c r="D30" s="444">
        <f>Gen!S36</f>
        <v>1113.17</v>
      </c>
      <c r="E30" s="395">
        <f>Gen!C36</f>
        <v>34319.660000000003</v>
      </c>
      <c r="F30" s="396">
        <f>'Water-Meter'!E31</f>
        <v>53</v>
      </c>
      <c r="G30" s="397" t="e">
        <f>'Water-Meter'!AN31</f>
        <v>#REF!</v>
      </c>
      <c r="H30" s="395">
        <f>'Utility report '!AC31</f>
        <v>9</v>
      </c>
      <c r="I30" s="394">
        <f>'Kit report'!F29</f>
        <v>275.99999999991269</v>
      </c>
      <c r="J30" s="395">
        <f>'Kit report'!X29</f>
        <v>220.00000000007276</v>
      </c>
    </row>
    <row r="31" spans="1:10" ht="15" customHeight="1" thickBot="1">
      <c r="A31" s="217">
        <f>Gen!A37</f>
        <v>44313</v>
      </c>
      <c r="B31" s="399">
        <f>Gen!B37</f>
        <v>3.5999999999999997E-2</v>
      </c>
      <c r="C31" s="443">
        <f>Gen!AJ37</f>
        <v>30.73</v>
      </c>
      <c r="D31" s="444">
        <f>Gen!S37</f>
        <v>1116.6400000000001</v>
      </c>
      <c r="E31" s="395">
        <f>Gen!C37</f>
        <v>32937.43</v>
      </c>
      <c r="F31" s="396">
        <f>'Water-Meter'!E32</f>
        <v>43</v>
      </c>
      <c r="G31" s="397" t="e">
        <f>'Water-Meter'!AN32</f>
        <v>#REF!</v>
      </c>
      <c r="H31" s="395">
        <f>'Utility report '!AC32</f>
        <v>35</v>
      </c>
      <c r="I31" s="394">
        <f>'Kit report'!F30</f>
        <v>288.00000000017462</v>
      </c>
      <c r="J31" s="395">
        <f>'Kit report'!X30</f>
        <v>279.99999999992724</v>
      </c>
    </row>
    <row r="32" spans="1:10" ht="15" customHeight="1" thickBot="1">
      <c r="A32" s="217">
        <f>Gen!A38</f>
        <v>44314</v>
      </c>
      <c r="B32" s="399">
        <f>Gen!B38</f>
        <v>3.9E-2</v>
      </c>
      <c r="C32" s="443">
        <f>Gen!AJ38</f>
        <v>15.67</v>
      </c>
      <c r="D32" s="444">
        <f>Gen!S38</f>
        <v>1170.6600000000001</v>
      </c>
      <c r="E32" s="395">
        <f>Gen!C38</f>
        <v>31790.06</v>
      </c>
      <c r="F32" s="396">
        <f>'Water-Meter'!E33</f>
        <v>61</v>
      </c>
      <c r="G32" s="397">
        <f>'Water-Meter'!AN33</f>
        <v>40</v>
      </c>
      <c r="H32" s="395">
        <f>'Utility report '!AC33</f>
        <v>88</v>
      </c>
      <c r="I32" s="394">
        <f>'Kit report'!F31</f>
        <v>263.99999999986903</v>
      </c>
      <c r="J32" s="395">
        <f>'Kit report'!X31</f>
        <v>200</v>
      </c>
    </row>
    <row r="33" spans="1:10" ht="15" customHeight="1" thickBot="1">
      <c r="A33" s="217">
        <f>Gen!A39</f>
        <v>44315</v>
      </c>
      <c r="B33" s="399">
        <f>Gen!B39</f>
        <v>2.5999999999999999E-2</v>
      </c>
      <c r="C33" s="443">
        <f>Gen!AJ39</f>
        <v>243.48</v>
      </c>
      <c r="D33" s="444">
        <f>Gen!S39</f>
        <v>1105.68</v>
      </c>
      <c r="E33" s="395">
        <f>Gen!C39</f>
        <v>30603.73</v>
      </c>
      <c r="F33" s="396">
        <f>'Water-Meter'!E34</f>
        <v>53</v>
      </c>
      <c r="G33" s="397">
        <f>'Water-Meter'!AN34</f>
        <v>45</v>
      </c>
      <c r="H33" s="395">
        <f>'Utility report '!AC34</f>
        <v>30</v>
      </c>
      <c r="I33" s="394">
        <f>'Kit report'!F32</f>
        <v>287.99999999995634</v>
      </c>
      <c r="J33" s="395">
        <f>'Kit report'!X32</f>
        <v>339.99999999996362</v>
      </c>
    </row>
    <row r="34" spans="1:10" ht="15" customHeight="1" thickBot="1">
      <c r="A34" s="217">
        <f>Gen!A40</f>
        <v>44316</v>
      </c>
      <c r="B34" s="399">
        <f>Gen!B40</f>
        <v>0.01</v>
      </c>
      <c r="C34" s="443">
        <f>Gen!AJ40</f>
        <v>274.32</v>
      </c>
      <c r="D34" s="444">
        <f>Gen!S40</f>
        <v>1119.69</v>
      </c>
      <c r="E34" s="442">
        <f>Gen!C40</f>
        <v>29254.57</v>
      </c>
      <c r="F34" s="396">
        <f>'Water-Meter'!E35</f>
        <v>58</v>
      </c>
      <c r="G34" s="397">
        <f>'Water-Meter'!AN35</f>
        <v>47</v>
      </c>
      <c r="H34" s="395">
        <f>'Utility report '!AC35</f>
        <v>35</v>
      </c>
      <c r="I34" s="394">
        <f>'Kit report'!F33</f>
        <v>276.00000000013097</v>
      </c>
      <c r="J34" s="395">
        <f>'Kit report'!X33</f>
        <v>400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27860.560000000001</v>
      </c>
      <c r="F35" s="396" t="str">
        <f>'Water-Meter'!E36</f>
        <v>0</v>
      </c>
      <c r="G35" s="397">
        <f>'Water-Meter'!AN36</f>
        <v>0</v>
      </c>
      <c r="H35" s="395">
        <f>'Utility report '!AC36</f>
        <v>-977</v>
      </c>
      <c r="I35" s="394">
        <f>'Kit report'!F34</f>
        <v>-1112292</v>
      </c>
      <c r="J35" s="395">
        <f>'Kit report'!X34</f>
        <v>-1623980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27860.560000000001</v>
      </c>
      <c r="F36" s="396">
        <f>'Water-Meter'!E37</f>
        <v>0</v>
      </c>
      <c r="G36" s="397">
        <f>'Water-Meter'!AN37</f>
        <v>1541</v>
      </c>
      <c r="H36" s="395">
        <f>'Utility report '!AC37</f>
        <v>0</v>
      </c>
      <c r="I36" s="394">
        <f>'Kit report'!F35</f>
        <v>924.00000000008731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2021-05-01T07:08:20Z</dcterms:modified>
</cp:coreProperties>
</file>