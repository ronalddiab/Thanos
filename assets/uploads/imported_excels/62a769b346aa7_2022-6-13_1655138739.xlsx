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Q12" i="7" l="1"/>
  <c r="CQ13" i="7"/>
  <c r="CQ14" i="7"/>
  <c r="AT13" i="7" l="1"/>
  <c r="AT14" i="7"/>
  <c r="AT15" i="7"/>
  <c r="AN5" i="7" l="1"/>
  <c r="CF4" i="7" l="1"/>
  <c r="BF4" i="7"/>
  <c r="CJ4" i="7" l="1"/>
  <c r="CH4" i="7"/>
  <c r="CD4" i="7"/>
  <c r="CB4" i="7"/>
  <c r="BZ4" i="7"/>
  <c r="BX4" i="7"/>
  <c r="BV4" i="7"/>
  <c r="BT4" i="7"/>
  <c r="BR4" i="7"/>
  <c r="BP4" i="7"/>
  <c r="BN4" i="7"/>
  <c r="BL4" i="7"/>
  <c r="BJ4" i="7"/>
  <c r="BH4" i="7"/>
  <c r="BD4" i="7"/>
  <c r="BB4" i="7"/>
  <c r="AZ4" i="7"/>
  <c r="AR17" i="7" l="1"/>
  <c r="CY3" i="7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AY3" i="6" l="1"/>
  <c r="AY4" i="6"/>
  <c r="AY5" i="6"/>
  <c r="AY6" i="6"/>
  <c r="AY7" i="6"/>
  <c r="AY8" i="6"/>
  <c r="AY9" i="6"/>
  <c r="AY10" i="6"/>
  <c r="AY11" i="6"/>
  <c r="AY12" i="6"/>
  <c r="AY13" i="6"/>
  <c r="AY14" i="6"/>
  <c r="AY15" i="6"/>
  <c r="AY16" i="6"/>
  <c r="AY17" i="6"/>
  <c r="AY18" i="6"/>
  <c r="AY19" i="6"/>
  <c r="AY20" i="6"/>
  <c r="AY21" i="6"/>
  <c r="AY22" i="6"/>
  <c r="AY23" i="6"/>
  <c r="AY24" i="6"/>
  <c r="AY25" i="6"/>
  <c r="AY26" i="6"/>
  <c r="AY27" i="6"/>
  <c r="AY28" i="6"/>
  <c r="AY29" i="6"/>
  <c r="AY30" i="6"/>
  <c r="AY31" i="6"/>
  <c r="AY2" i="6"/>
  <c r="AH34" i="7" l="1"/>
  <c r="D29" i="7" l="1"/>
  <c r="D30" i="7"/>
  <c r="D31" i="7"/>
  <c r="D32" i="7"/>
  <c r="D28" i="7" l="1"/>
  <c r="AL27" i="7" l="1"/>
  <c r="BB11" i="7" l="1"/>
  <c r="BB12" i="7"/>
  <c r="BB13" i="7"/>
  <c r="BB14" i="7"/>
  <c r="BB15" i="7"/>
  <c r="BB16" i="7"/>
  <c r="BB17" i="7"/>
  <c r="BB18" i="7"/>
  <c r="BB19" i="7"/>
  <c r="BB20" i="7"/>
  <c r="BB21" i="7"/>
  <c r="D17" i="7"/>
  <c r="D14" i="7" l="1"/>
  <c r="CQ4" i="7" l="1"/>
  <c r="CQ5" i="7"/>
  <c r="CQ6" i="7"/>
  <c r="CQ7" i="7"/>
  <c r="CQ8" i="7"/>
  <c r="CQ9" i="7"/>
  <c r="CQ10" i="7"/>
  <c r="CQ11" i="7"/>
  <c r="CQ15" i="7"/>
  <c r="CQ16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35" i="7" s="1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5" i="7"/>
  <c r="D16" i="7"/>
  <c r="D18" i="7"/>
  <c r="D19" i="7"/>
  <c r="D20" i="7"/>
  <c r="D21" i="7"/>
  <c r="D22" i="7"/>
  <c r="D23" i="7"/>
  <c r="D24" i="7"/>
  <c r="D25" i="7"/>
  <c r="D26" i="7"/>
  <c r="D27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8" i="7"/>
  <c r="AL29" i="7"/>
  <c r="AL30" i="7"/>
  <c r="AL31" i="7"/>
  <c r="AL32" i="7"/>
  <c r="AL33" i="7"/>
  <c r="AN4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5" i="7"/>
  <c r="BB6" i="7"/>
  <c r="BB7" i="7"/>
  <c r="BB8" i="7"/>
  <c r="BB9" i="7"/>
  <c r="BB10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1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I33" i="3" l="1"/>
  <c r="E39" i="6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Z3" i="6"/>
  <c r="BA3" i="6"/>
  <c r="AZ4" i="6"/>
  <c r="BA4" i="6"/>
  <c r="AZ5" i="6"/>
  <c r="BA5" i="6"/>
  <c r="BA6" i="6"/>
  <c r="BA7" i="6"/>
  <c r="AZ8" i="6"/>
  <c r="BA8" i="6"/>
  <c r="AZ11" i="6"/>
  <c r="AZ12" i="6"/>
  <c r="BA12" i="6"/>
  <c r="AZ13" i="6"/>
  <c r="BA13" i="6"/>
  <c r="BB13" i="6"/>
  <c r="AZ14" i="6"/>
  <c r="BA14" i="6"/>
  <c r="BB14" i="6"/>
  <c r="AZ15" i="6"/>
  <c r="BA15" i="6"/>
  <c r="BB15" i="6"/>
  <c r="AZ16" i="6"/>
  <c r="BA16" i="6"/>
  <c r="BB16" i="6"/>
  <c r="AZ17" i="6"/>
  <c r="BA17" i="6"/>
  <c r="BB17" i="6"/>
  <c r="AZ18" i="6"/>
  <c r="BA18" i="6"/>
  <c r="BB18" i="6"/>
  <c r="AZ19" i="6"/>
  <c r="BA19" i="6"/>
  <c r="BB19" i="6"/>
  <c r="AZ20" i="6"/>
  <c r="BA20" i="6"/>
  <c r="BB20" i="6"/>
  <c r="AZ21" i="6"/>
  <c r="BA21" i="6"/>
  <c r="BB21" i="6"/>
  <c r="AZ22" i="6"/>
  <c r="BA22" i="6"/>
  <c r="BB22" i="6"/>
  <c r="AZ23" i="6"/>
  <c r="BA23" i="6"/>
  <c r="BB23" i="6"/>
  <c r="AZ24" i="6"/>
  <c r="BA24" i="6"/>
  <c r="BB24" i="6"/>
  <c r="AZ25" i="6"/>
  <c r="BA25" i="6"/>
  <c r="BB25" i="6"/>
  <c r="AZ26" i="6"/>
  <c r="BA26" i="6"/>
  <c r="BB26" i="6"/>
  <c r="AZ27" i="6"/>
  <c r="BA27" i="6"/>
  <c r="BB27" i="6"/>
  <c r="BB28" i="6"/>
  <c r="BB29" i="6"/>
  <c r="BB30" i="6"/>
  <c r="BB31" i="6"/>
  <c r="BB32" i="6"/>
  <c r="BB2" i="6"/>
  <c r="BA2" i="6"/>
  <c r="AZ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K33" i="3" l="1"/>
  <c r="G4" i="3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G33" i="3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E33" i="3" l="1"/>
  <c r="X33" i="6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<sst xmlns="http://schemas.openxmlformats.org/spreadsheetml/2006/main" count="315" uniqueCount="148">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</sst>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zoomScale="95" zoomScaleNormal="95" workbookViewId="0">
      <selection activeCell="D41" sqref="D4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2022</v>
      </c>
      <c r="E2" s="12">
        <f>Submetering!E2+Submetering!F2+Submetering!G2+Submetering!H2+Submetering!J2-Submetering!AV2</f>
        <v>11899.999999999611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98</v>
      </c>
      <c r="J2" s="11">
        <v>10.487297712684205</v>
      </c>
      <c r="K2" s="13">
        <f>'FS Desroches Daily'!CN4</f>
        <v>22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6</v>
      </c>
      <c r="D3" s="1">
        <v>2022</v>
      </c>
      <c r="E3" s="12">
        <f>Submetering!E3+Submetering!F3+Submetering!G3+Submetering!H3+Submetering!J3-Submetering!AV3</f>
        <v>12200.00000000107</v>
      </c>
      <c r="F3" s="11">
        <f>F2</f>
        <v>0.58765030286592534</v>
      </c>
      <c r="G3" s="12">
        <f>(Submetering!AX3+Submetering!AY3+Submetering!AZ3+Submetering!BA3+Submetering!BB3)</f>
        <v>10.988999999999999</v>
      </c>
      <c r="H3" s="11">
        <f>H2</f>
        <v>0.99</v>
      </c>
      <c r="I3" s="12">
        <f>'FS Desroches Daily'!CM5</f>
        <v>88</v>
      </c>
      <c r="J3" s="11">
        <f>J2</f>
        <v>10.487297712684205</v>
      </c>
      <c r="K3" s="13">
        <f>'FS Desroches Daily'!CN5</f>
        <v>22</v>
      </c>
    </row>
    <row r="4" spans="1:13" s="16" customFormat="1" x14ac:dyDescent="0.25">
      <c r="A4" s="1" t="s">
        <v>11</v>
      </c>
      <c r="B4" s="10">
        <v>3</v>
      </c>
      <c r="C4" s="11">
        <v>6</v>
      </c>
      <c r="D4" s="1">
        <v>2022</v>
      </c>
      <c r="E4" s="12">
        <f>Submetering!E4+Submetering!F4+Submetering!G4+Submetering!H4+Submetering!J4-Submetering!AV4</f>
        <v>11499.999999998765</v>
      </c>
      <c r="F4" s="11">
        <f t="shared" ref="F4:F32" si="0">F3</f>
        <v>0.58765030286592534</v>
      </c>
      <c r="G4" s="12">
        <f>(Submetering!AX4+Submetering!AY4+Submetering!AZ4+Submetering!BA4+Submetering!BB4)</f>
        <v>14.651999999999997</v>
      </c>
      <c r="H4" s="11">
        <f t="shared" ref="H4:H32" si="1">H3</f>
        <v>0.99</v>
      </c>
      <c r="I4" s="12">
        <f>'FS Desroches Daily'!CM6</f>
        <v>89</v>
      </c>
      <c r="J4" s="11">
        <f t="shared" ref="J4:J32" si="2">J3</f>
        <v>10.487297712684205</v>
      </c>
      <c r="K4" s="13">
        <f>'FS Desroches Daily'!CN6</f>
        <v>25</v>
      </c>
    </row>
    <row r="5" spans="1:13" s="16" customFormat="1" x14ac:dyDescent="0.25">
      <c r="A5" s="1" t="s">
        <v>11</v>
      </c>
      <c r="B5" s="10">
        <v>4</v>
      </c>
      <c r="C5" s="11">
        <v>6</v>
      </c>
      <c r="D5" s="1">
        <v>2022</v>
      </c>
      <c r="E5" s="12">
        <f>Submetering!E5+Submetering!F5+Submetering!G5+Submetering!H5+Submetering!J5-Submetering!AV5</f>
        <v>11600.000000001499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126</v>
      </c>
      <c r="J5" s="11">
        <f t="shared" si="2"/>
        <v>10.487297712684205</v>
      </c>
      <c r="K5" s="13">
        <f>'FS Desroches Daily'!CN7</f>
        <v>25</v>
      </c>
    </row>
    <row r="6" spans="1:13" s="16" customFormat="1" x14ac:dyDescent="0.25">
      <c r="A6" s="1" t="s">
        <v>11</v>
      </c>
      <c r="B6" s="10">
        <v>5</v>
      </c>
      <c r="C6" s="11">
        <v>6</v>
      </c>
      <c r="D6" s="1">
        <v>2022</v>
      </c>
      <c r="E6" s="12">
        <f>Submetering!E6+Submetering!F6+Submetering!G6+Submetering!H6+Submetering!J6-Submetering!AV6</f>
        <v>11299.999999999345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88.200000000000728</v>
      </c>
      <c r="J6" s="11">
        <f t="shared" si="2"/>
        <v>10.487297712684205</v>
      </c>
      <c r="K6" s="13">
        <f>'FS Desroches Daily'!CN8</f>
        <v>19</v>
      </c>
    </row>
    <row r="7" spans="1:13" s="16" customFormat="1" x14ac:dyDescent="0.25">
      <c r="A7" s="1" t="s">
        <v>11</v>
      </c>
      <c r="B7" s="10">
        <v>6</v>
      </c>
      <c r="C7" s="11">
        <v>6</v>
      </c>
      <c r="D7" s="1">
        <v>2022</v>
      </c>
      <c r="E7" s="12">
        <f>Submetering!E7+Submetering!F7+Submetering!G7+Submetering!H7+Submetering!J7-Submetering!AV7</f>
        <v>10899.999999998723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95.5</v>
      </c>
      <c r="J7" s="11">
        <f t="shared" si="2"/>
        <v>10.487297712684205</v>
      </c>
      <c r="K7" s="13">
        <f>'FS Desroches Daily'!CN9</f>
        <v>19</v>
      </c>
    </row>
    <row r="8" spans="1:13" s="16" customFormat="1" x14ac:dyDescent="0.25">
      <c r="A8" s="1" t="s">
        <v>11</v>
      </c>
      <c r="B8" s="10">
        <v>7</v>
      </c>
      <c r="C8" s="11">
        <v>6</v>
      </c>
      <c r="D8" s="1">
        <v>2022</v>
      </c>
      <c r="E8" s="12">
        <f>Submetering!E8+Submetering!F8+Submetering!G8+Submetering!H8+Submetering!J8-Submetering!AV8</f>
        <v>10600.000000000909</v>
      </c>
      <c r="F8" s="11">
        <f t="shared" si="0"/>
        <v>0.58765030286592534</v>
      </c>
      <c r="G8" s="12">
        <f>(Submetering!AX8+Submetering!AY8+Submetering!AZ8+Submetering!BA8+Submetering!BB8)</f>
        <v>10.988999999999999</v>
      </c>
      <c r="H8" s="11">
        <f t="shared" si="1"/>
        <v>0.99</v>
      </c>
      <c r="I8" s="12">
        <f>'FS Desroches Daily'!CM10</f>
        <v>80.5</v>
      </c>
      <c r="J8" s="11">
        <f t="shared" si="2"/>
        <v>10.487297712684205</v>
      </c>
      <c r="K8" s="13">
        <f>'FS Desroches Daily'!CN10</f>
        <v>19</v>
      </c>
    </row>
    <row r="9" spans="1:13" s="16" customFormat="1" x14ac:dyDescent="0.25">
      <c r="A9" s="1" t="s">
        <v>11</v>
      </c>
      <c r="B9" s="10">
        <v>8</v>
      </c>
      <c r="C9" s="11">
        <v>6</v>
      </c>
      <c r="D9" s="1">
        <v>2022</v>
      </c>
      <c r="E9" s="12">
        <f>Submetering!E9+Submetering!F9+Submetering!G9+Submetering!H9+Submetering!J9-Submetering!AV9</f>
        <v>11199.999999999134</v>
      </c>
      <c r="F9" s="11">
        <f t="shared" si="0"/>
        <v>0.58765030286592534</v>
      </c>
      <c r="G9" s="12">
        <f>(Submetering!AX9+Submetering!AY9+Submetering!AZ9+Submetering!BA9+Submetering!BB9)</f>
        <v>9.1574999999999989</v>
      </c>
      <c r="H9" s="11">
        <f t="shared" si="1"/>
        <v>0.99</v>
      </c>
      <c r="I9" s="12">
        <f>'FS Desroches Daily'!CM11</f>
        <v>98.5</v>
      </c>
      <c r="J9" s="11">
        <f t="shared" si="2"/>
        <v>10.487297712684205</v>
      </c>
      <c r="K9" s="13">
        <f>'FS Desroches Daily'!CN11</f>
        <v>19</v>
      </c>
    </row>
    <row r="10" spans="1:13" s="16" customFormat="1" x14ac:dyDescent="0.25">
      <c r="A10" s="1" t="s">
        <v>11</v>
      </c>
      <c r="B10" s="10">
        <v>9</v>
      </c>
      <c r="C10" s="11">
        <v>6</v>
      </c>
      <c r="D10" s="1">
        <v>2022</v>
      </c>
      <c r="E10" s="12">
        <f>Submetering!E10+Submetering!F10+Submetering!G10+Submetering!H10+Submetering!J10-Submetering!AV10</f>
        <v>11000.000000001786</v>
      </c>
      <c r="F10" s="11">
        <f t="shared" si="0"/>
        <v>0.58765030286592534</v>
      </c>
      <c r="G10" s="12">
        <f>(Submetering!AX10+Submetering!AY10+Submetering!AZ10+Submetering!BA10+Submetering!BB10)</f>
        <v>10.988999999999999</v>
      </c>
      <c r="H10" s="11">
        <f t="shared" si="1"/>
        <v>0.99</v>
      </c>
      <c r="I10" s="12">
        <f>'FS Desroches Daily'!CM12</f>
        <v>103.5</v>
      </c>
      <c r="J10" s="11">
        <f t="shared" si="2"/>
        <v>10.487297712684205</v>
      </c>
      <c r="K10" s="13">
        <f>'FS Desroches Daily'!CN12</f>
        <v>19</v>
      </c>
    </row>
    <row r="11" spans="1:13" s="16" customFormat="1" x14ac:dyDescent="0.25">
      <c r="A11" s="1" t="s">
        <v>11</v>
      </c>
      <c r="B11" s="10">
        <v>10</v>
      </c>
      <c r="C11" s="11">
        <v>6</v>
      </c>
      <c r="D11" s="1">
        <v>2022</v>
      </c>
      <c r="E11" s="12">
        <f>Submetering!E11+Submetering!F11+Submetering!G11+Submetering!H11+Submetering!J11-Submetering!AV11</f>
        <v>11199.999999999356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77</v>
      </c>
      <c r="J11" s="11">
        <f t="shared" si="2"/>
        <v>10.487297712684205</v>
      </c>
      <c r="K11" s="13">
        <f>'FS Desroches Daily'!CN13</f>
        <v>22</v>
      </c>
    </row>
    <row r="12" spans="1:13" s="16" customFormat="1" x14ac:dyDescent="0.25">
      <c r="A12" s="1" t="s">
        <v>11</v>
      </c>
      <c r="B12" s="10">
        <v>11</v>
      </c>
      <c r="C12" s="11">
        <v>6</v>
      </c>
      <c r="D12" s="1">
        <v>2022</v>
      </c>
      <c r="E12" s="12">
        <f>Submetering!E12+Submetering!F12+Submetering!G12+Submetering!H12+Submetering!J12-Submetering!AV12</f>
        <v>11099.999999999367</v>
      </c>
      <c r="F12" s="11">
        <f t="shared" si="0"/>
        <v>0.58765030286592534</v>
      </c>
      <c r="G12" s="12">
        <f>(Submetering!AX12+Submetering!AY12+Submetering!AZ12+Submetering!BA12+Submetering!BB12)</f>
        <v>1.8314999999999999</v>
      </c>
      <c r="H12" s="11">
        <f t="shared" si="1"/>
        <v>0.99</v>
      </c>
      <c r="I12" s="12">
        <f>'FS Desroches Daily'!CM14</f>
        <v>78.799999999999272</v>
      </c>
      <c r="J12" s="11">
        <f t="shared" si="2"/>
        <v>10.487297712684205</v>
      </c>
      <c r="K12" s="13">
        <f>'FS Desroches Daily'!CN14</f>
        <v>22</v>
      </c>
    </row>
    <row r="13" spans="1:13" s="16" customFormat="1" x14ac:dyDescent="0.25">
      <c r="A13" s="1" t="s">
        <v>11</v>
      </c>
      <c r="B13" s="10">
        <v>12</v>
      </c>
      <c r="C13" s="11">
        <v>6</v>
      </c>
      <c r="D13" s="1">
        <v>2022</v>
      </c>
      <c r="E13" s="12">
        <f>Submetering!E13+Submetering!F13+Submetering!G13+Submetering!H13+Submetering!J13-Submetering!AV13</f>
        <v>10800.00000000092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106</v>
      </c>
      <c r="J13" s="11">
        <f t="shared" si="2"/>
        <v>10.487297712684205</v>
      </c>
      <c r="K13" s="13">
        <f>'FS Desroches Daily'!CN15</f>
        <v>22</v>
      </c>
    </row>
    <row r="14" spans="1:13" s="16" customFormat="1" x14ac:dyDescent="0.25">
      <c r="A14" s="1" t="s">
        <v>11</v>
      </c>
      <c r="B14" s="10">
        <v>13</v>
      </c>
      <c r="C14" s="11">
        <v>6</v>
      </c>
      <c r="D14" s="1">
        <v>2022</v>
      </c>
      <c r="E14" s="12" t="e">
        <f>Submetering!E14+Submetering!F14+Submetering!G14+Submetering!H14+Submetering!J14-Submetering!AV14</f>
        <v>#VALUE!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 t="e">
        <f>'FS Desroches Daily'!CM16</f>
        <v>#VALUE!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6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6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6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6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6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6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6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6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6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6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6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6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6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6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6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6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v>29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6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6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  <row r="33" spans="5:11" x14ac:dyDescent="0.25">
      <c r="E33" s="17" t="e">
        <f>SUM(E2:E32)</f>
        <v>#VALUE!</v>
      </c>
      <c r="G33" s="19">
        <f>SUM(G2:G32)</f>
        <v>133.3955</v>
      </c>
      <c r="I33" s="19" t="e">
        <f>SUM(I2:I32)</f>
        <v>#VALUE!</v>
      </c>
      <c r="K33" s="19">
        <f>SUM(K2:K32)</f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4" sqref="D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6</v>
      </c>
      <c r="D2" s="27">
        <v>2022</v>
      </c>
      <c r="E2" s="31">
        <f>'FS Desroches Daily'!D4</f>
        <v>2899.9999999999027</v>
      </c>
      <c r="F2" s="32">
        <f>'FS Desroches Daily'!F4</f>
        <v>3400.0000000000696</v>
      </c>
      <c r="G2" s="31">
        <f>'FS Desroches Daily'!H4</f>
        <v>3099.9999999998809</v>
      </c>
      <c r="H2" s="32">
        <f>'FS Desroches Daily'!J4</f>
        <v>1599.9999999998238</v>
      </c>
      <c r="I2" s="31">
        <f>'FS Desroches Daily'!L4</f>
        <v>2099.9999999999909</v>
      </c>
      <c r="J2" s="32">
        <f>'FS Desroches Daily'!N4</f>
        <v>1800.0000000000239</v>
      </c>
      <c r="K2" s="13">
        <f>'FS Desroches Daily'!P4</f>
        <v>27</v>
      </c>
      <c r="L2" s="31">
        <f>'FS Desroches Daily'!R4</f>
        <v>5</v>
      </c>
      <c r="M2" s="31">
        <f>'FS Desroches Daily'!T4</f>
        <v>1</v>
      </c>
      <c r="N2" s="31">
        <f>'FS Desroches Daily'!V4</f>
        <v>409.09999999997672</v>
      </c>
      <c r="O2" s="31">
        <f>'FS Desroches Daily'!X4</f>
        <v>389.99999999998636</v>
      </c>
      <c r="P2" s="31">
        <f>'FS Desroches Daily'!Z4</f>
        <v>3099.9999999998809</v>
      </c>
      <c r="Q2" s="31">
        <f>'FS Desroches Daily'!AB4</f>
        <v>389.99999999998636</v>
      </c>
      <c r="R2" s="31">
        <f>'FS Desroches Daily'!AD4</f>
        <v>479.99999999996135</v>
      </c>
      <c r="S2" s="31">
        <f>'FS Desroches Daily'!AF4</f>
        <v>840.00000000003183</v>
      </c>
      <c r="T2" s="31">
        <f>'FS Desroches Daily'!AH4</f>
        <v>40</v>
      </c>
      <c r="U2" s="35">
        <f>'FS Desroches Daily'!AJ4</f>
        <v>780.0000000000864</v>
      </c>
      <c r="V2" s="35">
        <f>'FS Desroches Daily'!AL4</f>
        <v>300.00000000001137</v>
      </c>
      <c r="W2" s="35">
        <f>'FS Desroches Daily'!AN4</f>
        <v>30.000000000029559</v>
      </c>
      <c r="X2" s="35">
        <f>'FS Desroches Daily'!AP4</f>
        <v>200.00000000004547</v>
      </c>
      <c r="Y2" s="35">
        <f>'FS Desroches Daily'!AR4</f>
        <v>219.99999999997044</v>
      </c>
      <c r="Z2" s="35">
        <f>'FS Desroches Daily'!AT4</f>
        <v>300.00000000001137</v>
      </c>
      <c r="AA2" s="35">
        <f>'FS Desroches Daily'!AT4</f>
        <v>300.00000000001137</v>
      </c>
      <c r="AB2" s="35">
        <f>'FS Desroches Daily'!AV4</f>
        <v>189.99999999999773</v>
      </c>
      <c r="AC2" s="35">
        <f>'FS Desroches Daily'!AZ4</f>
        <v>139.99999999998636</v>
      </c>
      <c r="AD2" s="35">
        <f>'FS Desroches Daily'!BB4</f>
        <v>150.00000000003411</v>
      </c>
      <c r="AE2" s="35">
        <f>'FS Desroches Daily'!BD4</f>
        <v>70.000000000050022</v>
      </c>
      <c r="AF2" s="31">
        <f>'FS Desroches Daily'!BF4</f>
        <v>31</v>
      </c>
      <c r="AG2" s="32">
        <f>'FS Desroches Daily'!BH4</f>
        <v>40.000000000020464</v>
      </c>
      <c r="AH2" s="32">
        <f>'FS Desroches Daily'!BJ4</f>
        <v>29.999999999972715</v>
      </c>
      <c r="AI2" s="32">
        <f>'FS Desroches Daily'!BL4</f>
        <v>39.999999999992042</v>
      </c>
      <c r="AJ2" s="32">
        <f>'FS Desroches Daily'!BN4</f>
        <v>39.999999999992042</v>
      </c>
      <c r="AK2" s="32">
        <f>'FS Desroches Daily'!BP4</f>
        <v>50.000000000011369</v>
      </c>
      <c r="AL2" s="32">
        <f>'FS Desroches Daily'!BR4</f>
        <v>38</v>
      </c>
      <c r="AM2" s="32">
        <f>'FS Desroches Daily'!BT4</f>
        <v>50.000000000011369</v>
      </c>
      <c r="AN2" s="32">
        <f>'FS Desroches Daily'!BV4</f>
        <v>43</v>
      </c>
      <c r="AO2" s="32">
        <f>'FS Desroches Daily'!BX4</f>
        <v>39.999999999992042</v>
      </c>
      <c r="AP2" s="32">
        <f>'FS Desroches Daily'!BZ4</f>
        <v>47</v>
      </c>
      <c r="AQ2" s="31">
        <f>'FS Desroches Daily'!CB4</f>
        <v>55.69999999999709</v>
      </c>
      <c r="AR2" s="31">
        <f>'FS Desroches Daily'!CD4</f>
        <v>16</v>
      </c>
      <c r="AS2" s="31">
        <f>'FS Desroches Daily'!CF4</f>
        <v>2.2000000000007276</v>
      </c>
      <c r="AT2" s="31">
        <f>'FS Desroches Daily'!CH4</f>
        <v>42.69999999999709</v>
      </c>
      <c r="AU2" s="31">
        <f>'FS Desroches Daily'!CJ4</f>
        <v>293</v>
      </c>
      <c r="AV2" s="31">
        <f>'FS Desroches Daily'!CL4</f>
        <v>900.00000000009095</v>
      </c>
      <c r="AW2" s="31">
        <f>'FS Desroches Daily'!CM4</f>
        <v>98</v>
      </c>
      <c r="AX2" s="31">
        <f>IF(LPG!F9-LPG!F8&lt;0,"0",(LPG!F9-LPG!F8)*1.8315)</f>
        <v>0</v>
      </c>
      <c r="AY2" s="31" t="str">
        <f>IF(LPG!G9-LPG!G8&lt;0,"0",(LPG!G9-LPG!G8)*1.8315)</f>
        <v>0</v>
      </c>
      <c r="AZ2" s="31">
        <f>IF(LPG!H9-LPG!H8&lt;0,"0",(LPG!H9-LPG!H8)*1.8315)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22</v>
      </c>
      <c r="BD2" s="9"/>
    </row>
    <row r="3" spans="1:56" s="16" customFormat="1" x14ac:dyDescent="0.25">
      <c r="A3" s="27" t="s">
        <v>11</v>
      </c>
      <c r="B3" s="15">
        <v>2</v>
      </c>
      <c r="C3" s="18">
        <v>6</v>
      </c>
      <c r="D3" s="27">
        <v>2022</v>
      </c>
      <c r="E3" s="31">
        <f>'FS Desroches Daily'!D5</f>
        <v>3099.9999999998809</v>
      </c>
      <c r="F3" s="32">
        <f>'FS Desroches Daily'!F5</f>
        <v>3400.0000000000696</v>
      </c>
      <c r="G3" s="31">
        <f>'FS Desroches Daily'!H5</f>
        <v>3500.0000000007249</v>
      </c>
      <c r="H3" s="32">
        <f>'FS Desroches Daily'!J5</f>
        <v>1600.0000000002678</v>
      </c>
      <c r="I3" s="31">
        <f>'FS Desroches Daily'!L5</f>
        <v>2199.9999999997576</v>
      </c>
      <c r="J3" s="32">
        <f>'FS Desroches Daily'!N5</f>
        <v>1700.0000000000348</v>
      </c>
      <c r="K3" s="13">
        <f>'FS Desroches Daily'!P5</f>
        <v>29</v>
      </c>
      <c r="L3" s="31">
        <f>'FS Desroches Daily'!R5</f>
        <v>5</v>
      </c>
      <c r="M3" s="31">
        <f>'FS Desroches Daily'!T5</f>
        <v>1.2000000000000455</v>
      </c>
      <c r="N3" s="31">
        <f>'FS Desroches Daily'!V5</f>
        <v>473</v>
      </c>
      <c r="O3" s="31">
        <f>'FS Desroches Daily'!X6</f>
        <v>280.0000000000864</v>
      </c>
      <c r="P3" s="31">
        <f>'FS Desroches Daily'!Z5</f>
        <v>3099.9999999998809</v>
      </c>
      <c r="Q3" s="31">
        <f>'FS Desroches Daily'!AB5</f>
        <v>310.00000000005912</v>
      </c>
      <c r="R3" s="31">
        <f>'FS Desroches Daily'!AD5</f>
        <v>459.99999999997954</v>
      </c>
      <c r="S3" s="31">
        <f>'FS Desroches Daily'!AF5</f>
        <v>879.99999999999545</v>
      </c>
      <c r="T3" s="31">
        <f>'FS Desroches Daily'!AH5</f>
        <v>41</v>
      </c>
      <c r="U3" s="35">
        <f>'FS Desroches Daily'!AJ5</f>
        <v>839.99999999991815</v>
      </c>
      <c r="V3" s="35">
        <f>'FS Desroches Daily'!AL5</f>
        <v>300.00000000001137</v>
      </c>
      <c r="W3" s="35">
        <f>'FS Desroches Daily'!AN5</f>
        <v>89.999999999974989</v>
      </c>
      <c r="X3" s="35">
        <f>'FS Desroches Daily'!AP5</f>
        <v>239.99999999995225</v>
      </c>
      <c r="Y3" s="35">
        <f>'FS Desroches Daily'!AR5</f>
        <v>319.99999999999318</v>
      </c>
      <c r="Z3" s="35">
        <f>'FS Desroches Daily'!AT5</f>
        <v>329.99999999998408</v>
      </c>
      <c r="AA3" s="35">
        <f>'FS Desroches Daily'!AT5</f>
        <v>329.99999999998408</v>
      </c>
      <c r="AB3" s="35">
        <f>'FS Desroches Daily'!AV5</f>
        <v>189.99999999999773</v>
      </c>
      <c r="AC3" s="35">
        <f>'FS Desroches Daily'!AZ5</f>
        <v>139.99999999998636</v>
      </c>
      <c r="AD3" s="35">
        <f>'FS Desroches Daily'!BB5</f>
        <v>139.99999999998636</v>
      </c>
      <c r="AE3" s="35">
        <f>'FS Desroches Daily'!BD5</f>
        <v>159.99999999996817</v>
      </c>
      <c r="AF3" s="31">
        <f>'FS Desroches Daily'!BF5</f>
        <v>24</v>
      </c>
      <c r="AG3" s="32">
        <f>'FS Desroches Daily'!BH5</f>
        <v>39.999999999992042</v>
      </c>
      <c r="AH3" s="32">
        <f>'FS Desroches Daily'!BJ5</f>
        <v>30.000000000029559</v>
      </c>
      <c r="AI3" s="32">
        <f>'FS Desroches Daily'!BL5</f>
        <v>49.999999999982947</v>
      </c>
      <c r="AJ3" s="32">
        <f>'FS Desroches Daily'!BN5</f>
        <v>50.000000000011369</v>
      </c>
      <c r="AK3" s="32">
        <f>'FS Desroches Daily'!BP5</f>
        <v>69.999999999993179</v>
      </c>
      <c r="AL3" s="32">
        <f>'FS Desroches Daily'!BR5</f>
        <v>36</v>
      </c>
      <c r="AM3" s="32">
        <f>'FS Desroches Daily'!BT5</f>
        <v>49.999999999982947</v>
      </c>
      <c r="AN3" s="32">
        <f>'FS Desroches Daily'!BV5</f>
        <v>44</v>
      </c>
      <c r="AO3" s="32">
        <f>'FS Desroches Daily'!BX5</f>
        <v>50.000000000011369</v>
      </c>
      <c r="AP3" s="32">
        <f>'FS Desroches Daily'!BZ5</f>
        <v>44</v>
      </c>
      <c r="AQ3" s="31">
        <f>'FS Desroches Daily'!CB5</f>
        <v>46.5</v>
      </c>
      <c r="AR3" s="31">
        <f>'FS Desroches Daily'!CD5</f>
        <v>10.200000000000728</v>
      </c>
      <c r="AS3" s="31">
        <f>'FS Desroches Daily'!CF5</f>
        <v>4.0999999999994543</v>
      </c>
      <c r="AT3" s="31">
        <f>'FS Desroches Daily'!CH5</f>
        <v>37.899999999994179</v>
      </c>
      <c r="AU3" s="31">
        <f>'FS Desroches Daily'!CJ5</f>
        <v>303</v>
      </c>
      <c r="AV3" s="31">
        <f>'FS Desroches Daily'!CL5</f>
        <v>1099.9999999999091</v>
      </c>
      <c r="AW3" s="31">
        <f>'FS Desroches Daily'!CM5</f>
        <v>88</v>
      </c>
      <c r="AX3" s="31">
        <f>IF(LPG!F10-LPG!F9&lt;0,"0",(LPG!F10-LPG!F9)*1.8315)</f>
        <v>0</v>
      </c>
      <c r="AY3" s="31" t="str">
        <f>IF(LPG!G10-LPG!G9&lt;0,"0",(LPG!G10-LPG!G9)*1.8315)</f>
        <v>0</v>
      </c>
      <c r="AZ3" s="31">
        <f>IF(LPG!H10-LPG!H9&lt;0,"0",(LPG!H10-LPG!H9)*1.8315)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22</v>
      </c>
      <c r="BD3" s="9"/>
    </row>
    <row r="4" spans="1:56" s="16" customFormat="1" x14ac:dyDescent="0.25">
      <c r="A4" s="27" t="s">
        <v>11</v>
      </c>
      <c r="B4" s="15">
        <v>3</v>
      </c>
      <c r="C4" s="18">
        <v>6</v>
      </c>
      <c r="D4" s="27">
        <v>2022</v>
      </c>
      <c r="E4" s="31">
        <f>'FS Desroches Daily'!D6</f>
        <v>2800.0000000001355</v>
      </c>
      <c r="F4" s="32">
        <f>'FS Desroches Daily'!F6</f>
        <v>2999.9999999992256</v>
      </c>
      <c r="G4" s="31">
        <f>'FS Desroches Daily'!H6</f>
        <v>3199.9999999996476</v>
      </c>
      <c r="H4" s="32">
        <f>'FS Desroches Daily'!J6</f>
        <v>1599.9999999998238</v>
      </c>
      <c r="I4" s="31">
        <f>'FS Desroches Daily'!L6</f>
        <v>2200.0000000002019</v>
      </c>
      <c r="J4" s="32">
        <f>'FS Desroches Daily'!N6</f>
        <v>1800.0000000000239</v>
      </c>
      <c r="K4" s="13">
        <f>'FS Desroches Daily'!P6</f>
        <v>30</v>
      </c>
      <c r="L4" s="31">
        <f>'FS Desroches Daily'!R6</f>
        <v>4</v>
      </c>
      <c r="M4" s="31">
        <f>'FS Desroches Daily'!T6</f>
        <v>1.8999999999998636</v>
      </c>
      <c r="N4" s="31">
        <f>'FS Desroches Daily'!V6</f>
        <v>742.30000000004657</v>
      </c>
      <c r="O4" s="31">
        <f>'FS Desroches Daily'!X7</f>
        <v>299.99999999995453</v>
      </c>
      <c r="P4" s="31">
        <f>'FS Desroches Daily'!Z6</f>
        <v>2699.9999999999245</v>
      </c>
      <c r="Q4" s="31">
        <f>'FS Desroches Daily'!AB6</f>
        <v>379.99999999999545</v>
      </c>
      <c r="R4" s="31">
        <f>'FS Desroches Daily'!AD6</f>
        <v>399.99999999997726</v>
      </c>
      <c r="S4" s="31">
        <f>'FS Desroches Daily'!AF6</f>
        <v>820.00000000005002</v>
      </c>
      <c r="T4" s="31">
        <f>'FS Desroches Daily'!AH6</f>
        <v>37</v>
      </c>
      <c r="U4" s="35">
        <f>'FS Desroches Daily'!AJ6</f>
        <v>680.00000000006366</v>
      </c>
      <c r="V4" s="35">
        <f>'FS Desroches Daily'!AL6</f>
        <v>209.99999999997954</v>
      </c>
      <c r="W4" s="35">
        <f>'FS Desroches Daily'!AN6</f>
        <v>139.99999999998636</v>
      </c>
      <c r="X4" s="35">
        <f>'FS Desroches Daily'!AP6</f>
        <v>260.00000000004775</v>
      </c>
      <c r="Y4" s="35">
        <f>'FS Desroches Daily'!AR6</f>
        <v>250</v>
      </c>
      <c r="Z4" s="35">
        <f>'FS Desroches Daily'!AT6</f>
        <v>319.99999999999318</v>
      </c>
      <c r="AA4" s="35">
        <f>'FS Desroches Daily'!AT6</f>
        <v>319.99999999999318</v>
      </c>
      <c r="AB4" s="35">
        <f>'FS Desroches Daily'!AV6</f>
        <v>170.00000000001592</v>
      </c>
      <c r="AC4" s="35">
        <f>'FS Desroches Daily'!AZ6</f>
        <v>120.00000000000455</v>
      </c>
      <c r="AD4" s="35">
        <f>'FS Desroches Daily'!BB6</f>
        <v>110.00000000001364</v>
      </c>
      <c r="AE4" s="35">
        <f>'FS Desroches Daily'!BD6</f>
        <v>180.00000000000682</v>
      </c>
      <c r="AF4" s="31">
        <f>'FS Desroches Daily'!BF6</f>
        <v>15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50.000000000011369</v>
      </c>
      <c r="AJ4" s="32">
        <f>'FS Desroches Daily'!BN6</f>
        <v>39.999999999992042</v>
      </c>
      <c r="AK4" s="32">
        <f>'FS Desroches Daily'!BP6</f>
        <v>49.999999999954525</v>
      </c>
      <c r="AL4" s="32">
        <f>'FS Desroches Daily'!BR6</f>
        <v>28</v>
      </c>
      <c r="AM4" s="32">
        <f>'FS Desroches Daily'!BT6</f>
        <v>50.000000000011369</v>
      </c>
      <c r="AN4" s="32">
        <f>'FS Desroches Daily'!BV6</f>
        <v>41</v>
      </c>
      <c r="AO4" s="32">
        <f>'FS Desroches Daily'!BX6</f>
        <v>39.999999999992042</v>
      </c>
      <c r="AP4" s="32">
        <f>'FS Desroches Daily'!BZ6</f>
        <v>45</v>
      </c>
      <c r="AQ4" s="31">
        <f>'FS Desroches Daily'!CB6</f>
        <v>57.700000000004366</v>
      </c>
      <c r="AR4" s="31">
        <f>'FS Desroches Daily'!CD6</f>
        <v>12.299999999999272</v>
      </c>
      <c r="AS4" s="31">
        <f>'FS Desroches Daily'!CF6</f>
        <v>3.3000000000001819</v>
      </c>
      <c r="AT4" s="31">
        <f>'FS Desroches Daily'!CH6</f>
        <v>40.30000000000291</v>
      </c>
      <c r="AU4" s="31">
        <f>'FS Desroches Daily'!CJ6</f>
        <v>302</v>
      </c>
      <c r="AV4" s="31">
        <f>'FS Desroches Daily'!CL6</f>
        <v>900.00000000009095</v>
      </c>
      <c r="AW4" s="31">
        <f>'FS Desroches Daily'!CM6</f>
        <v>89</v>
      </c>
      <c r="AX4" s="31">
        <f>IF(LPG!F11-LPG!F10&lt;0,"0",(LPG!F11-LPG!F10)*1.8315)</f>
        <v>0</v>
      </c>
      <c r="AY4" s="31" t="str">
        <f>IF(LPG!G11-LPG!G10&lt;0,"0",(LPG!G11-LPG!G10)*1.8315)</f>
        <v>0</v>
      </c>
      <c r="AZ4" s="31">
        <f>IF(LPG!H13-LPG!H10&lt;0,"0",(LPG!H13-LPG!H10)*1.8315)</f>
        <v>0</v>
      </c>
      <c r="BA4" s="31">
        <f>IF(LPG!M11-LPG!M10&lt;0,"0",(LPG!M11-LPG!M10)*1.8315)</f>
        <v>5.4944999999999995</v>
      </c>
      <c r="BB4" s="31">
        <f>IF(LPG!Q11-LPG!Q10&lt;0,"0",(LPG!Q11-LPG!Q10)*1.8315)</f>
        <v>9.1574999999999989</v>
      </c>
      <c r="BC4" s="13">
        <f>'FS Desroches Daily'!CN6</f>
        <v>25</v>
      </c>
      <c r="BD4" s="9"/>
    </row>
    <row r="5" spans="1:56" s="16" customFormat="1" x14ac:dyDescent="0.25">
      <c r="A5" s="27" t="s">
        <v>11</v>
      </c>
      <c r="B5" s="15">
        <v>4</v>
      </c>
      <c r="C5" s="18">
        <v>6</v>
      </c>
      <c r="D5" s="27">
        <v>2022</v>
      </c>
      <c r="E5" s="31">
        <f>'FS Desroches Daily'!D7</f>
        <v>2800.0000000001355</v>
      </c>
      <c r="F5" s="32">
        <f>'FS Desroches Daily'!F7</f>
        <v>3100.000000000769</v>
      </c>
      <c r="G5" s="31">
        <f>'FS Desroches Daily'!H7</f>
        <v>3300.0000000003029</v>
      </c>
      <c r="H5" s="32">
        <f>'FS Desroches Daily'!J7</f>
        <v>1600.0000000002678</v>
      </c>
      <c r="I5" s="31">
        <f>'FS Desroches Daily'!L7</f>
        <v>2099.9999999999909</v>
      </c>
      <c r="J5" s="32">
        <f>'FS Desroches Daily'!N7</f>
        <v>1800.0000000000239</v>
      </c>
      <c r="K5" s="13">
        <f>'FS Desroches Daily'!P7</f>
        <v>30</v>
      </c>
      <c r="L5" s="31">
        <f>'FS Desroches Daily'!R7</f>
        <v>4</v>
      </c>
      <c r="M5" s="31">
        <f>'FS Desroches Daily'!T7</f>
        <v>0.3000000000001819</v>
      </c>
      <c r="N5" s="31">
        <f>'FS Desroches Daily'!V7</f>
        <v>102.19999999995343</v>
      </c>
      <c r="O5" s="31">
        <f>'FS Desroches Daily'!X8</f>
        <v>299.99999999995453</v>
      </c>
      <c r="P5" s="31">
        <f>'FS Desroches Daily'!Z7</f>
        <v>2900.0000000003465</v>
      </c>
      <c r="Q5" s="31">
        <f>'FS Desroches Daily'!AB7</f>
        <v>399.99999999997726</v>
      </c>
      <c r="R5" s="31">
        <f>'FS Desroches Daily'!AD7</f>
        <v>470.00000000002728</v>
      </c>
      <c r="S5" s="31">
        <f>'FS Desroches Daily'!AF7</f>
        <v>909.99999999996817</v>
      </c>
      <c r="T5" s="31">
        <f>'FS Desroches Daily'!AH7</f>
        <v>43</v>
      </c>
      <c r="U5" s="35">
        <f>'FS Desroches Daily'!AJ7</f>
        <v>649.99999999997726</v>
      </c>
      <c r="V5" s="35">
        <f>'FS Desroches Daily'!AL7</f>
        <v>210.00000000003638</v>
      </c>
      <c r="W5" s="35">
        <f>'FS Desroches Daily'!AN7</f>
        <v>140.0000000000432</v>
      </c>
      <c r="X5" s="35">
        <f>'FS Desroches Daily'!AP7</f>
        <v>139.99999999998636</v>
      </c>
      <c r="Y5" s="35">
        <f>'FS Desroches Daily'!AR7</f>
        <v>280.00000000002956</v>
      </c>
      <c r="Z5" s="35">
        <f>'FS Desroches Daily'!AT7</f>
        <v>280.00000000002956</v>
      </c>
      <c r="AA5" s="35">
        <f>'FS Desroches Daily'!AT7</f>
        <v>280.00000000002956</v>
      </c>
      <c r="AB5" s="35">
        <f>'FS Desroches Daily'!AV7</f>
        <v>189.99999999999773</v>
      </c>
      <c r="AC5" s="35">
        <f>'FS Desroches Daily'!AZ7</f>
        <v>140.0000000000432</v>
      </c>
      <c r="AD5" s="35">
        <f>'FS Desroches Daily'!BB7</f>
        <v>180.00000000000682</v>
      </c>
      <c r="AE5" s="35">
        <f>'FS Desroches Daily'!BD7</f>
        <v>189.99999999999773</v>
      </c>
      <c r="AF5" s="31">
        <f>'FS Desroches Daily'!BF7</f>
        <v>10</v>
      </c>
      <c r="AG5" s="32">
        <f>'FS Desroches Daily'!BH7</f>
        <v>30.000000000001137</v>
      </c>
      <c r="AH5" s="32">
        <f>'FS Desroches Daily'!BJ7</f>
        <v>30.000000000029559</v>
      </c>
      <c r="AI5" s="32">
        <f>'FS Desroches Daily'!BL7</f>
        <v>30.000000000001137</v>
      </c>
      <c r="AJ5" s="32">
        <f>'FS Desroches Daily'!BN7</f>
        <v>50.000000000011369</v>
      </c>
      <c r="AK5" s="32">
        <f>'FS Desroches Daily'!BP7</f>
        <v>50.000000000011369</v>
      </c>
      <c r="AL5" s="32">
        <f>'FS Desroches Daily'!BR7</f>
        <v>33</v>
      </c>
      <c r="AM5" s="32">
        <f>'FS Desroches Daily'!BT7</f>
        <v>50.000000000011369</v>
      </c>
      <c r="AN5" s="32">
        <f>'FS Desroches Daily'!BV7</f>
        <v>41</v>
      </c>
      <c r="AO5" s="32">
        <f>'FS Desroches Daily'!BX7</f>
        <v>39.999999999992042</v>
      </c>
      <c r="AP5" s="32">
        <f>'FS Desroches Daily'!BZ7</f>
        <v>45</v>
      </c>
      <c r="AQ5" s="31">
        <f>'FS Desroches Daily'!CB7</f>
        <v>60.69999999999709</v>
      </c>
      <c r="AR5" s="31">
        <f>'FS Desroches Daily'!CD7</f>
        <v>14.700000000000728</v>
      </c>
      <c r="AS5" s="31">
        <f>'FS Desroches Daily'!CF7</f>
        <v>4.1999999999998181</v>
      </c>
      <c r="AT5" s="31">
        <f>'FS Desroches Daily'!CH7</f>
        <v>28.899999999994179</v>
      </c>
      <c r="AU5" s="31">
        <f>'FS Desroches Daily'!CJ7</f>
        <v>299</v>
      </c>
      <c r="AV5" s="31">
        <f>'FS Desroches Daily'!CL7</f>
        <v>1000</v>
      </c>
      <c r="AW5" s="31">
        <f>'FS Desroches Daily'!CM7</f>
        <v>126</v>
      </c>
      <c r="AX5" s="31">
        <f>IF(LPG!F12-LPG!F11&lt;0,"0",(LPG!F12-LPG!F11)*1.8315)</f>
        <v>0</v>
      </c>
      <c r="AY5" s="31" t="str">
        <f>IF(LPG!G12-LPG!G11&lt;0,"0",(LPG!G12-LPG!G11)*1.8315)</f>
        <v>0</v>
      </c>
      <c r="AZ5" s="31">
        <f>IF(LPG!H12-LPG!H13&lt;0,"0",(LPG!H12-LPG!H13)*1.8315)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9.1574999999999989</v>
      </c>
      <c r="BC5" s="13">
        <f>'FS Desroches Daily'!CN7</f>
        <v>25</v>
      </c>
      <c r="BD5" s="9"/>
    </row>
    <row r="6" spans="1:56" s="16" customFormat="1" x14ac:dyDescent="0.25">
      <c r="A6" s="27" t="s">
        <v>11</v>
      </c>
      <c r="B6" s="15">
        <v>5</v>
      </c>
      <c r="C6" s="18">
        <v>6</v>
      </c>
      <c r="D6" s="27">
        <v>2022</v>
      </c>
      <c r="E6" s="31">
        <f>'FS Desroches Daily'!D8</f>
        <v>2499.9999999999468</v>
      </c>
      <c r="F6" s="32">
        <f>'FS Desroches Daily'!F8</f>
        <v>3099.9999999998809</v>
      </c>
      <c r="G6" s="31">
        <f>'FS Desroches Daily'!H8</f>
        <v>3199.9999999996476</v>
      </c>
      <c r="H6" s="32">
        <f>'FS Desroches Daily'!J8</f>
        <v>1599.9999999998238</v>
      </c>
      <c r="I6" s="31">
        <f>'FS Desroches Daily'!L8</f>
        <v>2099.9999999999909</v>
      </c>
      <c r="J6" s="32">
        <f>'FS Desroches Daily'!N8</f>
        <v>1800.0000000000239</v>
      </c>
      <c r="K6" s="13">
        <f>'FS Desroches Daily'!P8</f>
        <v>31</v>
      </c>
      <c r="L6" s="31">
        <f>'FS Desroches Daily'!R8</f>
        <v>4</v>
      </c>
      <c r="M6" s="31">
        <f>'FS Desroches Daily'!T8</f>
        <v>1.0999999999999091</v>
      </c>
      <c r="N6" s="31">
        <f>'FS Desroches Daily'!V8</f>
        <v>437.80000000004657</v>
      </c>
      <c r="O6" s="31">
        <f>'FS Desroches Daily'!X8</f>
        <v>299.99999999995453</v>
      </c>
      <c r="P6" s="31">
        <f>'FS Desroches Daily'!Z8</f>
        <v>2699.9999999999245</v>
      </c>
      <c r="Q6" s="31">
        <f>'FS Desroches Daily'!AB8</f>
        <v>379.99999999999545</v>
      </c>
      <c r="R6" s="31">
        <f>'FS Desroches Daily'!AD8</f>
        <v>350.00000000002274</v>
      </c>
      <c r="S6" s="31">
        <f>'FS Desroches Daily'!AF8</f>
        <v>929.99999999994998</v>
      </c>
      <c r="T6" s="31">
        <f>'FS Desroches Daily'!AH8</f>
        <v>37</v>
      </c>
      <c r="U6" s="35">
        <f>'FS Desroches Daily'!AJ8</f>
        <v>590.00000000003183</v>
      </c>
      <c r="V6" s="35">
        <f>'FS Desroches Daily'!AL8</f>
        <v>199.99999999998863</v>
      </c>
      <c r="W6" s="35">
        <f>'FS Desroches Daily'!AN8</f>
        <v>139.99999999998636</v>
      </c>
      <c r="X6" s="35">
        <f>'FS Desroches Daily'!AP8</f>
        <v>250</v>
      </c>
      <c r="Y6" s="35">
        <f>'FS Desroches Daily'!AR8</f>
        <v>129.99999999999545</v>
      </c>
      <c r="Z6" s="35">
        <f>'FS Desroches Daily'!AT8</f>
        <v>149.99999999997726</v>
      </c>
      <c r="AA6" s="35">
        <f>'FS Desroches Daily'!AT8</f>
        <v>149.99999999997726</v>
      </c>
      <c r="AB6" s="35">
        <f>'FS Desroches Daily'!AV8</f>
        <v>159.99999999996817</v>
      </c>
      <c r="AC6" s="35">
        <f>'FS Desroches Daily'!AZ8</f>
        <v>129.99999999999545</v>
      </c>
      <c r="AD6" s="35">
        <f>'FS Desroches Daily'!BB8</f>
        <v>39.99999999996362</v>
      </c>
      <c r="AE6" s="35">
        <f>'FS Desroches Daily'!BD8</f>
        <v>170.00000000001592</v>
      </c>
      <c r="AF6" s="31">
        <f>'FS Desroches Daily'!BF8</f>
        <v>39</v>
      </c>
      <c r="AG6" s="32">
        <f>'FS Desroches Daily'!BH8</f>
        <v>39.999999999992042</v>
      </c>
      <c r="AH6" s="32">
        <f>'FS Desroches Daily'!BJ8</f>
        <v>29.999999999972715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50.000000000011369</v>
      </c>
      <c r="AL6" s="32">
        <f>'FS Desroches Daily'!BR8</f>
        <v>36</v>
      </c>
      <c r="AM6" s="32">
        <f>'FS Desroches Daily'!BT8</f>
        <v>39.999999999992042</v>
      </c>
      <c r="AN6" s="32">
        <f>'FS Desroches Daily'!BV8</f>
        <v>46</v>
      </c>
      <c r="AO6" s="32">
        <f>'FS Desroches Daily'!BX8</f>
        <v>40.000000000020464</v>
      </c>
      <c r="AP6" s="32">
        <f>'FS Desroches Daily'!BZ8</f>
        <v>50</v>
      </c>
      <c r="AQ6" s="31">
        <f>'FS Desroches Daily'!CB8</f>
        <v>56.30000000000291</v>
      </c>
      <c r="AR6" s="31">
        <f>'FS Desroches Daily'!CD8</f>
        <v>10.399999999999636</v>
      </c>
      <c r="AS6" s="31">
        <f>'FS Desroches Daily'!CF8</f>
        <v>7.4000000000005457</v>
      </c>
      <c r="AT6" s="31">
        <f>'FS Desroches Daily'!CH8</f>
        <v>63.900000000008731</v>
      </c>
      <c r="AU6" s="31">
        <f>'FS Desroches Daily'!CJ8</f>
        <v>296</v>
      </c>
      <c r="AV6" s="31">
        <f>'FS Desroches Daily'!CL8</f>
        <v>899.99999999997726</v>
      </c>
      <c r="AW6" s="31">
        <f>'FS Desroches Daily'!CM8</f>
        <v>88.200000000000728</v>
      </c>
      <c r="AX6" s="31">
        <f>IF(LPG!F13-LPG!F12&lt;0,"0",(LPG!F13-LPG!F12)*1.8315)</f>
        <v>0</v>
      </c>
      <c r="AY6" s="31" t="str">
        <f>IF(LPG!G13-LPG!G12&lt;0,"0",(LPG!G13-LPG!G12)*1.8315)</f>
        <v>0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19</v>
      </c>
      <c r="BD6" s="9"/>
    </row>
    <row r="7" spans="1:56" s="16" customFormat="1" x14ac:dyDescent="0.25">
      <c r="A7" s="27" t="s">
        <v>11</v>
      </c>
      <c r="B7" s="15">
        <v>6</v>
      </c>
      <c r="C7" s="18">
        <v>6</v>
      </c>
      <c r="D7" s="27">
        <v>2022</v>
      </c>
      <c r="E7" s="31">
        <f>'FS Desroches Daily'!D9</f>
        <v>2199.9999999997576</v>
      </c>
      <c r="F7" s="32">
        <f>'FS Desroches Daily'!F9</f>
        <v>3299.9999999994143</v>
      </c>
      <c r="G7" s="31">
        <f>'FS Desroches Daily'!H9</f>
        <v>3099.9999999998809</v>
      </c>
      <c r="H7" s="32">
        <f>'FS Desroches Daily'!J9</f>
        <v>1599.9999999998238</v>
      </c>
      <c r="I7" s="31">
        <f>'FS Desroches Daily'!L9</f>
        <v>1999.9999999997797</v>
      </c>
      <c r="J7" s="32">
        <f>'FS Desroches Daily'!N9</f>
        <v>1599.9999999998238</v>
      </c>
      <c r="K7" s="13">
        <f>'FS Desroches Daily'!P9</f>
        <v>29</v>
      </c>
      <c r="L7" s="31">
        <f>'FS Desroches Daily'!R9</f>
        <v>4</v>
      </c>
      <c r="M7" s="31">
        <f>'FS Desroches Daily'!T9</f>
        <v>1</v>
      </c>
      <c r="N7" s="31">
        <f>'FS Desroches Daily'!V9</f>
        <v>345.5</v>
      </c>
      <c r="O7" s="31">
        <f>'FS Desroches Daily'!X9</f>
        <v>320.00000000005002</v>
      </c>
      <c r="P7" s="31">
        <f>'FS Desroches Daily'!Z9</f>
        <v>3099.9999999998809</v>
      </c>
      <c r="Q7" s="31">
        <f>'FS Desroches Daily'!AB9</f>
        <v>379.99999999999545</v>
      </c>
      <c r="R7" s="31">
        <f>'FS Desroches Daily'!AD9</f>
        <v>350.00000000002274</v>
      </c>
      <c r="S7" s="31">
        <f>'FS Desroches Daily'!AF9</f>
        <v>710.00000000003638</v>
      </c>
      <c r="T7" s="31">
        <f>'FS Desroches Daily'!AH9</f>
        <v>38</v>
      </c>
      <c r="U7" s="35">
        <f>'FS Desroches Daily'!AJ9</f>
        <v>639.99999999998636</v>
      </c>
      <c r="V7" s="35">
        <f>'FS Desroches Daily'!AL9</f>
        <v>149.99999999997726</v>
      </c>
      <c r="W7" s="35">
        <f>'FS Desroches Daily'!AN9</f>
        <v>139.99999999998636</v>
      </c>
      <c r="X7" s="35">
        <f>'FS Desroches Daily'!AP9</f>
        <v>219.99999999997044</v>
      </c>
      <c r="Y7" s="35">
        <f>'FS Desroches Daily'!AR9</f>
        <v>100.00000000002274</v>
      </c>
      <c r="Z7" s="35">
        <f>'FS Desroches Daily'!AT9</f>
        <v>100.00000000002274</v>
      </c>
      <c r="AA7" s="35">
        <f>'FS Desroches Daily'!AT9</f>
        <v>100.00000000002274</v>
      </c>
      <c r="AB7" s="35">
        <f>'FS Desroches Daily'!AV9</f>
        <v>170.00000000001592</v>
      </c>
      <c r="AC7" s="35">
        <f>'FS Desroches Daily'!AZ9</f>
        <v>109.9999999999568</v>
      </c>
      <c r="AD7" s="35">
        <f>'FS Desroches Daily'!BB9</f>
        <v>120.00000000000455</v>
      </c>
      <c r="AE7" s="35">
        <f>'FS Desroches Daily'!BD9</f>
        <v>170.00000000001592</v>
      </c>
      <c r="AF7" s="31">
        <f>'FS Desroches Daily'!BF9</f>
        <v>21</v>
      </c>
      <c r="AG7" s="32">
        <f>'FS Desroches Daily'!BH9</f>
        <v>20.000000000010232</v>
      </c>
      <c r="AH7" s="32">
        <f>'FS Desroches Daily'!BJ9</f>
        <v>30.000000000029559</v>
      </c>
      <c r="AI7" s="32">
        <f>'FS Desroches Daily'!BL9</f>
        <v>39.999999999992042</v>
      </c>
      <c r="AJ7" s="32">
        <f>'FS Desroches Daily'!BN9</f>
        <v>50.000000000011369</v>
      </c>
      <c r="AK7" s="32">
        <f>'FS Desroches Daily'!BP9</f>
        <v>50.000000000011369</v>
      </c>
      <c r="AL7" s="32">
        <f>'FS Desroches Daily'!BR9</f>
        <v>34</v>
      </c>
      <c r="AM7" s="32">
        <f>'FS Desroches Daily'!BT9</f>
        <v>39.999999999992042</v>
      </c>
      <c r="AN7" s="32">
        <f>'FS Desroches Daily'!BV9</f>
        <v>33</v>
      </c>
      <c r="AO7" s="32">
        <f>'FS Desroches Daily'!BX9</f>
        <v>39.999999999992042</v>
      </c>
      <c r="AP7" s="32">
        <f>'FS Desroches Daily'!BZ9</f>
        <v>46</v>
      </c>
      <c r="AQ7" s="31">
        <f>'FS Desroches Daily'!CB9</f>
        <v>54.400000000001455</v>
      </c>
      <c r="AR7" s="31">
        <f>'FS Desroches Daily'!CD9</f>
        <v>10.699999999998909</v>
      </c>
      <c r="AS7" s="31">
        <f>'FS Desroches Daily'!CF9</f>
        <v>3.6999999999989086</v>
      </c>
      <c r="AT7" s="31">
        <f>'FS Desroches Daily'!CH9</f>
        <v>50.5</v>
      </c>
      <c r="AU7" s="31">
        <f>'FS Desroches Daily'!CJ9</f>
        <v>281</v>
      </c>
      <c r="AV7" s="31">
        <f>'FS Desroches Daily'!CL9</f>
        <v>899.99999999997726</v>
      </c>
      <c r="AW7" s="31">
        <f>'FS Desroches Daily'!CM9</f>
        <v>95.5</v>
      </c>
      <c r="AX7" s="31">
        <f>IF(LPG!F14-LPG!F13&lt;0,"0",(LPG!F14-LPG!F13)*1.8315)</f>
        <v>0</v>
      </c>
      <c r="AY7" s="31">
        <f>IF(LPG!G14-LPG!G13&lt;0,"0",(LPG!G14-LPG!G13)*1.8315)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19</v>
      </c>
      <c r="BD7" s="9"/>
    </row>
    <row r="8" spans="1:56" s="16" customFormat="1" x14ac:dyDescent="0.25">
      <c r="A8" s="27" t="s">
        <v>11</v>
      </c>
      <c r="B8" s="15">
        <v>7</v>
      </c>
      <c r="C8" s="18">
        <v>6</v>
      </c>
      <c r="D8" s="27">
        <v>2022</v>
      </c>
      <c r="E8" s="31">
        <f>'FS Desroches Daily'!D10</f>
        <v>2299.9999999999686</v>
      </c>
      <c r="F8" s="32">
        <f>'FS Desroches Daily'!F10</f>
        <v>3300.0000000003029</v>
      </c>
      <c r="G8" s="31">
        <f>'FS Desroches Daily'!H10</f>
        <v>3200.0000000005357</v>
      </c>
      <c r="H8" s="32">
        <f>'FS Desroches Daily'!J10</f>
        <v>1500.0000000000568</v>
      </c>
      <c r="I8" s="31">
        <f>'FS Desroches Daily'!L10</f>
        <v>2099.9999999999909</v>
      </c>
      <c r="J8" s="32">
        <f>'FS Desroches Daily'!N10</f>
        <v>1400.0000000000678</v>
      </c>
      <c r="K8" s="13">
        <f>'FS Desroches Daily'!P10</f>
        <v>30</v>
      </c>
      <c r="L8" s="31">
        <f>'FS Desroches Daily'!R10</f>
        <v>4</v>
      </c>
      <c r="M8" s="31">
        <f>'FS Desroches Daily'!T10</f>
        <v>1</v>
      </c>
      <c r="N8" s="31">
        <f>'FS Desroches Daily'!V10</f>
        <v>444.30000000004657</v>
      </c>
      <c r="O8" s="31">
        <f>'FS Desroches Daily'!X10</f>
        <v>320.00000000005002</v>
      </c>
      <c r="P8" s="31">
        <f>'FS Desroches Daily'!Z10</f>
        <v>2899.9999999999027</v>
      </c>
      <c r="Q8" s="31">
        <f>'FS Desroches Daily'!AB10</f>
        <v>230.00000000001819</v>
      </c>
      <c r="R8" s="31">
        <f>'FS Desroches Daily'!AD10</f>
        <v>340.00000000003183</v>
      </c>
      <c r="S8" s="31">
        <f>'FS Desroches Daily'!AF10</f>
        <v>779.99999999997272</v>
      </c>
      <c r="T8" s="31">
        <f>'FS Desroches Daily'!AH10</f>
        <v>37</v>
      </c>
      <c r="U8" s="35">
        <f>'FS Desroches Daily'!AJ10</f>
        <v>649.99999999997726</v>
      </c>
      <c r="V8" s="35">
        <f>'FS Desroches Daily'!AL10</f>
        <v>170.00000000001592</v>
      </c>
      <c r="W8" s="35">
        <f>'FS Desroches Daily'!AN10</f>
        <v>150.00000000003411</v>
      </c>
      <c r="X8" s="35">
        <f>'FS Desroches Daily'!AP10</f>
        <v>220.00000000002728</v>
      </c>
      <c r="Y8" s="35">
        <f>'FS Desroches Daily'!AR10</f>
        <v>99.999999999965894</v>
      </c>
      <c r="Z8" s="35">
        <f>'FS Desroches Daily'!AT10</f>
        <v>109.9999999999568</v>
      </c>
      <c r="AA8" s="35">
        <f>'FS Desroches Daily'!AT10</f>
        <v>109.9999999999568</v>
      </c>
      <c r="AB8" s="35">
        <f>'FS Desroches Daily'!AV10</f>
        <v>170.00000000001592</v>
      </c>
      <c r="AC8" s="35">
        <f>'FS Desroches Daily'!AZ10</f>
        <v>110.00000000001364</v>
      </c>
      <c r="AD8" s="35">
        <f>'FS Desroches Daily'!BB10</f>
        <v>110.00000000001364</v>
      </c>
      <c r="AE8" s="35">
        <f>'FS Desroches Daily'!BD10</f>
        <v>159.99999999996817</v>
      </c>
      <c r="AF8" s="31">
        <f>'FS Desroches Daily'!BF10</f>
        <v>23</v>
      </c>
      <c r="AG8" s="32">
        <f>'FS Desroches Daily'!BH10</f>
        <v>39.999999999992042</v>
      </c>
      <c r="AH8" s="32">
        <f>'FS Desroches Daily'!BJ10</f>
        <v>40.000000000020464</v>
      </c>
      <c r="AI8" s="32">
        <f>'FS Desroches Daily'!BL10</f>
        <v>50.000000000011369</v>
      </c>
      <c r="AJ8" s="32">
        <f>'FS Desroches Daily'!BN10</f>
        <v>39.999999999992042</v>
      </c>
      <c r="AK8" s="32">
        <f>'FS Desroches Daily'!BP10</f>
        <v>50.000000000011369</v>
      </c>
      <c r="AL8" s="32">
        <f>'FS Desroches Daily'!BR10</f>
        <v>36</v>
      </c>
      <c r="AM8" s="32">
        <f>'FS Desroches Daily'!BT10</f>
        <v>50.000000000011369</v>
      </c>
      <c r="AN8" s="32">
        <f>'FS Desroches Daily'!BV10</f>
        <v>40</v>
      </c>
      <c r="AO8" s="32">
        <f>'FS Desroches Daily'!BX10</f>
        <v>39.999999999992042</v>
      </c>
      <c r="AP8" s="32">
        <f>'FS Desroches Daily'!BZ10</f>
        <v>48</v>
      </c>
      <c r="AQ8" s="31">
        <f>'FS Desroches Daily'!CB10</f>
        <v>43.799999999995634</v>
      </c>
      <c r="AR8" s="31">
        <f>'FS Desroches Daily'!CD10</f>
        <v>9.7000000000007276</v>
      </c>
      <c r="AS8" s="31">
        <f>'FS Desroches Daily'!CF10</f>
        <v>4.7000000000007276</v>
      </c>
      <c r="AT8" s="31">
        <f>'FS Desroches Daily'!CH10</f>
        <v>45.30000000000291</v>
      </c>
      <c r="AU8" s="31">
        <f>'FS Desroches Daily'!CJ10</f>
        <v>287</v>
      </c>
      <c r="AV8" s="31">
        <f>'FS Desroches Daily'!CL10</f>
        <v>1100.0000000000227</v>
      </c>
      <c r="AW8" s="31">
        <f>'FS Desroches Daily'!CM10</f>
        <v>80.5</v>
      </c>
      <c r="AX8" s="31">
        <f>IF(LPG!F16-LPG!F14&lt;0,"0",(LPG!F16-LPG!F14)*1.8315)</f>
        <v>0</v>
      </c>
      <c r="AY8" s="31">
        <f>IF(LPG!G15-LPG!G14&lt;0,"0",(LPG!G15-LPG!G14)*1.8315)</f>
        <v>0</v>
      </c>
      <c r="AZ8" s="31">
        <f>IF(LPG!H16-LPG!H14&lt;0,"0",(LPG!H16-LPG!H14)*1.8315)</f>
        <v>0</v>
      </c>
      <c r="BA8" s="31">
        <f>IF(LPG!M16-LPG!M14&lt;0,"0",(LPG!M16-LPG!M14)*1.8315)</f>
        <v>3.6629999999999998</v>
      </c>
      <c r="BB8" s="31">
        <f>IF(LPG!Q15-LPG!Q14&lt;0,"0",(LPG!Q15-LPG!Q14)*1.8315)</f>
        <v>7.3259999999999996</v>
      </c>
      <c r="BC8" s="13">
        <f>'FS Desroches Daily'!CN10</f>
        <v>19</v>
      </c>
      <c r="BD8" s="9"/>
    </row>
    <row r="9" spans="1:56" s="16" customFormat="1" x14ac:dyDescent="0.25">
      <c r="A9" s="27" t="s">
        <v>11</v>
      </c>
      <c r="B9" s="15">
        <v>8</v>
      </c>
      <c r="C9" s="18">
        <v>6</v>
      </c>
      <c r="D9" s="27">
        <v>2022</v>
      </c>
      <c r="E9" s="31">
        <f>'FS Desroches Daily'!D11</f>
        <v>2299.9999999999686</v>
      </c>
      <c r="F9" s="32">
        <f>'FS Desroches Daily'!F11</f>
        <v>3199.9999999996476</v>
      </c>
      <c r="G9" s="31">
        <f>'FS Desroches Daily'!H11</f>
        <v>3299.9999999994143</v>
      </c>
      <c r="H9" s="32">
        <f>'FS Desroches Daily'!J11</f>
        <v>1700.0000000000348</v>
      </c>
      <c r="I9" s="31">
        <f>'FS Desroches Daily'!L11</f>
        <v>2000.0000000002237</v>
      </c>
      <c r="J9" s="32">
        <f>'FS Desroches Daily'!N11</f>
        <v>1600.0000000000459</v>
      </c>
      <c r="K9" s="13">
        <f>'FS Desroches Daily'!P11</f>
        <v>29</v>
      </c>
      <c r="L9" s="31">
        <f>'FS Desroches Daily'!R11</f>
        <v>4</v>
      </c>
      <c r="M9" s="31">
        <f>'FS Desroches Daily'!T11</f>
        <v>1.0999999999999091</v>
      </c>
      <c r="N9" s="31">
        <f>'FS Desroches Daily'!V11</f>
        <v>455</v>
      </c>
      <c r="O9" s="31">
        <f>'FS Desroches Daily'!X11</f>
        <v>379.99999999999545</v>
      </c>
      <c r="P9" s="31">
        <f>'FS Desroches Daily'!Z11</f>
        <v>2800.0000000001355</v>
      </c>
      <c r="Q9" s="31">
        <f>'FS Desroches Daily'!AB11</f>
        <v>360.00000000001364</v>
      </c>
      <c r="R9" s="31">
        <f>'FS Desroches Daily'!AD11</f>
        <v>359.99999999989996</v>
      </c>
      <c r="S9" s="31">
        <f>'FS Desroches Daily'!AF11</f>
        <v>769.99999999998181</v>
      </c>
      <c r="T9" s="31">
        <f>'FS Desroches Daily'!AH11</f>
        <v>33</v>
      </c>
      <c r="U9" s="35">
        <f>'FS Desroches Daily'!AJ11</f>
        <v>700.00000000004547</v>
      </c>
      <c r="V9" s="35">
        <f>'FS Desroches Daily'!AL11</f>
        <v>180.00000000000682</v>
      </c>
      <c r="W9" s="35">
        <f>'FS Desroches Daily'!AN11</f>
        <v>149.99999999997726</v>
      </c>
      <c r="X9" s="35">
        <f>'FS Desroches Daily'!AP11</f>
        <v>240.00000000000909</v>
      </c>
      <c r="Y9" s="35">
        <f>'FS Desroches Daily'!AR11</f>
        <v>90.000000000031832</v>
      </c>
      <c r="Z9" s="35">
        <f>'FS Desroches Daily'!AT11</f>
        <v>110.00000000001364</v>
      </c>
      <c r="AA9" s="35">
        <f>'FS Desroches Daily'!AT11</f>
        <v>110.00000000001364</v>
      </c>
      <c r="AB9" s="35">
        <f>'FS Desroches Daily'!AV11</f>
        <v>139.99999999998636</v>
      </c>
      <c r="AC9" s="35">
        <f>'FS Desroches Daily'!AZ11</f>
        <v>120.00000000000455</v>
      </c>
      <c r="AD9" s="35">
        <f>'FS Desroches Daily'!BB11</f>
        <v>120.00000000000455</v>
      </c>
      <c r="AE9" s="35">
        <f>'FS Desroches Daily'!BD11</f>
        <v>160.00000000002501</v>
      </c>
      <c r="AF9" s="31">
        <f>'FS Desroches Daily'!BF11</f>
        <v>29</v>
      </c>
      <c r="AG9" s="32">
        <f>'FS Desroches Daily'!BH11</f>
        <v>30.000000000001137</v>
      </c>
      <c r="AH9" s="32">
        <f>'FS Desroches Daily'!BJ11</f>
        <v>29.999999999972715</v>
      </c>
      <c r="AI9" s="32">
        <f>'FS Desroches Daily'!BL11</f>
        <v>49.999999999982947</v>
      </c>
      <c r="AJ9" s="32">
        <f>'FS Desroches Daily'!BN11</f>
        <v>39.999999999992042</v>
      </c>
      <c r="AK9" s="32">
        <f>'FS Desroches Daily'!BP11</f>
        <v>49.999999999954525</v>
      </c>
      <c r="AL9" s="32">
        <f>'FS Desroches Daily'!BR11</f>
        <v>34</v>
      </c>
      <c r="AM9" s="32">
        <f>'FS Desroches Daily'!BT11</f>
        <v>49.999999999982947</v>
      </c>
      <c r="AN9" s="32">
        <f>'FS Desroches Daily'!BV11</f>
        <v>35</v>
      </c>
      <c r="AO9" s="32">
        <f>'FS Desroches Daily'!BX11</f>
        <v>39.999999999992042</v>
      </c>
      <c r="AP9" s="32">
        <f>'FS Desroches Daily'!BZ11</f>
        <v>46</v>
      </c>
      <c r="AQ9" s="31">
        <f>'FS Desroches Daily'!CB11</f>
        <v>47.900000000001455</v>
      </c>
      <c r="AR9" s="31">
        <f>'FS Desroches Daily'!CD11</f>
        <v>12.100000000000364</v>
      </c>
      <c r="AS9" s="31">
        <f>'FS Desroches Daily'!CF11</f>
        <v>2</v>
      </c>
      <c r="AT9" s="31">
        <f>'FS Desroches Daily'!CH11</f>
        <v>52</v>
      </c>
      <c r="AU9" s="31">
        <f>'FS Desroches Daily'!CJ11</f>
        <v>288</v>
      </c>
      <c r="AV9" s="31">
        <f>'FS Desroches Daily'!CL11</f>
        <v>899.99999999997726</v>
      </c>
      <c r="AW9" s="31">
        <f>'FS Desroches Daily'!CM11</f>
        <v>98.5</v>
      </c>
      <c r="AX9" s="31">
        <f>IF(LPG!F17-LPG!F15&lt;0,"0",(LPG!F17-LPG!F15)*1.8315)</f>
        <v>0</v>
      </c>
      <c r="AY9" s="31">
        <f>IF(LPG!G16-LPG!G15&lt;0,"0",(LPG!G16-LPG!G15)*1.8315)</f>
        <v>0</v>
      </c>
      <c r="AZ9" s="31">
        <f>IF(LPG!H17-LPG!H15&lt;0,"0",(LPG!H17-LPG!H15)*1.8315)</f>
        <v>0</v>
      </c>
      <c r="BA9" s="31">
        <f>IF(LPG!M17-LPG!M15&lt;0,"0",(LPG!M17-LPG!M15)*1.8315)</f>
        <v>5.4944999999999995</v>
      </c>
      <c r="BB9" s="31">
        <f>IF(LPG!Q16-LPG!Q15&lt;0,"0",(LPG!Q16-LPG!Q15)*1.8315)</f>
        <v>3.6629999999999998</v>
      </c>
      <c r="BC9" s="13">
        <f>'FS Desroches Daily'!CN11</f>
        <v>19</v>
      </c>
      <c r="BD9" s="9"/>
    </row>
    <row r="10" spans="1:56" s="16" customFormat="1" x14ac:dyDescent="0.25">
      <c r="A10" s="27" t="s">
        <v>11</v>
      </c>
      <c r="B10" s="15">
        <v>9</v>
      </c>
      <c r="C10" s="18">
        <v>6</v>
      </c>
      <c r="D10" s="27">
        <v>2022</v>
      </c>
      <c r="E10" s="31">
        <f>'FS Desroches Daily'!D12</f>
        <v>2400.0000000001796</v>
      </c>
      <c r="F10" s="32">
        <f>'FS Desroches Daily'!F12</f>
        <v>3100.000000000769</v>
      </c>
      <c r="G10" s="31">
        <f>'FS Desroches Daily'!H12</f>
        <v>3200.0000000005357</v>
      </c>
      <c r="H10" s="32">
        <f>'FS Desroches Daily'!J12</f>
        <v>1600.0000000002678</v>
      </c>
      <c r="I10" s="31">
        <f>'FS Desroches Daily'!L12</f>
        <v>2099.9999999999909</v>
      </c>
      <c r="J10" s="32">
        <f>'FS Desroches Daily'!N12</f>
        <v>1700.0000000000348</v>
      </c>
      <c r="K10" s="13">
        <f>'FS Desroches Daily'!P12</f>
        <v>29</v>
      </c>
      <c r="L10" s="31">
        <f>'FS Desroches Daily'!R12</f>
        <v>4</v>
      </c>
      <c r="M10" s="31">
        <f>'FS Desroches Daily'!T12</f>
        <v>1.1000000000001364</v>
      </c>
      <c r="N10" s="31">
        <f>'FS Desroches Daily'!V12</f>
        <v>351.19999999995343</v>
      </c>
      <c r="O10" s="31">
        <f>'FS Desroches Daily'!X12</f>
        <v>360.00000000001364</v>
      </c>
      <c r="P10" s="31">
        <f>'FS Desroches Daily'!Z12</f>
        <v>2800.0000000001355</v>
      </c>
      <c r="Q10" s="31">
        <f>'FS Desroches Daily'!AB12</f>
        <v>319.99999999993634</v>
      </c>
      <c r="R10" s="31">
        <f>'FS Desroches Daily'!AD12</f>
        <v>460.00000000003638</v>
      </c>
      <c r="S10" s="31">
        <f>'FS Desroches Daily'!AF12</f>
        <v>830.00000000004093</v>
      </c>
      <c r="T10" s="31">
        <f>'FS Desroches Daily'!AH12</f>
        <v>35</v>
      </c>
      <c r="U10" s="35">
        <f>'FS Desroches Daily'!AJ12</f>
        <v>699.99999999993179</v>
      </c>
      <c r="V10" s="35">
        <f>'FS Desroches Daily'!AL12</f>
        <v>269.99999999998181</v>
      </c>
      <c r="W10" s="35">
        <f>'FS Desroches Daily'!AN12</f>
        <v>120.00000000000455</v>
      </c>
      <c r="X10" s="35">
        <f>'FS Desroches Daily'!AP12</f>
        <v>240.00000000000909</v>
      </c>
      <c r="Y10" s="35">
        <f>'FS Desroches Daily'!AR12</f>
        <v>119.9999999999477</v>
      </c>
      <c r="Z10" s="35">
        <f>'FS Desroches Daily'!AT12</f>
        <v>90.000000000031832</v>
      </c>
      <c r="AA10" s="35">
        <f>'FS Desroches Daily'!AT12</f>
        <v>90.000000000031832</v>
      </c>
      <c r="AB10" s="35">
        <f>'FS Desroches Daily'!AV12</f>
        <v>150.00000000003411</v>
      </c>
      <c r="AC10" s="35">
        <f>'FS Desroches Daily'!AZ12</f>
        <v>120.00000000000455</v>
      </c>
      <c r="AD10" s="35">
        <f>'FS Desroches Daily'!BB12</f>
        <v>120.00000000000455</v>
      </c>
      <c r="AE10" s="35">
        <f>'FS Desroches Daily'!BD12</f>
        <v>159.99999999996817</v>
      </c>
      <c r="AF10" s="31">
        <f>'FS Desroches Daily'!BF12</f>
        <v>27</v>
      </c>
      <c r="AG10" s="32">
        <f>'FS Desroches Daily'!BH12</f>
        <v>39.999999999992042</v>
      </c>
      <c r="AH10" s="32">
        <f>'FS Desroches Daily'!BJ12</f>
        <v>40.000000000020464</v>
      </c>
      <c r="AI10" s="32">
        <f>'FS Desroches Daily'!BL12</f>
        <v>50.000000000011369</v>
      </c>
      <c r="AJ10" s="32">
        <f>'FS Desroches Daily'!BN12</f>
        <v>30.000000000001137</v>
      </c>
      <c r="AK10" s="32">
        <f>'FS Desroches Daily'!BP12</f>
        <v>50.000000000011369</v>
      </c>
      <c r="AL10" s="32">
        <f>'FS Desroches Daily'!BR12</f>
        <v>37</v>
      </c>
      <c r="AM10" s="32">
        <f>'FS Desroches Daily'!BT12</f>
        <v>40.000000000020464</v>
      </c>
      <c r="AN10" s="32">
        <f>'FS Desroches Daily'!BV12</f>
        <v>38</v>
      </c>
      <c r="AO10" s="32">
        <f>'FS Desroches Daily'!BX12</f>
        <v>30.000000000001137</v>
      </c>
      <c r="AP10" s="32">
        <f>'FS Desroches Daily'!BZ12</f>
        <v>47</v>
      </c>
      <c r="AQ10" s="31">
        <f>'FS Desroches Daily'!CB12</f>
        <v>38.5</v>
      </c>
      <c r="AR10" s="31">
        <f>'FS Desroches Daily'!CD12</f>
        <v>9.6000000000003638</v>
      </c>
      <c r="AS10" s="31">
        <f>'FS Desroches Daily'!CF12</f>
        <v>3.3999999999996362</v>
      </c>
      <c r="AT10" s="31">
        <f>'FS Desroches Daily'!CH12</f>
        <v>45.799999999988358</v>
      </c>
      <c r="AU10" s="31">
        <f>'FS Desroches Daily'!CJ12</f>
        <v>289</v>
      </c>
      <c r="AV10" s="31">
        <f>'FS Desroches Daily'!CL12</f>
        <v>1000</v>
      </c>
      <c r="AW10" s="31">
        <f>'FS Desroches Daily'!CM12</f>
        <v>103.5</v>
      </c>
      <c r="AX10" s="31">
        <f>IF(LPG!F18-LPG!F16&lt;0,"0",(LPG!F18-LPG!F16)*1.8315)</f>
        <v>0</v>
      </c>
      <c r="AY10" s="31">
        <f>IF(LPG!G17-LPG!G16&lt;0,"0",(LPG!G17-LPG!G16)*1.8315)</f>
        <v>0</v>
      </c>
      <c r="AZ10" s="31">
        <f>IF(LPG!H18-LPG!H16&lt;0,"0",(LPG!H18-LPG!H16)*1.8315)</f>
        <v>0</v>
      </c>
      <c r="BA10" s="31">
        <f>IF(LPG!M18-LPG!M16&lt;0,"0",(LPG!M18-LPG!M16)*1.8315)</f>
        <v>5.4944999999999995</v>
      </c>
      <c r="BB10" s="31">
        <f>IF(LPG!Q17-LPG!Q16&lt;0,"0",(LPG!Q17-LPG!Q16)*1.8315)</f>
        <v>5.4944999999999995</v>
      </c>
      <c r="BC10" s="13">
        <f>'FS Desroches Daily'!CN12</f>
        <v>19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6</v>
      </c>
      <c r="D11" s="27">
        <v>2022</v>
      </c>
      <c r="E11" s="31">
        <f>'FS Desroches Daily'!D13</f>
        <v>2499.9999999999468</v>
      </c>
      <c r="F11" s="32">
        <f>'FS Desroches Daily'!F13</f>
        <v>3299.9999999994143</v>
      </c>
      <c r="G11" s="31">
        <f>'FS Desroches Daily'!H13</f>
        <v>3000.0000000001137</v>
      </c>
      <c r="H11" s="32">
        <f>'FS Desroches Daily'!J13</f>
        <v>1599.9999999998238</v>
      </c>
      <c r="I11" s="31">
        <f>'FS Desroches Daily'!L13</f>
        <v>2099.9999999999909</v>
      </c>
      <c r="J11" s="32">
        <f>'FS Desroches Daily'!N13</f>
        <v>1700.0000000000348</v>
      </c>
      <c r="K11" s="13">
        <f>'FS Desroches Daily'!P13</f>
        <v>28</v>
      </c>
      <c r="L11" s="31">
        <f>'FS Desroches Daily'!R13</f>
        <v>4</v>
      </c>
      <c r="M11" s="31">
        <f>'FS Desroches Daily'!T13</f>
        <v>0.89999999999986358</v>
      </c>
      <c r="N11" s="31">
        <f>'FS Desroches Daily'!V13</f>
        <v>363.09999999997672</v>
      </c>
      <c r="O11" s="31">
        <f>'FS Desroches Daily'!X13</f>
        <v>349.99999999990905</v>
      </c>
      <c r="P11" s="31">
        <f>'FS Desroches Daily'!Z13</f>
        <v>2899.9999999999027</v>
      </c>
      <c r="Q11" s="31">
        <f>'FS Desroches Daily'!AB13</f>
        <v>420.00000000007276</v>
      </c>
      <c r="R11" s="31">
        <f>'FS Desroches Daily'!AD13</f>
        <v>409.99999999996817</v>
      </c>
      <c r="S11" s="31">
        <f>'FS Desroches Daily'!AF13</f>
        <v>759.99999999999091</v>
      </c>
      <c r="T11" s="31">
        <f>'FS Desroches Daily'!AH13</f>
        <v>30</v>
      </c>
      <c r="U11" s="35">
        <f>'FS Desroches Daily'!AJ13</f>
        <v>670.00000000007276</v>
      </c>
      <c r="V11" s="35">
        <f>'FS Desroches Daily'!AL13</f>
        <v>250</v>
      </c>
      <c r="W11" s="35">
        <f>'FS Desroches Daily'!AN13</f>
        <v>180.00000000000682</v>
      </c>
      <c r="X11" s="35">
        <f>'FS Desroches Daily'!AP13</f>
        <v>219.99999999997044</v>
      </c>
      <c r="Y11" s="35">
        <f>'FS Desroches Daily'!AR13</f>
        <v>170.00000000001592</v>
      </c>
      <c r="Z11" s="35">
        <f>'FS Desroches Daily'!AT13</f>
        <v>69.999999999993179</v>
      </c>
      <c r="AA11" s="35">
        <f>'FS Desroches Daily'!AT13</f>
        <v>69.999999999993179</v>
      </c>
      <c r="AB11" s="35">
        <f>'FS Desroches Daily'!AV13</f>
        <v>350.86</v>
      </c>
      <c r="AC11" s="35">
        <f>'FS Desroches Daily'!AZ13</f>
        <v>120.00000000000455</v>
      </c>
      <c r="AD11" s="35">
        <f>'FS Desroches Daily'!BB13</f>
        <v>120.00000000000455</v>
      </c>
      <c r="AE11" s="35">
        <f>'FS Desroches Daily'!BD13</f>
        <v>170.00000000001592</v>
      </c>
      <c r="AF11" s="31">
        <f>'FS Desroches Daily'!BF13</f>
        <v>17</v>
      </c>
      <c r="AG11" s="32">
        <f>'FS Desroches Daily'!BH13</f>
        <v>30.000000000001137</v>
      </c>
      <c r="AH11" s="32">
        <f>'FS Desroches Daily'!BJ13</f>
        <v>29.999999999972715</v>
      </c>
      <c r="AI11" s="32">
        <f>'FS Desroches Daily'!BL13</f>
        <v>49.999999999982947</v>
      </c>
      <c r="AJ11" s="32">
        <f>'FS Desroches Daily'!BN13</f>
        <v>39.999999999992042</v>
      </c>
      <c r="AK11" s="32">
        <f>'FS Desroches Daily'!BP13</f>
        <v>50.000000000011369</v>
      </c>
      <c r="AL11" s="32">
        <f>'FS Desroches Daily'!BR13</f>
        <v>32</v>
      </c>
      <c r="AM11" s="32">
        <f>'FS Desroches Daily'!BT13</f>
        <v>49.999999999982947</v>
      </c>
      <c r="AN11" s="32">
        <f>'FS Desroches Daily'!BV13</f>
        <v>45</v>
      </c>
      <c r="AO11" s="32">
        <f>'FS Desroches Daily'!BX13</f>
        <v>50.000000000011369</v>
      </c>
      <c r="AP11" s="32">
        <f>'FS Desroches Daily'!BZ13</f>
        <v>48</v>
      </c>
      <c r="AQ11" s="31">
        <f>'FS Desroches Daily'!CB13</f>
        <v>41.5</v>
      </c>
      <c r="AR11" s="31">
        <f>'FS Desroches Daily'!CD13</f>
        <v>10.899999999999636</v>
      </c>
      <c r="AS11" s="31">
        <f>'FS Desroches Daily'!CF13</f>
        <v>4.7000000000007276</v>
      </c>
      <c r="AT11" s="31">
        <f>'FS Desroches Daily'!CH13</f>
        <v>43.900000000008731</v>
      </c>
      <c r="AU11" s="31">
        <f>'FS Desroches Daily'!CJ13</f>
        <v>290</v>
      </c>
      <c r="AV11" s="31">
        <f>'FS Desroches Daily'!CL13</f>
        <v>899.99999999997726</v>
      </c>
      <c r="AW11" s="31">
        <f>'FS Desroches Daily'!CM13</f>
        <v>77</v>
      </c>
      <c r="AX11" s="31">
        <f>IF(LPG!F18-LPG!F17&lt;0,"0",(LPG!F18-LPG!F17)*1.8315)</f>
        <v>0</v>
      </c>
      <c r="AY11" s="31">
        <f>IF(LPG!G18-LPG!G17&lt;0,"0",(LPG!G18-LPG!G17)*1.8315)</f>
        <v>0</v>
      </c>
      <c r="AZ11" s="31">
        <f>IF(LPG!H18-LPG!H17&lt;0,"0",(LPG!H18-LPG!H17)*1.8315)</f>
        <v>0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22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6</v>
      </c>
      <c r="D12" s="27">
        <v>2022</v>
      </c>
      <c r="E12" s="31">
        <f>'FS Desroches Daily'!D14</f>
        <v>2200.0000000002019</v>
      </c>
      <c r="F12" s="32">
        <f>'FS Desroches Daily'!F14</f>
        <v>3000.0000000001137</v>
      </c>
      <c r="G12" s="31">
        <f>'FS Desroches Daily'!H14</f>
        <v>3399.9999999991815</v>
      </c>
      <c r="H12" s="32">
        <f>'FS Desroches Daily'!J14</f>
        <v>1599.9999999998238</v>
      </c>
      <c r="I12" s="31">
        <f>'FS Desroches Daily'!L14</f>
        <v>2199.9999999997576</v>
      </c>
      <c r="J12" s="32">
        <f>'FS Desroches Daily'!N14</f>
        <v>1800.0000000000239</v>
      </c>
      <c r="K12" s="13">
        <f>'FS Desroches Daily'!P14</f>
        <v>30</v>
      </c>
      <c r="L12" s="31">
        <f>'FS Desroches Daily'!R14</f>
        <v>4</v>
      </c>
      <c r="M12" s="31">
        <f>'FS Desroches Daily'!T14</f>
        <v>1</v>
      </c>
      <c r="N12" s="31">
        <f>'FS Desroches Daily'!V14</f>
        <v>463.70000000006985</v>
      </c>
      <c r="O12" s="31">
        <f>'FS Desroches Daily'!X14</f>
        <v>300.00000000006821</v>
      </c>
      <c r="P12" s="31">
        <f>'FS Desroches Daily'!Z14</f>
        <v>2699.9999999999245</v>
      </c>
      <c r="Q12" s="31">
        <f>'FS Desroches Daily'!AB14</f>
        <v>389.99999999998636</v>
      </c>
      <c r="R12" s="31">
        <f>'FS Desroches Daily'!AD14</f>
        <v>400.00000000009095</v>
      </c>
      <c r="S12" s="31">
        <f>'FS Desroches Daily'!AF14</f>
        <v>850.00000000002274</v>
      </c>
      <c r="T12" s="31">
        <f>'FS Desroches Daily'!AH14</f>
        <v>25</v>
      </c>
      <c r="U12" s="35">
        <f>'FS Desroches Daily'!AJ14</f>
        <v>669.99999999995907</v>
      </c>
      <c r="V12" s="35">
        <f>'FS Desroches Daily'!AL14</f>
        <v>240.00000000000909</v>
      </c>
      <c r="W12" s="35">
        <f>'FS Desroches Daily'!AN14</f>
        <v>159.99999999996817</v>
      </c>
      <c r="X12" s="35">
        <f>'FS Desroches Daily'!AP14</f>
        <v>170.00000000001592</v>
      </c>
      <c r="Y12" s="35">
        <f>'FS Desroches Daily'!AR14</f>
        <v>110.00000000001364</v>
      </c>
      <c r="Z12" s="35">
        <f>'FS Desroches Daily'!AT14</f>
        <v>60.000000000002274</v>
      </c>
      <c r="AA12" s="35">
        <f>'FS Desroches Daily'!AT14</f>
        <v>60.000000000002274</v>
      </c>
      <c r="AB12" s="35">
        <f>'FS Desroches Daily'!AV14</f>
        <v>149.99999999997726</v>
      </c>
      <c r="AC12" s="35">
        <f>'FS Desroches Daily'!AZ14</f>
        <v>99.999999999965894</v>
      </c>
      <c r="AD12" s="35">
        <f>'FS Desroches Daily'!BB14</f>
        <v>109.9999999999568</v>
      </c>
      <c r="AE12" s="35">
        <f>'FS Desroches Daily'!BD14</f>
        <v>100.00000000002274</v>
      </c>
      <c r="AF12" s="31" t="str">
        <f>'FS Desroches Daily'!BF14</f>
        <v/>
      </c>
      <c r="AG12" s="32">
        <f>'FS Desroches Daily'!BH14</f>
        <v>39.999999999992042</v>
      </c>
      <c r="AH12" s="32">
        <f>'FS Desroches Daily'!BJ14</f>
        <v>40.000000000020464</v>
      </c>
      <c r="AI12" s="32">
        <f>'FS Desroches Daily'!BL14</f>
        <v>40.000000000020464</v>
      </c>
      <c r="AJ12" s="32">
        <f>'FS Desroches Daily'!BN14</f>
        <v>40.000000000020464</v>
      </c>
      <c r="AK12" s="32">
        <f>'FS Desroches Daily'!BP14</f>
        <v>50.000000000011369</v>
      </c>
      <c r="AL12" s="32">
        <f>'FS Desroches Daily'!BR14</f>
        <v>31</v>
      </c>
      <c r="AM12" s="32">
        <f>'FS Desroches Daily'!BT14</f>
        <v>30.000000000001137</v>
      </c>
      <c r="AN12" s="32">
        <f>'FS Desroches Daily'!BV14</f>
        <v>41</v>
      </c>
      <c r="AO12" s="32">
        <f>'FS Desroches Daily'!BX14</f>
        <v>39.999999999992042</v>
      </c>
      <c r="AP12" s="32">
        <f>'FS Desroches Daily'!BZ14</f>
        <v>43</v>
      </c>
      <c r="AQ12" s="31">
        <f>'FS Desroches Daily'!CB14</f>
        <v>51.599999999998545</v>
      </c>
      <c r="AR12" s="31">
        <f>'FS Desroches Daily'!CD14</f>
        <v>11.299999999999272</v>
      </c>
      <c r="AS12" s="31">
        <f>'FS Desroches Daily'!CF14</f>
        <v>4.1999999999989086</v>
      </c>
      <c r="AT12" s="31">
        <f>'FS Desroches Daily'!CH14</f>
        <v>52.099999999991269</v>
      </c>
      <c r="AU12" s="31">
        <f>'FS Desroches Daily'!CJ14</f>
        <v>287</v>
      </c>
      <c r="AV12" s="31">
        <f>'FS Desroches Daily'!CL14</f>
        <v>899.99999999997726</v>
      </c>
      <c r="AW12" s="31">
        <f>'FS Desroches Daily'!CM14</f>
        <v>78.799999999999272</v>
      </c>
      <c r="AX12" s="31">
        <f>IF(LPG!F19-LPG!F18&lt;0,"0",(LPG!F19-LPG!F18)*1.8315)</f>
        <v>0</v>
      </c>
      <c r="AY12" s="31">
        <f>IF(LPG!G19-LPG!G18&lt;0,"0",(LPG!G19-LPG!G18)*1.8315)</f>
        <v>0</v>
      </c>
      <c r="AZ12" s="31">
        <f>IF(LPG!H19-LPG!H18&lt;0,"0",(LPG!H19-LPG!H18)*1.8315)</f>
        <v>0</v>
      </c>
      <c r="BA12" s="31">
        <f>IF(LPG!M19-LPG!M18&lt;0,"0",(LPG!M19-LPG!M18)*1.8315)</f>
        <v>1.8314999999999999</v>
      </c>
      <c r="BB12" s="31" t="str">
        <f>IF(LPG!Q20-LPG!Q18&lt;0,"0",(LPG!Q20-LPG!Q18)*1.8315)</f>
        <v>0</v>
      </c>
      <c r="BC12" s="13">
        <f>'FS Desroches Daily'!CN14</f>
        <v>22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6</v>
      </c>
      <c r="D13" s="27">
        <v>2022</v>
      </c>
      <c r="E13" s="31">
        <f>'FS Desroches Daily'!D15</f>
        <v>2399.9999999997358</v>
      </c>
      <c r="F13" s="32">
        <f>'FS Desroches Daily'!F15</f>
        <v>3200.0000000005357</v>
      </c>
      <c r="G13" s="31">
        <f>'FS Desroches Daily'!H15</f>
        <v>3100.000000000769</v>
      </c>
      <c r="H13" s="32">
        <f>'FS Desroches Daily'!J15</f>
        <v>1500.0000000000568</v>
      </c>
      <c r="I13" s="31">
        <f>'FS Desroches Daily'!L15</f>
        <v>2000.0000000002237</v>
      </c>
      <c r="J13" s="32">
        <f>'FS Desroches Daily'!N15</f>
        <v>1599.9999999998238</v>
      </c>
      <c r="K13" s="13">
        <f>'FS Desroches Daily'!P15</f>
        <v>28</v>
      </c>
      <c r="L13" s="31">
        <f>'FS Desroches Daily'!R15</f>
        <v>4</v>
      </c>
      <c r="M13" s="31">
        <f>'FS Desroches Daily'!T15</f>
        <v>1.2000000000000455</v>
      </c>
      <c r="N13" s="31">
        <f>'FS Desroches Daily'!V15</f>
        <v>437.79999999993015</v>
      </c>
      <c r="O13" s="31">
        <f>'FS Desroches Daily'!X15</f>
        <v>329.99999999992724</v>
      </c>
      <c r="P13" s="31">
        <f>'FS Desroches Daily'!Z15</f>
        <v>2800.0000000001355</v>
      </c>
      <c r="Q13" s="31">
        <f>'FS Desroches Daily'!AB15</f>
        <v>370.00000000000455</v>
      </c>
      <c r="R13" s="31">
        <f>'FS Desroches Daily'!AD15</f>
        <v>349.99999999990905</v>
      </c>
      <c r="S13" s="31">
        <f>'FS Desroches Daily'!AF15</f>
        <v>799.99999999995453</v>
      </c>
      <c r="T13" s="31">
        <f>'FS Desroches Daily'!AH15</f>
        <v>28</v>
      </c>
      <c r="U13" s="35">
        <f>'FS Desroches Daily'!AJ15</f>
        <v>740.00000000000909</v>
      </c>
      <c r="V13" s="35">
        <f>'FS Desroches Daily'!AL15</f>
        <v>230.00000000001819</v>
      </c>
      <c r="W13" s="35">
        <f>'FS Desroches Daily'!AN15</f>
        <v>230.00000000001819</v>
      </c>
      <c r="X13" s="35">
        <f>'FS Desroches Daily'!AP15</f>
        <v>199.99999999998863</v>
      </c>
      <c r="Y13" s="35">
        <f>'FS Desroches Daily'!AR15</f>
        <v>120.00000000000455</v>
      </c>
      <c r="Z13" s="35">
        <f>'FS Desroches Daily'!AT15</f>
        <v>69.999999999993179</v>
      </c>
      <c r="AA13" s="35">
        <f>'FS Desroches Daily'!AT15</f>
        <v>69.999999999993179</v>
      </c>
      <c r="AB13" s="35">
        <f>'FS Desroches Daily'!AV15</f>
        <v>150.00000000003411</v>
      </c>
      <c r="AC13" s="35">
        <f>'FS Desroches Daily'!AZ15</f>
        <v>110.00000000001364</v>
      </c>
      <c r="AD13" s="35">
        <f>'FS Desroches Daily'!BB15</f>
        <v>100.00000000002274</v>
      </c>
      <c r="AE13" s="35">
        <f>'FS Desroches Daily'!BD15</f>
        <v>69.999999999993179</v>
      </c>
      <c r="AF13" s="31">
        <f>'FS Desroches Daily'!BF15</f>
        <v>0</v>
      </c>
      <c r="AG13" s="32">
        <f>'FS Desroches Daily'!BH15</f>
        <v>30.000000000001137</v>
      </c>
      <c r="AH13" s="32">
        <f>'FS Desroches Daily'!BJ15</f>
        <v>39.99999999996362</v>
      </c>
      <c r="AI13" s="32">
        <f>'FS Desroches Daily'!BL15</f>
        <v>49.999999999982947</v>
      </c>
      <c r="AJ13" s="32">
        <f>'FS Desroches Daily'!BN15</f>
        <v>30.000000000001137</v>
      </c>
      <c r="AK13" s="32">
        <f>'FS Desroches Daily'!BP15</f>
        <v>50.000000000011369</v>
      </c>
      <c r="AL13" s="32">
        <f>'FS Desroches Daily'!BR15</f>
        <v>31</v>
      </c>
      <c r="AM13" s="32">
        <f>'FS Desroches Daily'!BT15</f>
        <v>50.000000000011369</v>
      </c>
      <c r="AN13" s="32">
        <f>'FS Desroches Daily'!BV15</f>
        <v>46</v>
      </c>
      <c r="AO13" s="32">
        <f>'FS Desroches Daily'!BX15</f>
        <v>50.000000000011369</v>
      </c>
      <c r="AP13" s="32">
        <f>'FS Desroches Daily'!BZ15</f>
        <v>45</v>
      </c>
      <c r="AQ13" s="31">
        <f>'FS Desroches Daily'!CB15</f>
        <v>57.599999999998545</v>
      </c>
      <c r="AR13" s="31">
        <f>'FS Desroches Daily'!CD15</f>
        <v>9.8999999999996362</v>
      </c>
      <c r="AS13" s="31">
        <f>'FS Desroches Daily'!CF15</f>
        <v>3.5</v>
      </c>
      <c r="AT13" s="31">
        <f>'FS Desroches Daily'!CH15</f>
        <v>47.100000000005821</v>
      </c>
      <c r="AU13" s="31">
        <f>'FS Desroches Daily'!CJ15</f>
        <v>291</v>
      </c>
      <c r="AV13" s="31">
        <f>'FS Desroches Daily'!CL15</f>
        <v>1000</v>
      </c>
      <c r="AW13" s="31">
        <f>'FS Desroches Daily'!CM15</f>
        <v>106</v>
      </c>
      <c r="AX13" s="31" t="str">
        <f>IF(LPG!F20-LPG!F19&lt;0,"0",(LPG!F20-LPG!F19)*1.8315)</f>
        <v>0</v>
      </c>
      <c r="AY13" s="31">
        <f>IF(LPG!G20-LPG!G19&lt;0,"0",(LPG!G20-LPG!G19)*1.8315)</f>
        <v>0</v>
      </c>
      <c r="AZ13" s="31" t="str">
        <f>IF(LPG!H20-LPG!H19&lt;0,"0",(LPG!H20-LPG!H19)*1.8315)</f>
        <v>0</v>
      </c>
      <c r="BA13" s="31" t="str">
        <f>IF(LPG!M20-LPG!M19&lt;0,"0",(LPG!M20-LPG!M19)*1.8315)</f>
        <v>0</v>
      </c>
      <c r="BB13" s="31" t="str">
        <f>IF(LPG!Q20-LPG!Q19&lt;0,"0",(LPG!Q20-LPG!Q19)*1.8315)</f>
        <v>0</v>
      </c>
      <c r="BC13" s="13">
        <f>'FS Desroches Daily'!CN15</f>
        <v>22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6</v>
      </c>
      <c r="D14" s="27">
        <v>2022</v>
      </c>
      <c r="E14" s="31" t="str">
        <f>'FS Desroches Daily'!D16</f>
        <v>0</v>
      </c>
      <c r="F14" s="32" t="str">
        <f>'FS Desroches Daily'!F16</f>
        <v>0</v>
      </c>
      <c r="G14" s="31" t="str">
        <f>'FS Desroches Daily'!H16</f>
        <v>0</v>
      </c>
      <c r="H14" s="32" t="str">
        <f>'FS Desroches Daily'!J16</f>
        <v>0</v>
      </c>
      <c r="I14" s="31" t="str">
        <f>'FS Desroches Daily'!L16</f>
        <v>0</v>
      </c>
      <c r="J14" s="32" t="str">
        <f>'FS Desroches Daily'!N16</f>
        <v/>
      </c>
      <c r="K14" s="13" t="str">
        <f>'FS Desroches Daily'!P16</f>
        <v/>
      </c>
      <c r="L14" s="31" t="str">
        <f>'FS Desroches Daily'!R16</f>
        <v/>
      </c>
      <c r="M14" s="31" t="str">
        <f>'FS Desroches Daily'!T16</f>
        <v/>
      </c>
      <c r="N14" s="31" t="str">
        <f>'FS Desroches Daily'!V16</f>
        <v/>
      </c>
      <c r="O14" s="31" t="str">
        <f>'FS Desroches Daily'!X16</f>
        <v/>
      </c>
      <c r="P14" s="31" t="str">
        <f>'FS Desroches Daily'!Z16</f>
        <v/>
      </c>
      <c r="Q14" s="31" t="str">
        <f>'FS Desroches Daily'!AB16</f>
        <v/>
      </c>
      <c r="R14" s="31" t="str">
        <f>'FS Desroches Daily'!AD16</f>
        <v/>
      </c>
      <c r="S14" s="31" t="str">
        <f>'FS Desroches Daily'!AF16</f>
        <v/>
      </c>
      <c r="T14" s="31" t="str">
        <f>'FS Desroches Daily'!AH16</f>
        <v/>
      </c>
      <c r="U14" s="35" t="str">
        <f>'FS Desroches Daily'!AJ16</f>
        <v/>
      </c>
      <c r="V14" s="35" t="str">
        <f>'FS Desroches Daily'!AL16</f>
        <v/>
      </c>
      <c r="W14" s="35" t="str">
        <f>'FS Desroches Daily'!AN16</f>
        <v/>
      </c>
      <c r="X14" s="35" t="str">
        <f>'FS Desroches Daily'!AP16</f>
        <v/>
      </c>
      <c r="Y14" s="35" t="str">
        <f>'FS Desroches Daily'!AR16</f>
        <v/>
      </c>
      <c r="Z14" s="35" t="str">
        <f>'FS Desroches Daily'!AT16</f>
        <v/>
      </c>
      <c r="AA14" s="35" t="str">
        <f>'FS Desroches Daily'!AT16</f>
        <v/>
      </c>
      <c r="AB14" s="35" t="str">
        <f>'FS Desroches Daily'!AV16</f>
        <v/>
      </c>
      <c r="AC14" s="35" t="str">
        <f>'FS Desroches Daily'!AZ16</f>
        <v/>
      </c>
      <c r="AD14" s="35" t="str">
        <f>'FS Desroches Daily'!BB16</f>
        <v/>
      </c>
      <c r="AE14" s="35" t="str">
        <f>'FS Desroches Daily'!BD16</f>
        <v/>
      </c>
      <c r="AF14" s="31">
        <f>'FS Desroches Daily'!BF16</f>
        <v>0</v>
      </c>
      <c r="AG14" s="32" t="str">
        <f>'FS Desroches Daily'!BH16</f>
        <v/>
      </c>
      <c r="AH14" s="32" t="str">
        <f>'FS Desroches Daily'!BJ16</f>
        <v/>
      </c>
      <c r="AI14" s="32" t="str">
        <f>'FS Desroches Daily'!BL16</f>
        <v/>
      </c>
      <c r="AJ14" s="32" t="str">
        <f>'FS Desroches Daily'!BN16</f>
        <v/>
      </c>
      <c r="AK14" s="32" t="str">
        <f>'FS Desroches Daily'!BP16</f>
        <v/>
      </c>
      <c r="AL14" s="32" t="str">
        <f>'FS Desroches Daily'!BR16</f>
        <v/>
      </c>
      <c r="AM14" s="32" t="str">
        <f>'FS Desroches Daily'!BT16</f>
        <v/>
      </c>
      <c r="AN14" s="32" t="str">
        <f>'FS Desroches Daily'!BV16</f>
        <v/>
      </c>
      <c r="AO14" s="32" t="str">
        <f>'FS Desroches Daily'!BX16</f>
        <v/>
      </c>
      <c r="AP14" s="32" t="str">
        <f>'FS Desroches Daily'!BZ16</f>
        <v/>
      </c>
      <c r="AQ14" s="31" t="str">
        <f>'FS Desroches Daily'!CB16</f>
        <v/>
      </c>
      <c r="AR14" s="31" t="str">
        <f>'FS Desroches Daily'!CD16</f>
        <v/>
      </c>
      <c r="AS14" s="31" t="str">
        <f>'FS Desroches Daily'!CF16</f>
        <v/>
      </c>
      <c r="AT14" s="31" t="str">
        <f>'FS Desroches Daily'!CH16</f>
        <v/>
      </c>
      <c r="AU14" s="31" t="str">
        <f>'FS Desroches Daily'!CJ16</f>
        <v/>
      </c>
      <c r="AV14" s="31" t="str">
        <f>'FS Desroches Daily'!CL16</f>
        <v/>
      </c>
      <c r="AW14" s="31" t="e">
        <f>'FS Desroches Daily'!CM16</f>
        <v>#VALUE!</v>
      </c>
      <c r="AX14" s="31">
        <f>IF(LPG!F21-LPG!F20&lt;0,"0",(LPG!F21-LPG!F20)*1.8315)</f>
        <v>0</v>
      </c>
      <c r="AY14" s="31">
        <f>IF(LPG!G21-LPG!G20&lt;0,"0",(LPG!G21-LPG!G20)*1.8315)</f>
        <v>0</v>
      </c>
      <c r="AZ14" s="31">
        <f>IF(LPG!H21-LPG!H20&lt;0,"0",(LPG!H21-LPG!H20)*1.8315)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6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IF(LPG!G22-LPG!G21&lt;0,"0",(LPG!G22-LPG!G21)*1.8315)</f>
        <v>0</v>
      </c>
      <c r="AZ15" s="31">
        <f>IF(LPG!H22-LPG!H21&lt;0,"0",(LPG!H22-LPG!H21)*1.8315)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6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IF(LPG!G23-LPG!G22&lt;0,"0",(LPG!G23-LPG!G22)*1.8315)</f>
        <v>0</v>
      </c>
      <c r="AZ16" s="31">
        <f>IF(LPG!H23-LPG!H22&lt;0,"0",(LPG!H23-LPG!H22)*1.8315)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6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IF(LPG!G24-LPG!G23&lt;0,"0",(LPG!G24-LPG!G23)*1.8315)</f>
        <v>0</v>
      </c>
      <c r="AZ17" s="31">
        <f>IF(LPG!H24-LPG!H23&lt;0,"0",(LPG!H24-LPG!H23)*1.8315)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6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IF(LPG!G25-LPG!G24&lt;0,"0",(LPG!G25-LPG!G24)*1.8315)</f>
        <v>0</v>
      </c>
      <c r="AZ18" s="31">
        <f>IF(LPG!H25-LPG!H24&lt;0,"0",(LPG!H25-LPG!H24)*1.8315)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6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IF(LPG!G26-LPG!G25&lt;0,"0",(LPG!G26-LPG!G25)*1.8315)</f>
        <v>0</v>
      </c>
      <c r="AZ19" s="31">
        <f>IF(LPG!H26-LPG!H25&lt;0,"0",(LPG!H26-LPG!H25)*1.8315)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6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IF(LPG!G27-LPG!G26&lt;0,"0",(LPG!G27-LPG!G26)*1.8315)</f>
        <v>0</v>
      </c>
      <c r="AZ20" s="31">
        <f>IF(LPG!H27-LPG!H26&lt;0,"0",(LPG!H27-LPG!H26)*1.8315)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6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IF(LPG!G28-LPG!G27&lt;0,"0",(LPG!G28-LPG!G27)*1.8315)</f>
        <v>0</v>
      </c>
      <c r="AZ21" s="31">
        <f>IF(LPG!H28-LPG!H27&lt;0,"0",(LPG!H28-LPG!H27)*1.8315)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6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IF(LPG!G29-LPG!G28&lt;0,"0",(LPG!G29-LPG!G28)*1.8315)</f>
        <v>0</v>
      </c>
      <c r="AZ22" s="31">
        <f>IF(LPG!H29-LPG!H28&lt;0,"0",(LPG!H29-LPG!H28)*1.8315)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6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IF(LPG!G30-LPG!G29&lt;0,"0",(LPG!G30-LPG!G29)*1.8315)</f>
        <v>0</v>
      </c>
      <c r="AZ23" s="31">
        <f>IF(LPG!H30-LPG!H29&lt;0,"0",(LPG!H30-LPG!H29)*1.8315)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6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IF(LPG!G31-LPG!G30&lt;0,"0",(LPG!G31-LPG!G30)*1.8315)</f>
        <v>0</v>
      </c>
      <c r="AZ24" s="31">
        <f>IF(LPG!H31-LPG!H30&lt;0,"0",(LPG!H31-LPG!H30)*1.8315)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6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IF(LPG!G32-LPG!G31&lt;0,"0",(LPG!G32-LPG!G31)*1.8315)</f>
        <v>0</v>
      </c>
      <c r="AZ25" s="31">
        <f>IF(LPG!H32-LPG!H31&lt;0,"0",(LPG!H32-LPG!H31)*1.8315)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6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IF(LPG!G33-LPG!G32&lt;0,"0",(LPG!G33-LPG!G32)*1.8315)</f>
        <v>0</v>
      </c>
      <c r="AZ26" s="31">
        <f>IF(LPG!H33-LPG!H32&lt;0,"0",(LPG!H33-LPG!H32)*1.8315)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6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IF(LPG!G34-LPG!G33&lt;0,"0",(LPG!G34-LPG!G33)*1.8315)</f>
        <v>0</v>
      </c>
      <c r="AZ27" s="31">
        <f>IF(LPG!H35-LPG!H33&lt;0,"0",(LPG!H35-LPG!H33)*1.8315)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6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IF(LPG!G35-LPG!G34&lt;0,"0",(LPG!G35-LPG!G34)*1.8315)</f>
        <v>0</v>
      </c>
      <c r="AZ28" s="31">
        <f>IF(LPG!H36-LPG!H34&lt;0,"0",(LPG!H36-LPG!H34)*1.8315)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6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IF(LPG!G36-LPG!G35&lt;0,"0",(LPG!G36-LPG!G35)*1.8315)</f>
        <v>0</v>
      </c>
      <c r="AZ29" s="31">
        <f>IF(LPG!H37-LPG!H35&lt;0,"0",(LPG!H37-LPG!H35)*1.8315)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6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IF(LPG!G37-LPG!G36&lt;0,"0",(LPG!G37-LPG!G36)*1.8315)</f>
        <v>0</v>
      </c>
      <c r="AZ30" s="31">
        <f>IF(LPG!J38-LPG!H36&lt;0,"0",(LPG!J38-LPG!H36)*1.8315)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6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IF(LPG!G38-LPG!G37&lt;0,"0",(LPG!G38-LPG!G37)*1.8315)</f>
        <v>0</v>
      </c>
      <c r="AZ31" s="31">
        <f>IF(LPG!J39-LPG!H37&lt;0,"0",(LPG!J39-LPG!H37)*1.8315)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6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30399.999999999756</v>
      </c>
      <c r="F33" s="17">
        <f t="shared" ref="F33:BC33" si="0">SUM(F2:F32)</f>
        <v>38400.000000000211</v>
      </c>
      <c r="G33" s="17">
        <f t="shared" si="0"/>
        <v>38600.000000000633</v>
      </c>
      <c r="H33" s="17">
        <f t="shared" si="0"/>
        <v>19099.999999999894</v>
      </c>
      <c r="I33" s="17">
        <f t="shared" si="0"/>
        <v>25199.999999999891</v>
      </c>
      <c r="J33" s="17">
        <f t="shared" si="0"/>
        <v>20299.999999999989</v>
      </c>
      <c r="K33" s="17">
        <f t="shared" si="0"/>
        <v>350</v>
      </c>
      <c r="L33" s="17">
        <f t="shared" si="0"/>
        <v>50</v>
      </c>
      <c r="M33" s="17">
        <f t="shared" si="0"/>
        <v>12.799999999999955</v>
      </c>
      <c r="N33" s="17">
        <f t="shared" si="0"/>
        <v>5025</v>
      </c>
      <c r="O33" s="17">
        <f t="shared" si="0"/>
        <v>3929.99999999995</v>
      </c>
      <c r="P33" s="17">
        <f t="shared" si="0"/>
        <v>34499.999999999971</v>
      </c>
      <c r="Q33" s="17">
        <f t="shared" si="0"/>
        <v>4330.0000000000409</v>
      </c>
      <c r="R33" s="17">
        <f t="shared" si="0"/>
        <v>4829.9999999999272</v>
      </c>
      <c r="S33" s="17">
        <f t="shared" si="0"/>
        <v>9879.9999999999945</v>
      </c>
      <c r="T33" s="17">
        <f t="shared" si="0"/>
        <v>424</v>
      </c>
      <c r="U33" s="35">
        <f t="shared" si="0"/>
        <v>8310.0000000000582</v>
      </c>
      <c r="V33" s="35">
        <f t="shared" si="0"/>
        <v>2710.0000000000364</v>
      </c>
      <c r="W33" s="35">
        <f t="shared" si="0"/>
        <v>1670.0000000000159</v>
      </c>
      <c r="X33" s="35">
        <f t="shared" si="0"/>
        <v>2600.0000000000227</v>
      </c>
      <c r="Y33" s="35">
        <f t="shared" si="0"/>
        <v>2009.9999999999909</v>
      </c>
      <c r="Z33" s="35">
        <f t="shared" si="0"/>
        <v>1990.0000000000091</v>
      </c>
      <c r="AA33" s="35">
        <f t="shared" si="0"/>
        <v>1990.0000000000091</v>
      </c>
      <c r="AB33" s="35">
        <f t="shared" si="0"/>
        <v>2180.8600000000411</v>
      </c>
      <c r="AC33" s="35">
        <f t="shared" si="0"/>
        <v>1459.9999999999795</v>
      </c>
      <c r="AD33" s="35">
        <f t="shared" si="0"/>
        <v>1420.0000000000159</v>
      </c>
      <c r="AE33" s="35">
        <f t="shared" si="0"/>
        <v>1760.0000000000477</v>
      </c>
      <c r="AF33" s="17">
        <f t="shared" si="0"/>
        <v>236</v>
      </c>
      <c r="AG33" s="32">
        <f t="shared" si="0"/>
        <v>409.99999999999659</v>
      </c>
      <c r="AH33" s="32">
        <f t="shared" si="0"/>
        <v>399.99999999997726</v>
      </c>
      <c r="AI33" s="32">
        <f t="shared" si="0"/>
        <v>549.99999999998295</v>
      </c>
      <c r="AJ33" s="32">
        <f t="shared" si="0"/>
        <v>490.00000000000909</v>
      </c>
      <c r="AK33" s="32">
        <f t="shared" si="0"/>
        <v>620.00000000000455</v>
      </c>
      <c r="AL33" s="32">
        <f t="shared" si="0"/>
        <v>406</v>
      </c>
      <c r="AM33" s="32">
        <f t="shared" si="0"/>
        <v>550.00000000001137</v>
      </c>
      <c r="AN33" s="32">
        <f t="shared" si="0"/>
        <v>493</v>
      </c>
      <c r="AO33" s="32">
        <f t="shared" si="0"/>
        <v>500</v>
      </c>
      <c r="AP33" s="32">
        <f t="shared" si="0"/>
        <v>554</v>
      </c>
      <c r="AQ33" s="17">
        <f t="shared" si="0"/>
        <v>612.19999999999709</v>
      </c>
      <c r="AR33" s="17">
        <f t="shared" si="0"/>
        <v>137.79999999999927</v>
      </c>
      <c r="AS33" s="17">
        <f t="shared" si="0"/>
        <v>47.399999999999636</v>
      </c>
      <c r="AT33" s="17">
        <f t="shared" si="0"/>
        <v>550.39999999999418</v>
      </c>
      <c r="AU33" s="17">
        <f t="shared" si="0"/>
        <v>3506</v>
      </c>
      <c r="AV33" s="17">
        <f t="shared" si="0"/>
        <v>11500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69.596999999999994</v>
      </c>
      <c r="BC33" s="17">
        <f t="shared" si="0"/>
        <v>255</v>
      </c>
    </row>
    <row r="35" spans="5:55" x14ac:dyDescent="0.25">
      <c r="E35" s="38">
        <f>E33/E37</f>
        <v>0.22038887036204416</v>
      </c>
      <c r="G35" s="29">
        <f>G33-M36</f>
        <v>33562.20000000063</v>
      </c>
      <c r="AE35" s="35">
        <f>SUM(U33:AE33)</f>
        <v>28100.860000000219</v>
      </c>
      <c r="AG35" s="32">
        <f>SUM(AG33:AP33)</f>
        <v>4972.9999999999818</v>
      </c>
    </row>
    <row r="36" spans="5:55" x14ac:dyDescent="0.25">
      <c r="G36" s="29">
        <f>G35-633*14</f>
        <v>24700.20000000063</v>
      </c>
      <c r="M36" s="29">
        <f>M33+N33</f>
        <v>5037.8</v>
      </c>
    </row>
    <row r="37" spans="5:55" x14ac:dyDescent="0.25">
      <c r="E37" s="17">
        <f>E33+F33+G33+H33+J33-633*14</f>
        <v>137938.00000000049</v>
      </c>
      <c r="G37" s="37">
        <f>M36/E37</f>
        <v>3.6522205628615627E-2</v>
      </c>
      <c r="M37" s="35">
        <f>AE35</f>
        <v>28100.860000000219</v>
      </c>
    </row>
    <row r="38" spans="5:55" x14ac:dyDescent="0.25">
      <c r="L38" s="27">
        <f>M38/E37</f>
        <v>3.605242935231745E-2</v>
      </c>
      <c r="M38" s="29">
        <f>AG35</f>
        <v>4972.9999999999818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CL1" zoomScale="85" zoomScaleNormal="85" workbookViewId="0">
      <pane ySplit="1" topLeftCell="A2" activePane="bottomLeft" state="frozen"/>
      <selection pane="bottomLeft" activeCell="CU16" sqref="CU1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44712</v>
      </c>
      <c r="B3" s="68"/>
      <c r="C3" s="58">
        <v>3.2492000000000001</v>
      </c>
      <c r="D3" s="64" t="e">
        <f t="shared" ref="D3" si="0">IF((C3-C2&lt;0), "0",(C3-C2)*1000000)</f>
        <v>#VALUE!</v>
      </c>
      <c r="E3" s="58">
        <v>4.3467000000000002</v>
      </c>
      <c r="F3" s="64" t="e">
        <f t="shared" ref="F3" si="1">IF((E3-E2&lt;0), "0",(E3-E2)*1000000)</f>
        <v>#VALUE!</v>
      </c>
      <c r="G3" s="58">
        <v>4.3068999999999997</v>
      </c>
      <c r="H3" s="64" t="e">
        <f t="shared" ref="H3" si="2">IF((G3-G2&lt;0), "0",(G3-G2)*1000000)</f>
        <v>#VALUE!</v>
      </c>
      <c r="I3" s="58">
        <v>2.1637</v>
      </c>
      <c r="J3" s="64" t="e">
        <f t="shared" ref="J3" si="3">IF((I3-I2&lt;0), "0",(I3-I2)*1000000)</f>
        <v>#VALUE!</v>
      </c>
      <c r="K3" s="58">
        <v>3.3734000000000002</v>
      </c>
      <c r="L3" s="64" t="e">
        <f t="shared" ref="L3" si="4">IF((K3-K2&lt;0), "0",(K3-K2)*1000000)</f>
        <v>#VALUE!</v>
      </c>
      <c r="M3" s="58">
        <v>1.9520999999999999</v>
      </c>
      <c r="N3" s="64" t="e">
        <f t="shared" ref="N3" si="5">IF((M3-M2&lt;0), "",(M3-M2)*1000000)</f>
        <v>#VALUE!</v>
      </c>
      <c r="O3" s="58">
        <v>21184</v>
      </c>
      <c r="P3" s="67" t="e">
        <f t="shared" ref="P3" si="6">IF((O3-O2&lt;0), "",O3-O2)</f>
        <v>#VALUE!</v>
      </c>
      <c r="Q3" s="58">
        <v>2612</v>
      </c>
      <c r="R3" s="67" t="e">
        <f t="shared" ref="R3" si="7">IF((Q3-Q2&lt;0), "",Q3-Q2)</f>
        <v>#VALUE!</v>
      </c>
      <c r="S3" s="58">
        <v>1359.5</v>
      </c>
      <c r="T3" s="67" t="e">
        <f t="shared" ref="T3" si="8">IF((S3-S2&lt;0), "",S3-S2)</f>
        <v>#VALUE!</v>
      </c>
      <c r="U3" s="58">
        <v>555044.6</v>
      </c>
      <c r="V3" s="67" t="e">
        <f t="shared" ref="V3" si="9">IF((U3-U2&lt;0), "",U3-U2)</f>
        <v>#VALUE!</v>
      </c>
      <c r="W3" s="58">
        <v>514.21</v>
      </c>
      <c r="X3" s="65" t="e">
        <f t="shared" ref="X3" si="10">IF((W3-W2&lt;0), "",(W3-W2)*1000)</f>
        <v>#VALUE!</v>
      </c>
      <c r="Y3" s="58">
        <v>3.8216000000000001</v>
      </c>
      <c r="Z3" s="65" t="e">
        <f t="shared" ref="Z3" si="11">IF((Y3-Y2&lt;0), "",(Y3-Y2)*1000000)</f>
        <v>#VALUE!</v>
      </c>
      <c r="AA3" s="58">
        <v>517.89</v>
      </c>
      <c r="AB3" s="65" t="e">
        <f t="shared" ref="AB3" si="12">IF((AA3-AA2&lt;0), "",(AA3-AA2)*1000)</f>
        <v>#VALUE!</v>
      </c>
      <c r="AC3" s="58">
        <v>511.47</v>
      </c>
      <c r="AD3" s="65" t="e">
        <f t="shared" ref="AD3" si="13">IF((AC3-AC2&lt;0), "",(AC3-AC2)*1000)</f>
        <v>#VALUE!</v>
      </c>
      <c r="AE3" s="58">
        <v>763.16</v>
      </c>
      <c r="AF3" s="65" t="e">
        <f t="shared" ref="AF3" si="14">IF((AE3-AE2&lt;0), "",(AE3-AE2)*1000)</f>
        <v>#VALUE!</v>
      </c>
      <c r="AG3" s="58">
        <v>17669</v>
      </c>
      <c r="AH3" s="67" t="e">
        <f t="shared" ref="AH3" si="15">IF((AG3-AG2&lt;0), "",AG3-AG2)</f>
        <v>#VALUE!</v>
      </c>
      <c r="AI3" s="58">
        <v>863.04</v>
      </c>
      <c r="AJ3" s="65" t="e">
        <f t="shared" ref="AJ3" si="16">IF((AI3-AI2&lt;0), "",(AI3-AI2)*1000)</f>
        <v>#VALUE!</v>
      </c>
      <c r="AK3" s="58">
        <v>288.58</v>
      </c>
      <c r="AL3" s="65" t="e">
        <f t="shared" ref="AL3" si="17">IF((AK3-AK2&lt;0), "",(AK3-AK2)*1000)</f>
        <v>#VALUE!</v>
      </c>
      <c r="AM3" s="58">
        <v>269.58</v>
      </c>
      <c r="AN3" s="65" t="e">
        <f t="shared" ref="AN3" si="18">IF((AM3-AM2&lt;0), "",(AM3-AM2)*1000)</f>
        <v>#VALUE!</v>
      </c>
      <c r="AO3" s="58">
        <v>259.08999999999997</v>
      </c>
      <c r="AP3" s="65" t="e">
        <f t="shared" ref="AP3" si="19">IF((AO3-AO2&lt;0), "",(AO3-AO2)*1000)</f>
        <v>#VALUE!</v>
      </c>
      <c r="AQ3" s="58">
        <v>314.67</v>
      </c>
      <c r="AR3" s="65" t="e">
        <f t="shared" ref="AR3" si="20">IF((AQ3-AQ2&lt;0), "",(AQ3-AQ2)*1000)</f>
        <v>#VALUE!</v>
      </c>
      <c r="AS3" s="58">
        <v>440.68</v>
      </c>
      <c r="AT3" s="65" t="e">
        <f t="shared" ref="AT3" si="21">IF((AS3-AS2&lt;0), "",(AS3-AS2)*1000)</f>
        <v>#VALUE!</v>
      </c>
      <c r="AU3" s="58">
        <v>349.19</v>
      </c>
      <c r="AV3" s="65" t="e">
        <f t="shared" ref="AV3" si="22">IF((AU3-AU2&lt;0), "",(AU3-AU2)*1000)</f>
        <v>#VALUE!</v>
      </c>
      <c r="AW3" s="58">
        <v>378.93</v>
      </c>
      <c r="AX3" s="65" t="e">
        <f t="shared" ref="AX3" si="23">IF((AW3-AW2&lt;0), "",(AW3-AW2)*1000)</f>
        <v>#VALUE!</v>
      </c>
      <c r="AY3" s="58">
        <v>411.93</v>
      </c>
      <c r="AZ3" s="65" t="e">
        <f t="shared" ref="AZ3:AZ4" si="24">IF((AY3-AY2&lt;0), "",(AY3-AY2)*1000)</f>
        <v>#VALUE!</v>
      </c>
      <c r="BA3" s="58">
        <v>432.21</v>
      </c>
      <c r="BB3" s="65" t="e">
        <f t="shared" ref="BB3:BB4" si="25">IF((BA3-BA2&lt;0), "",(BA3-BA2)*1000)</f>
        <v>#VALUE!</v>
      </c>
      <c r="BC3" s="58">
        <v>277.52999999999997</v>
      </c>
      <c r="BD3" s="65" t="e">
        <f t="shared" ref="BD3:BD4" si="26">IF((BC3-BC2&lt;0), "",(BC3-BC2)*1000)</f>
        <v>#VALUE!</v>
      </c>
      <c r="BE3" s="59">
        <v>51694</v>
      </c>
      <c r="BF3" s="67" t="e">
        <f t="shared" ref="BF3:BF4" si="27">IF((BE3-BE2&lt;0), "",BE3-BE2)</f>
        <v>#VALUE!</v>
      </c>
      <c r="BG3" s="60">
        <v>248.82</v>
      </c>
      <c r="BH3" s="65" t="e">
        <f t="shared" ref="BH3:BH4" si="28">IF((BG3-BG2&lt;0), "",(BG3-BG2)*1000)</f>
        <v>#VALUE!</v>
      </c>
      <c r="BI3" s="60">
        <v>303.5</v>
      </c>
      <c r="BJ3" s="65" t="e">
        <f t="shared" ref="BJ3:BJ4" si="29">IF((BI3-BI2&lt;0), "",(BI3-BI2)*1000)</f>
        <v>#VALUE!</v>
      </c>
      <c r="BK3" s="60">
        <v>252.3</v>
      </c>
      <c r="BL3" s="65" t="e">
        <f t="shared" ref="BL3:BL4" si="30">IF((BK3-BK2&lt;0), "",(BK3-BK2)*1000)</f>
        <v>#VALUE!</v>
      </c>
      <c r="BM3" s="60">
        <v>238.53</v>
      </c>
      <c r="BN3" s="65" t="e">
        <f t="shared" ref="BN3:BN4" si="31">IF((BM3-BM2&lt;0), "",(BM3-BM2)*1000)</f>
        <v>#VALUE!</v>
      </c>
      <c r="BO3" s="60">
        <v>306.42</v>
      </c>
      <c r="BP3" s="65" t="e">
        <f t="shared" ref="BP3:BP4" si="32">IF((BO3-BO2&lt;0), "",(BO3-BO2)*1000)</f>
        <v>#VALUE!</v>
      </c>
      <c r="BQ3" s="60">
        <v>56941</v>
      </c>
      <c r="BR3" s="65" t="e">
        <f t="shared" ref="BR3:BR4" si="33">IF((BQ3-BQ2&lt;0), "",BQ3-BQ2)</f>
        <v>#VALUE!</v>
      </c>
      <c r="BS3" s="60">
        <v>216.16</v>
      </c>
      <c r="BT3" s="65" t="e">
        <f t="shared" ref="BT3:BT4" si="34">IF((BS3-BS2&lt;0), "",(BS3-BS2)*1000)</f>
        <v>#VALUE!</v>
      </c>
      <c r="BU3" s="60">
        <v>54584</v>
      </c>
      <c r="BV3" s="65" t="e">
        <f t="shared" ref="BV3:BV4" si="35">IF((BU3-BU2&lt;0), "",BU3-BU2)</f>
        <v>#VALUE!</v>
      </c>
      <c r="BW3" s="60">
        <v>244.34</v>
      </c>
      <c r="BX3" s="65" t="e">
        <f t="shared" ref="BX3:BX4" si="36">IF((BW3-BW2&lt;0), "",(BW3-BW2)*1000)</f>
        <v>#VALUE!</v>
      </c>
      <c r="BY3" s="60">
        <v>74291</v>
      </c>
      <c r="BZ3" s="67" t="e">
        <f t="shared" ref="BZ3:BZ4" si="37">IF((BY3-BY2&lt;0), "",BY3-BY2)</f>
        <v>#VALUE!</v>
      </c>
      <c r="CA3" s="60">
        <v>48700</v>
      </c>
      <c r="CB3" s="67" t="e">
        <f t="shared" ref="CB3:CB4" si="38">IF((CA3-CA2&lt;0), "",CA3-CA2)</f>
        <v>#VALUE!</v>
      </c>
      <c r="CC3" s="60">
        <v>15796</v>
      </c>
      <c r="CD3" s="67" t="e">
        <f t="shared" ref="CD3:CD4" si="39">IF((CC3-CC2&lt;0), "",CC3-CC2)</f>
        <v>#VALUE!</v>
      </c>
      <c r="CE3" s="60">
        <v>8170.4</v>
      </c>
      <c r="CF3" s="67" t="e">
        <f t="shared" ref="CF3:CF4" si="40">IF((CE3-CE2&lt;0), "",CE3-CE2)</f>
        <v>#VALUE!</v>
      </c>
      <c r="CG3" s="60">
        <v>74949.600000000006</v>
      </c>
      <c r="CH3" s="67" t="e">
        <f t="shared" ref="CH3:CH4" si="41">IF((CG3-CG2&lt;0), "",CG3-CG2)</f>
        <v>#VALUE!</v>
      </c>
      <c r="CI3" s="60">
        <v>1049451</v>
      </c>
      <c r="CJ3" s="67" t="e">
        <f t="shared" ref="CJ3:CJ4" si="42">IF((CI3-CI2&lt;0), "",CI3-CI2)</f>
        <v>#VALUE!</v>
      </c>
      <c r="CK3" s="60">
        <v>1001.3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22</v>
      </c>
      <c r="CO3" s="62">
        <v>43</v>
      </c>
      <c r="CP3" s="68">
        <v>31350</v>
      </c>
      <c r="CQ3" s="67" t="e">
        <f t="shared" ref="CQ3" si="45">IF((CP3-CP2&lt;0), "",CP3-CP2)</f>
        <v>#VALUE!</v>
      </c>
      <c r="CR3" s="68">
        <v>21743</v>
      </c>
      <c r="CS3" s="67" t="e">
        <f t="shared" ref="CS3" si="46">IF((CR3-CR2&lt;0), "",CR3-CR2)</f>
        <v>#VALUE!</v>
      </c>
      <c r="CT3" s="75">
        <v>10358</v>
      </c>
      <c r="CU3" s="67" t="e">
        <f t="shared" ref="CU3" si="47">IF((CT3-CT2&lt;0), "",CT3-CT2)</f>
        <v>#VALUE!</v>
      </c>
      <c r="CV3" s="68">
        <v>24545</v>
      </c>
      <c r="CW3" s="67" t="e">
        <f t="shared" ref="CW3" si="48">IF((CV3-CV2&lt;0), "",CV3-CV2)</f>
        <v>#VALUE!</v>
      </c>
      <c r="CX3" s="58">
        <v>3119.4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44713</v>
      </c>
      <c r="B4" s="68"/>
      <c r="C4" s="58">
        <v>3.2521</v>
      </c>
      <c r="D4" s="64">
        <f t="shared" ref="D4:D34" si="50">IF((C4-C3&lt;0), "0",(C4-C3)*1000000)</f>
        <v>2899.9999999999027</v>
      </c>
      <c r="E4" s="58">
        <v>4.3501000000000003</v>
      </c>
      <c r="F4" s="64">
        <f t="shared" ref="F4:F34" si="51">IF((E4-E3&lt;0), "0",(E4-E3)*1000000)</f>
        <v>3400.0000000000696</v>
      </c>
      <c r="G4" s="58">
        <v>4.3099999999999996</v>
      </c>
      <c r="H4" s="64">
        <f t="shared" ref="H4:H34" si="52">IF((G4-G3&lt;0), "0",(G4-G3)*1000000)</f>
        <v>3099.9999999998809</v>
      </c>
      <c r="I4" s="58">
        <v>2.1652999999999998</v>
      </c>
      <c r="J4" s="64">
        <f t="shared" ref="J4:J34" si="53">IF((I4-I3&lt;0), "0",(I4-I3)*1000000)</f>
        <v>1599.9999999998238</v>
      </c>
      <c r="K4" s="58">
        <v>3.3755000000000002</v>
      </c>
      <c r="L4" s="64">
        <f t="shared" ref="L4:L34" si="54">IF((K4-K3&lt;0), "0",(K4-K3)*1000000)</f>
        <v>2099.9999999999909</v>
      </c>
      <c r="M4" s="58">
        <v>1.9539</v>
      </c>
      <c r="N4" s="64">
        <f t="shared" ref="N4:N34" si="55">IF((M4-M3&lt;0), "",(M4-M3)*1000000)</f>
        <v>1800.0000000000239</v>
      </c>
      <c r="O4" s="58">
        <v>21211</v>
      </c>
      <c r="P4" s="67">
        <f t="shared" ref="P4:P34" si="56">IF((O4-O3&lt;0), "",O4-O3)</f>
        <v>27</v>
      </c>
      <c r="Q4" s="58">
        <v>2617</v>
      </c>
      <c r="R4" s="67">
        <f t="shared" ref="R4:R34" si="57">IF((Q4-Q3&lt;0), "",Q4-Q3)</f>
        <v>5</v>
      </c>
      <c r="S4" s="58">
        <v>1360.5</v>
      </c>
      <c r="T4" s="67">
        <f t="shared" ref="T4:T34" si="58">IF((S4-S3&lt;0), "",S4-S3)</f>
        <v>1</v>
      </c>
      <c r="U4" s="58">
        <v>555453.69999999995</v>
      </c>
      <c r="V4" s="67">
        <f t="shared" ref="V4:V34" si="59">IF((U4-U3&lt;0), "",U4-U3)</f>
        <v>409.09999999997672</v>
      </c>
      <c r="W4" s="58">
        <v>514.6</v>
      </c>
      <c r="X4" s="65">
        <f t="shared" ref="X4:X34" si="60">IF((W4-W3&lt;0), "",(W4-W3)*1000)</f>
        <v>389.99999999998636</v>
      </c>
      <c r="Y4" s="58">
        <v>3.8247</v>
      </c>
      <c r="Z4" s="65">
        <f t="shared" ref="Z4:Z34" si="61">IF((Y4-Y3&lt;0), "",(Y4-Y3)*1000000)</f>
        <v>3099.9999999998809</v>
      </c>
      <c r="AA4" s="58">
        <v>518.28</v>
      </c>
      <c r="AB4" s="65">
        <f t="shared" ref="AB4:AB34" si="62">IF((AA4-AA3&lt;0), "",(AA4-AA3)*1000)</f>
        <v>389.99999999998636</v>
      </c>
      <c r="AC4" s="58">
        <v>511.95</v>
      </c>
      <c r="AD4" s="65">
        <f t="shared" ref="AD4:AD34" si="63">IF((AC4-AC3&lt;0), "",(AC4-AC3)*1000)</f>
        <v>479.99999999996135</v>
      </c>
      <c r="AE4" s="58">
        <v>764</v>
      </c>
      <c r="AF4" s="65">
        <f t="shared" ref="AF4:AF34" si="64">IF((AE4-AE3&lt;0), "",(AE4-AE3)*1000)</f>
        <v>840.00000000003183</v>
      </c>
      <c r="AG4" s="58">
        <v>17709</v>
      </c>
      <c r="AH4" s="67">
        <f t="shared" ref="AH4:AH34" si="65">IF((AG4-AG3&lt;0), "",AG4-AG3)</f>
        <v>40</v>
      </c>
      <c r="AI4" s="58">
        <v>863.82</v>
      </c>
      <c r="AJ4" s="65">
        <f t="shared" ref="AJ4:AJ34" si="66">IF((AI4-AI3&lt;0), "",(AI4-AI3)*1000)</f>
        <v>780.0000000000864</v>
      </c>
      <c r="AK4" s="58">
        <v>288.88</v>
      </c>
      <c r="AL4" s="65">
        <f t="shared" ref="AL4:AL34" si="67">IF((AK4-AK3&lt;0), "",(AK4-AK3)*1000)</f>
        <v>300.00000000001137</v>
      </c>
      <c r="AM4" s="58">
        <v>269.61</v>
      </c>
      <c r="AN4" s="65">
        <f t="shared" ref="AN4:AN34" si="68">IF((AM4-AM3&lt;0), "",(AM4-AM3)*1000)</f>
        <v>30.000000000029559</v>
      </c>
      <c r="AO4" s="58">
        <v>259.29000000000002</v>
      </c>
      <c r="AP4" s="65">
        <f t="shared" ref="AP4:AP34" si="69">IF((AO4-AO3&lt;0), "",(AO4-AO3)*1000)</f>
        <v>200.00000000004547</v>
      </c>
      <c r="AQ4" s="58">
        <v>314.89</v>
      </c>
      <c r="AR4" s="65">
        <f t="shared" ref="AR4:AR34" si="70">IF((AQ4-AQ3&lt;0), "",(AQ4-AQ3)*1000)</f>
        <v>219.99999999997044</v>
      </c>
      <c r="AS4" s="58">
        <v>440.98</v>
      </c>
      <c r="AT4" s="65">
        <f t="shared" ref="AT4:AT34" si="71">IF((AS4-AS3&lt;0), "",(AS4-AS3)*1000)</f>
        <v>300.00000000001137</v>
      </c>
      <c r="AU4" s="58">
        <v>349.38</v>
      </c>
      <c r="AV4" s="65">
        <f t="shared" ref="AV4:AV34" si="72">IF((AU4-AU3&lt;0), "",(AU4-AU3)*1000)</f>
        <v>189.99999999999773</v>
      </c>
      <c r="AW4" s="58">
        <v>379.09</v>
      </c>
      <c r="AX4" s="65">
        <f t="shared" ref="AX4:AX34" si="73">IF((AW4-AW3&lt;0), "",(AW4-AW3)*1000)</f>
        <v>159.99999999996817</v>
      </c>
      <c r="AY4" s="58">
        <v>412.07</v>
      </c>
      <c r="AZ4" s="65">
        <f t="shared" si="24"/>
        <v>139.99999999998636</v>
      </c>
      <c r="BA4" s="58">
        <v>432.36</v>
      </c>
      <c r="BB4" s="65">
        <f t="shared" si="25"/>
        <v>150.00000000003411</v>
      </c>
      <c r="BC4" s="58">
        <v>277.60000000000002</v>
      </c>
      <c r="BD4" s="65">
        <f t="shared" si="26"/>
        <v>70.000000000050022</v>
      </c>
      <c r="BE4" s="59">
        <v>51725</v>
      </c>
      <c r="BF4" s="67">
        <f t="shared" si="27"/>
        <v>31</v>
      </c>
      <c r="BG4" s="60">
        <v>248.86</v>
      </c>
      <c r="BH4" s="65">
        <f t="shared" si="28"/>
        <v>40.000000000020464</v>
      </c>
      <c r="BI4" s="60">
        <v>303.52999999999997</v>
      </c>
      <c r="BJ4" s="65">
        <f t="shared" si="29"/>
        <v>29.999999999972715</v>
      </c>
      <c r="BK4" s="60">
        <v>252.34</v>
      </c>
      <c r="BL4" s="65">
        <f t="shared" si="30"/>
        <v>39.999999999992042</v>
      </c>
      <c r="BM4" s="60">
        <v>238.57</v>
      </c>
      <c r="BN4" s="65">
        <f t="shared" si="31"/>
        <v>39.999999999992042</v>
      </c>
      <c r="BO4" s="60">
        <v>306.47000000000003</v>
      </c>
      <c r="BP4" s="65">
        <f t="shared" si="32"/>
        <v>50.000000000011369</v>
      </c>
      <c r="BQ4" s="60">
        <v>56979</v>
      </c>
      <c r="BR4" s="65">
        <f t="shared" si="33"/>
        <v>38</v>
      </c>
      <c r="BS4" s="60">
        <v>216.21</v>
      </c>
      <c r="BT4" s="65">
        <f t="shared" si="34"/>
        <v>50.000000000011369</v>
      </c>
      <c r="BU4" s="60">
        <v>54627</v>
      </c>
      <c r="BV4" s="65">
        <f t="shared" si="35"/>
        <v>43</v>
      </c>
      <c r="BW4" s="60">
        <v>244.38</v>
      </c>
      <c r="BX4" s="65">
        <f t="shared" si="36"/>
        <v>39.999999999992042</v>
      </c>
      <c r="BY4" s="60">
        <v>74338</v>
      </c>
      <c r="BZ4" s="67">
        <f t="shared" si="37"/>
        <v>47</v>
      </c>
      <c r="CA4" s="60">
        <v>48755.7</v>
      </c>
      <c r="CB4" s="67">
        <f t="shared" si="38"/>
        <v>55.69999999999709</v>
      </c>
      <c r="CC4" s="60">
        <v>15812</v>
      </c>
      <c r="CD4" s="67">
        <f t="shared" si="39"/>
        <v>16</v>
      </c>
      <c r="CE4" s="60">
        <v>8172.6</v>
      </c>
      <c r="CF4" s="67">
        <f t="shared" si="40"/>
        <v>2.2000000000007276</v>
      </c>
      <c r="CG4" s="60">
        <v>74992.3</v>
      </c>
      <c r="CH4" s="67">
        <f t="shared" si="41"/>
        <v>42.69999999999709</v>
      </c>
      <c r="CI4" s="60">
        <v>1049744</v>
      </c>
      <c r="CJ4" s="67">
        <f t="shared" si="42"/>
        <v>293</v>
      </c>
      <c r="CK4" s="60">
        <v>1002.2</v>
      </c>
      <c r="CL4" s="64">
        <f t="shared" ref="CL4:CL34" si="74">IF((CK4-CK3&lt;0), "",(CK4-CK3)*1000)</f>
        <v>900.00000000009095</v>
      </c>
      <c r="CM4" s="65">
        <f t="shared" ref="CM4:CM34" si="75">CQ4+CS4</f>
        <v>98</v>
      </c>
      <c r="CN4" s="62">
        <v>22</v>
      </c>
      <c r="CO4" s="62">
        <v>42</v>
      </c>
      <c r="CP4" s="68">
        <v>31434</v>
      </c>
      <c r="CQ4" s="67">
        <f t="shared" ref="CQ4:CS34" si="76">IF((CP4-CP3&lt;0), "",CP4-CP3)</f>
        <v>84</v>
      </c>
      <c r="CR4" s="68">
        <v>21757</v>
      </c>
      <c r="CS4" s="67">
        <f t="shared" si="76"/>
        <v>14</v>
      </c>
      <c r="CT4" s="75">
        <v>10368</v>
      </c>
      <c r="CU4" s="67">
        <f t="shared" ref="CU4:CU34" si="77">IF((CT4-CT3&lt;0), "",CT4-CT3)</f>
        <v>10</v>
      </c>
      <c r="CV4" s="68">
        <v>24573</v>
      </c>
      <c r="CW4" s="67">
        <f t="shared" ref="CW4:CW34" si="78">IF((CV4-CV3&lt;0), "",CV4-CV3)</f>
        <v>28</v>
      </c>
      <c r="CX4" s="58">
        <v>3131.3</v>
      </c>
      <c r="CY4" s="67">
        <f t="shared" ref="CY4:CY34" si="79">IF((CX4-CX3&lt;0), "",CX4-CX3)</f>
        <v>11.900000000000091</v>
      </c>
    </row>
    <row r="5" spans="1:103" ht="25.5" customHeight="1" thickBot="1" x14ac:dyDescent="0.45">
      <c r="A5" s="63">
        <v>44714</v>
      </c>
      <c r="B5" s="44"/>
      <c r="C5" s="58">
        <v>3.2551999999999999</v>
      </c>
      <c r="D5" s="64">
        <f t="shared" si="50"/>
        <v>3099.9999999998809</v>
      </c>
      <c r="E5" s="58">
        <v>4.3535000000000004</v>
      </c>
      <c r="F5" s="64">
        <f t="shared" si="51"/>
        <v>3400.0000000000696</v>
      </c>
      <c r="G5" s="58">
        <v>4.3135000000000003</v>
      </c>
      <c r="H5" s="64">
        <f t="shared" si="52"/>
        <v>3500.0000000007249</v>
      </c>
      <c r="I5" s="58">
        <v>2.1669</v>
      </c>
      <c r="J5" s="64">
        <f t="shared" si="53"/>
        <v>1600.0000000002678</v>
      </c>
      <c r="K5" s="58">
        <v>3.3776999999999999</v>
      </c>
      <c r="L5" s="64">
        <f t="shared" si="54"/>
        <v>2199.9999999997576</v>
      </c>
      <c r="M5" s="58">
        <v>1.9556</v>
      </c>
      <c r="N5" s="64">
        <f t="shared" si="55"/>
        <v>1700.0000000000348</v>
      </c>
      <c r="O5" s="58">
        <v>21240</v>
      </c>
      <c r="P5" s="67">
        <f t="shared" si="56"/>
        <v>29</v>
      </c>
      <c r="Q5" s="58">
        <v>2622</v>
      </c>
      <c r="R5" s="67">
        <f t="shared" si="57"/>
        <v>5</v>
      </c>
      <c r="S5" s="58">
        <v>1361.7</v>
      </c>
      <c r="T5" s="67">
        <f t="shared" si="58"/>
        <v>1.2000000000000455</v>
      </c>
      <c r="U5" s="58">
        <v>555926.69999999995</v>
      </c>
      <c r="V5" s="67">
        <f t="shared" si="59"/>
        <v>473</v>
      </c>
      <c r="W5" s="58">
        <v>514.92999999999995</v>
      </c>
      <c r="X5" s="65">
        <f t="shared" si="60"/>
        <v>329.99999999992724</v>
      </c>
      <c r="Y5" s="58">
        <v>3.8277999999999999</v>
      </c>
      <c r="Z5" s="65">
        <f t="shared" si="61"/>
        <v>3099.9999999998809</v>
      </c>
      <c r="AA5" s="58">
        <v>518.59</v>
      </c>
      <c r="AB5" s="65">
        <f t="shared" si="62"/>
        <v>310.00000000005912</v>
      </c>
      <c r="AC5" s="58">
        <v>512.41</v>
      </c>
      <c r="AD5" s="65">
        <f t="shared" si="63"/>
        <v>459.99999999997954</v>
      </c>
      <c r="AE5" s="58">
        <v>764.88</v>
      </c>
      <c r="AF5" s="65">
        <f t="shared" si="64"/>
        <v>879.99999999999545</v>
      </c>
      <c r="AG5" s="58">
        <v>17750</v>
      </c>
      <c r="AH5" s="67">
        <f t="shared" si="65"/>
        <v>41</v>
      </c>
      <c r="AI5" s="58">
        <v>864.66</v>
      </c>
      <c r="AJ5" s="65">
        <f t="shared" si="66"/>
        <v>839.99999999991815</v>
      </c>
      <c r="AK5" s="58">
        <v>289.18</v>
      </c>
      <c r="AL5" s="65">
        <f t="shared" si="67"/>
        <v>300.00000000001137</v>
      </c>
      <c r="AM5" s="58">
        <v>269.7</v>
      </c>
      <c r="AN5" s="65">
        <f t="shared" si="68"/>
        <v>89.999999999974989</v>
      </c>
      <c r="AO5" s="58">
        <v>259.52999999999997</v>
      </c>
      <c r="AP5" s="65">
        <f t="shared" si="69"/>
        <v>239.99999999995225</v>
      </c>
      <c r="AQ5" s="58">
        <v>315.20999999999998</v>
      </c>
      <c r="AR5" s="65">
        <f t="shared" si="70"/>
        <v>319.99999999999318</v>
      </c>
      <c r="AS5" s="58">
        <v>441.31</v>
      </c>
      <c r="AT5" s="65">
        <f t="shared" si="71"/>
        <v>329.99999999998408</v>
      </c>
      <c r="AU5" s="58">
        <v>349.57</v>
      </c>
      <c r="AV5" s="65">
        <f t="shared" si="72"/>
        <v>189.99999999999773</v>
      </c>
      <c r="AW5" s="58">
        <v>379.27</v>
      </c>
      <c r="AX5" s="65">
        <f t="shared" si="73"/>
        <v>180.00000000000682</v>
      </c>
      <c r="AY5" s="58">
        <v>412.21</v>
      </c>
      <c r="AZ5" s="65">
        <f t="shared" ref="AZ5:AZ34" si="80">IF((AY5-AY4&lt;0), "",(AY5-AY4)*1000)</f>
        <v>139.99999999998636</v>
      </c>
      <c r="BA5" s="58">
        <v>432.5</v>
      </c>
      <c r="BB5" s="65">
        <f t="shared" ref="BB5:BB34" si="81">IF((BA5-BA4&lt;0), "",(BA5-BA4)*1000)</f>
        <v>139.99999999998636</v>
      </c>
      <c r="BC5" s="58">
        <v>277.76</v>
      </c>
      <c r="BD5" s="65">
        <f t="shared" ref="BD5:BD34" si="82">IF((BC5-BC4&lt;0), "",(BC5-BC4)*1000)</f>
        <v>159.99999999996817</v>
      </c>
      <c r="BE5" s="59">
        <v>51749</v>
      </c>
      <c r="BF5" s="67">
        <f t="shared" ref="BF5:BF34" si="83">IF((BE5-BE4&lt;0), "",BE5-BE4)</f>
        <v>24</v>
      </c>
      <c r="BG5" s="60">
        <v>248.9</v>
      </c>
      <c r="BH5" s="65">
        <f t="shared" ref="BH5:BH34" si="84">IF((BG5-BG4&lt;0), "",(BG5-BG4)*1000)</f>
        <v>39.999999999992042</v>
      </c>
      <c r="BI5" s="60">
        <v>303.56</v>
      </c>
      <c r="BJ5" s="65">
        <f t="shared" ref="BJ5:BJ34" si="85">IF((BI5-BI4&lt;0), "",(BI5-BI4)*1000)</f>
        <v>30.000000000029559</v>
      </c>
      <c r="BK5" s="60">
        <v>252.39</v>
      </c>
      <c r="BL5" s="65">
        <f t="shared" ref="BL5:BL34" si="86">IF((BK5-BK4&lt;0), "",(BK5-BK4)*1000)</f>
        <v>49.999999999982947</v>
      </c>
      <c r="BM5" s="60">
        <v>238.62</v>
      </c>
      <c r="BN5" s="65">
        <f t="shared" ref="BN5:BN34" si="87">IF((BM5-BM4&lt;0), "",(BM5-BM4)*1000)</f>
        <v>50.000000000011369</v>
      </c>
      <c r="BO5" s="60">
        <v>306.54000000000002</v>
      </c>
      <c r="BP5" s="65">
        <f t="shared" ref="BP5:BP34" si="88">IF((BO5-BO4&lt;0), "",(BO5-BO4)*1000)</f>
        <v>69.999999999993179</v>
      </c>
      <c r="BQ5" s="60">
        <v>57015</v>
      </c>
      <c r="BR5" s="65">
        <f t="shared" ref="BR5:BR34" si="89">IF((BQ5-BQ4&lt;0), "",BQ5-BQ4)</f>
        <v>36</v>
      </c>
      <c r="BS5" s="60">
        <v>216.26</v>
      </c>
      <c r="BT5" s="65">
        <f t="shared" ref="BT5:BT34" si="90">IF((BS5-BS4&lt;0), "",(BS5-BS4)*1000)</f>
        <v>49.999999999982947</v>
      </c>
      <c r="BU5" s="60">
        <v>54671</v>
      </c>
      <c r="BV5" s="65">
        <f t="shared" ref="BV5:BV34" si="91">IF((BU5-BU4&lt;0), "",BU5-BU4)</f>
        <v>44</v>
      </c>
      <c r="BW5" s="60">
        <v>244.43</v>
      </c>
      <c r="BX5" s="65">
        <f t="shared" ref="BX5:BX34" si="92">IF((BW5-BW4&lt;0), "",(BW5-BW4)*1000)</f>
        <v>50.000000000011369</v>
      </c>
      <c r="BY5" s="60">
        <v>74382</v>
      </c>
      <c r="BZ5" s="67">
        <f t="shared" ref="BZ5:BZ34" si="93">IF((BY5-BY4&lt;0), "",BY5-BY4)</f>
        <v>44</v>
      </c>
      <c r="CA5" s="60">
        <v>48802.2</v>
      </c>
      <c r="CB5" s="67">
        <f t="shared" ref="CB5:CB34" si="94">IF((CA5-CA4&lt;0), "",CA5-CA4)</f>
        <v>46.5</v>
      </c>
      <c r="CC5" s="60">
        <v>15822.2</v>
      </c>
      <c r="CD5" s="67">
        <f t="shared" ref="CD5:CD34" si="95">IF((CC5-CC4&lt;0), "",CC5-CC4)</f>
        <v>10.200000000000728</v>
      </c>
      <c r="CE5" s="60">
        <v>8176.7</v>
      </c>
      <c r="CF5" s="67">
        <f t="shared" ref="CF5:CF34" si="96">IF((CE5-CE4&lt;0), "",CE5-CE4)</f>
        <v>4.0999999999994543</v>
      </c>
      <c r="CG5" s="60">
        <v>75030.2</v>
      </c>
      <c r="CH5" s="67">
        <f t="shared" ref="CH5:CH34" si="97">IF((CG5-CG4&lt;0), "",CG5-CG4)</f>
        <v>37.899999999994179</v>
      </c>
      <c r="CI5" s="60">
        <v>1050047</v>
      </c>
      <c r="CJ5" s="67">
        <f t="shared" ref="CJ5:CJ34" si="98">IF((CI5-CI4&lt;0), "",CI5-CI4)</f>
        <v>303</v>
      </c>
      <c r="CK5" s="60">
        <v>1003.3</v>
      </c>
      <c r="CL5" s="64">
        <f t="shared" si="74"/>
        <v>1099.9999999999091</v>
      </c>
      <c r="CM5" s="65">
        <f t="shared" si="75"/>
        <v>88</v>
      </c>
      <c r="CN5" s="62">
        <v>22</v>
      </c>
      <c r="CO5" s="62">
        <v>42</v>
      </c>
      <c r="CP5" s="68">
        <v>31512</v>
      </c>
      <c r="CQ5" s="67">
        <f t="shared" si="76"/>
        <v>78</v>
      </c>
      <c r="CR5" s="68">
        <v>21767</v>
      </c>
      <c r="CS5" s="67">
        <f t="shared" si="76"/>
        <v>10</v>
      </c>
      <c r="CT5" s="75">
        <v>10378</v>
      </c>
      <c r="CU5" s="67">
        <f t="shared" si="77"/>
        <v>10</v>
      </c>
      <c r="CV5" s="68">
        <v>24609</v>
      </c>
      <c r="CW5" s="67">
        <f t="shared" si="78"/>
        <v>36</v>
      </c>
      <c r="CX5" s="58">
        <v>3143.4</v>
      </c>
      <c r="CY5" s="67">
        <f t="shared" si="79"/>
        <v>12.099999999999909</v>
      </c>
    </row>
    <row r="6" spans="1:103" ht="24.75" customHeight="1" thickBot="1" x14ac:dyDescent="0.45">
      <c r="A6" s="63">
        <v>44715</v>
      </c>
      <c r="B6" s="44"/>
      <c r="C6" s="58">
        <v>3.258</v>
      </c>
      <c r="D6" s="64">
        <f t="shared" si="50"/>
        <v>2800.0000000001355</v>
      </c>
      <c r="E6" s="58">
        <v>4.3564999999999996</v>
      </c>
      <c r="F6" s="64">
        <f t="shared" si="51"/>
        <v>2999.9999999992256</v>
      </c>
      <c r="G6" s="58">
        <v>4.3167</v>
      </c>
      <c r="H6" s="64">
        <f t="shared" si="52"/>
        <v>3199.9999999996476</v>
      </c>
      <c r="I6" s="58">
        <v>2.1684999999999999</v>
      </c>
      <c r="J6" s="64">
        <f t="shared" si="53"/>
        <v>1599.9999999998238</v>
      </c>
      <c r="K6" s="58">
        <v>3.3799000000000001</v>
      </c>
      <c r="L6" s="64">
        <f t="shared" si="54"/>
        <v>2200.0000000002019</v>
      </c>
      <c r="M6" s="58">
        <v>1.9574</v>
      </c>
      <c r="N6" s="64">
        <f t="shared" si="55"/>
        <v>1800.0000000000239</v>
      </c>
      <c r="O6" s="58">
        <v>21270</v>
      </c>
      <c r="P6" s="67">
        <f t="shared" si="56"/>
        <v>30</v>
      </c>
      <c r="Q6" s="58">
        <v>2626</v>
      </c>
      <c r="R6" s="67">
        <f t="shared" si="57"/>
        <v>4</v>
      </c>
      <c r="S6" s="58">
        <v>1363.6</v>
      </c>
      <c r="T6" s="67">
        <f t="shared" si="58"/>
        <v>1.8999999999998636</v>
      </c>
      <c r="U6" s="58">
        <v>556669</v>
      </c>
      <c r="V6" s="67">
        <f t="shared" si="59"/>
        <v>742.30000000004657</v>
      </c>
      <c r="W6" s="58">
        <v>515.21</v>
      </c>
      <c r="X6" s="65">
        <f t="shared" si="60"/>
        <v>280.0000000000864</v>
      </c>
      <c r="Y6" s="58">
        <v>3.8304999999999998</v>
      </c>
      <c r="Z6" s="65">
        <f t="shared" si="61"/>
        <v>2699.9999999999245</v>
      </c>
      <c r="AA6" s="58">
        <v>518.97</v>
      </c>
      <c r="AB6" s="65">
        <f t="shared" si="62"/>
        <v>379.99999999999545</v>
      </c>
      <c r="AC6" s="58">
        <v>512.80999999999995</v>
      </c>
      <c r="AD6" s="65">
        <f t="shared" si="63"/>
        <v>399.99999999997726</v>
      </c>
      <c r="AE6" s="58">
        <v>765.7</v>
      </c>
      <c r="AF6" s="65">
        <f t="shared" si="64"/>
        <v>820.00000000005002</v>
      </c>
      <c r="AG6" s="58">
        <v>17787</v>
      </c>
      <c r="AH6" s="67">
        <f t="shared" si="65"/>
        <v>37</v>
      </c>
      <c r="AI6" s="58">
        <v>865.34</v>
      </c>
      <c r="AJ6" s="65">
        <f t="shared" si="66"/>
        <v>680.00000000006366</v>
      </c>
      <c r="AK6" s="58">
        <v>289.39</v>
      </c>
      <c r="AL6" s="65">
        <f t="shared" si="67"/>
        <v>209.99999999997954</v>
      </c>
      <c r="AM6" s="58">
        <v>269.83999999999997</v>
      </c>
      <c r="AN6" s="65">
        <f t="shared" si="68"/>
        <v>139.99999999998636</v>
      </c>
      <c r="AO6" s="58">
        <v>259.79000000000002</v>
      </c>
      <c r="AP6" s="65">
        <f t="shared" si="69"/>
        <v>260.00000000004775</v>
      </c>
      <c r="AQ6" s="58">
        <v>315.45999999999998</v>
      </c>
      <c r="AR6" s="65">
        <f t="shared" si="70"/>
        <v>250</v>
      </c>
      <c r="AS6" s="58">
        <v>441.63</v>
      </c>
      <c r="AT6" s="65">
        <f t="shared" si="71"/>
        <v>319.99999999999318</v>
      </c>
      <c r="AU6" s="58">
        <v>349.74</v>
      </c>
      <c r="AV6" s="65">
        <f t="shared" si="72"/>
        <v>170.00000000001592</v>
      </c>
      <c r="AW6" s="58">
        <v>379.41</v>
      </c>
      <c r="AX6" s="65">
        <f t="shared" si="73"/>
        <v>140.0000000000432</v>
      </c>
      <c r="AY6" s="58">
        <v>412.33</v>
      </c>
      <c r="AZ6" s="65">
        <f t="shared" si="80"/>
        <v>120.00000000000455</v>
      </c>
      <c r="BA6" s="58">
        <v>432.61</v>
      </c>
      <c r="BB6" s="65">
        <f t="shared" si="81"/>
        <v>110.00000000001364</v>
      </c>
      <c r="BC6" s="58">
        <v>277.94</v>
      </c>
      <c r="BD6" s="65">
        <f t="shared" si="82"/>
        <v>180.00000000000682</v>
      </c>
      <c r="BE6" s="59">
        <v>51764</v>
      </c>
      <c r="BF6" s="67">
        <f t="shared" si="83"/>
        <v>15</v>
      </c>
      <c r="BG6" s="60">
        <v>248.93</v>
      </c>
      <c r="BH6" s="65">
        <f t="shared" si="84"/>
        <v>30.000000000001137</v>
      </c>
      <c r="BI6" s="60">
        <v>303.58999999999997</v>
      </c>
      <c r="BJ6" s="65">
        <f t="shared" si="85"/>
        <v>29.999999999972715</v>
      </c>
      <c r="BK6" s="60">
        <v>252.44</v>
      </c>
      <c r="BL6" s="65">
        <f t="shared" si="86"/>
        <v>50.000000000011369</v>
      </c>
      <c r="BM6" s="60">
        <v>238.66</v>
      </c>
      <c r="BN6" s="65">
        <f t="shared" si="87"/>
        <v>39.999999999992042</v>
      </c>
      <c r="BO6" s="60">
        <v>306.58999999999997</v>
      </c>
      <c r="BP6" s="65">
        <f t="shared" si="88"/>
        <v>49.999999999954525</v>
      </c>
      <c r="BQ6" s="60">
        <v>57043</v>
      </c>
      <c r="BR6" s="65">
        <f t="shared" si="89"/>
        <v>28</v>
      </c>
      <c r="BS6" s="60">
        <v>216.31</v>
      </c>
      <c r="BT6" s="65">
        <f t="shared" si="90"/>
        <v>50.000000000011369</v>
      </c>
      <c r="BU6" s="60">
        <v>54712</v>
      </c>
      <c r="BV6" s="65">
        <f t="shared" si="91"/>
        <v>41</v>
      </c>
      <c r="BW6" s="60">
        <v>244.47</v>
      </c>
      <c r="BX6" s="65">
        <f t="shared" si="92"/>
        <v>39.999999999992042</v>
      </c>
      <c r="BY6" s="60">
        <v>74427</v>
      </c>
      <c r="BZ6" s="67">
        <f t="shared" si="93"/>
        <v>45</v>
      </c>
      <c r="CA6" s="60">
        <v>48859.9</v>
      </c>
      <c r="CB6" s="67">
        <f t="shared" si="94"/>
        <v>57.700000000004366</v>
      </c>
      <c r="CC6" s="60">
        <v>15834.5</v>
      </c>
      <c r="CD6" s="67">
        <f t="shared" si="95"/>
        <v>12.299999999999272</v>
      </c>
      <c r="CE6" s="60">
        <v>8180</v>
      </c>
      <c r="CF6" s="67">
        <f t="shared" si="96"/>
        <v>3.3000000000001819</v>
      </c>
      <c r="CG6" s="60">
        <v>75070.5</v>
      </c>
      <c r="CH6" s="67">
        <f t="shared" si="97"/>
        <v>40.30000000000291</v>
      </c>
      <c r="CI6" s="60">
        <v>1050349</v>
      </c>
      <c r="CJ6" s="67">
        <f t="shared" si="98"/>
        <v>302</v>
      </c>
      <c r="CK6" s="60">
        <v>1004.2</v>
      </c>
      <c r="CL6" s="64">
        <f t="shared" si="74"/>
        <v>900.00000000009095</v>
      </c>
      <c r="CM6" s="65">
        <f t="shared" si="75"/>
        <v>89</v>
      </c>
      <c r="CN6" s="62">
        <v>25</v>
      </c>
      <c r="CO6" s="62">
        <v>46</v>
      </c>
      <c r="CP6" s="68">
        <v>31588</v>
      </c>
      <c r="CQ6" s="67">
        <f t="shared" si="76"/>
        <v>76</v>
      </c>
      <c r="CR6" s="68">
        <v>21780</v>
      </c>
      <c r="CS6" s="67">
        <f t="shared" si="76"/>
        <v>13</v>
      </c>
      <c r="CT6" s="75">
        <v>10396</v>
      </c>
      <c r="CU6" s="67">
        <f t="shared" si="77"/>
        <v>18</v>
      </c>
      <c r="CV6" s="68">
        <v>24630</v>
      </c>
      <c r="CW6" s="67">
        <f t="shared" si="78"/>
        <v>21</v>
      </c>
      <c r="CX6" s="58">
        <v>3154.1</v>
      </c>
      <c r="CY6" s="67">
        <f t="shared" si="79"/>
        <v>10.699999999999818</v>
      </c>
    </row>
    <row r="7" spans="1:103" ht="25.5" customHeight="1" thickBot="1" x14ac:dyDescent="0.45">
      <c r="A7" s="63">
        <v>44716</v>
      </c>
      <c r="B7" s="44"/>
      <c r="C7" s="58">
        <v>3.2608000000000001</v>
      </c>
      <c r="D7" s="64">
        <f t="shared" si="50"/>
        <v>2800.0000000001355</v>
      </c>
      <c r="E7" s="58">
        <v>4.3596000000000004</v>
      </c>
      <c r="F7" s="64">
        <f t="shared" si="51"/>
        <v>3100.000000000769</v>
      </c>
      <c r="G7" s="58">
        <v>4.32</v>
      </c>
      <c r="H7" s="64">
        <f t="shared" si="52"/>
        <v>3300.0000000003029</v>
      </c>
      <c r="I7" s="58">
        <v>2.1701000000000001</v>
      </c>
      <c r="J7" s="64">
        <f t="shared" si="53"/>
        <v>1600.0000000002678</v>
      </c>
      <c r="K7" s="58">
        <v>3.3820000000000001</v>
      </c>
      <c r="L7" s="64">
        <f t="shared" si="54"/>
        <v>2099.9999999999909</v>
      </c>
      <c r="M7" s="58">
        <v>1.9592000000000001</v>
      </c>
      <c r="N7" s="64">
        <f t="shared" si="55"/>
        <v>1800.0000000000239</v>
      </c>
      <c r="O7" s="58">
        <v>21300</v>
      </c>
      <c r="P7" s="67">
        <f t="shared" si="56"/>
        <v>30</v>
      </c>
      <c r="Q7" s="58">
        <v>2630</v>
      </c>
      <c r="R7" s="67">
        <f t="shared" si="57"/>
        <v>4</v>
      </c>
      <c r="S7" s="58">
        <v>1363.9</v>
      </c>
      <c r="T7" s="67">
        <f t="shared" si="58"/>
        <v>0.3000000000001819</v>
      </c>
      <c r="U7" s="58">
        <v>556771.19999999995</v>
      </c>
      <c r="V7" s="67">
        <f t="shared" si="59"/>
        <v>102.19999999995343</v>
      </c>
      <c r="W7" s="58">
        <v>515.51</v>
      </c>
      <c r="X7" s="65">
        <f t="shared" si="60"/>
        <v>299.99999999995453</v>
      </c>
      <c r="Y7" s="58">
        <v>3.8334000000000001</v>
      </c>
      <c r="Z7" s="65">
        <f t="shared" si="61"/>
        <v>2900.0000000003465</v>
      </c>
      <c r="AA7" s="58">
        <v>519.37</v>
      </c>
      <c r="AB7" s="65">
        <f t="shared" si="62"/>
        <v>399.99999999997726</v>
      </c>
      <c r="AC7" s="58">
        <v>513.28</v>
      </c>
      <c r="AD7" s="65">
        <f t="shared" si="63"/>
        <v>470.00000000002728</v>
      </c>
      <c r="AE7" s="58">
        <v>766.61</v>
      </c>
      <c r="AF7" s="65">
        <f t="shared" si="64"/>
        <v>909.99999999996817</v>
      </c>
      <c r="AG7" s="58">
        <v>17830</v>
      </c>
      <c r="AH7" s="67">
        <f t="shared" si="65"/>
        <v>43</v>
      </c>
      <c r="AI7" s="58">
        <v>865.99</v>
      </c>
      <c r="AJ7" s="65">
        <f t="shared" si="66"/>
        <v>649.99999999997726</v>
      </c>
      <c r="AK7" s="58">
        <v>289.60000000000002</v>
      </c>
      <c r="AL7" s="65">
        <f t="shared" si="67"/>
        <v>210.00000000003638</v>
      </c>
      <c r="AM7" s="58">
        <v>269.98</v>
      </c>
      <c r="AN7" s="65">
        <f t="shared" si="68"/>
        <v>140.0000000000432</v>
      </c>
      <c r="AO7" s="58">
        <v>259.93</v>
      </c>
      <c r="AP7" s="65">
        <f t="shared" si="69"/>
        <v>139.99999999998636</v>
      </c>
      <c r="AQ7" s="58">
        <v>315.74</v>
      </c>
      <c r="AR7" s="65">
        <f t="shared" si="70"/>
        <v>280.00000000002956</v>
      </c>
      <c r="AS7" s="58">
        <v>441.91</v>
      </c>
      <c r="AT7" s="65">
        <f t="shared" si="71"/>
        <v>280.00000000002956</v>
      </c>
      <c r="AU7" s="58">
        <v>349.93</v>
      </c>
      <c r="AV7" s="65">
        <f t="shared" si="72"/>
        <v>189.99999999999773</v>
      </c>
      <c r="AW7" s="58">
        <v>379.55</v>
      </c>
      <c r="AX7" s="65">
        <f t="shared" si="73"/>
        <v>139.99999999998636</v>
      </c>
      <c r="AY7" s="58">
        <v>412.47</v>
      </c>
      <c r="AZ7" s="65">
        <f t="shared" si="80"/>
        <v>140.0000000000432</v>
      </c>
      <c r="BA7" s="58">
        <v>432.79</v>
      </c>
      <c r="BB7" s="65">
        <f t="shared" si="81"/>
        <v>180.00000000000682</v>
      </c>
      <c r="BC7" s="58">
        <v>278.13</v>
      </c>
      <c r="BD7" s="65">
        <f t="shared" si="82"/>
        <v>189.99999999999773</v>
      </c>
      <c r="BE7" s="59">
        <v>51774</v>
      </c>
      <c r="BF7" s="67">
        <f t="shared" si="83"/>
        <v>10</v>
      </c>
      <c r="BG7" s="60">
        <v>248.96</v>
      </c>
      <c r="BH7" s="65">
        <f t="shared" si="84"/>
        <v>30.000000000001137</v>
      </c>
      <c r="BI7" s="60">
        <v>303.62</v>
      </c>
      <c r="BJ7" s="65">
        <f t="shared" si="85"/>
        <v>30.000000000029559</v>
      </c>
      <c r="BK7" s="60">
        <v>252.47</v>
      </c>
      <c r="BL7" s="65">
        <f t="shared" si="86"/>
        <v>30.000000000001137</v>
      </c>
      <c r="BM7" s="60">
        <v>238.71</v>
      </c>
      <c r="BN7" s="65">
        <f t="shared" si="87"/>
        <v>50.000000000011369</v>
      </c>
      <c r="BO7" s="60">
        <v>306.64</v>
      </c>
      <c r="BP7" s="65">
        <f t="shared" si="88"/>
        <v>50.000000000011369</v>
      </c>
      <c r="BQ7" s="60">
        <v>57076</v>
      </c>
      <c r="BR7" s="65">
        <f t="shared" si="89"/>
        <v>33</v>
      </c>
      <c r="BS7" s="60">
        <v>216.36</v>
      </c>
      <c r="BT7" s="65">
        <f t="shared" si="90"/>
        <v>50.000000000011369</v>
      </c>
      <c r="BU7" s="60">
        <v>54753</v>
      </c>
      <c r="BV7" s="65">
        <f t="shared" si="91"/>
        <v>41</v>
      </c>
      <c r="BW7" s="60">
        <v>244.51</v>
      </c>
      <c r="BX7" s="65">
        <f t="shared" si="92"/>
        <v>39.999999999992042</v>
      </c>
      <c r="BY7" s="60">
        <v>74472</v>
      </c>
      <c r="BZ7" s="67">
        <f t="shared" si="93"/>
        <v>45</v>
      </c>
      <c r="CA7" s="60">
        <v>48920.6</v>
      </c>
      <c r="CB7" s="67">
        <f t="shared" si="94"/>
        <v>60.69999999999709</v>
      </c>
      <c r="CC7" s="60">
        <v>15849.2</v>
      </c>
      <c r="CD7" s="67">
        <f t="shared" si="95"/>
        <v>14.700000000000728</v>
      </c>
      <c r="CE7" s="60">
        <v>8184.2</v>
      </c>
      <c r="CF7" s="67">
        <f t="shared" si="96"/>
        <v>4.1999999999998181</v>
      </c>
      <c r="CG7" s="60">
        <v>75099.399999999994</v>
      </c>
      <c r="CH7" s="67">
        <f t="shared" si="97"/>
        <v>28.899999999994179</v>
      </c>
      <c r="CI7" s="60">
        <v>1050648</v>
      </c>
      <c r="CJ7" s="67">
        <f t="shared" si="98"/>
        <v>299</v>
      </c>
      <c r="CK7" s="60">
        <v>1005.2</v>
      </c>
      <c r="CL7" s="64">
        <f t="shared" si="74"/>
        <v>1000</v>
      </c>
      <c r="CM7" s="65">
        <f t="shared" si="75"/>
        <v>126</v>
      </c>
      <c r="CN7" s="62">
        <v>25</v>
      </c>
      <c r="CO7" s="62">
        <v>46</v>
      </c>
      <c r="CP7" s="68">
        <v>31666</v>
      </c>
      <c r="CQ7" s="67">
        <f t="shared" si="76"/>
        <v>78</v>
      </c>
      <c r="CR7" s="68">
        <v>21828</v>
      </c>
      <c r="CS7" s="67">
        <f t="shared" si="76"/>
        <v>48</v>
      </c>
      <c r="CT7" s="75">
        <v>10413</v>
      </c>
      <c r="CU7" s="67">
        <f t="shared" si="77"/>
        <v>17</v>
      </c>
      <c r="CV7" s="68">
        <v>24659</v>
      </c>
      <c r="CW7" s="67">
        <f t="shared" si="78"/>
        <v>29</v>
      </c>
      <c r="CX7" s="58">
        <v>3165.8</v>
      </c>
      <c r="CY7" s="67">
        <f t="shared" si="79"/>
        <v>11.700000000000273</v>
      </c>
    </row>
    <row r="8" spans="1:103" ht="25.5" customHeight="1" thickBot="1" x14ac:dyDescent="0.45">
      <c r="A8" s="63">
        <v>44717</v>
      </c>
      <c r="B8" s="44"/>
      <c r="C8" s="58">
        <v>3.2633000000000001</v>
      </c>
      <c r="D8" s="64">
        <f t="shared" si="50"/>
        <v>2499.9999999999468</v>
      </c>
      <c r="E8" s="58">
        <v>4.3627000000000002</v>
      </c>
      <c r="F8" s="64">
        <f t="shared" si="51"/>
        <v>3099.9999999998809</v>
      </c>
      <c r="G8" s="58">
        <v>4.3231999999999999</v>
      </c>
      <c r="H8" s="64">
        <f t="shared" si="52"/>
        <v>3199.9999999996476</v>
      </c>
      <c r="I8" s="58">
        <v>2.1717</v>
      </c>
      <c r="J8" s="64">
        <f t="shared" si="53"/>
        <v>1599.9999999998238</v>
      </c>
      <c r="K8" s="58">
        <v>3.3841000000000001</v>
      </c>
      <c r="L8" s="64">
        <f t="shared" si="54"/>
        <v>2099.9999999999909</v>
      </c>
      <c r="M8" s="58">
        <v>1.9610000000000001</v>
      </c>
      <c r="N8" s="64">
        <f t="shared" si="55"/>
        <v>1800.0000000000239</v>
      </c>
      <c r="O8" s="58">
        <v>21331</v>
      </c>
      <c r="P8" s="67">
        <f t="shared" si="56"/>
        <v>31</v>
      </c>
      <c r="Q8" s="58">
        <v>2634</v>
      </c>
      <c r="R8" s="67">
        <f t="shared" si="57"/>
        <v>4</v>
      </c>
      <c r="S8" s="58">
        <v>1365</v>
      </c>
      <c r="T8" s="67">
        <f t="shared" si="58"/>
        <v>1.0999999999999091</v>
      </c>
      <c r="U8" s="58">
        <v>557209</v>
      </c>
      <c r="V8" s="67">
        <f t="shared" si="59"/>
        <v>437.80000000004657</v>
      </c>
      <c r="W8" s="58">
        <v>515.80999999999995</v>
      </c>
      <c r="X8" s="65">
        <f t="shared" si="60"/>
        <v>299.99999999995453</v>
      </c>
      <c r="Y8" s="58">
        <v>3.8361000000000001</v>
      </c>
      <c r="Z8" s="65">
        <f t="shared" si="61"/>
        <v>2699.9999999999245</v>
      </c>
      <c r="AA8" s="58">
        <v>519.75</v>
      </c>
      <c r="AB8" s="65">
        <f t="shared" si="62"/>
        <v>379.99999999999545</v>
      </c>
      <c r="AC8" s="58">
        <v>513.63</v>
      </c>
      <c r="AD8" s="65">
        <f t="shared" si="63"/>
        <v>350.00000000002274</v>
      </c>
      <c r="AE8" s="58">
        <v>767.54</v>
      </c>
      <c r="AF8" s="65">
        <f t="shared" si="64"/>
        <v>929.99999999994998</v>
      </c>
      <c r="AG8" s="58">
        <v>17867</v>
      </c>
      <c r="AH8" s="67">
        <f t="shared" si="65"/>
        <v>37</v>
      </c>
      <c r="AI8" s="58">
        <v>866.58</v>
      </c>
      <c r="AJ8" s="65">
        <f t="shared" si="66"/>
        <v>590.00000000003183</v>
      </c>
      <c r="AK8" s="58">
        <v>289.8</v>
      </c>
      <c r="AL8" s="65">
        <f t="shared" si="67"/>
        <v>199.99999999998863</v>
      </c>
      <c r="AM8" s="58">
        <v>270.12</v>
      </c>
      <c r="AN8" s="65">
        <f t="shared" si="68"/>
        <v>139.99999999998636</v>
      </c>
      <c r="AO8" s="58">
        <v>260.18</v>
      </c>
      <c r="AP8" s="65">
        <f t="shared" si="69"/>
        <v>250</v>
      </c>
      <c r="AQ8" s="58">
        <v>315.87</v>
      </c>
      <c r="AR8" s="65">
        <f t="shared" si="70"/>
        <v>129.99999999999545</v>
      </c>
      <c r="AS8" s="58">
        <v>442.06</v>
      </c>
      <c r="AT8" s="65">
        <f t="shared" si="71"/>
        <v>149.99999999997726</v>
      </c>
      <c r="AU8" s="58">
        <v>350.09</v>
      </c>
      <c r="AV8" s="65">
        <f t="shared" si="72"/>
        <v>159.99999999996817</v>
      </c>
      <c r="AW8" s="58">
        <v>379.66</v>
      </c>
      <c r="AX8" s="65">
        <f t="shared" si="73"/>
        <v>110.00000000001364</v>
      </c>
      <c r="AY8" s="58">
        <v>412.6</v>
      </c>
      <c r="AZ8" s="65">
        <f t="shared" si="80"/>
        <v>129.99999999999545</v>
      </c>
      <c r="BA8" s="58">
        <v>432.83</v>
      </c>
      <c r="BB8" s="65">
        <f t="shared" si="81"/>
        <v>39.99999999996362</v>
      </c>
      <c r="BC8" s="58">
        <v>278.3</v>
      </c>
      <c r="BD8" s="65">
        <f t="shared" si="82"/>
        <v>170.00000000001592</v>
      </c>
      <c r="BE8" s="59">
        <v>51813</v>
      </c>
      <c r="BF8" s="67">
        <f t="shared" si="83"/>
        <v>39</v>
      </c>
      <c r="BG8" s="60">
        <v>249</v>
      </c>
      <c r="BH8" s="65">
        <f t="shared" si="84"/>
        <v>39.999999999992042</v>
      </c>
      <c r="BI8" s="60">
        <v>303.64999999999998</v>
      </c>
      <c r="BJ8" s="65">
        <f t="shared" si="85"/>
        <v>29.999999999972715</v>
      </c>
      <c r="BK8" s="60">
        <v>252.52</v>
      </c>
      <c r="BL8" s="65">
        <f t="shared" si="86"/>
        <v>50.000000000011369</v>
      </c>
      <c r="BM8" s="60">
        <v>238.75</v>
      </c>
      <c r="BN8" s="65">
        <f t="shared" si="87"/>
        <v>39.999999999992042</v>
      </c>
      <c r="BO8" s="60">
        <v>306.69</v>
      </c>
      <c r="BP8" s="65">
        <f t="shared" si="88"/>
        <v>50.000000000011369</v>
      </c>
      <c r="BQ8" s="60">
        <v>57112</v>
      </c>
      <c r="BR8" s="65">
        <f t="shared" si="89"/>
        <v>36</v>
      </c>
      <c r="BS8" s="60">
        <v>216.4</v>
      </c>
      <c r="BT8" s="65">
        <f t="shared" si="90"/>
        <v>39.999999999992042</v>
      </c>
      <c r="BU8" s="60">
        <v>54799</v>
      </c>
      <c r="BV8" s="65">
        <f t="shared" si="91"/>
        <v>46</v>
      </c>
      <c r="BW8" s="60">
        <v>244.55</v>
      </c>
      <c r="BX8" s="65">
        <f t="shared" si="92"/>
        <v>40.000000000020464</v>
      </c>
      <c r="BY8" s="60">
        <v>74522</v>
      </c>
      <c r="BZ8" s="67">
        <f t="shared" si="93"/>
        <v>50</v>
      </c>
      <c r="CA8" s="60">
        <v>48976.9</v>
      </c>
      <c r="CB8" s="67">
        <f t="shared" si="94"/>
        <v>56.30000000000291</v>
      </c>
      <c r="CC8" s="60">
        <v>15859.6</v>
      </c>
      <c r="CD8" s="67">
        <f t="shared" si="95"/>
        <v>10.399999999999636</v>
      </c>
      <c r="CE8" s="60">
        <v>8191.6</v>
      </c>
      <c r="CF8" s="67">
        <f t="shared" si="96"/>
        <v>7.4000000000005457</v>
      </c>
      <c r="CG8" s="60">
        <v>75163.3</v>
      </c>
      <c r="CH8" s="67">
        <f t="shared" si="97"/>
        <v>63.900000000008731</v>
      </c>
      <c r="CI8" s="60">
        <v>1050944</v>
      </c>
      <c r="CJ8" s="67">
        <f t="shared" si="98"/>
        <v>296</v>
      </c>
      <c r="CK8" s="60">
        <v>1006.1</v>
      </c>
      <c r="CL8" s="64">
        <f t="shared" si="74"/>
        <v>899.99999999997726</v>
      </c>
      <c r="CM8" s="65">
        <f t="shared" si="75"/>
        <v>88.200000000000728</v>
      </c>
      <c r="CN8" s="62">
        <v>19</v>
      </c>
      <c r="CO8" s="62">
        <v>40</v>
      </c>
      <c r="CP8" s="68">
        <v>31743</v>
      </c>
      <c r="CQ8" s="67">
        <f t="shared" si="76"/>
        <v>77</v>
      </c>
      <c r="CR8" s="68">
        <v>21839.200000000001</v>
      </c>
      <c r="CS8" s="67">
        <f t="shared" si="76"/>
        <v>11.200000000000728</v>
      </c>
      <c r="CT8" s="75">
        <v>10431</v>
      </c>
      <c r="CU8" s="67">
        <f t="shared" si="77"/>
        <v>18</v>
      </c>
      <c r="CV8" s="68">
        <v>24679</v>
      </c>
      <c r="CW8" s="67">
        <f t="shared" si="78"/>
        <v>20</v>
      </c>
      <c r="CX8" s="58">
        <v>3176.9</v>
      </c>
      <c r="CY8" s="67">
        <f t="shared" si="79"/>
        <v>11.099999999999909</v>
      </c>
    </row>
    <row r="9" spans="1:103" ht="25.5" customHeight="1" thickBot="1" x14ac:dyDescent="0.45">
      <c r="A9" s="63">
        <v>44718</v>
      </c>
      <c r="B9" s="44"/>
      <c r="C9" s="58">
        <v>3.2654999999999998</v>
      </c>
      <c r="D9" s="64">
        <f t="shared" si="50"/>
        <v>2199.9999999997576</v>
      </c>
      <c r="E9" s="58">
        <v>4.3659999999999997</v>
      </c>
      <c r="F9" s="64">
        <f t="shared" si="51"/>
        <v>3299.9999999994143</v>
      </c>
      <c r="G9" s="58">
        <v>4.3262999999999998</v>
      </c>
      <c r="H9" s="64">
        <f t="shared" si="52"/>
        <v>3099.9999999998809</v>
      </c>
      <c r="I9" s="58">
        <v>2.1732999999999998</v>
      </c>
      <c r="J9" s="64">
        <f t="shared" si="53"/>
        <v>1599.9999999998238</v>
      </c>
      <c r="K9" s="58">
        <v>3.3860999999999999</v>
      </c>
      <c r="L9" s="64">
        <f t="shared" si="54"/>
        <v>1999.9999999997797</v>
      </c>
      <c r="M9" s="58">
        <v>1.9625999999999999</v>
      </c>
      <c r="N9" s="64">
        <f t="shared" si="55"/>
        <v>1599.9999999998238</v>
      </c>
      <c r="O9" s="58">
        <v>21360</v>
      </c>
      <c r="P9" s="67">
        <f t="shared" si="56"/>
        <v>29</v>
      </c>
      <c r="Q9" s="58">
        <v>2638</v>
      </c>
      <c r="R9" s="67">
        <f t="shared" si="57"/>
        <v>4</v>
      </c>
      <c r="S9" s="58">
        <v>1366</v>
      </c>
      <c r="T9" s="67">
        <f t="shared" si="58"/>
        <v>1</v>
      </c>
      <c r="U9" s="58">
        <v>557554.5</v>
      </c>
      <c r="V9" s="67">
        <f t="shared" si="59"/>
        <v>345.5</v>
      </c>
      <c r="W9" s="58">
        <v>516.13</v>
      </c>
      <c r="X9" s="65">
        <f t="shared" si="60"/>
        <v>320.00000000005002</v>
      </c>
      <c r="Y9" s="58">
        <v>3.8391999999999999</v>
      </c>
      <c r="Z9" s="65">
        <f t="shared" si="61"/>
        <v>3099.9999999998809</v>
      </c>
      <c r="AA9" s="58">
        <v>520.13</v>
      </c>
      <c r="AB9" s="65">
        <f t="shared" si="62"/>
        <v>379.99999999999545</v>
      </c>
      <c r="AC9" s="58">
        <v>513.98</v>
      </c>
      <c r="AD9" s="65">
        <f t="shared" si="63"/>
        <v>350.00000000002274</v>
      </c>
      <c r="AE9" s="58">
        <v>768.25</v>
      </c>
      <c r="AF9" s="65">
        <f t="shared" si="64"/>
        <v>710.00000000003638</v>
      </c>
      <c r="AG9" s="58">
        <v>17905</v>
      </c>
      <c r="AH9" s="67">
        <f t="shared" si="65"/>
        <v>38</v>
      </c>
      <c r="AI9" s="58">
        <v>867.22</v>
      </c>
      <c r="AJ9" s="65">
        <f t="shared" si="66"/>
        <v>639.99999999998636</v>
      </c>
      <c r="AK9" s="58">
        <v>289.95</v>
      </c>
      <c r="AL9" s="65">
        <f t="shared" si="67"/>
        <v>149.99999999997726</v>
      </c>
      <c r="AM9" s="58">
        <v>270.26</v>
      </c>
      <c r="AN9" s="65">
        <f t="shared" si="68"/>
        <v>139.99999999998636</v>
      </c>
      <c r="AO9" s="58">
        <v>260.39999999999998</v>
      </c>
      <c r="AP9" s="65">
        <f t="shared" si="69"/>
        <v>219.99999999997044</v>
      </c>
      <c r="AQ9" s="58">
        <v>315.97000000000003</v>
      </c>
      <c r="AR9" s="65">
        <f t="shared" si="70"/>
        <v>100.00000000002274</v>
      </c>
      <c r="AS9" s="58">
        <v>442.16</v>
      </c>
      <c r="AT9" s="65">
        <f t="shared" si="71"/>
        <v>100.00000000002274</v>
      </c>
      <c r="AU9" s="58">
        <v>350.26</v>
      </c>
      <c r="AV9" s="65">
        <f t="shared" si="72"/>
        <v>170.00000000001592</v>
      </c>
      <c r="AW9" s="58">
        <v>379.77</v>
      </c>
      <c r="AX9" s="65">
        <f t="shared" si="73"/>
        <v>109.9999999999568</v>
      </c>
      <c r="AY9" s="58">
        <v>412.71</v>
      </c>
      <c r="AZ9" s="65">
        <f t="shared" si="80"/>
        <v>109.9999999999568</v>
      </c>
      <c r="BA9" s="58">
        <v>432.95</v>
      </c>
      <c r="BB9" s="65">
        <f t="shared" si="81"/>
        <v>120.00000000000455</v>
      </c>
      <c r="BC9" s="58">
        <v>278.47000000000003</v>
      </c>
      <c r="BD9" s="65">
        <f t="shared" si="82"/>
        <v>170.00000000001592</v>
      </c>
      <c r="BE9" s="59">
        <v>51834</v>
      </c>
      <c r="BF9" s="67">
        <f t="shared" si="83"/>
        <v>21</v>
      </c>
      <c r="BG9" s="60">
        <v>249.02</v>
      </c>
      <c r="BH9" s="65">
        <f t="shared" si="84"/>
        <v>20.000000000010232</v>
      </c>
      <c r="BI9" s="60">
        <v>303.68</v>
      </c>
      <c r="BJ9" s="65">
        <f t="shared" si="85"/>
        <v>30.000000000029559</v>
      </c>
      <c r="BK9" s="60">
        <v>252.56</v>
      </c>
      <c r="BL9" s="65">
        <f t="shared" si="86"/>
        <v>39.999999999992042</v>
      </c>
      <c r="BM9" s="60">
        <v>238.8</v>
      </c>
      <c r="BN9" s="65">
        <f t="shared" si="87"/>
        <v>50.000000000011369</v>
      </c>
      <c r="BO9" s="60">
        <v>306.74</v>
      </c>
      <c r="BP9" s="65">
        <f t="shared" si="88"/>
        <v>50.000000000011369</v>
      </c>
      <c r="BQ9" s="60">
        <v>57146</v>
      </c>
      <c r="BR9" s="65">
        <f t="shared" si="89"/>
        <v>34</v>
      </c>
      <c r="BS9" s="60">
        <v>216.44</v>
      </c>
      <c r="BT9" s="65">
        <f t="shared" si="90"/>
        <v>39.999999999992042</v>
      </c>
      <c r="BU9" s="60">
        <v>54832</v>
      </c>
      <c r="BV9" s="65">
        <f t="shared" si="91"/>
        <v>33</v>
      </c>
      <c r="BW9" s="60">
        <v>244.59</v>
      </c>
      <c r="BX9" s="65">
        <f t="shared" si="92"/>
        <v>39.999999999992042</v>
      </c>
      <c r="BY9" s="60">
        <v>74568</v>
      </c>
      <c r="BZ9" s="67">
        <f t="shared" si="93"/>
        <v>46</v>
      </c>
      <c r="CA9" s="60">
        <v>49031.3</v>
      </c>
      <c r="CB9" s="67">
        <f t="shared" si="94"/>
        <v>54.400000000001455</v>
      </c>
      <c r="CC9" s="60">
        <v>15870.3</v>
      </c>
      <c r="CD9" s="67">
        <f t="shared" si="95"/>
        <v>10.699999999998909</v>
      </c>
      <c r="CE9" s="60">
        <v>8195.2999999999993</v>
      </c>
      <c r="CF9" s="67">
        <f t="shared" si="96"/>
        <v>3.6999999999989086</v>
      </c>
      <c r="CG9" s="60">
        <v>75213.8</v>
      </c>
      <c r="CH9" s="67">
        <f t="shared" si="97"/>
        <v>50.5</v>
      </c>
      <c r="CI9" s="60">
        <v>1051225</v>
      </c>
      <c r="CJ9" s="67">
        <f t="shared" si="98"/>
        <v>281</v>
      </c>
      <c r="CK9" s="60">
        <v>1007</v>
      </c>
      <c r="CL9" s="64">
        <f t="shared" si="74"/>
        <v>899.99999999997726</v>
      </c>
      <c r="CM9" s="65">
        <f t="shared" si="75"/>
        <v>95.5</v>
      </c>
      <c r="CN9" s="62">
        <v>19</v>
      </c>
      <c r="CO9" s="62">
        <v>40</v>
      </c>
      <c r="CP9" s="68">
        <v>31819</v>
      </c>
      <c r="CQ9" s="67">
        <f t="shared" si="76"/>
        <v>76</v>
      </c>
      <c r="CR9" s="68">
        <v>21858.7</v>
      </c>
      <c r="CS9" s="67">
        <f t="shared" si="76"/>
        <v>19.5</v>
      </c>
      <c r="CT9" s="75">
        <v>10441</v>
      </c>
      <c r="CU9" s="67">
        <f t="shared" si="77"/>
        <v>10</v>
      </c>
      <c r="CV9" s="68">
        <v>24700</v>
      </c>
      <c r="CW9" s="67">
        <f t="shared" si="78"/>
        <v>21</v>
      </c>
      <c r="CX9" s="58">
        <v>3187.5</v>
      </c>
      <c r="CY9" s="67">
        <f t="shared" si="79"/>
        <v>10.599999999999909</v>
      </c>
    </row>
    <row r="10" spans="1:103" ht="25.5" customHeight="1" thickBot="1" x14ac:dyDescent="0.45">
      <c r="A10" s="63">
        <v>44719</v>
      </c>
      <c r="B10" s="44"/>
      <c r="C10" s="58">
        <v>3.2677999999999998</v>
      </c>
      <c r="D10" s="64">
        <f t="shared" si="50"/>
        <v>2299.9999999999686</v>
      </c>
      <c r="E10" s="58">
        <v>4.3693</v>
      </c>
      <c r="F10" s="64">
        <f t="shared" si="51"/>
        <v>3300.0000000003029</v>
      </c>
      <c r="G10" s="58">
        <v>4.3295000000000003</v>
      </c>
      <c r="H10" s="64">
        <f t="shared" si="52"/>
        <v>3200.0000000005357</v>
      </c>
      <c r="I10" s="58">
        <v>2.1747999999999998</v>
      </c>
      <c r="J10" s="64">
        <f t="shared" si="53"/>
        <v>1500.0000000000568</v>
      </c>
      <c r="K10" s="58">
        <v>3.3881999999999999</v>
      </c>
      <c r="L10" s="64">
        <f t="shared" si="54"/>
        <v>2099.9999999999909</v>
      </c>
      <c r="M10" s="58">
        <v>1.964</v>
      </c>
      <c r="N10" s="64">
        <f t="shared" si="55"/>
        <v>1400.0000000000678</v>
      </c>
      <c r="O10" s="58">
        <v>21390</v>
      </c>
      <c r="P10" s="67">
        <f t="shared" si="56"/>
        <v>30</v>
      </c>
      <c r="Q10" s="58">
        <v>2642</v>
      </c>
      <c r="R10" s="67">
        <f t="shared" si="57"/>
        <v>4</v>
      </c>
      <c r="S10" s="58">
        <v>1367</v>
      </c>
      <c r="T10" s="67">
        <f t="shared" si="58"/>
        <v>1</v>
      </c>
      <c r="U10" s="58">
        <v>557998.80000000005</v>
      </c>
      <c r="V10" s="67">
        <f t="shared" si="59"/>
        <v>444.30000000004657</v>
      </c>
      <c r="W10" s="58">
        <v>516.45000000000005</v>
      </c>
      <c r="X10" s="65">
        <f t="shared" si="60"/>
        <v>320.00000000005002</v>
      </c>
      <c r="Y10" s="58">
        <v>3.8420999999999998</v>
      </c>
      <c r="Z10" s="65">
        <f t="shared" si="61"/>
        <v>2899.9999999999027</v>
      </c>
      <c r="AA10" s="58">
        <v>520.36</v>
      </c>
      <c r="AB10" s="65">
        <f t="shared" si="62"/>
        <v>230.00000000001819</v>
      </c>
      <c r="AC10" s="58">
        <v>514.32000000000005</v>
      </c>
      <c r="AD10" s="65">
        <f t="shared" si="63"/>
        <v>340.00000000003183</v>
      </c>
      <c r="AE10" s="58">
        <v>769.03</v>
      </c>
      <c r="AF10" s="65">
        <f t="shared" si="64"/>
        <v>779.99999999997272</v>
      </c>
      <c r="AG10" s="58">
        <v>17942</v>
      </c>
      <c r="AH10" s="67">
        <f t="shared" si="65"/>
        <v>37</v>
      </c>
      <c r="AI10" s="58">
        <v>867.87</v>
      </c>
      <c r="AJ10" s="65">
        <f t="shared" si="66"/>
        <v>649.99999999997726</v>
      </c>
      <c r="AK10" s="58">
        <v>290.12</v>
      </c>
      <c r="AL10" s="65">
        <f t="shared" si="67"/>
        <v>170.00000000001592</v>
      </c>
      <c r="AM10" s="58">
        <v>270.41000000000003</v>
      </c>
      <c r="AN10" s="65">
        <f t="shared" si="68"/>
        <v>150.00000000003411</v>
      </c>
      <c r="AO10" s="58">
        <v>260.62</v>
      </c>
      <c r="AP10" s="65">
        <f t="shared" si="69"/>
        <v>220.00000000002728</v>
      </c>
      <c r="AQ10" s="58">
        <v>316.07</v>
      </c>
      <c r="AR10" s="65">
        <f t="shared" si="70"/>
        <v>99.999999999965894</v>
      </c>
      <c r="AS10" s="58">
        <v>442.27</v>
      </c>
      <c r="AT10" s="65">
        <f t="shared" si="71"/>
        <v>109.9999999999568</v>
      </c>
      <c r="AU10" s="58">
        <v>350.43</v>
      </c>
      <c r="AV10" s="65">
        <f t="shared" si="72"/>
        <v>170.00000000001592</v>
      </c>
      <c r="AW10" s="58">
        <v>379.89</v>
      </c>
      <c r="AX10" s="65">
        <f t="shared" si="73"/>
        <v>120.00000000000455</v>
      </c>
      <c r="AY10" s="58">
        <v>412.82</v>
      </c>
      <c r="AZ10" s="65">
        <f t="shared" si="80"/>
        <v>110.00000000001364</v>
      </c>
      <c r="BA10" s="58">
        <v>433.06</v>
      </c>
      <c r="BB10" s="65">
        <f t="shared" si="81"/>
        <v>110.00000000001364</v>
      </c>
      <c r="BC10" s="58">
        <v>278.63</v>
      </c>
      <c r="BD10" s="65">
        <f t="shared" si="82"/>
        <v>159.99999999996817</v>
      </c>
      <c r="BE10" s="59">
        <v>51857</v>
      </c>
      <c r="BF10" s="67">
        <f t="shared" si="83"/>
        <v>23</v>
      </c>
      <c r="BG10" s="60">
        <v>249.06</v>
      </c>
      <c r="BH10" s="65">
        <f t="shared" si="84"/>
        <v>39.999999999992042</v>
      </c>
      <c r="BI10" s="60">
        <v>303.72000000000003</v>
      </c>
      <c r="BJ10" s="65">
        <f t="shared" si="85"/>
        <v>40.000000000020464</v>
      </c>
      <c r="BK10" s="60">
        <v>252.61</v>
      </c>
      <c r="BL10" s="65">
        <f t="shared" si="86"/>
        <v>50.000000000011369</v>
      </c>
      <c r="BM10" s="60">
        <v>238.84</v>
      </c>
      <c r="BN10" s="65">
        <f t="shared" si="87"/>
        <v>39.999999999992042</v>
      </c>
      <c r="BO10" s="60">
        <v>306.79000000000002</v>
      </c>
      <c r="BP10" s="65">
        <f t="shared" si="88"/>
        <v>50.000000000011369</v>
      </c>
      <c r="BQ10" s="60">
        <v>57182</v>
      </c>
      <c r="BR10" s="65">
        <f t="shared" si="89"/>
        <v>36</v>
      </c>
      <c r="BS10" s="60">
        <v>216.49</v>
      </c>
      <c r="BT10" s="65">
        <f t="shared" si="90"/>
        <v>50.000000000011369</v>
      </c>
      <c r="BU10" s="60">
        <v>54872</v>
      </c>
      <c r="BV10" s="65">
        <f t="shared" si="91"/>
        <v>40</v>
      </c>
      <c r="BW10" s="60">
        <v>244.63</v>
      </c>
      <c r="BX10" s="65">
        <f t="shared" si="92"/>
        <v>39.999999999992042</v>
      </c>
      <c r="BY10" s="60">
        <v>74616</v>
      </c>
      <c r="BZ10" s="67">
        <f t="shared" si="93"/>
        <v>48</v>
      </c>
      <c r="CA10" s="60">
        <v>49075.1</v>
      </c>
      <c r="CB10" s="67">
        <f t="shared" si="94"/>
        <v>43.799999999995634</v>
      </c>
      <c r="CC10" s="60">
        <v>15880</v>
      </c>
      <c r="CD10" s="67">
        <f t="shared" si="95"/>
        <v>9.7000000000007276</v>
      </c>
      <c r="CE10" s="60">
        <v>8200</v>
      </c>
      <c r="CF10" s="67">
        <f t="shared" si="96"/>
        <v>4.7000000000007276</v>
      </c>
      <c r="CG10" s="60">
        <v>75259.100000000006</v>
      </c>
      <c r="CH10" s="67">
        <f t="shared" si="97"/>
        <v>45.30000000000291</v>
      </c>
      <c r="CI10" s="60">
        <v>1051512</v>
      </c>
      <c r="CJ10" s="67">
        <f t="shared" si="98"/>
        <v>287</v>
      </c>
      <c r="CK10" s="60">
        <v>1008.1</v>
      </c>
      <c r="CL10" s="64">
        <f t="shared" si="74"/>
        <v>1100.0000000000227</v>
      </c>
      <c r="CM10" s="65">
        <f t="shared" si="75"/>
        <v>80.5</v>
      </c>
      <c r="CN10" s="62">
        <v>19</v>
      </c>
      <c r="CO10" s="62">
        <v>40</v>
      </c>
      <c r="CP10" s="68">
        <v>31885</v>
      </c>
      <c r="CQ10" s="67">
        <f t="shared" si="76"/>
        <v>66</v>
      </c>
      <c r="CR10" s="68">
        <v>21873.200000000001</v>
      </c>
      <c r="CS10" s="67">
        <f t="shared" si="76"/>
        <v>14.5</v>
      </c>
      <c r="CT10" s="75">
        <v>10450</v>
      </c>
      <c r="CU10" s="67">
        <f t="shared" si="77"/>
        <v>9</v>
      </c>
      <c r="CV10" s="68">
        <v>24724</v>
      </c>
      <c r="CW10" s="67">
        <f t="shared" si="78"/>
        <v>24</v>
      </c>
      <c r="CX10" s="58">
        <v>3198.6</v>
      </c>
      <c r="CY10" s="67">
        <f t="shared" si="79"/>
        <v>11.099999999999909</v>
      </c>
    </row>
    <row r="11" spans="1:103" ht="25.5" customHeight="1" thickBot="1" x14ac:dyDescent="0.45">
      <c r="A11" s="63">
        <v>44720</v>
      </c>
      <c r="B11" s="44"/>
      <c r="C11" s="58">
        <v>3.2700999999999998</v>
      </c>
      <c r="D11" s="64">
        <f t="shared" si="50"/>
        <v>2299.9999999999686</v>
      </c>
      <c r="E11" s="58">
        <v>4.3724999999999996</v>
      </c>
      <c r="F11" s="64">
        <f t="shared" si="51"/>
        <v>3199.9999999996476</v>
      </c>
      <c r="G11" s="58">
        <v>4.3327999999999998</v>
      </c>
      <c r="H11" s="64">
        <f t="shared" si="52"/>
        <v>3299.9999999994143</v>
      </c>
      <c r="I11" s="58">
        <v>2.1764999999999999</v>
      </c>
      <c r="J11" s="64">
        <f t="shared" si="53"/>
        <v>1700.0000000000348</v>
      </c>
      <c r="K11" s="58">
        <v>3.3902000000000001</v>
      </c>
      <c r="L11" s="64">
        <f t="shared" si="54"/>
        <v>2000.0000000002237</v>
      </c>
      <c r="M11" s="58">
        <v>1.9656</v>
      </c>
      <c r="N11" s="64">
        <f t="shared" si="55"/>
        <v>1600.0000000000459</v>
      </c>
      <c r="O11" s="58">
        <v>21419</v>
      </c>
      <c r="P11" s="67">
        <f t="shared" si="56"/>
        <v>29</v>
      </c>
      <c r="Q11" s="58">
        <v>2646</v>
      </c>
      <c r="R11" s="67">
        <f t="shared" si="57"/>
        <v>4</v>
      </c>
      <c r="S11" s="58">
        <v>1368.1</v>
      </c>
      <c r="T11" s="67">
        <f t="shared" si="58"/>
        <v>1.0999999999999091</v>
      </c>
      <c r="U11" s="58">
        <v>558453.80000000005</v>
      </c>
      <c r="V11" s="67">
        <f t="shared" si="59"/>
        <v>455</v>
      </c>
      <c r="W11" s="58">
        <v>516.83000000000004</v>
      </c>
      <c r="X11" s="65">
        <f t="shared" si="60"/>
        <v>379.99999999999545</v>
      </c>
      <c r="Y11" s="58">
        <v>3.8449</v>
      </c>
      <c r="Z11" s="65">
        <f t="shared" si="61"/>
        <v>2800.0000000001355</v>
      </c>
      <c r="AA11" s="58">
        <v>520.72</v>
      </c>
      <c r="AB11" s="65">
        <f t="shared" si="62"/>
        <v>360.00000000001364</v>
      </c>
      <c r="AC11" s="58">
        <v>514.67999999999995</v>
      </c>
      <c r="AD11" s="65">
        <f t="shared" si="63"/>
        <v>359.99999999989996</v>
      </c>
      <c r="AE11" s="58">
        <v>769.8</v>
      </c>
      <c r="AF11" s="65">
        <f t="shared" si="64"/>
        <v>769.99999999998181</v>
      </c>
      <c r="AG11" s="58">
        <v>17975</v>
      </c>
      <c r="AH11" s="67">
        <f t="shared" si="65"/>
        <v>33</v>
      </c>
      <c r="AI11" s="58">
        <v>868.57</v>
      </c>
      <c r="AJ11" s="65">
        <f t="shared" si="66"/>
        <v>700.00000000004547</v>
      </c>
      <c r="AK11" s="58">
        <v>290.3</v>
      </c>
      <c r="AL11" s="65">
        <f t="shared" si="67"/>
        <v>180.00000000000682</v>
      </c>
      <c r="AM11" s="58">
        <v>270.56</v>
      </c>
      <c r="AN11" s="65">
        <f t="shared" si="68"/>
        <v>149.99999999997726</v>
      </c>
      <c r="AO11" s="58">
        <v>260.86</v>
      </c>
      <c r="AP11" s="65">
        <f t="shared" si="69"/>
        <v>240.00000000000909</v>
      </c>
      <c r="AQ11" s="58">
        <v>316.16000000000003</v>
      </c>
      <c r="AR11" s="65">
        <f t="shared" si="70"/>
        <v>90.000000000031832</v>
      </c>
      <c r="AS11" s="58">
        <v>442.38</v>
      </c>
      <c r="AT11" s="65">
        <f t="shared" si="71"/>
        <v>110.00000000001364</v>
      </c>
      <c r="AU11" s="58">
        <v>350.57</v>
      </c>
      <c r="AV11" s="65">
        <f t="shared" si="72"/>
        <v>139.99999999998636</v>
      </c>
      <c r="AW11" s="58">
        <v>379.99</v>
      </c>
      <c r="AX11" s="65">
        <f t="shared" si="73"/>
        <v>100.00000000002274</v>
      </c>
      <c r="AY11" s="58">
        <v>412.94</v>
      </c>
      <c r="AZ11" s="65">
        <f t="shared" si="80"/>
        <v>120.00000000000455</v>
      </c>
      <c r="BA11" s="58">
        <v>433.18</v>
      </c>
      <c r="BB11" s="65">
        <f t="shared" si="81"/>
        <v>120.00000000000455</v>
      </c>
      <c r="BC11" s="58">
        <v>278.79000000000002</v>
      </c>
      <c r="BD11" s="65">
        <f t="shared" si="82"/>
        <v>160.00000000002501</v>
      </c>
      <c r="BE11" s="59">
        <v>51886</v>
      </c>
      <c r="BF11" s="67">
        <f t="shared" si="83"/>
        <v>29</v>
      </c>
      <c r="BG11" s="60">
        <v>249.09</v>
      </c>
      <c r="BH11" s="65">
        <f t="shared" si="84"/>
        <v>30.000000000001137</v>
      </c>
      <c r="BI11" s="60">
        <v>303.75</v>
      </c>
      <c r="BJ11" s="65">
        <f t="shared" si="85"/>
        <v>29.999999999972715</v>
      </c>
      <c r="BK11" s="60">
        <v>252.66</v>
      </c>
      <c r="BL11" s="65">
        <f t="shared" si="86"/>
        <v>49.999999999982947</v>
      </c>
      <c r="BM11" s="60">
        <v>238.88</v>
      </c>
      <c r="BN11" s="65">
        <f t="shared" si="87"/>
        <v>39.999999999992042</v>
      </c>
      <c r="BO11" s="60">
        <v>306.83999999999997</v>
      </c>
      <c r="BP11" s="65">
        <f t="shared" si="88"/>
        <v>49.999999999954525</v>
      </c>
      <c r="BQ11" s="60">
        <v>57216</v>
      </c>
      <c r="BR11" s="65">
        <f t="shared" si="89"/>
        <v>34</v>
      </c>
      <c r="BS11" s="60">
        <v>216.54</v>
      </c>
      <c r="BT11" s="65">
        <f t="shared" si="90"/>
        <v>49.999999999982947</v>
      </c>
      <c r="BU11" s="60">
        <v>54907</v>
      </c>
      <c r="BV11" s="65">
        <f t="shared" si="91"/>
        <v>35</v>
      </c>
      <c r="BW11" s="60">
        <v>244.67</v>
      </c>
      <c r="BX11" s="65">
        <f t="shared" si="92"/>
        <v>39.999999999992042</v>
      </c>
      <c r="BY11" s="60">
        <v>74662</v>
      </c>
      <c r="BZ11" s="67">
        <f t="shared" si="93"/>
        <v>46</v>
      </c>
      <c r="CA11" s="60">
        <v>49123</v>
      </c>
      <c r="CB11" s="67">
        <f t="shared" si="94"/>
        <v>47.900000000001455</v>
      </c>
      <c r="CC11" s="60">
        <v>15892.1</v>
      </c>
      <c r="CD11" s="67">
        <f t="shared" si="95"/>
        <v>12.100000000000364</v>
      </c>
      <c r="CE11" s="60">
        <v>8202</v>
      </c>
      <c r="CF11" s="67">
        <f t="shared" si="96"/>
        <v>2</v>
      </c>
      <c r="CG11" s="60">
        <v>75311.100000000006</v>
      </c>
      <c r="CH11" s="67">
        <f t="shared" si="97"/>
        <v>52</v>
      </c>
      <c r="CI11" s="60">
        <v>1051800</v>
      </c>
      <c r="CJ11" s="67">
        <f t="shared" si="98"/>
        <v>288</v>
      </c>
      <c r="CK11" s="60">
        <v>1009</v>
      </c>
      <c r="CL11" s="64">
        <f t="shared" si="74"/>
        <v>899.99999999997726</v>
      </c>
      <c r="CM11" s="65">
        <f t="shared" si="75"/>
        <v>98.5</v>
      </c>
      <c r="CN11" s="62">
        <v>19</v>
      </c>
      <c r="CO11" s="62">
        <v>40</v>
      </c>
      <c r="CP11" s="68">
        <v>31963</v>
      </c>
      <c r="CQ11" s="67">
        <f t="shared" si="76"/>
        <v>78</v>
      </c>
      <c r="CR11" s="68">
        <v>21893.7</v>
      </c>
      <c r="CS11" s="67">
        <f t="shared" si="76"/>
        <v>20.5</v>
      </c>
      <c r="CT11" s="75">
        <v>10462</v>
      </c>
      <c r="CU11" s="67">
        <f t="shared" si="77"/>
        <v>12</v>
      </c>
      <c r="CV11" s="68">
        <v>24752</v>
      </c>
      <c r="CW11" s="67">
        <f t="shared" si="78"/>
        <v>28</v>
      </c>
      <c r="CX11" s="58">
        <v>3209.8</v>
      </c>
      <c r="CY11" s="67">
        <f t="shared" si="79"/>
        <v>11.200000000000273</v>
      </c>
    </row>
    <row r="12" spans="1:103" ht="25.5" customHeight="1" thickBot="1" x14ac:dyDescent="0.45">
      <c r="A12" s="63">
        <v>44721</v>
      </c>
      <c r="B12" s="44"/>
      <c r="C12" s="58">
        <v>3.2725</v>
      </c>
      <c r="D12" s="64">
        <f t="shared" si="50"/>
        <v>2400.0000000001796</v>
      </c>
      <c r="E12" s="58">
        <v>4.3756000000000004</v>
      </c>
      <c r="F12" s="64">
        <f t="shared" si="51"/>
        <v>3100.000000000769</v>
      </c>
      <c r="G12" s="58">
        <v>4.3360000000000003</v>
      </c>
      <c r="H12" s="64">
        <f t="shared" si="52"/>
        <v>3200.0000000005357</v>
      </c>
      <c r="I12" s="58">
        <v>2.1781000000000001</v>
      </c>
      <c r="J12" s="64">
        <f t="shared" si="53"/>
        <v>1600.0000000002678</v>
      </c>
      <c r="K12" s="58">
        <v>3.3923000000000001</v>
      </c>
      <c r="L12" s="64">
        <f t="shared" si="54"/>
        <v>2099.9999999999909</v>
      </c>
      <c r="M12" s="58">
        <v>1.9673</v>
      </c>
      <c r="N12" s="64">
        <f t="shared" si="55"/>
        <v>1700.0000000000348</v>
      </c>
      <c r="O12" s="58">
        <v>21448</v>
      </c>
      <c r="P12" s="67">
        <f t="shared" si="56"/>
        <v>29</v>
      </c>
      <c r="Q12" s="58">
        <v>2650</v>
      </c>
      <c r="R12" s="67">
        <f t="shared" si="57"/>
        <v>4</v>
      </c>
      <c r="S12" s="58">
        <v>1369.2</v>
      </c>
      <c r="T12" s="67">
        <f t="shared" si="58"/>
        <v>1.1000000000001364</v>
      </c>
      <c r="U12" s="58">
        <v>558805</v>
      </c>
      <c r="V12" s="67">
        <f t="shared" si="59"/>
        <v>351.19999999995343</v>
      </c>
      <c r="W12" s="58">
        <v>517.19000000000005</v>
      </c>
      <c r="X12" s="65">
        <f t="shared" si="60"/>
        <v>360.00000000001364</v>
      </c>
      <c r="Y12" s="58">
        <v>3.8477000000000001</v>
      </c>
      <c r="Z12" s="65">
        <f t="shared" si="61"/>
        <v>2800.0000000001355</v>
      </c>
      <c r="AA12" s="58">
        <v>521.04</v>
      </c>
      <c r="AB12" s="65">
        <f t="shared" si="62"/>
        <v>319.99999999993634</v>
      </c>
      <c r="AC12" s="58">
        <v>515.14</v>
      </c>
      <c r="AD12" s="65">
        <f t="shared" si="63"/>
        <v>460.00000000003638</v>
      </c>
      <c r="AE12" s="58">
        <v>770.63</v>
      </c>
      <c r="AF12" s="65">
        <f t="shared" si="64"/>
        <v>830.00000000004093</v>
      </c>
      <c r="AG12" s="58">
        <v>18010</v>
      </c>
      <c r="AH12" s="67">
        <f t="shared" si="65"/>
        <v>35</v>
      </c>
      <c r="AI12" s="58">
        <v>869.27</v>
      </c>
      <c r="AJ12" s="65">
        <f t="shared" si="66"/>
        <v>699.99999999993179</v>
      </c>
      <c r="AK12" s="58">
        <v>290.57</v>
      </c>
      <c r="AL12" s="65">
        <f t="shared" si="67"/>
        <v>269.99999999998181</v>
      </c>
      <c r="AM12" s="58">
        <v>270.68</v>
      </c>
      <c r="AN12" s="65">
        <f t="shared" si="68"/>
        <v>120.00000000000455</v>
      </c>
      <c r="AO12" s="58">
        <v>261.10000000000002</v>
      </c>
      <c r="AP12" s="65">
        <f t="shared" si="69"/>
        <v>240.00000000000909</v>
      </c>
      <c r="AQ12" s="58">
        <v>316.27999999999997</v>
      </c>
      <c r="AR12" s="65">
        <f t="shared" si="70"/>
        <v>119.9999999999477</v>
      </c>
      <c r="AS12" s="58">
        <v>442.47</v>
      </c>
      <c r="AT12" s="65">
        <f t="shared" si="71"/>
        <v>90.000000000031832</v>
      </c>
      <c r="AU12" s="58">
        <v>350.72</v>
      </c>
      <c r="AV12" s="65">
        <f t="shared" si="72"/>
        <v>150.00000000003411</v>
      </c>
      <c r="AW12" s="58">
        <v>380.12</v>
      </c>
      <c r="AX12" s="65">
        <f t="shared" si="73"/>
        <v>129.99999999999545</v>
      </c>
      <c r="AY12" s="58">
        <v>413.06</v>
      </c>
      <c r="AZ12" s="65">
        <f t="shared" si="80"/>
        <v>120.00000000000455</v>
      </c>
      <c r="BA12" s="58">
        <v>433.3</v>
      </c>
      <c r="BB12" s="65">
        <f t="shared" si="81"/>
        <v>120.00000000000455</v>
      </c>
      <c r="BC12" s="58">
        <v>278.95</v>
      </c>
      <c r="BD12" s="65">
        <f t="shared" si="82"/>
        <v>159.99999999996817</v>
      </c>
      <c r="BE12" s="59">
        <v>51913</v>
      </c>
      <c r="BF12" s="67">
        <f t="shared" si="83"/>
        <v>27</v>
      </c>
      <c r="BG12" s="60">
        <v>249.13</v>
      </c>
      <c r="BH12" s="65">
        <f t="shared" si="84"/>
        <v>39.999999999992042</v>
      </c>
      <c r="BI12" s="60">
        <v>303.79000000000002</v>
      </c>
      <c r="BJ12" s="65">
        <f t="shared" si="85"/>
        <v>40.000000000020464</v>
      </c>
      <c r="BK12" s="60">
        <v>252.71</v>
      </c>
      <c r="BL12" s="65">
        <f t="shared" si="86"/>
        <v>50.000000000011369</v>
      </c>
      <c r="BM12" s="60">
        <v>238.91</v>
      </c>
      <c r="BN12" s="65">
        <f t="shared" si="87"/>
        <v>30.000000000001137</v>
      </c>
      <c r="BO12" s="60">
        <v>306.89</v>
      </c>
      <c r="BP12" s="65">
        <f t="shared" si="88"/>
        <v>50.000000000011369</v>
      </c>
      <c r="BQ12" s="60">
        <v>57253</v>
      </c>
      <c r="BR12" s="65">
        <f t="shared" si="89"/>
        <v>37</v>
      </c>
      <c r="BS12" s="60">
        <v>216.58</v>
      </c>
      <c r="BT12" s="65">
        <f t="shared" si="90"/>
        <v>40.000000000020464</v>
      </c>
      <c r="BU12" s="60">
        <v>54945</v>
      </c>
      <c r="BV12" s="65">
        <f t="shared" si="91"/>
        <v>38</v>
      </c>
      <c r="BW12" s="60">
        <v>244.7</v>
      </c>
      <c r="BX12" s="65">
        <f t="shared" si="92"/>
        <v>30.000000000001137</v>
      </c>
      <c r="BY12" s="60">
        <v>74709</v>
      </c>
      <c r="BZ12" s="67">
        <f t="shared" si="93"/>
        <v>47</v>
      </c>
      <c r="CA12" s="60">
        <v>49161.5</v>
      </c>
      <c r="CB12" s="67">
        <f t="shared" si="94"/>
        <v>38.5</v>
      </c>
      <c r="CC12" s="60">
        <v>15901.7</v>
      </c>
      <c r="CD12" s="67">
        <f t="shared" si="95"/>
        <v>9.6000000000003638</v>
      </c>
      <c r="CE12" s="60">
        <v>8205.4</v>
      </c>
      <c r="CF12" s="67">
        <f t="shared" si="96"/>
        <v>3.3999999999996362</v>
      </c>
      <c r="CG12" s="60">
        <v>75356.899999999994</v>
      </c>
      <c r="CH12" s="67">
        <f t="shared" si="97"/>
        <v>45.799999999988358</v>
      </c>
      <c r="CI12" s="60">
        <v>1052089</v>
      </c>
      <c r="CJ12" s="67">
        <f t="shared" si="98"/>
        <v>289</v>
      </c>
      <c r="CK12" s="60">
        <v>1010</v>
      </c>
      <c r="CL12" s="64">
        <f t="shared" si="74"/>
        <v>1000</v>
      </c>
      <c r="CM12" s="65">
        <f t="shared" si="75"/>
        <v>103.5</v>
      </c>
      <c r="CN12" s="62">
        <v>19</v>
      </c>
      <c r="CO12" s="62">
        <v>40</v>
      </c>
      <c r="CP12" s="68">
        <v>32042</v>
      </c>
      <c r="CQ12" s="67">
        <f t="shared" si="76"/>
        <v>79</v>
      </c>
      <c r="CR12" s="68">
        <v>21918.2</v>
      </c>
      <c r="CS12" s="67">
        <f t="shared" si="76"/>
        <v>24.5</v>
      </c>
      <c r="CT12" s="75">
        <v>10471</v>
      </c>
      <c r="CU12" s="67">
        <f t="shared" si="77"/>
        <v>9</v>
      </c>
      <c r="CV12" s="68">
        <v>24772</v>
      </c>
      <c r="CW12" s="67">
        <f t="shared" si="78"/>
        <v>20</v>
      </c>
      <c r="CX12" s="58">
        <v>3221.1</v>
      </c>
      <c r="CY12" s="67">
        <f t="shared" si="79"/>
        <v>11.299999999999727</v>
      </c>
    </row>
    <row r="13" spans="1:103" ht="25.5" customHeight="1" thickBot="1" x14ac:dyDescent="0.45">
      <c r="A13" s="63">
        <v>44722</v>
      </c>
      <c r="B13" s="44"/>
      <c r="C13" s="58">
        <v>3.2749999999999999</v>
      </c>
      <c r="D13" s="64">
        <f t="shared" si="50"/>
        <v>2499.9999999999468</v>
      </c>
      <c r="E13" s="58">
        <v>4.3788999999999998</v>
      </c>
      <c r="F13" s="64">
        <f t="shared" si="51"/>
        <v>3299.9999999994143</v>
      </c>
      <c r="G13" s="58">
        <v>4.3390000000000004</v>
      </c>
      <c r="H13" s="64">
        <f t="shared" si="52"/>
        <v>3000.0000000001137</v>
      </c>
      <c r="I13" s="58">
        <v>2.1797</v>
      </c>
      <c r="J13" s="64">
        <f t="shared" si="53"/>
        <v>1599.9999999998238</v>
      </c>
      <c r="K13" s="58">
        <v>3.3944000000000001</v>
      </c>
      <c r="L13" s="64">
        <f t="shared" si="54"/>
        <v>2099.9999999999909</v>
      </c>
      <c r="M13" s="58">
        <v>1.9690000000000001</v>
      </c>
      <c r="N13" s="64">
        <f t="shared" si="55"/>
        <v>1700.0000000000348</v>
      </c>
      <c r="O13" s="58">
        <v>21476</v>
      </c>
      <c r="P13" s="67">
        <f t="shared" si="56"/>
        <v>28</v>
      </c>
      <c r="Q13" s="58">
        <v>2654</v>
      </c>
      <c r="R13" s="67">
        <f t="shared" si="57"/>
        <v>4</v>
      </c>
      <c r="S13" s="58">
        <v>1370.1</v>
      </c>
      <c r="T13" s="67">
        <f t="shared" si="58"/>
        <v>0.89999999999986358</v>
      </c>
      <c r="U13" s="58">
        <v>559168.1</v>
      </c>
      <c r="V13" s="67">
        <f t="shared" si="59"/>
        <v>363.09999999997672</v>
      </c>
      <c r="W13" s="58">
        <v>517.54</v>
      </c>
      <c r="X13" s="65">
        <f t="shared" si="60"/>
        <v>349.99999999990905</v>
      </c>
      <c r="Y13" s="58">
        <v>3.8506</v>
      </c>
      <c r="Z13" s="65">
        <f t="shared" si="61"/>
        <v>2899.9999999999027</v>
      </c>
      <c r="AA13" s="58">
        <v>521.46</v>
      </c>
      <c r="AB13" s="65">
        <f t="shared" si="62"/>
        <v>420.00000000007276</v>
      </c>
      <c r="AC13" s="58">
        <v>515.54999999999995</v>
      </c>
      <c r="AD13" s="65">
        <f t="shared" si="63"/>
        <v>409.99999999996817</v>
      </c>
      <c r="AE13" s="58">
        <v>771.39</v>
      </c>
      <c r="AF13" s="65">
        <f t="shared" si="64"/>
        <v>759.99999999999091</v>
      </c>
      <c r="AG13" s="58">
        <v>18040</v>
      </c>
      <c r="AH13" s="67">
        <f t="shared" si="65"/>
        <v>30</v>
      </c>
      <c r="AI13" s="58">
        <v>869.94</v>
      </c>
      <c r="AJ13" s="65">
        <f t="shared" si="66"/>
        <v>670.00000000007276</v>
      </c>
      <c r="AK13" s="58">
        <v>290.82</v>
      </c>
      <c r="AL13" s="65">
        <f t="shared" si="67"/>
        <v>250</v>
      </c>
      <c r="AM13" s="58">
        <v>270.86</v>
      </c>
      <c r="AN13" s="65">
        <f t="shared" si="68"/>
        <v>180.00000000000682</v>
      </c>
      <c r="AO13" s="58">
        <v>261.32</v>
      </c>
      <c r="AP13" s="65">
        <f t="shared" si="69"/>
        <v>219.99999999997044</v>
      </c>
      <c r="AQ13" s="58">
        <v>316.45</v>
      </c>
      <c r="AR13" s="65">
        <f t="shared" si="70"/>
        <v>170.00000000001592</v>
      </c>
      <c r="AS13" s="58">
        <v>442.54</v>
      </c>
      <c r="AT13" s="65">
        <f t="shared" si="71"/>
        <v>69.999999999993179</v>
      </c>
      <c r="AU13" s="58">
        <v>350.86</v>
      </c>
      <c r="AV13" s="65">
        <v>350.86</v>
      </c>
      <c r="AW13" s="58">
        <v>380.25</v>
      </c>
      <c r="AX13" s="65">
        <f t="shared" si="73"/>
        <v>129.99999999999545</v>
      </c>
      <c r="AY13" s="58">
        <v>413.18</v>
      </c>
      <c r="AZ13" s="65">
        <f t="shared" si="80"/>
        <v>120.00000000000455</v>
      </c>
      <c r="BA13" s="58">
        <v>433.42</v>
      </c>
      <c r="BB13" s="65">
        <f t="shared" si="81"/>
        <v>120.00000000000455</v>
      </c>
      <c r="BC13" s="58">
        <v>279.12</v>
      </c>
      <c r="BD13" s="65">
        <f t="shared" si="82"/>
        <v>170.00000000001592</v>
      </c>
      <c r="BE13" s="59">
        <v>51930</v>
      </c>
      <c r="BF13" s="67">
        <f t="shared" si="83"/>
        <v>17</v>
      </c>
      <c r="BG13" s="60">
        <v>249.16</v>
      </c>
      <c r="BH13" s="65">
        <f t="shared" si="84"/>
        <v>30.000000000001137</v>
      </c>
      <c r="BI13" s="60">
        <v>303.82</v>
      </c>
      <c r="BJ13" s="65">
        <f t="shared" si="85"/>
        <v>29.999999999972715</v>
      </c>
      <c r="BK13" s="60">
        <v>252.76</v>
      </c>
      <c r="BL13" s="65">
        <f t="shared" si="86"/>
        <v>49.999999999982947</v>
      </c>
      <c r="BM13" s="60">
        <v>238.95</v>
      </c>
      <c r="BN13" s="65">
        <f t="shared" si="87"/>
        <v>39.999999999992042</v>
      </c>
      <c r="BO13" s="60">
        <v>306.94</v>
      </c>
      <c r="BP13" s="65">
        <f t="shared" si="88"/>
        <v>50.000000000011369</v>
      </c>
      <c r="BQ13" s="60">
        <v>57285</v>
      </c>
      <c r="BR13" s="65">
        <f t="shared" si="89"/>
        <v>32</v>
      </c>
      <c r="BS13" s="60">
        <v>216.63</v>
      </c>
      <c r="BT13" s="65">
        <f t="shared" si="90"/>
        <v>49.999999999982947</v>
      </c>
      <c r="BU13" s="60">
        <v>54990</v>
      </c>
      <c r="BV13" s="65">
        <f t="shared" si="91"/>
        <v>45</v>
      </c>
      <c r="BW13" s="60">
        <v>244.75</v>
      </c>
      <c r="BX13" s="65">
        <f t="shared" si="92"/>
        <v>50.000000000011369</v>
      </c>
      <c r="BY13" s="60">
        <v>74757</v>
      </c>
      <c r="BZ13" s="67">
        <f t="shared" si="93"/>
        <v>48</v>
      </c>
      <c r="CA13" s="60">
        <v>49203</v>
      </c>
      <c r="CB13" s="67">
        <f t="shared" si="94"/>
        <v>41.5</v>
      </c>
      <c r="CC13" s="60">
        <v>15912.6</v>
      </c>
      <c r="CD13" s="67">
        <f t="shared" si="95"/>
        <v>10.899999999999636</v>
      </c>
      <c r="CE13" s="60">
        <v>8210.1</v>
      </c>
      <c r="CF13" s="67">
        <f t="shared" si="96"/>
        <v>4.7000000000007276</v>
      </c>
      <c r="CG13" s="60">
        <v>75400.800000000003</v>
      </c>
      <c r="CH13" s="67">
        <f t="shared" si="97"/>
        <v>43.900000000008731</v>
      </c>
      <c r="CI13" s="60">
        <v>1052379</v>
      </c>
      <c r="CJ13" s="67">
        <f t="shared" si="98"/>
        <v>290</v>
      </c>
      <c r="CK13" s="60">
        <v>1010.9</v>
      </c>
      <c r="CL13" s="64">
        <f t="shared" si="74"/>
        <v>899.99999999997726</v>
      </c>
      <c r="CM13" s="65">
        <f t="shared" si="75"/>
        <v>77</v>
      </c>
      <c r="CN13" s="62">
        <v>22</v>
      </c>
      <c r="CO13" s="62">
        <v>45</v>
      </c>
      <c r="CP13" s="68">
        <v>32113</v>
      </c>
      <c r="CQ13" s="67">
        <f t="shared" si="76"/>
        <v>71</v>
      </c>
      <c r="CR13" s="68">
        <v>21924.2</v>
      </c>
      <c r="CS13" s="67">
        <f t="shared" si="76"/>
        <v>6</v>
      </c>
      <c r="CT13" s="75">
        <v>10480</v>
      </c>
      <c r="CU13" s="67">
        <f t="shared" si="77"/>
        <v>9</v>
      </c>
      <c r="CV13" s="68">
        <v>24793</v>
      </c>
      <c r="CW13" s="67">
        <f t="shared" si="78"/>
        <v>21</v>
      </c>
      <c r="CX13" s="58">
        <v>3232.4</v>
      </c>
      <c r="CY13" s="67">
        <f t="shared" si="79"/>
        <v>11.300000000000182</v>
      </c>
    </row>
    <row r="14" spans="1:103" ht="25.5" customHeight="1" thickBot="1" x14ac:dyDescent="0.45">
      <c r="A14" s="63">
        <v>44723</v>
      </c>
      <c r="B14" s="44"/>
      <c r="C14" s="58">
        <v>3.2772000000000001</v>
      </c>
      <c r="D14" s="64">
        <f t="shared" si="50"/>
        <v>2200.0000000002019</v>
      </c>
      <c r="E14" s="58">
        <v>4.3818999999999999</v>
      </c>
      <c r="F14" s="64">
        <f t="shared" si="51"/>
        <v>3000.0000000001137</v>
      </c>
      <c r="G14" s="58">
        <v>4.3423999999999996</v>
      </c>
      <c r="H14" s="64">
        <f t="shared" si="52"/>
        <v>3399.9999999991815</v>
      </c>
      <c r="I14" s="58">
        <v>2.1812999999999998</v>
      </c>
      <c r="J14" s="64">
        <f t="shared" si="53"/>
        <v>1599.9999999998238</v>
      </c>
      <c r="K14" s="58">
        <v>3.3965999999999998</v>
      </c>
      <c r="L14" s="64">
        <f t="shared" si="54"/>
        <v>2199.9999999997576</v>
      </c>
      <c r="M14" s="58">
        <v>1.9708000000000001</v>
      </c>
      <c r="N14" s="64">
        <f t="shared" si="55"/>
        <v>1800.0000000000239</v>
      </c>
      <c r="O14" s="58">
        <v>21506</v>
      </c>
      <c r="P14" s="67">
        <f t="shared" si="56"/>
        <v>30</v>
      </c>
      <c r="Q14" s="58">
        <v>2658</v>
      </c>
      <c r="R14" s="67">
        <f t="shared" si="57"/>
        <v>4</v>
      </c>
      <c r="S14" s="58">
        <v>1371.1</v>
      </c>
      <c r="T14" s="67">
        <f t="shared" si="58"/>
        <v>1</v>
      </c>
      <c r="U14" s="58">
        <v>559631.80000000005</v>
      </c>
      <c r="V14" s="67">
        <f t="shared" si="59"/>
        <v>463.70000000006985</v>
      </c>
      <c r="W14" s="58">
        <v>517.84</v>
      </c>
      <c r="X14" s="65">
        <f t="shared" si="60"/>
        <v>300.00000000006821</v>
      </c>
      <c r="Y14" s="58">
        <v>3.8532999999999999</v>
      </c>
      <c r="Z14" s="65">
        <f t="shared" si="61"/>
        <v>2699.9999999999245</v>
      </c>
      <c r="AA14" s="58">
        <v>521.85</v>
      </c>
      <c r="AB14" s="65">
        <f t="shared" si="62"/>
        <v>389.99999999998636</v>
      </c>
      <c r="AC14" s="58">
        <v>515.95000000000005</v>
      </c>
      <c r="AD14" s="65">
        <f t="shared" si="63"/>
        <v>400.00000000009095</v>
      </c>
      <c r="AE14" s="58">
        <v>772.24</v>
      </c>
      <c r="AF14" s="65">
        <f t="shared" si="64"/>
        <v>850.00000000002274</v>
      </c>
      <c r="AG14" s="58">
        <v>18065</v>
      </c>
      <c r="AH14" s="67">
        <f t="shared" si="65"/>
        <v>25</v>
      </c>
      <c r="AI14" s="58">
        <v>870.61</v>
      </c>
      <c r="AJ14" s="65">
        <f t="shared" si="66"/>
        <v>669.99999999995907</v>
      </c>
      <c r="AK14" s="58">
        <v>291.06</v>
      </c>
      <c r="AL14" s="65">
        <f t="shared" si="67"/>
        <v>240.00000000000909</v>
      </c>
      <c r="AM14" s="58">
        <v>271.02</v>
      </c>
      <c r="AN14" s="65">
        <f t="shared" si="68"/>
        <v>159.99999999996817</v>
      </c>
      <c r="AO14" s="58">
        <v>261.49</v>
      </c>
      <c r="AP14" s="65">
        <f t="shared" si="69"/>
        <v>170.00000000001592</v>
      </c>
      <c r="AQ14" s="58">
        <v>316.56</v>
      </c>
      <c r="AR14" s="65">
        <f t="shared" si="70"/>
        <v>110.00000000001364</v>
      </c>
      <c r="AS14" s="58">
        <v>442.6</v>
      </c>
      <c r="AT14" s="65">
        <f t="shared" si="71"/>
        <v>60.000000000002274</v>
      </c>
      <c r="AU14" s="58">
        <v>351.01</v>
      </c>
      <c r="AV14" s="65">
        <f t="shared" si="72"/>
        <v>149.99999999997726</v>
      </c>
      <c r="AW14" s="58">
        <v>380.37</v>
      </c>
      <c r="AX14" s="65">
        <f t="shared" si="73"/>
        <v>120.00000000000455</v>
      </c>
      <c r="AY14" s="58">
        <v>413.28</v>
      </c>
      <c r="AZ14" s="65">
        <f t="shared" si="80"/>
        <v>99.999999999965894</v>
      </c>
      <c r="BA14" s="58">
        <v>433.53</v>
      </c>
      <c r="BB14" s="65">
        <f t="shared" si="81"/>
        <v>109.9999999999568</v>
      </c>
      <c r="BC14" s="58">
        <v>279.22000000000003</v>
      </c>
      <c r="BD14" s="65">
        <f t="shared" si="82"/>
        <v>100.00000000002274</v>
      </c>
      <c r="BE14" s="59"/>
      <c r="BF14" s="67" t="str">
        <f t="shared" si="83"/>
        <v/>
      </c>
      <c r="BG14" s="60">
        <v>249.2</v>
      </c>
      <c r="BH14" s="65">
        <f t="shared" si="84"/>
        <v>39.999999999992042</v>
      </c>
      <c r="BI14" s="60">
        <v>303.86</v>
      </c>
      <c r="BJ14" s="65">
        <f t="shared" si="85"/>
        <v>40.000000000020464</v>
      </c>
      <c r="BK14" s="60">
        <v>252.8</v>
      </c>
      <c r="BL14" s="65">
        <f t="shared" si="86"/>
        <v>40.000000000020464</v>
      </c>
      <c r="BM14" s="60">
        <v>238.99</v>
      </c>
      <c r="BN14" s="65">
        <f t="shared" si="87"/>
        <v>40.000000000020464</v>
      </c>
      <c r="BO14" s="60">
        <v>306.99</v>
      </c>
      <c r="BP14" s="65">
        <f t="shared" si="88"/>
        <v>50.000000000011369</v>
      </c>
      <c r="BQ14" s="60">
        <v>57316</v>
      </c>
      <c r="BR14" s="65">
        <f t="shared" si="89"/>
        <v>31</v>
      </c>
      <c r="BS14" s="60">
        <v>216.66</v>
      </c>
      <c r="BT14" s="65">
        <f t="shared" si="90"/>
        <v>30.000000000001137</v>
      </c>
      <c r="BU14" s="60">
        <v>55031</v>
      </c>
      <c r="BV14" s="65">
        <f t="shared" si="91"/>
        <v>41</v>
      </c>
      <c r="BW14" s="60">
        <v>244.79</v>
      </c>
      <c r="BX14" s="65">
        <f t="shared" si="92"/>
        <v>39.999999999992042</v>
      </c>
      <c r="BY14" s="60">
        <v>74800</v>
      </c>
      <c r="BZ14" s="67">
        <f t="shared" si="93"/>
        <v>43</v>
      </c>
      <c r="CA14" s="60">
        <v>49254.6</v>
      </c>
      <c r="CB14" s="67">
        <f t="shared" si="94"/>
        <v>51.599999999998545</v>
      </c>
      <c r="CC14" s="60">
        <v>15923.9</v>
      </c>
      <c r="CD14" s="67">
        <f t="shared" si="95"/>
        <v>11.299999999999272</v>
      </c>
      <c r="CE14" s="60">
        <v>8214.2999999999993</v>
      </c>
      <c r="CF14" s="67">
        <f t="shared" si="96"/>
        <v>4.1999999999989086</v>
      </c>
      <c r="CG14" s="60">
        <v>75452.899999999994</v>
      </c>
      <c r="CH14" s="67">
        <f t="shared" si="97"/>
        <v>52.099999999991269</v>
      </c>
      <c r="CI14" s="60">
        <v>1052666</v>
      </c>
      <c r="CJ14" s="67">
        <f t="shared" si="98"/>
        <v>287</v>
      </c>
      <c r="CK14" s="60">
        <v>1011.8</v>
      </c>
      <c r="CL14" s="64">
        <f t="shared" si="74"/>
        <v>899.99999999997726</v>
      </c>
      <c r="CM14" s="65">
        <f t="shared" si="75"/>
        <v>78.799999999999272</v>
      </c>
      <c r="CN14" s="62">
        <v>22</v>
      </c>
      <c r="CO14" s="62">
        <v>45</v>
      </c>
      <c r="CP14" s="68">
        <v>32187</v>
      </c>
      <c r="CQ14" s="67">
        <f t="shared" si="76"/>
        <v>74</v>
      </c>
      <c r="CR14" s="68">
        <v>21929</v>
      </c>
      <c r="CS14" s="67">
        <f t="shared" si="76"/>
        <v>4.7999999999992724</v>
      </c>
      <c r="CT14" s="75">
        <v>10491</v>
      </c>
      <c r="CU14" s="67">
        <f t="shared" si="77"/>
        <v>11</v>
      </c>
      <c r="CV14" s="68">
        <v>24816</v>
      </c>
      <c r="CW14" s="67">
        <f t="shared" si="78"/>
        <v>23</v>
      </c>
      <c r="CX14" s="58">
        <v>3243.1</v>
      </c>
      <c r="CY14" s="67">
        <f t="shared" si="79"/>
        <v>10.699999999999818</v>
      </c>
    </row>
    <row r="15" spans="1:103" ht="25.5" customHeight="1" thickBot="1" x14ac:dyDescent="0.45">
      <c r="A15" s="63">
        <v>44724</v>
      </c>
      <c r="B15" s="44"/>
      <c r="C15" s="58">
        <v>3.2795999999999998</v>
      </c>
      <c r="D15" s="64">
        <f t="shared" si="50"/>
        <v>2399.9999999997358</v>
      </c>
      <c r="E15" s="58">
        <v>4.3851000000000004</v>
      </c>
      <c r="F15" s="64">
        <f t="shared" si="51"/>
        <v>3200.0000000005357</v>
      </c>
      <c r="G15" s="58">
        <v>4.3455000000000004</v>
      </c>
      <c r="H15" s="64">
        <f t="shared" si="52"/>
        <v>3100.000000000769</v>
      </c>
      <c r="I15" s="58">
        <v>2.1827999999999999</v>
      </c>
      <c r="J15" s="64">
        <f t="shared" si="53"/>
        <v>1500.0000000000568</v>
      </c>
      <c r="K15" s="58">
        <v>3.3986000000000001</v>
      </c>
      <c r="L15" s="64">
        <f t="shared" si="54"/>
        <v>2000.0000000002237</v>
      </c>
      <c r="M15" s="58">
        <v>1.9723999999999999</v>
      </c>
      <c r="N15" s="64">
        <f t="shared" si="55"/>
        <v>1599.9999999998238</v>
      </c>
      <c r="O15" s="58">
        <v>21534</v>
      </c>
      <c r="P15" s="67">
        <f t="shared" si="56"/>
        <v>28</v>
      </c>
      <c r="Q15" s="58">
        <v>2662</v>
      </c>
      <c r="R15" s="67">
        <f>IF((Q15-Q14&lt;0), "",Q15-Q14)</f>
        <v>4</v>
      </c>
      <c r="S15" s="58">
        <v>1372.3</v>
      </c>
      <c r="T15" s="67">
        <f t="shared" si="58"/>
        <v>1.2000000000000455</v>
      </c>
      <c r="U15" s="58">
        <v>560069.6</v>
      </c>
      <c r="V15" s="67">
        <f t="shared" si="59"/>
        <v>437.79999999993015</v>
      </c>
      <c r="W15" s="58">
        <v>518.16999999999996</v>
      </c>
      <c r="X15" s="65">
        <f t="shared" si="60"/>
        <v>329.99999999992724</v>
      </c>
      <c r="Y15" s="58">
        <v>3.8561000000000001</v>
      </c>
      <c r="Z15" s="65">
        <f t="shared" si="61"/>
        <v>2800.0000000001355</v>
      </c>
      <c r="AA15" s="58">
        <v>522.22</v>
      </c>
      <c r="AB15" s="65">
        <f t="shared" si="62"/>
        <v>370.00000000000455</v>
      </c>
      <c r="AC15" s="58">
        <v>516.29999999999995</v>
      </c>
      <c r="AD15" s="65">
        <f t="shared" si="63"/>
        <v>349.99999999990905</v>
      </c>
      <c r="AE15" s="58">
        <v>773.04</v>
      </c>
      <c r="AF15" s="65">
        <f t="shared" si="64"/>
        <v>799.99999999995453</v>
      </c>
      <c r="AG15" s="58">
        <v>18093</v>
      </c>
      <c r="AH15" s="67">
        <f t="shared" si="65"/>
        <v>28</v>
      </c>
      <c r="AI15" s="58">
        <v>871.35</v>
      </c>
      <c r="AJ15" s="65">
        <f t="shared" si="66"/>
        <v>740.00000000000909</v>
      </c>
      <c r="AK15" s="58">
        <v>291.29000000000002</v>
      </c>
      <c r="AL15" s="65">
        <f t="shared" si="67"/>
        <v>230.00000000001819</v>
      </c>
      <c r="AM15" s="58">
        <v>271.25</v>
      </c>
      <c r="AN15" s="65">
        <f t="shared" si="68"/>
        <v>230.00000000001819</v>
      </c>
      <c r="AO15" s="58">
        <v>261.69</v>
      </c>
      <c r="AP15" s="65">
        <f t="shared" si="69"/>
        <v>199.99999999998863</v>
      </c>
      <c r="AQ15" s="58">
        <v>316.68</v>
      </c>
      <c r="AR15" s="65">
        <f t="shared" si="70"/>
        <v>120.00000000000455</v>
      </c>
      <c r="AS15" s="58">
        <v>442.67</v>
      </c>
      <c r="AT15" s="65">
        <f t="shared" si="71"/>
        <v>69.999999999993179</v>
      </c>
      <c r="AU15" s="58">
        <v>351.16</v>
      </c>
      <c r="AV15" s="65">
        <f t="shared" si="72"/>
        <v>150.00000000003411</v>
      </c>
      <c r="AW15" s="58">
        <v>380.49</v>
      </c>
      <c r="AX15" s="65">
        <f t="shared" si="73"/>
        <v>120.00000000000455</v>
      </c>
      <c r="AY15" s="58">
        <v>413.39</v>
      </c>
      <c r="AZ15" s="65">
        <f t="shared" si="80"/>
        <v>110.00000000001364</v>
      </c>
      <c r="BA15" s="58">
        <v>433.63</v>
      </c>
      <c r="BB15" s="65">
        <f t="shared" si="81"/>
        <v>100.00000000002274</v>
      </c>
      <c r="BC15" s="58">
        <v>279.29000000000002</v>
      </c>
      <c r="BD15" s="65">
        <f t="shared" si="82"/>
        <v>69.999999999993179</v>
      </c>
      <c r="BE15" s="59"/>
      <c r="BF15" s="67">
        <f t="shared" si="83"/>
        <v>0</v>
      </c>
      <c r="BG15" s="60">
        <v>249.23</v>
      </c>
      <c r="BH15" s="65">
        <f t="shared" si="84"/>
        <v>30.000000000001137</v>
      </c>
      <c r="BI15" s="60">
        <v>303.89999999999998</v>
      </c>
      <c r="BJ15" s="65">
        <f t="shared" si="85"/>
        <v>39.99999999996362</v>
      </c>
      <c r="BK15" s="60">
        <v>252.85</v>
      </c>
      <c r="BL15" s="65">
        <f t="shared" si="86"/>
        <v>49.999999999982947</v>
      </c>
      <c r="BM15" s="60">
        <v>239.02</v>
      </c>
      <c r="BN15" s="65">
        <f t="shared" si="87"/>
        <v>30.000000000001137</v>
      </c>
      <c r="BO15" s="60">
        <v>307.04000000000002</v>
      </c>
      <c r="BP15" s="65">
        <f t="shared" si="88"/>
        <v>50.000000000011369</v>
      </c>
      <c r="BQ15" s="60">
        <v>57347</v>
      </c>
      <c r="BR15" s="65">
        <f t="shared" si="89"/>
        <v>31</v>
      </c>
      <c r="BS15" s="60">
        <v>216.71</v>
      </c>
      <c r="BT15" s="65">
        <f t="shared" si="90"/>
        <v>50.000000000011369</v>
      </c>
      <c r="BU15" s="60">
        <v>55077</v>
      </c>
      <c r="BV15" s="65">
        <f t="shared" si="91"/>
        <v>46</v>
      </c>
      <c r="BW15" s="60">
        <v>244.84</v>
      </c>
      <c r="BX15" s="65">
        <f t="shared" si="92"/>
        <v>50.000000000011369</v>
      </c>
      <c r="BY15" s="60">
        <v>74845</v>
      </c>
      <c r="BZ15" s="67">
        <f t="shared" si="93"/>
        <v>45</v>
      </c>
      <c r="CA15" s="60">
        <v>49312.2</v>
      </c>
      <c r="CB15" s="67">
        <f t="shared" si="94"/>
        <v>57.599999999998545</v>
      </c>
      <c r="CC15" s="60">
        <v>15933.8</v>
      </c>
      <c r="CD15" s="67">
        <f t="shared" si="95"/>
        <v>9.8999999999996362</v>
      </c>
      <c r="CE15" s="60">
        <v>8217.7999999999993</v>
      </c>
      <c r="CF15" s="67">
        <f t="shared" si="96"/>
        <v>3.5</v>
      </c>
      <c r="CG15" s="60">
        <v>75500</v>
      </c>
      <c r="CH15" s="67">
        <f t="shared" si="97"/>
        <v>47.100000000005821</v>
      </c>
      <c r="CI15" s="60">
        <v>1052957</v>
      </c>
      <c r="CJ15" s="67">
        <f t="shared" si="98"/>
        <v>291</v>
      </c>
      <c r="CK15" s="60">
        <v>1012.8</v>
      </c>
      <c r="CL15" s="64">
        <f t="shared" si="74"/>
        <v>1000</v>
      </c>
      <c r="CM15" s="65">
        <f t="shared" si="75"/>
        <v>106</v>
      </c>
      <c r="CN15" s="62">
        <v>22</v>
      </c>
      <c r="CO15" s="62">
        <v>45</v>
      </c>
      <c r="CP15" s="68">
        <v>32257</v>
      </c>
      <c r="CQ15" s="67">
        <f t="shared" si="76"/>
        <v>70</v>
      </c>
      <c r="CR15" s="68">
        <v>21965</v>
      </c>
      <c r="CS15" s="67">
        <f t="shared" si="76"/>
        <v>36</v>
      </c>
      <c r="CT15" s="75">
        <v>10498</v>
      </c>
      <c r="CU15" s="67">
        <f t="shared" si="77"/>
        <v>7</v>
      </c>
      <c r="CV15" s="68">
        <v>24850</v>
      </c>
      <c r="CW15" s="67">
        <f t="shared" si="78"/>
        <v>34</v>
      </c>
      <c r="CX15" s="58">
        <v>3254.2</v>
      </c>
      <c r="CY15" s="67">
        <f t="shared" si="79"/>
        <v>11.099999999999909</v>
      </c>
    </row>
    <row r="16" spans="1:103" ht="25.5" customHeight="1" thickBot="1" x14ac:dyDescent="0.45">
      <c r="A16" s="63">
        <v>44725</v>
      </c>
      <c r="B16" s="44"/>
      <c r="C16" s="58"/>
      <c r="D16" s="64" t="str">
        <f t="shared" si="50"/>
        <v>0</v>
      </c>
      <c r="E16" s="58"/>
      <c r="F16" s="64" t="str">
        <f t="shared" si="51"/>
        <v>0</v>
      </c>
      <c r="G16" s="58"/>
      <c r="H16" s="64" t="str">
        <f t="shared" si="52"/>
        <v>0</v>
      </c>
      <c r="I16" s="58"/>
      <c r="J16" s="64" t="str">
        <f>IF((I16-I15&lt;0), "0",(I16-I15)*1000000)</f>
        <v>0</v>
      </c>
      <c r="K16" s="58"/>
      <c r="L16" s="64" t="str">
        <f t="shared" si="54"/>
        <v>0</v>
      </c>
      <c r="M16" s="58"/>
      <c r="N16" s="64" t="str">
        <f t="shared" si="55"/>
        <v/>
      </c>
      <c r="O16" s="58"/>
      <c r="P16" s="67" t="str">
        <f t="shared" si="56"/>
        <v/>
      </c>
      <c r="Q16" s="58"/>
      <c r="R16" s="67" t="str">
        <f t="shared" si="57"/>
        <v/>
      </c>
      <c r="S16" s="58"/>
      <c r="T16" s="67" t="str">
        <f t="shared" si="58"/>
        <v/>
      </c>
      <c r="U16" s="58"/>
      <c r="V16" s="67" t="str">
        <f t="shared" si="59"/>
        <v/>
      </c>
      <c r="W16" s="58"/>
      <c r="X16" s="65" t="str">
        <f t="shared" si="60"/>
        <v/>
      </c>
      <c r="Y16" s="58"/>
      <c r="Z16" s="65" t="str">
        <f t="shared" si="61"/>
        <v/>
      </c>
      <c r="AA16" s="58"/>
      <c r="AB16" s="65" t="str">
        <f t="shared" si="62"/>
        <v/>
      </c>
      <c r="AC16" s="58"/>
      <c r="AD16" s="65" t="str">
        <f t="shared" si="63"/>
        <v/>
      </c>
      <c r="AE16" s="58"/>
      <c r="AF16" s="65" t="str">
        <f t="shared" si="64"/>
        <v/>
      </c>
      <c r="AG16" s="58"/>
      <c r="AH16" s="67" t="str">
        <f t="shared" si="65"/>
        <v/>
      </c>
      <c r="AI16" s="58"/>
      <c r="AJ16" s="65" t="str">
        <f t="shared" si="66"/>
        <v/>
      </c>
      <c r="AK16" s="58"/>
      <c r="AL16" s="65" t="str">
        <f t="shared" si="67"/>
        <v/>
      </c>
      <c r="AM16" s="58"/>
      <c r="AN16" s="65" t="str">
        <f t="shared" si="68"/>
        <v/>
      </c>
      <c r="AO16" s="58"/>
      <c r="AP16" s="65" t="str">
        <f t="shared" si="69"/>
        <v/>
      </c>
      <c r="AQ16" s="58"/>
      <c r="AR16" s="65" t="str">
        <f t="shared" si="70"/>
        <v/>
      </c>
      <c r="AS16" s="58"/>
      <c r="AT16" s="65" t="str">
        <f t="shared" si="71"/>
        <v/>
      </c>
      <c r="AU16" s="58"/>
      <c r="AV16" s="65" t="str">
        <f t="shared" si="72"/>
        <v/>
      </c>
      <c r="AW16" s="58"/>
      <c r="AX16" s="65" t="str">
        <f t="shared" si="73"/>
        <v/>
      </c>
      <c r="AY16" s="58"/>
      <c r="AZ16" s="65" t="str">
        <f t="shared" si="80"/>
        <v/>
      </c>
      <c r="BA16" s="58"/>
      <c r="BB16" s="65" t="str">
        <f t="shared" si="81"/>
        <v/>
      </c>
      <c r="BC16" s="58"/>
      <c r="BD16" s="65" t="str">
        <f t="shared" si="82"/>
        <v/>
      </c>
      <c r="BE16" s="59"/>
      <c r="BF16" s="67">
        <f t="shared" si="83"/>
        <v>0</v>
      </c>
      <c r="BG16" s="60"/>
      <c r="BH16" s="65" t="str">
        <f t="shared" si="84"/>
        <v/>
      </c>
      <c r="BI16" s="60"/>
      <c r="BJ16" s="65" t="str">
        <f t="shared" si="85"/>
        <v/>
      </c>
      <c r="BK16" s="60"/>
      <c r="BL16" s="65" t="str">
        <f t="shared" si="86"/>
        <v/>
      </c>
      <c r="BM16" s="60"/>
      <c r="BN16" s="65" t="str">
        <f t="shared" si="87"/>
        <v/>
      </c>
      <c r="BO16" s="60"/>
      <c r="BP16" s="65" t="str">
        <f t="shared" si="88"/>
        <v/>
      </c>
      <c r="BQ16" s="60"/>
      <c r="BR16" s="65" t="str">
        <f t="shared" si="89"/>
        <v/>
      </c>
      <c r="BS16" s="60"/>
      <c r="BT16" s="65" t="str">
        <f t="shared" si="90"/>
        <v/>
      </c>
      <c r="BU16" s="60"/>
      <c r="BV16" s="65" t="str">
        <f t="shared" si="91"/>
        <v/>
      </c>
      <c r="BW16" s="60"/>
      <c r="BX16" s="65" t="str">
        <f t="shared" si="92"/>
        <v/>
      </c>
      <c r="BY16" s="60"/>
      <c r="BZ16" s="67" t="str">
        <f t="shared" si="93"/>
        <v/>
      </c>
      <c r="CA16" s="60"/>
      <c r="CB16" s="67" t="str">
        <f t="shared" si="94"/>
        <v/>
      </c>
      <c r="CC16" s="60"/>
      <c r="CD16" s="67" t="str">
        <f t="shared" si="95"/>
        <v/>
      </c>
      <c r="CE16" s="60"/>
      <c r="CF16" s="67" t="str">
        <f t="shared" si="96"/>
        <v/>
      </c>
      <c r="CG16" s="60"/>
      <c r="CH16" s="67" t="str">
        <f t="shared" si="97"/>
        <v/>
      </c>
      <c r="CI16" s="60"/>
      <c r="CJ16" s="67" t="str">
        <f t="shared" si="98"/>
        <v/>
      </c>
      <c r="CK16" s="60"/>
      <c r="CL16" s="64" t="str">
        <f t="shared" si="74"/>
        <v/>
      </c>
      <c r="CM16" s="65" t="e">
        <f t="shared" si="75"/>
        <v>#VALUE!</v>
      </c>
      <c r="CN16" s="62"/>
      <c r="CO16" s="62"/>
      <c r="CP16" s="68"/>
      <c r="CQ16" s="67" t="str">
        <f t="shared" si="76"/>
        <v/>
      </c>
      <c r="CR16" s="68"/>
      <c r="CS16" s="67" t="str">
        <f t="shared" si="76"/>
        <v/>
      </c>
      <c r="CT16" s="75"/>
      <c r="CU16" s="67" t="str">
        <f t="shared" si="77"/>
        <v/>
      </c>
      <c r="CV16" s="68"/>
      <c r="CW16" s="67" t="str">
        <f t="shared" si="78"/>
        <v/>
      </c>
      <c r="CX16" s="58"/>
      <c r="CY16" s="67" t="str">
        <f t="shared" si="79"/>
        <v/>
      </c>
    </row>
    <row r="17" spans="1:103" ht="25.5" customHeight="1" thickBot="1" x14ac:dyDescent="0.45">
      <c r="A17" s="63">
        <v>44726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80"/>
        <v>0</v>
      </c>
      <c r="BA17" s="58"/>
      <c r="BB17" s="65">
        <f t="shared" si="81"/>
        <v>0</v>
      </c>
      <c r="BC17" s="58"/>
      <c r="BD17" s="65">
        <f t="shared" si="82"/>
        <v>0</v>
      </c>
      <c r="BE17" s="59"/>
      <c r="BF17" s="67">
        <f t="shared" si="83"/>
        <v>0</v>
      </c>
      <c r="BG17" s="60"/>
      <c r="BH17" s="65">
        <f t="shared" si="84"/>
        <v>0</v>
      </c>
      <c r="BI17" s="60"/>
      <c r="BJ17" s="65">
        <f t="shared" si="85"/>
        <v>0</v>
      </c>
      <c r="BK17" s="60"/>
      <c r="BL17" s="65">
        <f t="shared" si="86"/>
        <v>0</v>
      </c>
      <c r="BM17" s="60"/>
      <c r="BN17" s="65">
        <f t="shared" si="87"/>
        <v>0</v>
      </c>
      <c r="BO17" s="60"/>
      <c r="BP17" s="65">
        <f t="shared" si="88"/>
        <v>0</v>
      </c>
      <c r="BQ17" s="60"/>
      <c r="BR17" s="65">
        <f t="shared" si="89"/>
        <v>0</v>
      </c>
      <c r="BS17" s="60"/>
      <c r="BT17" s="65">
        <f t="shared" si="90"/>
        <v>0</v>
      </c>
      <c r="BU17" s="60"/>
      <c r="BV17" s="65">
        <f t="shared" si="91"/>
        <v>0</v>
      </c>
      <c r="BW17" s="60"/>
      <c r="BX17" s="65">
        <f t="shared" si="92"/>
        <v>0</v>
      </c>
      <c r="BY17" s="60"/>
      <c r="BZ17" s="67">
        <f t="shared" si="93"/>
        <v>0</v>
      </c>
      <c r="CA17" s="60"/>
      <c r="CB17" s="67">
        <f t="shared" si="94"/>
        <v>0</v>
      </c>
      <c r="CC17" s="60"/>
      <c r="CD17" s="67">
        <f t="shared" si="95"/>
        <v>0</v>
      </c>
      <c r="CE17" s="60"/>
      <c r="CF17" s="67">
        <f t="shared" si="96"/>
        <v>0</v>
      </c>
      <c r="CG17" s="60"/>
      <c r="CH17" s="67">
        <f t="shared" si="97"/>
        <v>0</v>
      </c>
      <c r="CI17" s="60"/>
      <c r="CJ17" s="67">
        <f t="shared" si="98"/>
        <v>0</v>
      </c>
      <c r="CK17" s="60"/>
      <c r="CL17" s="64">
        <f t="shared" si="74"/>
        <v>0</v>
      </c>
      <c r="CM17" s="65">
        <f t="shared" si="75"/>
        <v>0</v>
      </c>
      <c r="CN17" s="62"/>
      <c r="CO17" s="62"/>
      <c r="CP17" s="68"/>
      <c r="CQ17" s="67">
        <f t="shared" ref="CQ17:CQ34" si="99">IF((CP17-CP16&lt;0), "",CP17-CP16)</f>
        <v>0</v>
      </c>
      <c r="CR17" s="68"/>
      <c r="CS17" s="67">
        <f t="shared" si="76"/>
        <v>0</v>
      </c>
      <c r="CT17" s="75"/>
      <c r="CU17" s="67">
        <f t="shared" si="77"/>
        <v>0</v>
      </c>
      <c r="CV17" s="68"/>
      <c r="CW17" s="67">
        <f t="shared" si="78"/>
        <v>0</v>
      </c>
      <c r="CX17" s="58"/>
      <c r="CY17" s="67">
        <f t="shared" si="79"/>
        <v>0</v>
      </c>
    </row>
    <row r="18" spans="1:103" ht="25.5" customHeight="1" thickBot="1" x14ac:dyDescent="0.45">
      <c r="A18" s="63">
        <v>44727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80"/>
        <v>0</v>
      </c>
      <c r="BA18" s="58"/>
      <c r="BB18" s="65">
        <f t="shared" si="81"/>
        <v>0</v>
      </c>
      <c r="BC18" s="58"/>
      <c r="BD18" s="65">
        <f t="shared" si="82"/>
        <v>0</v>
      </c>
      <c r="BE18" s="59"/>
      <c r="BF18" s="67">
        <f t="shared" si="83"/>
        <v>0</v>
      </c>
      <c r="BG18" s="60"/>
      <c r="BH18" s="65">
        <f t="shared" si="84"/>
        <v>0</v>
      </c>
      <c r="BI18" s="60"/>
      <c r="BJ18" s="65">
        <f t="shared" si="85"/>
        <v>0</v>
      </c>
      <c r="BK18" s="60"/>
      <c r="BL18" s="65">
        <f t="shared" si="86"/>
        <v>0</v>
      </c>
      <c r="BM18" s="60"/>
      <c r="BN18" s="65">
        <f t="shared" si="87"/>
        <v>0</v>
      </c>
      <c r="BO18" s="60"/>
      <c r="BP18" s="65">
        <f t="shared" si="88"/>
        <v>0</v>
      </c>
      <c r="BQ18" s="60"/>
      <c r="BR18" s="65">
        <f t="shared" si="89"/>
        <v>0</v>
      </c>
      <c r="BS18" s="60"/>
      <c r="BT18" s="65">
        <f t="shared" si="90"/>
        <v>0</v>
      </c>
      <c r="BU18" s="60"/>
      <c r="BV18" s="65">
        <f t="shared" si="91"/>
        <v>0</v>
      </c>
      <c r="BW18" s="60"/>
      <c r="BX18" s="65">
        <f t="shared" si="92"/>
        <v>0</v>
      </c>
      <c r="BY18" s="60"/>
      <c r="BZ18" s="67">
        <f t="shared" si="93"/>
        <v>0</v>
      </c>
      <c r="CA18" s="60"/>
      <c r="CB18" s="67">
        <f t="shared" si="94"/>
        <v>0</v>
      </c>
      <c r="CC18" s="60"/>
      <c r="CD18" s="67">
        <f t="shared" si="95"/>
        <v>0</v>
      </c>
      <c r="CE18" s="60"/>
      <c r="CF18" s="67">
        <f t="shared" si="96"/>
        <v>0</v>
      </c>
      <c r="CG18" s="60"/>
      <c r="CH18" s="67">
        <f t="shared" si="97"/>
        <v>0</v>
      </c>
      <c r="CI18" s="60"/>
      <c r="CJ18" s="67">
        <f t="shared" si="98"/>
        <v>0</v>
      </c>
      <c r="CK18" s="60"/>
      <c r="CL18" s="64">
        <f t="shared" si="74"/>
        <v>0</v>
      </c>
      <c r="CM18" s="65">
        <f t="shared" si="75"/>
        <v>0</v>
      </c>
      <c r="CN18" s="62"/>
      <c r="CO18" s="62"/>
      <c r="CP18" s="68"/>
      <c r="CQ18" s="67">
        <f t="shared" si="99"/>
        <v>0</v>
      </c>
      <c r="CR18" s="68"/>
      <c r="CS18" s="67">
        <f t="shared" si="76"/>
        <v>0</v>
      </c>
      <c r="CT18" s="75"/>
      <c r="CU18" s="67">
        <f t="shared" si="77"/>
        <v>0</v>
      </c>
      <c r="CV18" s="68"/>
      <c r="CW18" s="67">
        <f t="shared" si="78"/>
        <v>0</v>
      </c>
      <c r="CX18" s="58"/>
      <c r="CY18" s="67">
        <f t="shared" si="79"/>
        <v>0</v>
      </c>
    </row>
    <row r="19" spans="1:103" ht="25.5" customHeight="1" thickBot="1" x14ac:dyDescent="0.45">
      <c r="A19" s="63">
        <v>44728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80"/>
        <v>0</v>
      </c>
      <c r="BA19" s="58"/>
      <c r="BB19" s="65">
        <f t="shared" si="81"/>
        <v>0</v>
      </c>
      <c r="BC19" s="58"/>
      <c r="BD19" s="65">
        <f t="shared" si="82"/>
        <v>0</v>
      </c>
      <c r="BE19" s="59"/>
      <c r="BF19" s="67">
        <f t="shared" si="83"/>
        <v>0</v>
      </c>
      <c r="BG19" s="60"/>
      <c r="BH19" s="65">
        <f t="shared" si="84"/>
        <v>0</v>
      </c>
      <c r="BI19" s="60"/>
      <c r="BJ19" s="65">
        <f t="shared" si="85"/>
        <v>0</v>
      </c>
      <c r="BK19" s="60"/>
      <c r="BL19" s="65">
        <f t="shared" si="86"/>
        <v>0</v>
      </c>
      <c r="BM19" s="60"/>
      <c r="BN19" s="65">
        <f t="shared" si="87"/>
        <v>0</v>
      </c>
      <c r="BO19" s="60"/>
      <c r="BP19" s="65">
        <f t="shared" si="88"/>
        <v>0</v>
      </c>
      <c r="BQ19" s="60"/>
      <c r="BR19" s="65">
        <f t="shared" si="89"/>
        <v>0</v>
      </c>
      <c r="BS19" s="60"/>
      <c r="BT19" s="65">
        <f t="shared" si="90"/>
        <v>0</v>
      </c>
      <c r="BU19" s="60"/>
      <c r="BV19" s="65">
        <f t="shared" si="91"/>
        <v>0</v>
      </c>
      <c r="BW19" s="60"/>
      <c r="BX19" s="65">
        <f t="shared" si="92"/>
        <v>0</v>
      </c>
      <c r="BY19" s="60"/>
      <c r="BZ19" s="67">
        <f t="shared" si="93"/>
        <v>0</v>
      </c>
      <c r="CA19" s="60"/>
      <c r="CB19" s="67">
        <f t="shared" si="94"/>
        <v>0</v>
      </c>
      <c r="CC19" s="60"/>
      <c r="CD19" s="67">
        <f t="shared" si="95"/>
        <v>0</v>
      </c>
      <c r="CE19" s="60"/>
      <c r="CF19" s="67">
        <f t="shared" si="96"/>
        <v>0</v>
      </c>
      <c r="CG19" s="60"/>
      <c r="CH19" s="67">
        <f t="shared" si="97"/>
        <v>0</v>
      </c>
      <c r="CI19" s="60"/>
      <c r="CJ19" s="67">
        <f t="shared" si="98"/>
        <v>0</v>
      </c>
      <c r="CK19" s="60"/>
      <c r="CL19" s="64">
        <f t="shared" si="74"/>
        <v>0</v>
      </c>
      <c r="CM19" s="65">
        <f t="shared" si="75"/>
        <v>0</v>
      </c>
      <c r="CN19" s="62"/>
      <c r="CO19" s="62"/>
      <c r="CP19" s="68"/>
      <c r="CQ19" s="67">
        <f t="shared" si="99"/>
        <v>0</v>
      </c>
      <c r="CR19" s="68"/>
      <c r="CS19" s="67">
        <f t="shared" si="76"/>
        <v>0</v>
      </c>
      <c r="CT19" s="75"/>
      <c r="CU19" s="67">
        <f t="shared" si="77"/>
        <v>0</v>
      </c>
      <c r="CV19" s="68"/>
      <c r="CW19" s="67">
        <f t="shared" si="78"/>
        <v>0</v>
      </c>
      <c r="CX19" s="58"/>
      <c r="CY19" s="67">
        <f t="shared" si="79"/>
        <v>0</v>
      </c>
    </row>
    <row r="20" spans="1:103" ht="25.5" customHeight="1" thickBot="1" x14ac:dyDescent="0.45">
      <c r="A20" s="63">
        <v>44729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80"/>
        <v>0</v>
      </c>
      <c r="BA20" s="58"/>
      <c r="BB20" s="65">
        <f t="shared" si="81"/>
        <v>0</v>
      </c>
      <c r="BC20" s="58"/>
      <c r="BD20" s="65">
        <f t="shared" si="82"/>
        <v>0</v>
      </c>
      <c r="BE20" s="59"/>
      <c r="BF20" s="67">
        <f t="shared" si="83"/>
        <v>0</v>
      </c>
      <c r="BG20" s="60"/>
      <c r="BH20" s="65">
        <f t="shared" si="84"/>
        <v>0</v>
      </c>
      <c r="BI20" s="60"/>
      <c r="BJ20" s="65">
        <f t="shared" si="85"/>
        <v>0</v>
      </c>
      <c r="BK20" s="60"/>
      <c r="BL20" s="65">
        <f t="shared" si="86"/>
        <v>0</v>
      </c>
      <c r="BM20" s="60"/>
      <c r="BN20" s="65">
        <f t="shared" si="87"/>
        <v>0</v>
      </c>
      <c r="BO20" s="60"/>
      <c r="BP20" s="65">
        <f t="shared" si="88"/>
        <v>0</v>
      </c>
      <c r="BQ20" s="60"/>
      <c r="BR20" s="65">
        <f t="shared" si="89"/>
        <v>0</v>
      </c>
      <c r="BS20" s="60"/>
      <c r="BT20" s="65">
        <f t="shared" si="90"/>
        <v>0</v>
      </c>
      <c r="BU20" s="60"/>
      <c r="BV20" s="65">
        <f t="shared" si="91"/>
        <v>0</v>
      </c>
      <c r="BW20" s="60"/>
      <c r="BX20" s="65">
        <f t="shared" si="92"/>
        <v>0</v>
      </c>
      <c r="BY20" s="60"/>
      <c r="BZ20" s="67">
        <f t="shared" si="93"/>
        <v>0</v>
      </c>
      <c r="CA20" s="60"/>
      <c r="CB20" s="67">
        <f t="shared" si="94"/>
        <v>0</v>
      </c>
      <c r="CC20" s="60"/>
      <c r="CD20" s="67">
        <f t="shared" si="95"/>
        <v>0</v>
      </c>
      <c r="CE20" s="60"/>
      <c r="CF20" s="67">
        <f t="shared" si="96"/>
        <v>0</v>
      </c>
      <c r="CG20" s="60"/>
      <c r="CH20" s="67">
        <f t="shared" si="97"/>
        <v>0</v>
      </c>
      <c r="CI20" s="60"/>
      <c r="CJ20" s="67">
        <f t="shared" si="98"/>
        <v>0</v>
      </c>
      <c r="CK20" s="60"/>
      <c r="CL20" s="64">
        <f t="shared" si="74"/>
        <v>0</v>
      </c>
      <c r="CM20" s="65">
        <f t="shared" si="75"/>
        <v>0</v>
      </c>
      <c r="CN20" s="62"/>
      <c r="CO20" s="62"/>
      <c r="CP20" s="68"/>
      <c r="CQ20" s="67">
        <f t="shared" si="99"/>
        <v>0</v>
      </c>
      <c r="CR20" s="68"/>
      <c r="CS20" s="67">
        <f t="shared" si="76"/>
        <v>0</v>
      </c>
      <c r="CT20" s="75"/>
      <c r="CU20" s="67">
        <f t="shared" si="77"/>
        <v>0</v>
      </c>
      <c r="CV20" s="68"/>
      <c r="CW20" s="67">
        <f t="shared" si="78"/>
        <v>0</v>
      </c>
      <c r="CX20" s="58"/>
      <c r="CY20" s="67">
        <f t="shared" si="79"/>
        <v>0</v>
      </c>
    </row>
    <row r="21" spans="1:103" ht="25.5" customHeight="1" thickBot="1" x14ac:dyDescent="0.45">
      <c r="A21" s="63">
        <v>44730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80"/>
        <v>0</v>
      </c>
      <c r="BA21" s="58"/>
      <c r="BB21" s="65">
        <f t="shared" si="81"/>
        <v>0</v>
      </c>
      <c r="BC21" s="58"/>
      <c r="BD21" s="65">
        <f t="shared" si="82"/>
        <v>0</v>
      </c>
      <c r="BE21" s="59"/>
      <c r="BF21" s="67">
        <f t="shared" si="83"/>
        <v>0</v>
      </c>
      <c r="BG21" s="60"/>
      <c r="BH21" s="65">
        <f t="shared" si="84"/>
        <v>0</v>
      </c>
      <c r="BI21" s="60"/>
      <c r="BJ21" s="65">
        <f t="shared" si="85"/>
        <v>0</v>
      </c>
      <c r="BK21" s="60"/>
      <c r="BL21" s="65">
        <f t="shared" si="86"/>
        <v>0</v>
      </c>
      <c r="BM21" s="60"/>
      <c r="BN21" s="65">
        <f t="shared" si="87"/>
        <v>0</v>
      </c>
      <c r="BO21" s="60"/>
      <c r="BP21" s="65">
        <f t="shared" si="88"/>
        <v>0</v>
      </c>
      <c r="BQ21" s="60"/>
      <c r="BR21" s="65">
        <f t="shared" si="89"/>
        <v>0</v>
      </c>
      <c r="BS21" s="60"/>
      <c r="BT21" s="65">
        <f t="shared" si="90"/>
        <v>0</v>
      </c>
      <c r="BU21" s="60"/>
      <c r="BV21" s="65">
        <f t="shared" si="91"/>
        <v>0</v>
      </c>
      <c r="BW21" s="60"/>
      <c r="BX21" s="65">
        <f t="shared" si="92"/>
        <v>0</v>
      </c>
      <c r="BY21" s="60"/>
      <c r="BZ21" s="67">
        <f t="shared" si="93"/>
        <v>0</v>
      </c>
      <c r="CA21" s="60"/>
      <c r="CB21" s="67">
        <f t="shared" si="94"/>
        <v>0</v>
      </c>
      <c r="CC21" s="60"/>
      <c r="CD21" s="67">
        <f t="shared" si="95"/>
        <v>0</v>
      </c>
      <c r="CE21" s="60"/>
      <c r="CF21" s="67">
        <f t="shared" si="96"/>
        <v>0</v>
      </c>
      <c r="CG21" s="60"/>
      <c r="CH21" s="67">
        <f t="shared" si="97"/>
        <v>0</v>
      </c>
      <c r="CI21" s="60"/>
      <c r="CJ21" s="67">
        <f t="shared" si="98"/>
        <v>0</v>
      </c>
      <c r="CK21" s="60"/>
      <c r="CL21" s="64">
        <f t="shared" si="74"/>
        <v>0</v>
      </c>
      <c r="CM21" s="65">
        <f t="shared" si="75"/>
        <v>0</v>
      </c>
      <c r="CN21" s="62"/>
      <c r="CO21" s="62"/>
      <c r="CP21" s="68"/>
      <c r="CQ21" s="67">
        <f t="shared" si="99"/>
        <v>0</v>
      </c>
      <c r="CR21" s="68"/>
      <c r="CS21" s="67">
        <f t="shared" si="76"/>
        <v>0</v>
      </c>
      <c r="CT21" s="75"/>
      <c r="CU21" s="67">
        <f t="shared" si="77"/>
        <v>0</v>
      </c>
      <c r="CV21" s="68"/>
      <c r="CW21" s="67">
        <f t="shared" si="78"/>
        <v>0</v>
      </c>
      <c r="CX21" s="58"/>
      <c r="CY21" s="67">
        <f t="shared" si="79"/>
        <v>0</v>
      </c>
    </row>
    <row r="22" spans="1:103" ht="25.5" customHeight="1" thickBot="1" x14ac:dyDescent="0.45">
      <c r="A22" s="63">
        <v>44731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80"/>
        <v>0</v>
      </c>
      <c r="BA22" s="58"/>
      <c r="BB22" s="65">
        <f t="shared" si="81"/>
        <v>0</v>
      </c>
      <c r="BC22" s="58"/>
      <c r="BD22" s="65">
        <f t="shared" si="82"/>
        <v>0</v>
      </c>
      <c r="BE22" s="59"/>
      <c r="BF22" s="67">
        <f t="shared" si="83"/>
        <v>0</v>
      </c>
      <c r="BG22" s="60"/>
      <c r="BH22" s="65">
        <f t="shared" si="84"/>
        <v>0</v>
      </c>
      <c r="BI22" s="60"/>
      <c r="BJ22" s="65">
        <f t="shared" si="85"/>
        <v>0</v>
      </c>
      <c r="BK22" s="60"/>
      <c r="BL22" s="65">
        <f t="shared" si="86"/>
        <v>0</v>
      </c>
      <c r="BM22" s="60"/>
      <c r="BN22" s="65">
        <f t="shared" si="87"/>
        <v>0</v>
      </c>
      <c r="BO22" s="60"/>
      <c r="BP22" s="65">
        <f t="shared" si="88"/>
        <v>0</v>
      </c>
      <c r="BQ22" s="60"/>
      <c r="BR22" s="65">
        <f t="shared" si="89"/>
        <v>0</v>
      </c>
      <c r="BS22" s="60"/>
      <c r="BT22" s="65">
        <f t="shared" si="90"/>
        <v>0</v>
      </c>
      <c r="BU22" s="60"/>
      <c r="BV22" s="65">
        <f t="shared" si="91"/>
        <v>0</v>
      </c>
      <c r="BW22" s="60"/>
      <c r="BX22" s="65">
        <f t="shared" si="92"/>
        <v>0</v>
      </c>
      <c r="BY22" s="60"/>
      <c r="BZ22" s="67">
        <f t="shared" si="93"/>
        <v>0</v>
      </c>
      <c r="CA22" s="60"/>
      <c r="CB22" s="67">
        <f t="shared" si="94"/>
        <v>0</v>
      </c>
      <c r="CC22" s="60"/>
      <c r="CD22" s="67">
        <f t="shared" si="95"/>
        <v>0</v>
      </c>
      <c r="CE22" s="60"/>
      <c r="CF22" s="67">
        <f t="shared" si="96"/>
        <v>0</v>
      </c>
      <c r="CG22" s="60"/>
      <c r="CH22" s="67">
        <f t="shared" si="97"/>
        <v>0</v>
      </c>
      <c r="CI22" s="60"/>
      <c r="CJ22" s="67">
        <f t="shared" si="98"/>
        <v>0</v>
      </c>
      <c r="CK22" s="60"/>
      <c r="CL22" s="64">
        <f t="shared" si="74"/>
        <v>0</v>
      </c>
      <c r="CM22" s="65">
        <f t="shared" si="75"/>
        <v>0</v>
      </c>
      <c r="CN22" s="62"/>
      <c r="CO22" s="62"/>
      <c r="CP22" s="68"/>
      <c r="CQ22" s="67">
        <f t="shared" si="99"/>
        <v>0</v>
      </c>
      <c r="CR22" s="68"/>
      <c r="CS22" s="67">
        <f t="shared" si="76"/>
        <v>0</v>
      </c>
      <c r="CT22" s="75"/>
      <c r="CU22" s="67">
        <f t="shared" si="77"/>
        <v>0</v>
      </c>
      <c r="CV22" s="68"/>
      <c r="CW22" s="67">
        <f t="shared" si="78"/>
        <v>0</v>
      </c>
      <c r="CX22" s="58"/>
      <c r="CY22" s="67">
        <f t="shared" si="79"/>
        <v>0</v>
      </c>
    </row>
    <row r="23" spans="1:103" ht="25.5" customHeight="1" thickBot="1" x14ac:dyDescent="0.45">
      <c r="A23" s="63">
        <v>44732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80"/>
        <v>0</v>
      </c>
      <c r="BA23" s="58"/>
      <c r="BB23" s="65">
        <f t="shared" si="81"/>
        <v>0</v>
      </c>
      <c r="BC23" s="58"/>
      <c r="BD23" s="65">
        <f t="shared" si="82"/>
        <v>0</v>
      </c>
      <c r="BE23" s="59"/>
      <c r="BF23" s="67">
        <f t="shared" si="83"/>
        <v>0</v>
      </c>
      <c r="BG23" s="60"/>
      <c r="BH23" s="65">
        <f t="shared" si="84"/>
        <v>0</v>
      </c>
      <c r="BI23" s="60"/>
      <c r="BJ23" s="65">
        <f t="shared" si="85"/>
        <v>0</v>
      </c>
      <c r="BK23" s="60"/>
      <c r="BL23" s="65">
        <f t="shared" si="86"/>
        <v>0</v>
      </c>
      <c r="BM23" s="60"/>
      <c r="BN23" s="65">
        <f t="shared" si="87"/>
        <v>0</v>
      </c>
      <c r="BO23" s="60"/>
      <c r="BP23" s="65">
        <f t="shared" si="88"/>
        <v>0</v>
      </c>
      <c r="BQ23" s="60"/>
      <c r="BR23" s="65">
        <f t="shared" si="89"/>
        <v>0</v>
      </c>
      <c r="BS23" s="60"/>
      <c r="BT23" s="65">
        <f t="shared" si="90"/>
        <v>0</v>
      </c>
      <c r="BU23" s="60"/>
      <c r="BV23" s="65">
        <f t="shared" si="91"/>
        <v>0</v>
      </c>
      <c r="BW23" s="60"/>
      <c r="BX23" s="65">
        <f t="shared" si="92"/>
        <v>0</v>
      </c>
      <c r="BY23" s="60"/>
      <c r="BZ23" s="67">
        <f t="shared" si="93"/>
        <v>0</v>
      </c>
      <c r="CA23" s="60"/>
      <c r="CB23" s="67">
        <f t="shared" si="94"/>
        <v>0</v>
      </c>
      <c r="CC23" s="60"/>
      <c r="CD23" s="67">
        <f t="shared" si="95"/>
        <v>0</v>
      </c>
      <c r="CE23" s="60"/>
      <c r="CF23" s="67">
        <f t="shared" si="96"/>
        <v>0</v>
      </c>
      <c r="CG23" s="60"/>
      <c r="CH23" s="67">
        <f t="shared" si="97"/>
        <v>0</v>
      </c>
      <c r="CI23" s="60"/>
      <c r="CJ23" s="67">
        <f t="shared" si="98"/>
        <v>0</v>
      </c>
      <c r="CK23" s="60"/>
      <c r="CL23" s="64">
        <f t="shared" si="74"/>
        <v>0</v>
      </c>
      <c r="CM23" s="65">
        <f>CQ23+CS23</f>
        <v>0</v>
      </c>
      <c r="CN23" s="62"/>
      <c r="CO23" s="62"/>
      <c r="CP23" s="68"/>
      <c r="CQ23" s="67">
        <f t="shared" si="99"/>
        <v>0</v>
      </c>
      <c r="CR23" s="68"/>
      <c r="CS23" s="67">
        <f t="shared" si="76"/>
        <v>0</v>
      </c>
      <c r="CT23" s="75"/>
      <c r="CU23" s="67">
        <f t="shared" si="77"/>
        <v>0</v>
      </c>
      <c r="CV23" s="68"/>
      <c r="CW23" s="67">
        <f t="shared" si="78"/>
        <v>0</v>
      </c>
      <c r="CX23" s="58"/>
      <c r="CY23" s="67">
        <f t="shared" si="79"/>
        <v>0</v>
      </c>
    </row>
    <row r="24" spans="1:103" ht="25.5" customHeight="1" thickBot="1" x14ac:dyDescent="0.45">
      <c r="A24" s="63">
        <v>44733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80"/>
        <v>0</v>
      </c>
      <c r="BA24" s="58"/>
      <c r="BB24" s="65">
        <f t="shared" si="81"/>
        <v>0</v>
      </c>
      <c r="BC24" s="58"/>
      <c r="BD24" s="65">
        <f t="shared" si="82"/>
        <v>0</v>
      </c>
      <c r="BE24" s="59"/>
      <c r="BF24" s="67">
        <f t="shared" si="83"/>
        <v>0</v>
      </c>
      <c r="BG24" s="60"/>
      <c r="BH24" s="65">
        <f t="shared" si="84"/>
        <v>0</v>
      </c>
      <c r="BI24" s="60"/>
      <c r="BJ24" s="65">
        <f t="shared" si="85"/>
        <v>0</v>
      </c>
      <c r="BK24" s="60"/>
      <c r="BL24" s="65">
        <f t="shared" si="86"/>
        <v>0</v>
      </c>
      <c r="BM24" s="60"/>
      <c r="BN24" s="65">
        <f t="shared" si="87"/>
        <v>0</v>
      </c>
      <c r="BO24" s="60"/>
      <c r="BP24" s="65">
        <f t="shared" si="88"/>
        <v>0</v>
      </c>
      <c r="BQ24" s="60"/>
      <c r="BR24" s="65">
        <f t="shared" si="89"/>
        <v>0</v>
      </c>
      <c r="BS24" s="60"/>
      <c r="BT24" s="65">
        <f t="shared" si="90"/>
        <v>0</v>
      </c>
      <c r="BU24" s="60"/>
      <c r="BV24" s="65">
        <f t="shared" si="91"/>
        <v>0</v>
      </c>
      <c r="BW24" s="60"/>
      <c r="BX24" s="65">
        <f t="shared" si="92"/>
        <v>0</v>
      </c>
      <c r="BY24" s="60"/>
      <c r="BZ24" s="67">
        <f t="shared" si="93"/>
        <v>0</v>
      </c>
      <c r="CA24" s="60"/>
      <c r="CB24" s="67">
        <f t="shared" si="94"/>
        <v>0</v>
      </c>
      <c r="CC24" s="60"/>
      <c r="CD24" s="67">
        <f t="shared" si="95"/>
        <v>0</v>
      </c>
      <c r="CE24" s="60"/>
      <c r="CF24" s="67">
        <f t="shared" si="96"/>
        <v>0</v>
      </c>
      <c r="CG24" s="60"/>
      <c r="CH24" s="67">
        <f t="shared" si="97"/>
        <v>0</v>
      </c>
      <c r="CI24" s="60"/>
      <c r="CJ24" s="67">
        <f t="shared" si="98"/>
        <v>0</v>
      </c>
      <c r="CK24" s="60"/>
      <c r="CL24" s="64">
        <f t="shared" si="74"/>
        <v>0</v>
      </c>
      <c r="CM24" s="65">
        <f t="shared" si="75"/>
        <v>0</v>
      </c>
      <c r="CN24" s="62"/>
      <c r="CO24" s="62"/>
      <c r="CP24" s="68"/>
      <c r="CQ24" s="67">
        <f t="shared" si="99"/>
        <v>0</v>
      </c>
      <c r="CR24" s="68"/>
      <c r="CS24" s="67">
        <f t="shared" si="76"/>
        <v>0</v>
      </c>
      <c r="CT24" s="75"/>
      <c r="CU24" s="67">
        <f t="shared" si="77"/>
        <v>0</v>
      </c>
      <c r="CV24" s="68"/>
      <c r="CW24" s="67">
        <f t="shared" si="78"/>
        <v>0</v>
      </c>
      <c r="CX24" s="58"/>
      <c r="CY24" s="67">
        <f t="shared" si="79"/>
        <v>0</v>
      </c>
    </row>
    <row r="25" spans="1:103" ht="25.5" customHeight="1" thickBot="1" x14ac:dyDescent="0.45">
      <c r="A25" s="63">
        <v>44734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80"/>
        <v>0</v>
      </c>
      <c r="BA25" s="58"/>
      <c r="BB25" s="65">
        <f t="shared" si="81"/>
        <v>0</v>
      </c>
      <c r="BC25" s="58"/>
      <c r="BD25" s="65">
        <f t="shared" si="82"/>
        <v>0</v>
      </c>
      <c r="BE25" s="59"/>
      <c r="BF25" s="67">
        <f t="shared" si="83"/>
        <v>0</v>
      </c>
      <c r="BG25" s="60"/>
      <c r="BH25" s="65">
        <f t="shared" si="84"/>
        <v>0</v>
      </c>
      <c r="BI25" s="60"/>
      <c r="BJ25" s="65">
        <f t="shared" si="85"/>
        <v>0</v>
      </c>
      <c r="BK25" s="60"/>
      <c r="BL25" s="65">
        <f t="shared" si="86"/>
        <v>0</v>
      </c>
      <c r="BM25" s="60"/>
      <c r="BN25" s="65">
        <f t="shared" si="87"/>
        <v>0</v>
      </c>
      <c r="BO25" s="60"/>
      <c r="BP25" s="65">
        <f t="shared" si="88"/>
        <v>0</v>
      </c>
      <c r="BQ25" s="60"/>
      <c r="BR25" s="65">
        <f t="shared" si="89"/>
        <v>0</v>
      </c>
      <c r="BS25" s="60"/>
      <c r="BT25" s="65">
        <f t="shared" si="90"/>
        <v>0</v>
      </c>
      <c r="BU25" s="60"/>
      <c r="BV25" s="65">
        <f t="shared" si="91"/>
        <v>0</v>
      </c>
      <c r="BW25" s="60"/>
      <c r="BX25" s="65">
        <f t="shared" si="92"/>
        <v>0</v>
      </c>
      <c r="BY25" s="60"/>
      <c r="BZ25" s="67">
        <f t="shared" si="93"/>
        <v>0</v>
      </c>
      <c r="CA25" s="60"/>
      <c r="CB25" s="67">
        <f t="shared" si="94"/>
        <v>0</v>
      </c>
      <c r="CC25" s="60"/>
      <c r="CD25" s="67">
        <f t="shared" si="95"/>
        <v>0</v>
      </c>
      <c r="CE25" s="60"/>
      <c r="CF25" s="67">
        <f t="shared" si="96"/>
        <v>0</v>
      </c>
      <c r="CG25" s="60"/>
      <c r="CH25" s="67">
        <f t="shared" si="97"/>
        <v>0</v>
      </c>
      <c r="CI25" s="60"/>
      <c r="CJ25" s="67">
        <f t="shared" si="98"/>
        <v>0</v>
      </c>
      <c r="CK25" s="60"/>
      <c r="CL25" s="64">
        <f t="shared" si="74"/>
        <v>0</v>
      </c>
      <c r="CM25" s="65">
        <f t="shared" si="75"/>
        <v>0</v>
      </c>
      <c r="CN25" s="62"/>
      <c r="CO25" s="62"/>
      <c r="CP25" s="68"/>
      <c r="CQ25" s="67">
        <f t="shared" si="99"/>
        <v>0</v>
      </c>
      <c r="CR25" s="68"/>
      <c r="CS25" s="67">
        <f t="shared" si="76"/>
        <v>0</v>
      </c>
      <c r="CT25" s="75"/>
      <c r="CU25" s="67">
        <f t="shared" si="77"/>
        <v>0</v>
      </c>
      <c r="CV25" s="68"/>
      <c r="CW25" s="67">
        <f t="shared" si="78"/>
        <v>0</v>
      </c>
      <c r="CX25" s="58"/>
      <c r="CY25" s="67">
        <f t="shared" si="79"/>
        <v>0</v>
      </c>
    </row>
    <row r="26" spans="1:103" ht="25.5" customHeight="1" thickBot="1" x14ac:dyDescent="0.45">
      <c r="A26" s="63">
        <v>44735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80"/>
        <v>0</v>
      </c>
      <c r="BA26" s="58"/>
      <c r="BB26" s="65">
        <f t="shared" si="81"/>
        <v>0</v>
      </c>
      <c r="BC26" s="58"/>
      <c r="BD26" s="65">
        <f t="shared" si="82"/>
        <v>0</v>
      </c>
      <c r="BE26" s="59"/>
      <c r="BF26" s="67">
        <f t="shared" si="83"/>
        <v>0</v>
      </c>
      <c r="BG26" s="60"/>
      <c r="BH26" s="65">
        <f t="shared" si="84"/>
        <v>0</v>
      </c>
      <c r="BI26" s="60"/>
      <c r="BJ26" s="65">
        <f t="shared" si="85"/>
        <v>0</v>
      </c>
      <c r="BK26" s="60"/>
      <c r="BL26" s="65">
        <f t="shared" si="86"/>
        <v>0</v>
      </c>
      <c r="BM26" s="60"/>
      <c r="BN26" s="65">
        <f t="shared" si="87"/>
        <v>0</v>
      </c>
      <c r="BO26" s="60"/>
      <c r="BP26" s="65">
        <f t="shared" si="88"/>
        <v>0</v>
      </c>
      <c r="BQ26" s="60"/>
      <c r="BR26" s="65">
        <f t="shared" si="89"/>
        <v>0</v>
      </c>
      <c r="BS26" s="60"/>
      <c r="BT26" s="65">
        <f t="shared" si="90"/>
        <v>0</v>
      </c>
      <c r="BU26" s="60"/>
      <c r="BV26" s="65">
        <f t="shared" si="91"/>
        <v>0</v>
      </c>
      <c r="BW26" s="60"/>
      <c r="BX26" s="65">
        <f t="shared" si="92"/>
        <v>0</v>
      </c>
      <c r="BY26" s="60"/>
      <c r="BZ26" s="67">
        <f t="shared" si="93"/>
        <v>0</v>
      </c>
      <c r="CA26" s="60"/>
      <c r="CB26" s="67">
        <f t="shared" si="94"/>
        <v>0</v>
      </c>
      <c r="CC26" s="60"/>
      <c r="CD26" s="67">
        <f t="shared" si="95"/>
        <v>0</v>
      </c>
      <c r="CE26" s="60"/>
      <c r="CF26" s="67">
        <f t="shared" si="96"/>
        <v>0</v>
      </c>
      <c r="CG26" s="60"/>
      <c r="CH26" s="67">
        <f t="shared" si="97"/>
        <v>0</v>
      </c>
      <c r="CI26" s="60"/>
      <c r="CJ26" s="67">
        <f t="shared" si="98"/>
        <v>0</v>
      </c>
      <c r="CK26" s="60"/>
      <c r="CL26" s="64">
        <f t="shared" si="74"/>
        <v>0</v>
      </c>
      <c r="CM26" s="65">
        <f t="shared" si="75"/>
        <v>0</v>
      </c>
      <c r="CN26" s="62"/>
      <c r="CO26" s="62"/>
      <c r="CP26" s="68"/>
      <c r="CQ26" s="67">
        <f t="shared" si="99"/>
        <v>0</v>
      </c>
      <c r="CR26" s="68"/>
      <c r="CS26" s="67">
        <f t="shared" si="76"/>
        <v>0</v>
      </c>
      <c r="CT26" s="75"/>
      <c r="CU26" s="67">
        <f t="shared" si="77"/>
        <v>0</v>
      </c>
      <c r="CV26" s="68"/>
      <c r="CW26" s="67">
        <f t="shared" si="78"/>
        <v>0</v>
      </c>
      <c r="CX26" s="58"/>
      <c r="CY26" s="67">
        <f t="shared" si="79"/>
        <v>0</v>
      </c>
    </row>
    <row r="27" spans="1:103" ht="25.5" customHeight="1" thickBot="1" x14ac:dyDescent="0.45">
      <c r="A27" s="63">
        <v>44736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80"/>
        <v>0</v>
      </c>
      <c r="BA27" s="58"/>
      <c r="BB27" s="65">
        <f t="shared" si="81"/>
        <v>0</v>
      </c>
      <c r="BC27" s="58"/>
      <c r="BD27" s="65">
        <f t="shared" si="82"/>
        <v>0</v>
      </c>
      <c r="BE27" s="59"/>
      <c r="BF27" s="67">
        <f t="shared" si="83"/>
        <v>0</v>
      </c>
      <c r="BG27" s="60"/>
      <c r="BH27" s="65">
        <f t="shared" si="84"/>
        <v>0</v>
      </c>
      <c r="BI27" s="60"/>
      <c r="BJ27" s="65">
        <f t="shared" si="85"/>
        <v>0</v>
      </c>
      <c r="BK27" s="60"/>
      <c r="BL27" s="65">
        <f t="shared" si="86"/>
        <v>0</v>
      </c>
      <c r="BM27" s="60"/>
      <c r="BN27" s="65">
        <f t="shared" si="87"/>
        <v>0</v>
      </c>
      <c r="BO27" s="60"/>
      <c r="BP27" s="65">
        <f t="shared" si="88"/>
        <v>0</v>
      </c>
      <c r="BQ27" s="60"/>
      <c r="BR27" s="65">
        <f t="shared" si="89"/>
        <v>0</v>
      </c>
      <c r="BS27" s="60"/>
      <c r="BT27" s="65">
        <f t="shared" si="90"/>
        <v>0</v>
      </c>
      <c r="BU27" s="60"/>
      <c r="BV27" s="65">
        <f t="shared" si="91"/>
        <v>0</v>
      </c>
      <c r="BW27" s="60"/>
      <c r="BX27" s="65">
        <f t="shared" si="92"/>
        <v>0</v>
      </c>
      <c r="BY27" s="60"/>
      <c r="BZ27" s="67">
        <f t="shared" si="93"/>
        <v>0</v>
      </c>
      <c r="CA27" s="60"/>
      <c r="CB27" s="67">
        <f t="shared" si="94"/>
        <v>0</v>
      </c>
      <c r="CC27" s="60"/>
      <c r="CD27" s="67">
        <f t="shared" si="95"/>
        <v>0</v>
      </c>
      <c r="CE27" s="60"/>
      <c r="CF27" s="67">
        <f t="shared" si="96"/>
        <v>0</v>
      </c>
      <c r="CG27" s="60"/>
      <c r="CH27" s="67">
        <f t="shared" si="97"/>
        <v>0</v>
      </c>
      <c r="CI27" s="60"/>
      <c r="CJ27" s="67">
        <f t="shared" si="98"/>
        <v>0</v>
      </c>
      <c r="CK27" s="60"/>
      <c r="CL27" s="64">
        <f t="shared" si="74"/>
        <v>0</v>
      </c>
      <c r="CM27" s="65">
        <f t="shared" si="75"/>
        <v>0</v>
      </c>
      <c r="CN27" s="62"/>
      <c r="CO27" s="62"/>
      <c r="CP27" s="68"/>
      <c r="CQ27" s="67">
        <f t="shared" si="99"/>
        <v>0</v>
      </c>
      <c r="CR27" s="68"/>
      <c r="CS27" s="67">
        <f t="shared" si="76"/>
        <v>0</v>
      </c>
      <c r="CT27" s="75"/>
      <c r="CU27" s="67">
        <f t="shared" si="77"/>
        <v>0</v>
      </c>
      <c r="CV27" s="68"/>
      <c r="CW27" s="67">
        <f t="shared" si="78"/>
        <v>0</v>
      </c>
      <c r="CX27" s="58"/>
      <c r="CY27" s="67">
        <f t="shared" si="79"/>
        <v>0</v>
      </c>
    </row>
    <row r="28" spans="1:103" ht="25.5" customHeight="1" thickBot="1" x14ac:dyDescent="0.45">
      <c r="A28" s="63">
        <v>44737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80"/>
        <v>0</v>
      </c>
      <c r="BA28" s="58"/>
      <c r="BB28" s="65">
        <f t="shared" si="81"/>
        <v>0</v>
      </c>
      <c r="BC28" s="58"/>
      <c r="BD28" s="65">
        <f t="shared" si="82"/>
        <v>0</v>
      </c>
      <c r="BE28" s="59"/>
      <c r="BF28" s="67">
        <f t="shared" si="83"/>
        <v>0</v>
      </c>
      <c r="BG28" s="60"/>
      <c r="BH28" s="65">
        <f t="shared" si="84"/>
        <v>0</v>
      </c>
      <c r="BI28" s="60"/>
      <c r="BJ28" s="65">
        <f t="shared" si="85"/>
        <v>0</v>
      </c>
      <c r="BK28" s="60"/>
      <c r="BL28" s="65">
        <f t="shared" si="86"/>
        <v>0</v>
      </c>
      <c r="BM28" s="60"/>
      <c r="BN28" s="65">
        <f t="shared" si="87"/>
        <v>0</v>
      </c>
      <c r="BO28" s="60"/>
      <c r="BP28" s="65">
        <f t="shared" si="88"/>
        <v>0</v>
      </c>
      <c r="BQ28" s="60"/>
      <c r="BR28" s="65">
        <f t="shared" si="89"/>
        <v>0</v>
      </c>
      <c r="BS28" s="60"/>
      <c r="BT28" s="65">
        <f t="shared" si="90"/>
        <v>0</v>
      </c>
      <c r="BU28" s="60"/>
      <c r="BV28" s="65">
        <f t="shared" si="91"/>
        <v>0</v>
      </c>
      <c r="BW28" s="60"/>
      <c r="BX28" s="65">
        <f t="shared" si="92"/>
        <v>0</v>
      </c>
      <c r="BY28" s="60"/>
      <c r="BZ28" s="67">
        <f t="shared" si="93"/>
        <v>0</v>
      </c>
      <c r="CA28" s="60"/>
      <c r="CB28" s="67">
        <f t="shared" si="94"/>
        <v>0</v>
      </c>
      <c r="CC28" s="60"/>
      <c r="CD28" s="67">
        <f t="shared" si="95"/>
        <v>0</v>
      </c>
      <c r="CE28" s="60"/>
      <c r="CF28" s="67">
        <f t="shared" si="96"/>
        <v>0</v>
      </c>
      <c r="CG28" s="60"/>
      <c r="CH28" s="67">
        <f t="shared" si="97"/>
        <v>0</v>
      </c>
      <c r="CI28" s="60"/>
      <c r="CJ28" s="67">
        <f t="shared" si="98"/>
        <v>0</v>
      </c>
      <c r="CK28" s="60"/>
      <c r="CL28" s="64">
        <f t="shared" si="74"/>
        <v>0</v>
      </c>
      <c r="CM28" s="65">
        <f t="shared" si="75"/>
        <v>0</v>
      </c>
      <c r="CN28" s="62"/>
      <c r="CO28" s="62"/>
      <c r="CP28" s="68"/>
      <c r="CQ28" s="67">
        <f t="shared" si="99"/>
        <v>0</v>
      </c>
      <c r="CR28" s="68"/>
      <c r="CS28" s="67">
        <f t="shared" si="76"/>
        <v>0</v>
      </c>
      <c r="CT28" s="75"/>
      <c r="CU28" s="67">
        <f t="shared" si="77"/>
        <v>0</v>
      </c>
      <c r="CV28" s="68"/>
      <c r="CW28" s="67">
        <f t="shared" si="78"/>
        <v>0</v>
      </c>
      <c r="CX28" s="58"/>
      <c r="CY28" s="67">
        <f t="shared" si="79"/>
        <v>0</v>
      </c>
    </row>
    <row r="29" spans="1:103" ht="25.5" customHeight="1" thickBot="1" x14ac:dyDescent="0.45">
      <c r="A29" s="63">
        <v>44738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80"/>
        <v>0</v>
      </c>
      <c r="BA29" s="58"/>
      <c r="BB29" s="65">
        <f t="shared" si="81"/>
        <v>0</v>
      </c>
      <c r="BC29" s="58"/>
      <c r="BD29" s="65">
        <f t="shared" si="82"/>
        <v>0</v>
      </c>
      <c r="BE29" s="59"/>
      <c r="BF29" s="67">
        <f t="shared" si="83"/>
        <v>0</v>
      </c>
      <c r="BG29" s="60"/>
      <c r="BH29" s="65">
        <f t="shared" si="84"/>
        <v>0</v>
      </c>
      <c r="BI29" s="60"/>
      <c r="BJ29" s="65">
        <f t="shared" si="85"/>
        <v>0</v>
      </c>
      <c r="BK29" s="60"/>
      <c r="BL29" s="65">
        <f t="shared" si="86"/>
        <v>0</v>
      </c>
      <c r="BM29" s="60"/>
      <c r="BN29" s="65">
        <f t="shared" si="87"/>
        <v>0</v>
      </c>
      <c r="BO29" s="60"/>
      <c r="BP29" s="65">
        <f t="shared" si="88"/>
        <v>0</v>
      </c>
      <c r="BQ29" s="60"/>
      <c r="BR29" s="65">
        <f t="shared" si="89"/>
        <v>0</v>
      </c>
      <c r="BS29" s="60"/>
      <c r="BT29" s="65">
        <f t="shared" si="90"/>
        <v>0</v>
      </c>
      <c r="BU29" s="60"/>
      <c r="BV29" s="65">
        <f t="shared" si="91"/>
        <v>0</v>
      </c>
      <c r="BW29" s="60"/>
      <c r="BX29" s="65">
        <f t="shared" si="92"/>
        <v>0</v>
      </c>
      <c r="BY29" s="60"/>
      <c r="BZ29" s="67">
        <f t="shared" si="93"/>
        <v>0</v>
      </c>
      <c r="CA29" s="60"/>
      <c r="CB29" s="67">
        <f t="shared" si="94"/>
        <v>0</v>
      </c>
      <c r="CC29" s="60"/>
      <c r="CD29" s="67">
        <f t="shared" si="95"/>
        <v>0</v>
      </c>
      <c r="CE29" s="60"/>
      <c r="CF29" s="67">
        <f t="shared" si="96"/>
        <v>0</v>
      </c>
      <c r="CG29" s="60"/>
      <c r="CH29" s="67">
        <f t="shared" si="97"/>
        <v>0</v>
      </c>
      <c r="CI29" s="60"/>
      <c r="CJ29" s="67">
        <f t="shared" si="98"/>
        <v>0</v>
      </c>
      <c r="CK29" s="60"/>
      <c r="CL29" s="64">
        <f t="shared" si="74"/>
        <v>0</v>
      </c>
      <c r="CM29" s="65">
        <f t="shared" si="75"/>
        <v>0</v>
      </c>
      <c r="CN29" s="62"/>
      <c r="CO29" s="62"/>
      <c r="CP29" s="68"/>
      <c r="CQ29" s="67">
        <f t="shared" si="99"/>
        <v>0</v>
      </c>
      <c r="CR29" s="68"/>
      <c r="CS29" s="67">
        <f t="shared" si="76"/>
        <v>0</v>
      </c>
      <c r="CT29" s="75"/>
      <c r="CU29" s="67">
        <f t="shared" si="77"/>
        <v>0</v>
      </c>
      <c r="CV29" s="68"/>
      <c r="CW29" s="67">
        <f t="shared" si="78"/>
        <v>0</v>
      </c>
      <c r="CX29" s="58"/>
      <c r="CY29" s="67">
        <f t="shared" si="79"/>
        <v>0</v>
      </c>
    </row>
    <row r="30" spans="1:103" ht="25.5" customHeight="1" thickBot="1" x14ac:dyDescent="0.45">
      <c r="A30" s="63">
        <v>44739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80"/>
        <v>0</v>
      </c>
      <c r="BA30" s="58"/>
      <c r="BB30" s="65">
        <f t="shared" si="81"/>
        <v>0</v>
      </c>
      <c r="BC30" s="58"/>
      <c r="BD30" s="65">
        <f t="shared" si="82"/>
        <v>0</v>
      </c>
      <c r="BE30" s="59"/>
      <c r="BF30" s="67">
        <f t="shared" si="83"/>
        <v>0</v>
      </c>
      <c r="BG30" s="60"/>
      <c r="BH30" s="65">
        <f t="shared" si="84"/>
        <v>0</v>
      </c>
      <c r="BI30" s="60"/>
      <c r="BJ30" s="65">
        <f t="shared" si="85"/>
        <v>0</v>
      </c>
      <c r="BK30" s="60"/>
      <c r="BL30" s="65">
        <f t="shared" si="86"/>
        <v>0</v>
      </c>
      <c r="BM30" s="60"/>
      <c r="BN30" s="65">
        <f t="shared" si="87"/>
        <v>0</v>
      </c>
      <c r="BO30" s="60"/>
      <c r="BP30" s="65">
        <f t="shared" si="88"/>
        <v>0</v>
      </c>
      <c r="BQ30" s="60"/>
      <c r="BR30" s="65">
        <f t="shared" si="89"/>
        <v>0</v>
      </c>
      <c r="BS30" s="60"/>
      <c r="BT30" s="65">
        <f t="shared" si="90"/>
        <v>0</v>
      </c>
      <c r="BU30" s="60"/>
      <c r="BV30" s="65">
        <f t="shared" si="91"/>
        <v>0</v>
      </c>
      <c r="BW30" s="60"/>
      <c r="BX30" s="65">
        <f t="shared" si="92"/>
        <v>0</v>
      </c>
      <c r="BY30" s="60"/>
      <c r="BZ30" s="67">
        <f t="shared" si="93"/>
        <v>0</v>
      </c>
      <c r="CA30" s="60"/>
      <c r="CB30" s="67">
        <f t="shared" si="94"/>
        <v>0</v>
      </c>
      <c r="CC30" s="60"/>
      <c r="CD30" s="67">
        <f t="shared" si="95"/>
        <v>0</v>
      </c>
      <c r="CE30" s="60"/>
      <c r="CF30" s="67">
        <f t="shared" si="96"/>
        <v>0</v>
      </c>
      <c r="CG30" s="60"/>
      <c r="CH30" s="67">
        <f t="shared" si="97"/>
        <v>0</v>
      </c>
      <c r="CI30" s="60"/>
      <c r="CJ30" s="67">
        <f t="shared" si="98"/>
        <v>0</v>
      </c>
      <c r="CK30" s="60"/>
      <c r="CL30" s="64">
        <f t="shared" si="74"/>
        <v>0</v>
      </c>
      <c r="CM30" s="65">
        <f t="shared" si="75"/>
        <v>0</v>
      </c>
      <c r="CN30" s="62"/>
      <c r="CO30" s="62"/>
      <c r="CP30" s="68"/>
      <c r="CQ30" s="67">
        <f t="shared" si="99"/>
        <v>0</v>
      </c>
      <c r="CR30" s="68"/>
      <c r="CS30" s="67">
        <f t="shared" si="76"/>
        <v>0</v>
      </c>
      <c r="CT30" s="75"/>
      <c r="CU30" s="67">
        <f t="shared" si="77"/>
        <v>0</v>
      </c>
      <c r="CV30" s="68"/>
      <c r="CW30" s="67">
        <f t="shared" si="78"/>
        <v>0</v>
      </c>
      <c r="CX30" s="58"/>
      <c r="CY30" s="67">
        <f t="shared" si="79"/>
        <v>0</v>
      </c>
    </row>
    <row r="31" spans="1:103" ht="25.5" customHeight="1" thickBot="1" x14ac:dyDescent="0.45">
      <c r="A31" s="63">
        <v>44740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80"/>
        <v>0</v>
      </c>
      <c r="BA31" s="58"/>
      <c r="BB31" s="65">
        <f t="shared" si="81"/>
        <v>0</v>
      </c>
      <c r="BC31" s="58"/>
      <c r="BD31" s="65">
        <f t="shared" si="82"/>
        <v>0</v>
      </c>
      <c r="BE31" s="59"/>
      <c r="BF31" s="67">
        <f t="shared" si="83"/>
        <v>0</v>
      </c>
      <c r="BG31" s="60"/>
      <c r="BH31" s="65">
        <f t="shared" si="84"/>
        <v>0</v>
      </c>
      <c r="BI31" s="60"/>
      <c r="BJ31" s="65">
        <f t="shared" si="85"/>
        <v>0</v>
      </c>
      <c r="BK31" s="60"/>
      <c r="BL31" s="65">
        <f t="shared" si="86"/>
        <v>0</v>
      </c>
      <c r="BM31" s="60"/>
      <c r="BN31" s="65">
        <f t="shared" si="87"/>
        <v>0</v>
      </c>
      <c r="BO31" s="60"/>
      <c r="BP31" s="65">
        <f t="shared" si="88"/>
        <v>0</v>
      </c>
      <c r="BQ31" s="60"/>
      <c r="BR31" s="65">
        <f t="shared" si="89"/>
        <v>0</v>
      </c>
      <c r="BS31" s="60"/>
      <c r="BT31" s="65">
        <f t="shared" si="90"/>
        <v>0</v>
      </c>
      <c r="BU31" s="60"/>
      <c r="BV31" s="65">
        <f t="shared" si="91"/>
        <v>0</v>
      </c>
      <c r="BW31" s="60"/>
      <c r="BX31" s="65">
        <f t="shared" si="92"/>
        <v>0</v>
      </c>
      <c r="BY31" s="60"/>
      <c r="BZ31" s="67">
        <f t="shared" si="93"/>
        <v>0</v>
      </c>
      <c r="CA31" s="60"/>
      <c r="CB31" s="67">
        <f t="shared" si="94"/>
        <v>0</v>
      </c>
      <c r="CC31" s="60"/>
      <c r="CD31" s="67">
        <f t="shared" si="95"/>
        <v>0</v>
      </c>
      <c r="CE31" s="60"/>
      <c r="CF31" s="67">
        <f t="shared" si="96"/>
        <v>0</v>
      </c>
      <c r="CG31" s="60"/>
      <c r="CH31" s="67">
        <f t="shared" si="97"/>
        <v>0</v>
      </c>
      <c r="CI31" s="60"/>
      <c r="CJ31" s="67">
        <f t="shared" si="98"/>
        <v>0</v>
      </c>
      <c r="CK31" s="60"/>
      <c r="CL31" s="64">
        <f t="shared" si="74"/>
        <v>0</v>
      </c>
      <c r="CM31" s="65">
        <f t="shared" si="75"/>
        <v>0</v>
      </c>
      <c r="CN31" s="62"/>
      <c r="CO31" s="62"/>
      <c r="CP31" s="68"/>
      <c r="CQ31" s="67">
        <f t="shared" si="99"/>
        <v>0</v>
      </c>
      <c r="CR31" s="68"/>
      <c r="CS31" s="67">
        <f t="shared" si="76"/>
        <v>0</v>
      </c>
      <c r="CT31" s="75"/>
      <c r="CU31" s="67">
        <f t="shared" si="77"/>
        <v>0</v>
      </c>
      <c r="CV31" s="68"/>
      <c r="CW31" s="67">
        <f t="shared" si="78"/>
        <v>0</v>
      </c>
      <c r="CX31" s="58"/>
      <c r="CY31" s="67">
        <f t="shared" si="79"/>
        <v>0</v>
      </c>
    </row>
    <row r="32" spans="1:103" ht="25.5" customHeight="1" thickBot="1" x14ac:dyDescent="0.45">
      <c r="A32" s="63">
        <v>44741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80"/>
        <v>0</v>
      </c>
      <c r="BA32" s="58"/>
      <c r="BB32" s="65">
        <f t="shared" si="81"/>
        <v>0</v>
      </c>
      <c r="BC32" s="58"/>
      <c r="BD32" s="65">
        <f t="shared" si="82"/>
        <v>0</v>
      </c>
      <c r="BE32" s="59"/>
      <c r="BF32" s="67">
        <f t="shared" si="83"/>
        <v>0</v>
      </c>
      <c r="BG32" s="60"/>
      <c r="BH32" s="65">
        <f t="shared" si="84"/>
        <v>0</v>
      </c>
      <c r="BI32" s="60"/>
      <c r="BJ32" s="65">
        <f t="shared" si="85"/>
        <v>0</v>
      </c>
      <c r="BK32" s="60"/>
      <c r="BL32" s="65">
        <f t="shared" si="86"/>
        <v>0</v>
      </c>
      <c r="BM32" s="60"/>
      <c r="BN32" s="65">
        <f t="shared" si="87"/>
        <v>0</v>
      </c>
      <c r="BO32" s="60"/>
      <c r="BP32" s="65">
        <f t="shared" si="88"/>
        <v>0</v>
      </c>
      <c r="BQ32" s="60"/>
      <c r="BR32" s="65">
        <f t="shared" si="89"/>
        <v>0</v>
      </c>
      <c r="BS32" s="60"/>
      <c r="BT32" s="65">
        <f t="shared" si="90"/>
        <v>0</v>
      </c>
      <c r="BU32" s="60"/>
      <c r="BV32" s="65">
        <f t="shared" si="91"/>
        <v>0</v>
      </c>
      <c r="BW32" s="60"/>
      <c r="BX32" s="65">
        <f t="shared" si="92"/>
        <v>0</v>
      </c>
      <c r="BY32" s="60"/>
      <c r="BZ32" s="67">
        <f t="shared" si="93"/>
        <v>0</v>
      </c>
      <c r="CA32" s="60"/>
      <c r="CB32" s="67">
        <f t="shared" si="94"/>
        <v>0</v>
      </c>
      <c r="CC32" s="60"/>
      <c r="CD32" s="67">
        <f t="shared" si="95"/>
        <v>0</v>
      </c>
      <c r="CE32" s="60"/>
      <c r="CF32" s="67">
        <f t="shared" si="96"/>
        <v>0</v>
      </c>
      <c r="CG32" s="60"/>
      <c r="CH32" s="67">
        <f t="shared" si="97"/>
        <v>0</v>
      </c>
      <c r="CI32" s="60"/>
      <c r="CJ32" s="67">
        <f t="shared" si="98"/>
        <v>0</v>
      </c>
      <c r="CK32" s="60"/>
      <c r="CL32" s="64">
        <f t="shared" si="74"/>
        <v>0</v>
      </c>
      <c r="CM32" s="65">
        <f t="shared" si="75"/>
        <v>0</v>
      </c>
      <c r="CN32" s="62"/>
      <c r="CO32" s="62"/>
      <c r="CP32" s="68"/>
      <c r="CQ32" s="67">
        <f t="shared" si="99"/>
        <v>0</v>
      </c>
      <c r="CR32" s="68"/>
      <c r="CS32" s="67">
        <f t="shared" si="76"/>
        <v>0</v>
      </c>
      <c r="CT32" s="75"/>
      <c r="CU32" s="67">
        <f t="shared" si="77"/>
        <v>0</v>
      </c>
      <c r="CV32" s="68"/>
      <c r="CW32" s="67">
        <f t="shared" si="78"/>
        <v>0</v>
      </c>
      <c r="CX32" s="58"/>
      <c r="CY32" s="67">
        <f t="shared" si="79"/>
        <v>0</v>
      </c>
    </row>
    <row r="33" spans="1:103" ht="25.5" customHeight="1" thickBot="1" x14ac:dyDescent="0.45">
      <c r="A33" s="63">
        <v>44742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80"/>
        <v>0</v>
      </c>
      <c r="BA33" s="58"/>
      <c r="BB33" s="65">
        <f t="shared" si="81"/>
        <v>0</v>
      </c>
      <c r="BC33" s="58"/>
      <c r="BD33" s="65">
        <f t="shared" si="82"/>
        <v>0</v>
      </c>
      <c r="BE33" s="59"/>
      <c r="BF33" s="67">
        <f t="shared" si="83"/>
        <v>0</v>
      </c>
      <c r="BG33" s="60"/>
      <c r="BH33" s="65">
        <f t="shared" si="84"/>
        <v>0</v>
      </c>
      <c r="BI33" s="60"/>
      <c r="BJ33" s="65">
        <f t="shared" si="85"/>
        <v>0</v>
      </c>
      <c r="BK33" s="60"/>
      <c r="BL33" s="65">
        <f t="shared" si="86"/>
        <v>0</v>
      </c>
      <c r="BM33" s="60"/>
      <c r="BN33" s="65">
        <f t="shared" si="87"/>
        <v>0</v>
      </c>
      <c r="BO33" s="60"/>
      <c r="BP33" s="65">
        <f t="shared" si="88"/>
        <v>0</v>
      </c>
      <c r="BQ33" s="60"/>
      <c r="BR33" s="65">
        <f t="shared" si="89"/>
        <v>0</v>
      </c>
      <c r="BS33" s="60"/>
      <c r="BT33" s="65">
        <f t="shared" si="90"/>
        <v>0</v>
      </c>
      <c r="BU33" s="60"/>
      <c r="BV33" s="65">
        <f t="shared" si="91"/>
        <v>0</v>
      </c>
      <c r="BW33" s="60"/>
      <c r="BX33" s="65">
        <f t="shared" si="92"/>
        <v>0</v>
      </c>
      <c r="BY33" s="60"/>
      <c r="BZ33" s="67">
        <f t="shared" si="93"/>
        <v>0</v>
      </c>
      <c r="CA33" s="60"/>
      <c r="CB33" s="67">
        <f t="shared" si="94"/>
        <v>0</v>
      </c>
      <c r="CC33" s="60"/>
      <c r="CD33" s="67">
        <f t="shared" si="95"/>
        <v>0</v>
      </c>
      <c r="CE33" s="60"/>
      <c r="CF33" s="67">
        <f t="shared" si="96"/>
        <v>0</v>
      </c>
      <c r="CG33" s="60"/>
      <c r="CH33" s="67">
        <f t="shared" si="97"/>
        <v>0</v>
      </c>
      <c r="CI33" s="60"/>
      <c r="CJ33" s="67">
        <f t="shared" si="98"/>
        <v>0</v>
      </c>
      <c r="CK33" s="60"/>
      <c r="CL33" s="64">
        <f t="shared" si="74"/>
        <v>0</v>
      </c>
      <c r="CM33" s="65">
        <f t="shared" si="75"/>
        <v>0</v>
      </c>
      <c r="CN33" s="62"/>
      <c r="CO33" s="62"/>
      <c r="CP33" s="68"/>
      <c r="CQ33" s="67">
        <f t="shared" si="99"/>
        <v>0</v>
      </c>
      <c r="CR33" s="68"/>
      <c r="CS33" s="67">
        <f t="shared" si="76"/>
        <v>0</v>
      </c>
      <c r="CT33" s="75"/>
      <c r="CU33" s="67">
        <f t="shared" si="77"/>
        <v>0</v>
      </c>
      <c r="CV33" s="68"/>
      <c r="CW33" s="67">
        <f t="shared" si="78"/>
        <v>0</v>
      </c>
      <c r="CX33" s="58"/>
      <c r="CY33" s="67">
        <f t="shared" si="79"/>
        <v>0</v>
      </c>
    </row>
    <row r="34" spans="1:103" ht="25.5" customHeight="1" thickBot="1" x14ac:dyDescent="0.45">
      <c r="A34" s="63">
        <v>44743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80"/>
        <v>0</v>
      </c>
      <c r="BA34" s="58"/>
      <c r="BB34" s="65">
        <f t="shared" si="81"/>
        <v>0</v>
      </c>
      <c r="BC34" s="58"/>
      <c r="BD34" s="65">
        <f t="shared" si="82"/>
        <v>0</v>
      </c>
      <c r="BE34" s="59"/>
      <c r="BF34" s="67">
        <f t="shared" si="83"/>
        <v>0</v>
      </c>
      <c r="BG34" s="60"/>
      <c r="BH34" s="65">
        <f t="shared" si="84"/>
        <v>0</v>
      </c>
      <c r="BI34" s="60"/>
      <c r="BJ34" s="65">
        <f t="shared" si="85"/>
        <v>0</v>
      </c>
      <c r="BK34" s="60"/>
      <c r="BL34" s="65">
        <f t="shared" si="86"/>
        <v>0</v>
      </c>
      <c r="BM34" s="60"/>
      <c r="BN34" s="65">
        <f t="shared" si="87"/>
        <v>0</v>
      </c>
      <c r="BO34" s="60"/>
      <c r="BP34" s="65">
        <f t="shared" si="88"/>
        <v>0</v>
      </c>
      <c r="BQ34" s="60"/>
      <c r="BR34" s="65">
        <f t="shared" si="89"/>
        <v>0</v>
      </c>
      <c r="BS34" s="60"/>
      <c r="BT34" s="65">
        <f t="shared" si="90"/>
        <v>0</v>
      </c>
      <c r="BU34" s="60"/>
      <c r="BV34" s="65">
        <f t="shared" si="91"/>
        <v>0</v>
      </c>
      <c r="BW34" s="60"/>
      <c r="BX34" s="65">
        <f t="shared" si="92"/>
        <v>0</v>
      </c>
      <c r="BY34" s="60"/>
      <c r="BZ34" s="67">
        <f t="shared" si="93"/>
        <v>0</v>
      </c>
      <c r="CA34" s="60"/>
      <c r="CB34" s="67">
        <f t="shared" si="94"/>
        <v>0</v>
      </c>
      <c r="CC34" s="60"/>
      <c r="CD34" s="67">
        <f t="shared" si="95"/>
        <v>0</v>
      </c>
      <c r="CE34" s="60"/>
      <c r="CF34" s="67">
        <f t="shared" si="96"/>
        <v>0</v>
      </c>
      <c r="CG34" s="60"/>
      <c r="CH34" s="67">
        <f t="shared" si="97"/>
        <v>0</v>
      </c>
      <c r="CI34" s="60"/>
      <c r="CJ34" s="67">
        <f t="shared" si="98"/>
        <v>0</v>
      </c>
      <c r="CK34" s="60"/>
      <c r="CL34" s="64">
        <f t="shared" si="74"/>
        <v>0</v>
      </c>
      <c r="CM34" s="65">
        <f t="shared" si="75"/>
        <v>0</v>
      </c>
      <c r="CN34" s="62"/>
      <c r="CO34" s="62"/>
      <c r="CP34" s="68"/>
      <c r="CQ34" s="67">
        <f t="shared" si="99"/>
        <v>0</v>
      </c>
      <c r="CR34" s="68"/>
      <c r="CS34" s="67">
        <f t="shared" si="76"/>
        <v>0</v>
      </c>
      <c r="CT34" s="75"/>
      <c r="CU34" s="67">
        <f t="shared" si="77"/>
        <v>0</v>
      </c>
      <c r="CV34" s="68"/>
      <c r="CW34" s="67">
        <f t="shared" si="78"/>
        <v>0</v>
      </c>
      <c r="CX34" s="58"/>
      <c r="CY34" s="67">
        <f t="shared" si="7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  <c r="CY35" s="69">
        <f>SUM(CY23:CY34)</f>
        <v>0</v>
      </c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E4" zoomScaleNormal="100" workbookViewId="0">
      <selection activeCell="E19" sqref="E19:Q1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44712</v>
      </c>
      <c r="B7" s="40">
        <v>0</v>
      </c>
      <c r="C7" s="40">
        <v>22</v>
      </c>
      <c r="D7" s="40">
        <v>43</v>
      </c>
      <c r="E7" s="41">
        <v>85</v>
      </c>
      <c r="F7" s="41">
        <v>6834</v>
      </c>
      <c r="G7" s="41">
        <v>65</v>
      </c>
      <c r="H7" s="41">
        <v>2212</v>
      </c>
      <c r="I7" s="41">
        <v>85</v>
      </c>
      <c r="J7" s="41">
        <v>672</v>
      </c>
      <c r="K7" s="42">
        <v>84</v>
      </c>
      <c r="L7" s="42">
        <v>85</v>
      </c>
      <c r="M7" s="42">
        <v>1785</v>
      </c>
      <c r="N7" s="39">
        <v>85</v>
      </c>
      <c r="O7" s="39">
        <v>83</v>
      </c>
      <c r="P7" s="39">
        <v>85</v>
      </c>
      <c r="Q7" s="39">
        <v>5053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44713</v>
      </c>
      <c r="B8" s="40">
        <v>0</v>
      </c>
      <c r="C8" s="40">
        <v>22</v>
      </c>
      <c r="D8" s="40">
        <v>42</v>
      </c>
      <c r="E8" s="41">
        <v>85</v>
      </c>
      <c r="F8" s="41">
        <v>6834</v>
      </c>
      <c r="G8" s="41">
        <v>52</v>
      </c>
      <c r="H8" s="41">
        <v>2212</v>
      </c>
      <c r="I8" s="41">
        <v>85</v>
      </c>
      <c r="J8" s="41">
        <v>675</v>
      </c>
      <c r="K8" s="42">
        <v>80</v>
      </c>
      <c r="L8" s="42">
        <v>85</v>
      </c>
      <c r="M8" s="42">
        <v>1788</v>
      </c>
      <c r="N8" s="39">
        <v>85</v>
      </c>
      <c r="O8" s="39">
        <v>80</v>
      </c>
      <c r="P8" s="39">
        <v>85</v>
      </c>
      <c r="Q8" s="39">
        <v>5057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44714</v>
      </c>
      <c r="B9" s="40">
        <v>0</v>
      </c>
      <c r="C9" s="40">
        <v>22</v>
      </c>
      <c r="D9" s="40">
        <v>42</v>
      </c>
      <c r="E9" s="41">
        <v>85</v>
      </c>
      <c r="F9" s="41">
        <v>6834</v>
      </c>
      <c r="G9" s="41">
        <v>35</v>
      </c>
      <c r="H9" s="41">
        <v>2212</v>
      </c>
      <c r="I9" s="41">
        <v>85</v>
      </c>
      <c r="J9" s="41">
        <v>677</v>
      </c>
      <c r="K9" s="42">
        <v>80</v>
      </c>
      <c r="L9" s="42">
        <v>85</v>
      </c>
      <c r="M9" s="42">
        <v>1788</v>
      </c>
      <c r="N9" s="39">
        <v>85</v>
      </c>
      <c r="O9" s="39">
        <v>75</v>
      </c>
      <c r="P9" s="39">
        <v>85</v>
      </c>
      <c r="Q9" s="39">
        <v>5061</v>
      </c>
      <c r="R9" s="77">
        <v>70</v>
      </c>
      <c r="S9" s="77">
        <v>227</v>
      </c>
      <c r="T9">
        <f t="shared" ref="T9:T39" si="1">S9-S8</f>
        <v>0</v>
      </c>
    </row>
    <row r="10" spans="1:20" x14ac:dyDescent="0.25">
      <c r="A10" s="73">
        <v>44715</v>
      </c>
      <c r="B10" s="40">
        <v>0</v>
      </c>
      <c r="C10" s="40">
        <v>25</v>
      </c>
      <c r="D10" s="40">
        <v>46</v>
      </c>
      <c r="E10" s="41">
        <v>85</v>
      </c>
      <c r="F10" s="41">
        <v>6834</v>
      </c>
      <c r="G10" s="41">
        <v>25</v>
      </c>
      <c r="H10" s="41">
        <v>2212</v>
      </c>
      <c r="I10" s="41">
        <v>85</v>
      </c>
      <c r="J10" s="41">
        <v>680</v>
      </c>
      <c r="K10" s="42">
        <v>79</v>
      </c>
      <c r="L10" s="42">
        <v>85</v>
      </c>
      <c r="M10" s="42">
        <v>1790</v>
      </c>
      <c r="N10" s="39">
        <v>85</v>
      </c>
      <c r="O10" s="39">
        <v>70</v>
      </c>
      <c r="P10" s="39">
        <v>85</v>
      </c>
      <c r="Q10" s="39">
        <v>5065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44716</v>
      </c>
      <c r="B11" s="40">
        <v>0</v>
      </c>
      <c r="C11" s="40">
        <v>25</v>
      </c>
      <c r="D11" s="40">
        <v>46</v>
      </c>
      <c r="E11" s="41">
        <v>85</v>
      </c>
      <c r="F11" s="41">
        <v>6834</v>
      </c>
      <c r="G11" s="41">
        <v>15</v>
      </c>
      <c r="H11" s="41">
        <v>2212</v>
      </c>
      <c r="I11" s="41">
        <v>85</v>
      </c>
      <c r="J11" s="41">
        <v>682</v>
      </c>
      <c r="K11" s="42">
        <v>76</v>
      </c>
      <c r="L11" s="42">
        <v>85</v>
      </c>
      <c r="M11" s="42">
        <v>1793</v>
      </c>
      <c r="N11" s="39">
        <v>85</v>
      </c>
      <c r="O11" s="39">
        <v>62</v>
      </c>
      <c r="P11" s="39">
        <v>85</v>
      </c>
      <c r="Q11" s="39">
        <v>5070</v>
      </c>
      <c r="R11" s="77">
        <v>70</v>
      </c>
      <c r="S11" s="77">
        <v>227</v>
      </c>
      <c r="T11">
        <f t="shared" si="1"/>
        <v>0</v>
      </c>
    </row>
    <row r="12" spans="1:20" x14ac:dyDescent="0.25">
      <c r="A12" s="73">
        <v>44717</v>
      </c>
      <c r="B12" s="40">
        <v>0</v>
      </c>
      <c r="C12" s="40">
        <v>19</v>
      </c>
      <c r="D12" s="40">
        <v>40</v>
      </c>
      <c r="E12" s="41">
        <v>85</v>
      </c>
      <c r="F12" s="41">
        <v>6834</v>
      </c>
      <c r="G12" s="41">
        <v>7</v>
      </c>
      <c r="H12" s="41">
        <v>2212</v>
      </c>
      <c r="I12" s="41">
        <v>85</v>
      </c>
      <c r="J12" s="41">
        <v>684</v>
      </c>
      <c r="K12" s="42">
        <v>75</v>
      </c>
      <c r="L12" s="42">
        <v>85</v>
      </c>
      <c r="M12" s="42">
        <v>1794</v>
      </c>
      <c r="N12" s="39">
        <v>85</v>
      </c>
      <c r="O12" s="39">
        <v>60</v>
      </c>
      <c r="P12" s="39">
        <v>85</v>
      </c>
      <c r="Q12" s="39">
        <v>5075</v>
      </c>
      <c r="R12" s="77">
        <v>70</v>
      </c>
      <c r="S12" s="77">
        <v>227</v>
      </c>
      <c r="T12">
        <f t="shared" si="1"/>
        <v>0</v>
      </c>
    </row>
    <row r="13" spans="1:20" x14ac:dyDescent="0.25">
      <c r="A13" s="73">
        <v>44718</v>
      </c>
      <c r="B13" s="40">
        <v>0</v>
      </c>
      <c r="C13" s="40">
        <v>19</v>
      </c>
      <c r="D13" s="40">
        <v>40</v>
      </c>
      <c r="E13" s="41">
        <v>85</v>
      </c>
      <c r="F13" s="41">
        <v>6834</v>
      </c>
      <c r="G13" s="41">
        <v>0</v>
      </c>
      <c r="H13" s="41">
        <v>2212</v>
      </c>
      <c r="I13" s="41">
        <v>85</v>
      </c>
      <c r="J13" s="41">
        <v>687</v>
      </c>
      <c r="K13" s="42">
        <v>75</v>
      </c>
      <c r="L13" s="42">
        <v>85</v>
      </c>
      <c r="M13" s="42">
        <v>1796</v>
      </c>
      <c r="N13" s="39">
        <v>85</v>
      </c>
      <c r="O13" s="39">
        <v>52</v>
      </c>
      <c r="P13" s="39">
        <v>85</v>
      </c>
      <c r="Q13" s="39">
        <v>5078</v>
      </c>
      <c r="R13" s="77">
        <v>70</v>
      </c>
      <c r="S13" s="77">
        <v>227</v>
      </c>
      <c r="T13">
        <f t="shared" si="1"/>
        <v>0</v>
      </c>
    </row>
    <row r="14" spans="1:20" ht="17.25" customHeight="1" x14ac:dyDescent="0.25">
      <c r="A14" s="73">
        <v>44719</v>
      </c>
      <c r="B14" s="40">
        <v>0</v>
      </c>
      <c r="C14" s="40">
        <v>19</v>
      </c>
      <c r="D14" s="40">
        <v>40</v>
      </c>
      <c r="E14" s="41">
        <v>75</v>
      </c>
      <c r="F14" s="41">
        <v>6834</v>
      </c>
      <c r="G14" s="41">
        <v>0</v>
      </c>
      <c r="H14" s="41">
        <v>2212</v>
      </c>
      <c r="I14" s="41">
        <v>85</v>
      </c>
      <c r="J14" s="41">
        <v>689</v>
      </c>
      <c r="K14" s="42">
        <v>75</v>
      </c>
      <c r="L14" s="42">
        <v>85</v>
      </c>
      <c r="M14" s="42">
        <v>1796</v>
      </c>
      <c r="N14" s="39">
        <v>85</v>
      </c>
      <c r="O14" s="39">
        <v>48</v>
      </c>
      <c r="P14" s="39">
        <v>85</v>
      </c>
      <c r="Q14" s="39">
        <v>5083</v>
      </c>
      <c r="R14" s="77">
        <v>70</v>
      </c>
      <c r="S14" s="77">
        <v>227</v>
      </c>
      <c r="T14">
        <f t="shared" si="1"/>
        <v>0</v>
      </c>
    </row>
    <row r="15" spans="1:20" x14ac:dyDescent="0.25">
      <c r="A15" s="73">
        <v>44720</v>
      </c>
      <c r="B15" s="40">
        <v>0</v>
      </c>
      <c r="C15" s="40">
        <v>19</v>
      </c>
      <c r="D15" s="40">
        <v>40</v>
      </c>
      <c r="E15" s="41">
        <v>65</v>
      </c>
      <c r="F15" s="41">
        <v>6834</v>
      </c>
      <c r="G15" s="41">
        <v>0</v>
      </c>
      <c r="H15" s="41">
        <v>2212</v>
      </c>
      <c r="I15" s="41">
        <v>85</v>
      </c>
      <c r="J15" s="41">
        <v>692</v>
      </c>
      <c r="K15" s="42">
        <v>74</v>
      </c>
      <c r="L15" s="42">
        <v>85</v>
      </c>
      <c r="M15" s="42">
        <v>1797</v>
      </c>
      <c r="N15" s="39">
        <v>85</v>
      </c>
      <c r="O15" s="39">
        <v>45</v>
      </c>
      <c r="P15" s="39">
        <v>85</v>
      </c>
      <c r="Q15" s="39">
        <v>5087</v>
      </c>
      <c r="R15" s="77">
        <v>70</v>
      </c>
      <c r="S15" s="77">
        <v>227</v>
      </c>
      <c r="T15">
        <f t="shared" si="1"/>
        <v>0</v>
      </c>
    </row>
    <row r="16" spans="1:20" x14ac:dyDescent="0.25">
      <c r="A16" s="73">
        <v>44721</v>
      </c>
      <c r="B16" s="40">
        <v>0</v>
      </c>
      <c r="C16" s="40">
        <v>19</v>
      </c>
      <c r="D16" s="40">
        <v>40</v>
      </c>
      <c r="E16" s="41">
        <v>50</v>
      </c>
      <c r="F16" s="41">
        <v>6834</v>
      </c>
      <c r="G16" s="41">
        <v>0</v>
      </c>
      <c r="H16" s="41">
        <v>2212</v>
      </c>
      <c r="I16" s="41">
        <v>85</v>
      </c>
      <c r="J16" s="41">
        <v>695</v>
      </c>
      <c r="K16" s="42">
        <v>73</v>
      </c>
      <c r="L16" s="42">
        <v>85</v>
      </c>
      <c r="M16" s="42">
        <v>1798</v>
      </c>
      <c r="N16" s="39">
        <v>85</v>
      </c>
      <c r="O16" s="39">
        <v>40</v>
      </c>
      <c r="P16" s="39">
        <v>85</v>
      </c>
      <c r="Q16" s="39">
        <v>5089</v>
      </c>
      <c r="R16" s="77">
        <v>70</v>
      </c>
      <c r="S16" s="77">
        <v>227</v>
      </c>
      <c r="T16">
        <f t="shared" si="1"/>
        <v>0</v>
      </c>
    </row>
    <row r="17" spans="1:20" x14ac:dyDescent="0.25">
      <c r="A17" s="73">
        <v>44722</v>
      </c>
      <c r="B17" s="40">
        <v>0</v>
      </c>
      <c r="C17" s="40">
        <v>22</v>
      </c>
      <c r="D17" s="40">
        <v>45</v>
      </c>
      <c r="E17" s="41">
        <v>39</v>
      </c>
      <c r="F17" s="41">
        <v>6834</v>
      </c>
      <c r="G17" s="41">
        <v>0</v>
      </c>
      <c r="H17" s="41">
        <v>2212</v>
      </c>
      <c r="I17" s="41">
        <v>85</v>
      </c>
      <c r="J17" s="41">
        <v>697</v>
      </c>
      <c r="K17" s="42">
        <v>70</v>
      </c>
      <c r="L17" s="42">
        <v>85</v>
      </c>
      <c r="M17" s="42">
        <v>1800</v>
      </c>
      <c r="N17" s="39">
        <v>85</v>
      </c>
      <c r="O17" s="39">
        <v>37</v>
      </c>
      <c r="P17" s="39">
        <v>85</v>
      </c>
      <c r="Q17" s="39">
        <v>5092</v>
      </c>
      <c r="R17" s="77">
        <v>70</v>
      </c>
      <c r="S17" s="77">
        <v>227</v>
      </c>
      <c r="T17">
        <f t="shared" si="1"/>
        <v>0</v>
      </c>
    </row>
    <row r="18" spans="1:20" x14ac:dyDescent="0.25">
      <c r="A18" s="73">
        <v>44723</v>
      </c>
      <c r="B18" s="40">
        <v>0</v>
      </c>
      <c r="C18" s="40">
        <v>22</v>
      </c>
      <c r="D18" s="40">
        <v>45</v>
      </c>
      <c r="E18" s="41">
        <v>27</v>
      </c>
      <c r="F18" s="41">
        <v>6834</v>
      </c>
      <c r="G18" s="41">
        <v>0</v>
      </c>
      <c r="H18" s="41">
        <v>2212</v>
      </c>
      <c r="I18" s="41">
        <v>85</v>
      </c>
      <c r="J18" s="41">
        <v>699</v>
      </c>
      <c r="K18" s="42">
        <v>69</v>
      </c>
      <c r="L18" s="42">
        <v>85</v>
      </c>
      <c r="M18" s="42">
        <v>1801</v>
      </c>
      <c r="N18" s="39">
        <v>85</v>
      </c>
      <c r="O18" s="39">
        <v>32</v>
      </c>
      <c r="P18" s="39">
        <v>85</v>
      </c>
      <c r="Q18" s="39">
        <v>5095</v>
      </c>
      <c r="R18" s="77">
        <v>70</v>
      </c>
      <c r="S18" s="77">
        <v>227</v>
      </c>
      <c r="T18">
        <f t="shared" si="1"/>
        <v>0</v>
      </c>
    </row>
    <row r="19" spans="1:20" x14ac:dyDescent="0.25">
      <c r="A19" s="73">
        <v>44724</v>
      </c>
      <c r="B19" s="40"/>
      <c r="C19" s="40">
        <v>22</v>
      </c>
      <c r="D19" s="40">
        <v>45</v>
      </c>
      <c r="E19" s="41">
        <v>15</v>
      </c>
      <c r="F19" s="41">
        <v>6834</v>
      </c>
      <c r="G19" s="41">
        <v>0</v>
      </c>
      <c r="H19" s="41">
        <v>2212</v>
      </c>
      <c r="I19" s="41">
        <v>85</v>
      </c>
      <c r="J19" s="41">
        <v>703</v>
      </c>
      <c r="K19" s="42">
        <v>65</v>
      </c>
      <c r="L19" s="42">
        <v>85</v>
      </c>
      <c r="M19" s="42">
        <v>1802</v>
      </c>
      <c r="N19" s="39">
        <v>85</v>
      </c>
      <c r="O19" s="39">
        <v>30</v>
      </c>
      <c r="P19" s="39">
        <v>85</v>
      </c>
      <c r="Q19" s="39">
        <v>5097</v>
      </c>
      <c r="R19" s="77">
        <v>70</v>
      </c>
      <c r="S19" s="77">
        <v>227</v>
      </c>
      <c r="T19">
        <f t="shared" si="1"/>
        <v>0</v>
      </c>
    </row>
    <row r="20" spans="1:20" x14ac:dyDescent="0.25">
      <c r="A20" s="73">
        <v>44725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-227</v>
      </c>
    </row>
    <row r="21" spans="1:20" x14ac:dyDescent="0.25">
      <c r="A21" s="73">
        <v>44726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44727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44728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44729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44730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44731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44732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44733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44734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44735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44736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44737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44738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44739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44740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44741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44742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44743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44744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2022-06-13T16:44:34Z</dcterms:modified>
</cp:coreProperties>
</file>