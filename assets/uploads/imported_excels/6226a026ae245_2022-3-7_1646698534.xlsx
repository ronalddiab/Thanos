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9" l="1"/>
  <c r="E8" i="9"/>
  <c r="B10" i="2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10" i="2"/>
  <c r="F11" i="2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10" i="2"/>
  <c r="H11" i="2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0" i="2" l="1"/>
  <c r="P11" i="2"/>
  <c r="P12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10" i="2" l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E31" i="8"/>
  <c r="F31" i="8"/>
  <c r="G31" i="8"/>
  <c r="H31" i="8"/>
  <c r="I31" i="8"/>
  <c r="Y31" i="8" s="1"/>
  <c r="J31" i="8"/>
  <c r="K31" i="8"/>
  <c r="L31" i="8"/>
  <c r="M31" i="8"/>
  <c r="N31" i="8"/>
  <c r="O31" i="8"/>
  <c r="E31" i="9" s="1"/>
  <c r="P31" i="8"/>
  <c r="Q31" i="8"/>
  <c r="R31" i="8"/>
  <c r="S31" i="8"/>
  <c r="T31" i="8"/>
  <c r="U31" i="8"/>
  <c r="V31" i="8"/>
  <c r="W31" i="8"/>
  <c r="X31" i="8"/>
  <c r="Z31" i="8"/>
  <c r="AA31" i="8"/>
  <c r="AB31" i="8"/>
  <c r="AC31" i="8"/>
  <c r="E32" i="8"/>
  <c r="AD32" i="8" s="1"/>
  <c r="F32" i="8"/>
  <c r="G32" i="8"/>
  <c r="H32" i="8"/>
  <c r="I32" i="8"/>
  <c r="Y32" i="8" s="1"/>
  <c r="E32" i="9" s="1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B30" i="9"/>
  <c r="B31" i="9" s="1"/>
  <c r="B32" i="9" s="1"/>
  <c r="G31" i="9"/>
  <c r="K31" i="9"/>
  <c r="G32" i="9"/>
  <c r="K32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I32" i="9" l="1"/>
  <c r="AD31" i="8"/>
  <c r="AE32" i="8"/>
  <c r="Y2" i="4"/>
  <c r="O71" i="10"/>
  <c r="AE31" i="8" l="1"/>
  <c r="I31" i="9" s="1"/>
  <c r="AG31" i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K30" i="9" l="1"/>
  <c r="X30" i="8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U30" i="8" s="1"/>
  <c r="M5" i="1"/>
  <c r="L31" i="1"/>
  <c r="V30" i="8" s="1"/>
  <c r="J5" i="1"/>
  <c r="J31" i="1" s="1"/>
  <c r="I31" i="1"/>
  <c r="T30" i="8" s="1"/>
  <c r="G5" i="1"/>
  <c r="F31" i="1"/>
  <c r="S30" i="8" s="1"/>
  <c r="D5" i="1"/>
  <c r="C31" i="1"/>
  <c r="R30" i="8" s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AA30" i="8" s="1"/>
  <c r="AC30" i="8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0" i="8" s="1"/>
  <c r="W31" i="4"/>
  <c r="P30" i="8" s="1"/>
  <c r="Y7" i="4"/>
  <c r="G31" i="3"/>
  <c r="G30" i="8" s="1"/>
  <c r="M31" i="4"/>
  <c r="L30" i="8" s="1"/>
  <c r="Y3" i="8"/>
  <c r="E3" i="9" s="1"/>
  <c r="Q31" i="4"/>
  <c r="N30" i="8" s="1"/>
  <c r="E31" i="3"/>
  <c r="F30" i="8" s="1"/>
  <c r="O31" i="2"/>
  <c r="AB30" i="8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I31" i="2"/>
  <c r="K31" i="4"/>
  <c r="K30" i="8" s="1"/>
  <c r="S31" i="1"/>
  <c r="O31" i="4"/>
  <c r="M30" i="8" s="1"/>
  <c r="S31" i="4"/>
  <c r="O30" i="8" s="1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0" i="8" s="1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30" i="8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30" i="8" s="1"/>
  <c r="Y30" i="8" s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Q30" i="8" s="1"/>
  <c r="E30" i="9" s="1"/>
  <c r="K26" i="11"/>
  <c r="C7" i="11" l="1"/>
  <c r="D7" i="11" s="1"/>
  <c r="C5" i="11"/>
  <c r="D5" i="11" s="1"/>
  <c r="C6" i="11"/>
  <c r="D6" i="11" s="1"/>
  <c r="I31" i="3"/>
  <c r="H30" i="8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E30" i="8" s="1"/>
  <c r="AE29" i="8"/>
  <c r="I29" i="9" s="1"/>
  <c r="AD30" i="8" l="1"/>
  <c r="AE30" i="8" s="1"/>
  <c r="J31" i="3"/>
  <c r="I30" i="9" l="1"/>
  <c r="K31" i="3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G29" i="9" l="1"/>
  <c r="C31" i="5"/>
  <c r="G30" i="9" s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<sst xmlns="http://schemas.openxmlformats.org/spreadsheetml/2006/main" count="442" uniqueCount="149">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</sst>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7" sqref="E7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52542.761912000002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-101043.01776799999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42605.097876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0">
        <v>1.27</v>
      </c>
      <c r="G9" s="38">
        <f>Gas!C10*0.9147</f>
        <v>0</v>
      </c>
      <c r="H9" s="141">
        <v>3.65</v>
      </c>
      <c r="I9" s="143">
        <f>Submetering!H9+Submetering!AD9+Submetering!AE9</f>
        <v>-194</v>
      </c>
      <c r="J9" s="143">
        <v>10.029999999999999</v>
      </c>
      <c r="K9" s="38">
        <f>ELECT.!B10</f>
        <v>0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0">
        <v>1.27</v>
      </c>
      <c r="G10" s="38">
        <f>Gas!C11*0.9147</f>
        <v>0</v>
      </c>
      <c r="H10" s="141">
        <v>3.65</v>
      </c>
      <c r="I10" s="143">
        <f>Submetering!H10+Submetering!AD10+Submetering!AE10</f>
        <v>-194</v>
      </c>
      <c r="J10" s="143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0">
        <v>1.27</v>
      </c>
      <c r="G11" s="38">
        <f>Gas!C12*0.9147</f>
        <v>0</v>
      </c>
      <c r="H11" s="141">
        <v>3.65</v>
      </c>
      <c r="I11" s="143">
        <f>Submetering!H11+Submetering!AD11+Submetering!AE11</f>
        <v>-194</v>
      </c>
      <c r="J11" s="143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0">
        <v>1.27</v>
      </c>
      <c r="G12" s="38">
        <f>Gas!C13*0.9147</f>
        <v>0</v>
      </c>
      <c r="H12" s="141">
        <v>3.65</v>
      </c>
      <c r="I12" s="143">
        <f>Submetering!H12+Submetering!AD12+Submetering!AE12</f>
        <v>-194</v>
      </c>
      <c r="J12" s="143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0">
        <v>1.27</v>
      </c>
      <c r="G13" s="38">
        <f>Gas!C14*0.9147</f>
        <v>0</v>
      </c>
      <c r="H13" s="141">
        <v>3.65</v>
      </c>
      <c r="I13" s="143">
        <f>Submetering!H13+Submetering!AD13+Submetering!AE13</f>
        <v>-194</v>
      </c>
      <c r="J13" s="143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0">
        <v>1.27</v>
      </c>
      <c r="G14" s="38">
        <f>Gas!C15*0.9147</f>
        <v>0</v>
      </c>
      <c r="H14" s="141">
        <v>3.65</v>
      </c>
      <c r="I14" s="143">
        <f>Submetering!H14+Submetering!AD14+Submetering!AE14</f>
        <v>-194</v>
      </c>
      <c r="J14" s="143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0">
        <v>1.27</v>
      </c>
      <c r="G15" s="38">
        <f>Gas!C16*0.9147</f>
        <v>0</v>
      </c>
      <c r="H15" s="141">
        <v>3.65</v>
      </c>
      <c r="I15" s="143">
        <f>Submetering!H15+Submetering!AD15+Submetering!AE15</f>
        <v>-194</v>
      </c>
      <c r="J15" s="143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8">
        <f>Gas!C30*0.9147</f>
        <v>0</v>
      </c>
      <c r="H29" s="141">
        <v>3.65</v>
      </c>
      <c r="I29" s="143">
        <f>Submetering!H29+Submetering!AD29+Submetering!AE29</f>
        <v>-194</v>
      </c>
      <c r="J29" s="143">
        <v>10.029999999999999</v>
      </c>
      <c r="K29" s="38">
        <f>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338219.63577599998</v>
      </c>
      <c r="F30" s="141">
        <v>2.27</v>
      </c>
      <c r="G30" s="38">
        <f>Gas!C31*0.9147</f>
        <v>14004.9717</v>
      </c>
      <c r="H30" s="141">
        <v>4.6500000000000004</v>
      </c>
      <c r="I30" s="143">
        <f>Submetering!H30+Submetering!AD30+Submetering!AE30</f>
        <v>5286</v>
      </c>
      <c r="J30" s="143">
        <v>11.03</v>
      </c>
      <c r="K30" s="38">
        <f>ELECT.!B31</f>
        <v>1887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1">
        <v>3.27</v>
      </c>
      <c r="G31" s="38">
        <f>Gas!C32*0.9147</f>
        <v>0</v>
      </c>
      <c r="H31" s="141">
        <v>5.65</v>
      </c>
      <c r="I31" s="143">
        <f>Submetering!H31+Submetering!AD31+Submetering!AE31</f>
        <v>-194</v>
      </c>
      <c r="J31" s="143">
        <v>12.03</v>
      </c>
      <c r="K31" s="38">
        <f>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1">
        <v>4.2699999999999996</v>
      </c>
      <c r="G32" s="38">
        <f>Gas!C33*0.9147</f>
        <v>0</v>
      </c>
      <c r="H32" s="141">
        <v>6.65</v>
      </c>
      <c r="I32" s="143">
        <f>Submetering!H32+Submetering!AD32+Submetering!AE32</f>
        <v>-194</v>
      </c>
      <c r="J32" s="143">
        <v>13.03</v>
      </c>
      <c r="K32" s="38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30" sqref="I30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124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29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29" si="1">(E3-H3-194)*0.1318</f>
        <v>98.964665999999994</v>
      </c>
      <c r="AE3" s="36">
        <f t="shared" ref="AE3:AE29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143493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480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0</v>
      </c>
      <c r="F9" s="38">
        <f>Water!E10</f>
        <v>0</v>
      </c>
      <c r="G9" s="38">
        <f>Water!G10</f>
        <v>0</v>
      </c>
      <c r="H9" s="38">
        <f>Water!I10</f>
        <v>0</v>
      </c>
      <c r="I9" s="38" t="str">
        <f>ELECT.!F10</f>
        <v>0</v>
      </c>
      <c r="J9" s="38" t="str">
        <f>ELECT.!H10</f>
        <v>0</v>
      </c>
      <c r="K9" s="38">
        <f>ELECT.!K10</f>
        <v>0</v>
      </c>
      <c r="L9" s="38" t="str">
        <f>ELECT.!M10</f>
        <v>0</v>
      </c>
      <c r="M9" s="38">
        <f>ELECT.!O10</f>
        <v>0</v>
      </c>
      <c r="N9" s="38" t="str">
        <f>ELECT.!Q10</f>
        <v>0</v>
      </c>
      <c r="O9" s="38" t="str">
        <f>ELECT.!S10</f>
        <v>0</v>
      </c>
      <c r="P9" s="38">
        <f>ELECT.!W10*2</f>
        <v>0</v>
      </c>
      <c r="Q9" s="38">
        <f>ELECT.!D10</f>
        <v>0</v>
      </c>
      <c r="R9" s="39" t="str">
        <f>BTU!C10</f>
        <v>0</v>
      </c>
      <c r="S9" s="39" t="str">
        <f>BTU!F10</f>
        <v>0</v>
      </c>
      <c r="T9" s="39" t="str">
        <f>BTU!I10</f>
        <v>0</v>
      </c>
      <c r="U9" s="39" t="str">
        <f>BTU!O10</f>
        <v>0</v>
      </c>
      <c r="V9" s="39" t="str">
        <f>BTU!L10</f>
        <v>0</v>
      </c>
      <c r="W9" s="39" t="str">
        <f>BTU!R10</f>
        <v>0</v>
      </c>
      <c r="X9" s="36">
        <f>ELECT.!B10</f>
        <v>0</v>
      </c>
      <c r="Y9" s="36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6">
        <f t="shared" si="1"/>
        <v>-25.569199999999999</v>
      </c>
      <c r="AE9" s="36">
        <f t="shared" si="2"/>
        <v>-168.4308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Water!C31</f>
        <v>5480</v>
      </c>
      <c r="F30" s="38">
        <f>Water!E31</f>
        <v>2790</v>
      </c>
      <c r="G30" s="38">
        <f>Water!G31</f>
        <v>2146.5</v>
      </c>
      <c r="H30" s="38">
        <f>Water!I31</f>
        <v>23.517000000000003</v>
      </c>
      <c r="I30" s="38">
        <f>ELECT.!F31</f>
        <v>88409</v>
      </c>
      <c r="J30" s="38">
        <f>ELECT.!H31</f>
        <v>264500</v>
      </c>
      <c r="K30" s="38">
        <f>ELECT.!K31</f>
        <v>59264</v>
      </c>
      <c r="L30" s="38">
        <f>ELECT.!M31</f>
        <v>40320</v>
      </c>
      <c r="M30" s="38">
        <f>ELECT.!O31</f>
        <v>43000</v>
      </c>
      <c r="N30" s="38">
        <f>ELECT.!Q31</f>
        <v>16442</v>
      </c>
      <c r="O30" s="38">
        <f>ELECT.!S31</f>
        <v>66206</v>
      </c>
      <c r="P30" s="38">
        <f>ELECT.!W31*2</f>
        <v>142758</v>
      </c>
      <c r="Q30" s="38">
        <f>ELECT.!D31</f>
        <v>2880</v>
      </c>
      <c r="R30" s="143">
        <f>BTU!C31</f>
        <v>24.541000000001077</v>
      </c>
      <c r="S30" s="143">
        <f>BTU!F31</f>
        <v>6.2049999999999272</v>
      </c>
      <c r="T30" s="143">
        <f>BTU!I31</f>
        <v>36</v>
      </c>
      <c r="U30" s="143">
        <f>BTU!O31</f>
        <v>8.3170000000000073</v>
      </c>
      <c r="V30" s="143">
        <f>BTU!L31</f>
        <v>0</v>
      </c>
      <c r="W30" s="143">
        <f>BTU!R31</f>
        <v>1.2700000000004366</v>
      </c>
      <c r="X30" s="36">
        <f>ELECT.!B31</f>
        <v>1887</v>
      </c>
      <c r="Y30" s="36">
        <f t="shared" ref="Y30:Y32" si="4">I30+J30-(K30+L30+M30+N30+O30+P30)</f>
        <v>-15081</v>
      </c>
      <c r="Z30">
        <f>'Mall, Citadel, Rotana'!C31+'Mall, Citadel, Rotana'!E31+'Mall, Citadel, Rotana'!G31+'Mall, Citadel, Rotana'!I31</f>
        <v>8050</v>
      </c>
      <c r="AA30">
        <f>'Mall, Citadel, Rotana'!K31+'Mall, Citadel, Rotana'!M31</f>
        <v>3200</v>
      </c>
      <c r="AB30">
        <f>'Mall, Citadel, Rotana'!O31</f>
        <v>532</v>
      </c>
      <c r="AC30">
        <f>'Mall, Citadel, Rotana'!Q31+'Mall, Citadel, Rotana'!S31</f>
        <v>0</v>
      </c>
      <c r="AD30" s="36">
        <f t="shared" ref="AD30:AD32" si="5">(E30-H30-194)*0.1318</f>
        <v>693.59525940000003</v>
      </c>
      <c r="AE30" s="36">
        <f t="shared" ref="AE30:AE32" si="6">E30-H30-AD30-194</f>
        <v>4568.8877406000001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Water!C32</f>
        <v>0</v>
      </c>
      <c r="F31" s="38">
        <f>Water!E32</f>
        <v>0</v>
      </c>
      <c r="G31" s="38">
        <f>Water!G32</f>
        <v>0</v>
      </c>
      <c r="H31" s="38">
        <f>Water!I32</f>
        <v>0</v>
      </c>
      <c r="I31" s="38">
        <f>ELECT.!F32</f>
        <v>0</v>
      </c>
      <c r="J31" s="38">
        <f>ELECT.!H32</f>
        <v>0</v>
      </c>
      <c r="K31" s="38">
        <f>ELECT.!K32</f>
        <v>0</v>
      </c>
      <c r="L31" s="38">
        <f>ELECT.!M32</f>
        <v>0</v>
      </c>
      <c r="M31" s="38">
        <f>ELECT.!O32</f>
        <v>0</v>
      </c>
      <c r="N31" s="38">
        <f>ELECT.!Q32</f>
        <v>0</v>
      </c>
      <c r="O31" s="38">
        <f>ELECT.!S32</f>
        <v>0</v>
      </c>
      <c r="P31" s="38">
        <f>ELECT.!W32*2</f>
        <v>0</v>
      </c>
      <c r="Q31" s="38">
        <f>ELECT.!D32</f>
        <v>0</v>
      </c>
      <c r="R31" s="143">
        <f>BTU!C32</f>
        <v>0</v>
      </c>
      <c r="S31" s="143">
        <f>BTU!F32</f>
        <v>0</v>
      </c>
      <c r="T31" s="143">
        <f>BTU!I32</f>
        <v>0</v>
      </c>
      <c r="U31" s="143">
        <f>BTU!O32</f>
        <v>0</v>
      </c>
      <c r="V31" s="143">
        <f>BTU!L32</f>
        <v>0</v>
      </c>
      <c r="W31" s="143">
        <f>BTU!R32</f>
        <v>0</v>
      </c>
      <c r="X31" s="36">
        <f>ELECT.!B32</f>
        <v>0</v>
      </c>
      <c r="Y31" s="36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6">
        <f t="shared" si="5"/>
        <v>-25.569199999999999</v>
      </c>
      <c r="AE31" s="36">
        <f t="shared" si="6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Water!C33</f>
        <v>0</v>
      </c>
      <c r="F32" s="38">
        <f>Water!E33</f>
        <v>0</v>
      </c>
      <c r="G32" s="38">
        <f>Water!G33</f>
        <v>0</v>
      </c>
      <c r="H32" s="38">
        <f>Water!I33</f>
        <v>0</v>
      </c>
      <c r="I32" s="38">
        <f>ELECT.!F33</f>
        <v>0</v>
      </c>
      <c r="J32" s="38">
        <f>ELECT.!H33</f>
        <v>0</v>
      </c>
      <c r="K32" s="38">
        <f>ELECT.!K33</f>
        <v>0</v>
      </c>
      <c r="L32" s="38">
        <f>ELECT.!M33</f>
        <v>0</v>
      </c>
      <c r="M32" s="38">
        <f>ELECT.!O33</f>
        <v>0</v>
      </c>
      <c r="N32" s="38">
        <f>ELECT.!Q33</f>
        <v>0</v>
      </c>
      <c r="O32" s="38">
        <f>ELECT.!S33</f>
        <v>0</v>
      </c>
      <c r="P32" s="38">
        <f>ELECT.!W33*2</f>
        <v>0</v>
      </c>
      <c r="Q32" s="38">
        <f>ELECT.!D33</f>
        <v>0</v>
      </c>
      <c r="R32" s="143">
        <f>BTU!C33</f>
        <v>0</v>
      </c>
      <c r="S32" s="143">
        <f>BTU!F33</f>
        <v>0</v>
      </c>
      <c r="T32" s="143">
        <f>BTU!I33</f>
        <v>0</v>
      </c>
      <c r="U32" s="143">
        <f>BTU!O33</f>
        <v>0</v>
      </c>
      <c r="V32" s="143">
        <f>BTU!L33</f>
        <v>0</v>
      </c>
      <c r="W32" s="143">
        <f>BTU!R33</f>
        <v>0</v>
      </c>
      <c r="X32" s="36">
        <f>ELECT.!B33</f>
        <v>0</v>
      </c>
      <c r="Y32" s="36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6">
        <f t="shared" si="5"/>
        <v>-25.569199999999999</v>
      </c>
      <c r="AE32" s="36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U9" sqref="U9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/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/>
      <c r="Q3" s="15">
        <v>124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0">(B4-B3)*800/5</f>
        <v>800</v>
      </c>
      <c r="D4" s="33">
        <v>40351</v>
      </c>
      <c r="E4" s="15">
        <f t="shared" ref="E4:E30" si="1">(D4-D3)*800/5</f>
        <v>640</v>
      </c>
      <c r="F4" s="33">
        <v>21383</v>
      </c>
      <c r="G4" s="15">
        <f t="shared" ref="G4:G30" si="2">(F4-F3)*100/5</f>
        <v>100</v>
      </c>
      <c r="H4" s="33">
        <v>254013</v>
      </c>
      <c r="I4" s="15">
        <f t="shared" ref="I4:I30" si="3">(H4-H3)</f>
        <v>14</v>
      </c>
      <c r="J4" s="33">
        <v>303517</v>
      </c>
      <c r="K4" s="15">
        <v>0</v>
      </c>
      <c r="L4" s="33">
        <v>25905</v>
      </c>
      <c r="M4" s="15">
        <f t="shared" ref="M4:M30" si="4">(L4-L3)*800/5</f>
        <v>960</v>
      </c>
      <c r="N4" s="33">
        <v>225367</v>
      </c>
      <c r="O4" s="15">
        <f t="shared" ref="O4:O30" si="5">N4-N3</f>
        <v>136</v>
      </c>
      <c r="P4" s="33"/>
      <c r="Q4" s="15">
        <f t="shared" ref="Q4:Q29" si="6">P4-P3</f>
        <v>0</v>
      </c>
      <c r="R4" s="1">
        <v>55047</v>
      </c>
      <c r="S4" s="15">
        <f t="shared" ref="S4:S30" si="7">R4-R3</f>
        <v>0</v>
      </c>
      <c r="T4" s="33">
        <v>3942</v>
      </c>
      <c r="U4" s="15">
        <f t="shared" ref="U4:U30" si="8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0"/>
        <v>800</v>
      </c>
      <c r="D5" s="33">
        <v>40355</v>
      </c>
      <c r="E5" s="15">
        <f t="shared" si="1"/>
        <v>640</v>
      </c>
      <c r="F5" s="33">
        <v>21388</v>
      </c>
      <c r="G5" s="15">
        <f t="shared" si="2"/>
        <v>100</v>
      </c>
      <c r="H5" s="33">
        <v>254025</v>
      </c>
      <c r="I5" s="15">
        <f t="shared" si="3"/>
        <v>12</v>
      </c>
      <c r="J5" s="33">
        <v>303517</v>
      </c>
      <c r="K5" s="15">
        <v>0</v>
      </c>
      <c r="L5" s="33">
        <v>25908</v>
      </c>
      <c r="M5" s="15">
        <f t="shared" si="4"/>
        <v>480</v>
      </c>
      <c r="N5" s="33">
        <v>225498</v>
      </c>
      <c r="O5" s="15">
        <f t="shared" si="5"/>
        <v>131</v>
      </c>
      <c r="P5" s="33"/>
      <c r="Q5" s="15">
        <f t="shared" si="6"/>
        <v>0</v>
      </c>
      <c r="R5" s="1">
        <v>55047</v>
      </c>
      <c r="S5" s="15">
        <f t="shared" si="7"/>
        <v>0</v>
      </c>
      <c r="T5" s="33">
        <v>3943</v>
      </c>
      <c r="U5" s="15">
        <f t="shared" si="8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0"/>
        <v>640</v>
      </c>
      <c r="D6" s="33">
        <v>40357</v>
      </c>
      <c r="E6" s="15">
        <f t="shared" si="1"/>
        <v>320</v>
      </c>
      <c r="F6" s="33">
        <v>21390</v>
      </c>
      <c r="G6" s="15">
        <f t="shared" si="2"/>
        <v>40</v>
      </c>
      <c r="H6" s="33">
        <v>254044</v>
      </c>
      <c r="I6" s="15">
        <f t="shared" si="3"/>
        <v>19</v>
      </c>
      <c r="J6" s="33">
        <v>303517</v>
      </c>
      <c r="K6" s="15">
        <v>0</v>
      </c>
      <c r="L6" s="33">
        <v>25910</v>
      </c>
      <c r="M6" s="15">
        <f t="shared" si="4"/>
        <v>320</v>
      </c>
      <c r="N6" s="33">
        <v>225553</v>
      </c>
      <c r="O6" s="15">
        <f t="shared" si="5"/>
        <v>55</v>
      </c>
      <c r="P6" s="33"/>
      <c r="Q6" s="15">
        <f t="shared" si="6"/>
        <v>0</v>
      </c>
      <c r="R6" s="1">
        <v>55047</v>
      </c>
      <c r="S6" s="15">
        <v>0</v>
      </c>
      <c r="T6" s="33">
        <v>3944</v>
      </c>
      <c r="U6" s="15">
        <f t="shared" si="8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0"/>
        <v>640</v>
      </c>
      <c r="D7" s="33">
        <v>40361</v>
      </c>
      <c r="E7" s="15">
        <f t="shared" si="1"/>
        <v>640</v>
      </c>
      <c r="F7" s="33">
        <v>21391</v>
      </c>
      <c r="G7" s="15">
        <f t="shared" si="2"/>
        <v>20</v>
      </c>
      <c r="H7" s="33">
        <f>H6</f>
        <v>254044</v>
      </c>
      <c r="I7" s="15">
        <f t="shared" si="3"/>
        <v>0</v>
      </c>
      <c r="J7" s="33">
        <v>303517</v>
      </c>
      <c r="K7" s="15">
        <v>0</v>
      </c>
      <c r="L7" s="33">
        <v>25912</v>
      </c>
      <c r="M7" s="15">
        <f t="shared" si="4"/>
        <v>320</v>
      </c>
      <c r="N7" s="33">
        <v>225644</v>
      </c>
      <c r="O7" s="15">
        <f t="shared" si="5"/>
        <v>91</v>
      </c>
      <c r="P7" s="33"/>
      <c r="Q7" s="15">
        <v>0</v>
      </c>
      <c r="R7" s="1">
        <v>55047</v>
      </c>
      <c r="S7" s="15">
        <v>0</v>
      </c>
      <c r="T7" s="33">
        <v>3945</v>
      </c>
      <c r="U7" s="15">
        <f t="shared" si="8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0"/>
        <v>800</v>
      </c>
      <c r="D8" s="33">
        <v>40364</v>
      </c>
      <c r="E8" s="15">
        <f t="shared" si="1"/>
        <v>480</v>
      </c>
      <c r="F8" s="33">
        <v>21397</v>
      </c>
      <c r="G8" s="15">
        <f t="shared" si="2"/>
        <v>120</v>
      </c>
      <c r="H8" s="33">
        <v>254076</v>
      </c>
      <c r="I8" s="15">
        <f t="shared" si="3"/>
        <v>32</v>
      </c>
      <c r="J8" s="33">
        <v>303517</v>
      </c>
      <c r="K8" s="15">
        <v>0</v>
      </c>
      <c r="L8" s="33">
        <v>25916</v>
      </c>
      <c r="M8" s="15">
        <f t="shared" si="4"/>
        <v>640</v>
      </c>
      <c r="N8" s="33">
        <v>225756</v>
      </c>
      <c r="O8" s="15">
        <f t="shared" si="5"/>
        <v>112</v>
      </c>
      <c r="P8" s="33">
        <v>143493</v>
      </c>
      <c r="Q8" s="15">
        <f t="shared" si="6"/>
        <v>143493</v>
      </c>
      <c r="R8" s="1">
        <v>55047</v>
      </c>
      <c r="S8" s="15">
        <f>R8-R7</f>
        <v>0</v>
      </c>
      <c r="T8" s="33">
        <v>3952</v>
      </c>
      <c r="U8" s="15">
        <f t="shared" si="8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0"/>
        <v>640</v>
      </c>
      <c r="D9" s="33">
        <v>40367</v>
      </c>
      <c r="E9" s="15">
        <f t="shared" si="1"/>
        <v>480</v>
      </c>
      <c r="F9" s="33">
        <v>21400</v>
      </c>
      <c r="G9" s="15">
        <f t="shared" si="2"/>
        <v>60</v>
      </c>
      <c r="H9" s="33">
        <v>254089</v>
      </c>
      <c r="I9" s="15">
        <f t="shared" si="3"/>
        <v>13</v>
      </c>
      <c r="J9" s="33">
        <v>303677</v>
      </c>
      <c r="K9" s="15">
        <v>0</v>
      </c>
      <c r="L9" s="33">
        <v>25919</v>
      </c>
      <c r="M9" s="15">
        <f t="shared" si="4"/>
        <v>480</v>
      </c>
      <c r="N9" s="33">
        <v>225763</v>
      </c>
      <c r="O9" s="15">
        <f t="shared" si="5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8"/>
        <v>160</v>
      </c>
    </row>
    <row r="10" spans="1:24" ht="13.5" thickBot="1" x14ac:dyDescent="0.25">
      <c r="A10" s="9">
        <v>44628</v>
      </c>
      <c r="B10" s="33">
        <f t="shared" ref="B9:B30" si="9">B9</f>
        <v>46728</v>
      </c>
      <c r="C10" s="15">
        <f t="shared" si="0"/>
        <v>0</v>
      </c>
      <c r="D10" s="33">
        <f t="shared" ref="D9:D30" si="10">D9</f>
        <v>40367</v>
      </c>
      <c r="E10" s="15">
        <f t="shared" si="1"/>
        <v>0</v>
      </c>
      <c r="F10" s="33">
        <f t="shared" ref="F9:F30" si="11">F9</f>
        <v>21400</v>
      </c>
      <c r="G10" s="15">
        <f t="shared" si="2"/>
        <v>0</v>
      </c>
      <c r="H10" s="33">
        <f t="shared" ref="H9:H30" si="12">H9</f>
        <v>254089</v>
      </c>
      <c r="I10" s="15">
        <f t="shared" si="3"/>
        <v>0</v>
      </c>
      <c r="J10" s="33">
        <v>303517</v>
      </c>
      <c r="K10" s="15">
        <v>0</v>
      </c>
      <c r="L10" s="33">
        <f t="shared" ref="L9:L30" si="13">L9</f>
        <v>25919</v>
      </c>
      <c r="M10" s="15">
        <f t="shared" si="4"/>
        <v>0</v>
      </c>
      <c r="N10" s="33">
        <f t="shared" ref="N9:N30" si="14">N9</f>
        <v>225763</v>
      </c>
      <c r="O10" s="15">
        <f t="shared" si="5"/>
        <v>0</v>
      </c>
      <c r="P10" s="33">
        <f t="shared" ref="P10:P30" si="15">P9</f>
        <v>143562</v>
      </c>
      <c r="Q10" s="15">
        <f>P10-P9</f>
        <v>0</v>
      </c>
      <c r="R10" s="1">
        <v>55047</v>
      </c>
      <c r="S10" s="15">
        <f>R10-R9</f>
        <v>0</v>
      </c>
      <c r="T10" s="33">
        <f t="shared" ref="T9:T30" si="16">T9</f>
        <v>3953</v>
      </c>
      <c r="U10" s="15">
        <f t="shared" si="8"/>
        <v>0</v>
      </c>
    </row>
    <row r="11" spans="1:24" ht="13.5" thickBot="1" x14ac:dyDescent="0.25">
      <c r="A11" s="9">
        <v>44629</v>
      </c>
      <c r="B11" s="33">
        <f t="shared" si="9"/>
        <v>46728</v>
      </c>
      <c r="C11" s="15">
        <f t="shared" si="0"/>
        <v>0</v>
      </c>
      <c r="D11" s="33">
        <f t="shared" si="10"/>
        <v>40367</v>
      </c>
      <c r="E11" s="15">
        <f t="shared" si="1"/>
        <v>0</v>
      </c>
      <c r="F11" s="33">
        <f t="shared" si="11"/>
        <v>21400</v>
      </c>
      <c r="G11" s="15">
        <f t="shared" si="2"/>
        <v>0</v>
      </c>
      <c r="H11" s="33">
        <f t="shared" si="12"/>
        <v>254089</v>
      </c>
      <c r="I11" s="15">
        <f t="shared" si="3"/>
        <v>0</v>
      </c>
      <c r="J11" s="33">
        <v>303517</v>
      </c>
      <c r="K11" s="15">
        <v>0</v>
      </c>
      <c r="L11" s="33">
        <f t="shared" si="13"/>
        <v>25919</v>
      </c>
      <c r="M11" s="15">
        <f t="shared" si="4"/>
        <v>0</v>
      </c>
      <c r="N11" s="33">
        <f t="shared" si="14"/>
        <v>225763</v>
      </c>
      <c r="O11" s="15">
        <f t="shared" si="5"/>
        <v>0</v>
      </c>
      <c r="P11" s="33">
        <f t="shared" si="15"/>
        <v>143562</v>
      </c>
      <c r="Q11" s="15">
        <f t="shared" si="6"/>
        <v>0</v>
      </c>
      <c r="R11" s="1">
        <v>55047</v>
      </c>
      <c r="S11" s="15">
        <f t="shared" si="7"/>
        <v>0</v>
      </c>
      <c r="T11" s="33">
        <f t="shared" si="16"/>
        <v>3953</v>
      </c>
      <c r="U11" s="15">
        <f t="shared" si="8"/>
        <v>0</v>
      </c>
    </row>
    <row r="12" spans="1:24" ht="13.5" thickBot="1" x14ac:dyDescent="0.25">
      <c r="A12" s="9">
        <v>44630</v>
      </c>
      <c r="B12" s="33">
        <f t="shared" si="9"/>
        <v>46728</v>
      </c>
      <c r="C12" s="15">
        <f t="shared" si="0"/>
        <v>0</v>
      </c>
      <c r="D12" s="33">
        <f t="shared" si="10"/>
        <v>40367</v>
      </c>
      <c r="E12" s="15">
        <f t="shared" si="1"/>
        <v>0</v>
      </c>
      <c r="F12" s="33">
        <f t="shared" si="11"/>
        <v>21400</v>
      </c>
      <c r="G12" s="15">
        <f t="shared" si="2"/>
        <v>0</v>
      </c>
      <c r="H12" s="33">
        <f t="shared" si="12"/>
        <v>254089</v>
      </c>
      <c r="I12" s="15">
        <f t="shared" si="3"/>
        <v>0</v>
      </c>
      <c r="J12" s="33">
        <v>303517</v>
      </c>
      <c r="K12" s="15">
        <v>0</v>
      </c>
      <c r="L12" s="33">
        <f t="shared" si="13"/>
        <v>25919</v>
      </c>
      <c r="M12" s="15">
        <f t="shared" si="4"/>
        <v>0</v>
      </c>
      <c r="N12" s="33">
        <f t="shared" si="14"/>
        <v>225763</v>
      </c>
      <c r="O12" s="15">
        <f t="shared" si="5"/>
        <v>0</v>
      </c>
      <c r="P12" s="33">
        <f t="shared" si="15"/>
        <v>143562</v>
      </c>
      <c r="Q12" s="15">
        <f t="shared" si="6"/>
        <v>0</v>
      </c>
      <c r="R12" s="1">
        <v>55047</v>
      </c>
      <c r="S12" s="15">
        <f t="shared" si="7"/>
        <v>0</v>
      </c>
      <c r="T12" s="33">
        <f t="shared" si="16"/>
        <v>3953</v>
      </c>
      <c r="U12" s="15">
        <f t="shared" si="8"/>
        <v>0</v>
      </c>
    </row>
    <row r="13" spans="1:24" ht="13.5" thickBot="1" x14ac:dyDescent="0.25">
      <c r="A13" s="9">
        <v>44631</v>
      </c>
      <c r="B13" s="33">
        <f t="shared" si="9"/>
        <v>46728</v>
      </c>
      <c r="C13" s="15">
        <f t="shared" si="0"/>
        <v>0</v>
      </c>
      <c r="D13" s="33">
        <f t="shared" si="10"/>
        <v>40367</v>
      </c>
      <c r="E13" s="15">
        <f t="shared" si="1"/>
        <v>0</v>
      </c>
      <c r="F13" s="33">
        <f t="shared" si="11"/>
        <v>21400</v>
      </c>
      <c r="G13" s="15">
        <f t="shared" si="2"/>
        <v>0</v>
      </c>
      <c r="H13" s="33">
        <f t="shared" si="12"/>
        <v>254089</v>
      </c>
      <c r="I13" s="15">
        <f t="shared" si="3"/>
        <v>0</v>
      </c>
      <c r="J13" s="33">
        <v>303517</v>
      </c>
      <c r="K13" s="15">
        <v>0</v>
      </c>
      <c r="L13" s="33">
        <f t="shared" si="13"/>
        <v>25919</v>
      </c>
      <c r="M13" s="15">
        <f t="shared" si="4"/>
        <v>0</v>
      </c>
      <c r="N13" s="33">
        <f t="shared" si="14"/>
        <v>225763</v>
      </c>
      <c r="O13" s="15">
        <f t="shared" si="5"/>
        <v>0</v>
      </c>
      <c r="P13" s="33">
        <f t="shared" si="15"/>
        <v>143562</v>
      </c>
      <c r="Q13" s="15">
        <f t="shared" si="6"/>
        <v>0</v>
      </c>
      <c r="R13" s="1">
        <v>55047</v>
      </c>
      <c r="S13" s="15">
        <f t="shared" si="7"/>
        <v>0</v>
      </c>
      <c r="T13" s="33">
        <f t="shared" si="16"/>
        <v>3953</v>
      </c>
      <c r="U13" s="15">
        <f t="shared" si="8"/>
        <v>0</v>
      </c>
    </row>
    <row r="14" spans="1:24" ht="13.5" thickBot="1" x14ac:dyDescent="0.25">
      <c r="A14" s="9">
        <v>44632</v>
      </c>
      <c r="B14" s="33">
        <f t="shared" si="9"/>
        <v>46728</v>
      </c>
      <c r="C14" s="15">
        <f t="shared" si="0"/>
        <v>0</v>
      </c>
      <c r="D14" s="33">
        <f t="shared" si="10"/>
        <v>40367</v>
      </c>
      <c r="E14" s="15">
        <f t="shared" si="1"/>
        <v>0</v>
      </c>
      <c r="F14" s="33">
        <f t="shared" si="11"/>
        <v>21400</v>
      </c>
      <c r="G14" s="15">
        <f t="shared" si="2"/>
        <v>0</v>
      </c>
      <c r="H14" s="33">
        <f t="shared" si="12"/>
        <v>254089</v>
      </c>
      <c r="I14" s="15">
        <f t="shared" si="3"/>
        <v>0</v>
      </c>
      <c r="J14" s="33">
        <v>303517</v>
      </c>
      <c r="K14" s="15">
        <v>0</v>
      </c>
      <c r="L14" s="33">
        <f t="shared" si="13"/>
        <v>25919</v>
      </c>
      <c r="M14" s="15">
        <f t="shared" si="4"/>
        <v>0</v>
      </c>
      <c r="N14" s="33">
        <f t="shared" si="14"/>
        <v>225763</v>
      </c>
      <c r="O14" s="15">
        <f t="shared" si="5"/>
        <v>0</v>
      </c>
      <c r="P14" s="33">
        <f t="shared" si="15"/>
        <v>143562</v>
      </c>
      <c r="Q14" s="15">
        <f t="shared" si="6"/>
        <v>0</v>
      </c>
      <c r="R14" s="1">
        <v>55047</v>
      </c>
      <c r="S14" s="15">
        <v>0</v>
      </c>
      <c r="T14" s="33">
        <f t="shared" si="16"/>
        <v>3953</v>
      </c>
      <c r="U14" s="15">
        <f t="shared" si="8"/>
        <v>0</v>
      </c>
    </row>
    <row r="15" spans="1:24" ht="13.5" thickBot="1" x14ac:dyDescent="0.25">
      <c r="A15" s="9">
        <v>44633</v>
      </c>
      <c r="B15" s="33">
        <f t="shared" si="9"/>
        <v>46728</v>
      </c>
      <c r="C15" s="15">
        <f t="shared" si="0"/>
        <v>0</v>
      </c>
      <c r="D15" s="33">
        <f t="shared" si="10"/>
        <v>40367</v>
      </c>
      <c r="E15" s="15">
        <f t="shared" si="1"/>
        <v>0</v>
      </c>
      <c r="F15" s="33">
        <f t="shared" si="11"/>
        <v>21400</v>
      </c>
      <c r="G15" s="15">
        <f t="shared" ref="G15" si="17">(F15-F14)*100/5</f>
        <v>0</v>
      </c>
      <c r="H15" s="33">
        <f t="shared" si="12"/>
        <v>254089</v>
      </c>
      <c r="I15" s="15">
        <f t="shared" ref="I15" si="18">(H15-H14)</f>
        <v>0</v>
      </c>
      <c r="J15" s="33">
        <v>303517</v>
      </c>
      <c r="K15" s="15">
        <v>0</v>
      </c>
      <c r="L15" s="33">
        <f t="shared" si="13"/>
        <v>25919</v>
      </c>
      <c r="M15" s="15">
        <f t="shared" ref="M15" si="19">(L15-L14)*800/5</f>
        <v>0</v>
      </c>
      <c r="N15" s="33">
        <f t="shared" si="14"/>
        <v>225763</v>
      </c>
      <c r="O15" s="15">
        <f t="shared" ref="O15" si="20">N15-N14</f>
        <v>0</v>
      </c>
      <c r="P15" s="33">
        <f t="shared" si="15"/>
        <v>143562</v>
      </c>
      <c r="Q15" s="15">
        <f t="shared" ref="Q15" si="21">P15-P14</f>
        <v>0</v>
      </c>
      <c r="R15" s="1">
        <v>55047</v>
      </c>
      <c r="S15" s="15">
        <v>0</v>
      </c>
      <c r="T15" s="33">
        <f t="shared" si="16"/>
        <v>3953</v>
      </c>
      <c r="U15" s="15">
        <f t="shared" ref="U15" si="22">(T15-T14)*800/5</f>
        <v>0</v>
      </c>
      <c r="X15" t="s">
        <v>12</v>
      </c>
    </row>
    <row r="16" spans="1:24" ht="13.5" thickBot="1" x14ac:dyDescent="0.25">
      <c r="A16" s="9">
        <v>44634</v>
      </c>
      <c r="B16" s="33">
        <f t="shared" si="9"/>
        <v>46728</v>
      </c>
      <c r="C16" s="15">
        <f t="shared" si="0"/>
        <v>0</v>
      </c>
      <c r="D16" s="33">
        <f t="shared" si="10"/>
        <v>40367</v>
      </c>
      <c r="E16" s="15">
        <f t="shared" si="1"/>
        <v>0</v>
      </c>
      <c r="F16" s="33">
        <f t="shared" si="11"/>
        <v>21400</v>
      </c>
      <c r="G16" s="15">
        <f t="shared" si="2"/>
        <v>0</v>
      </c>
      <c r="H16" s="33">
        <f t="shared" si="12"/>
        <v>254089</v>
      </c>
      <c r="I16" s="15">
        <f t="shared" si="3"/>
        <v>0</v>
      </c>
      <c r="J16" s="33">
        <v>303517</v>
      </c>
      <c r="K16" s="15">
        <v>0</v>
      </c>
      <c r="L16" s="33">
        <f t="shared" si="13"/>
        <v>25919</v>
      </c>
      <c r="M16" s="15">
        <f t="shared" si="4"/>
        <v>0</v>
      </c>
      <c r="N16" s="33">
        <f t="shared" si="14"/>
        <v>225763</v>
      </c>
      <c r="O16" s="15">
        <f t="shared" si="5"/>
        <v>0</v>
      </c>
      <c r="P16" s="33">
        <f t="shared" si="15"/>
        <v>143562</v>
      </c>
      <c r="Q16" s="15">
        <f t="shared" si="6"/>
        <v>0</v>
      </c>
      <c r="R16" s="1">
        <v>55047</v>
      </c>
      <c r="S16" s="15">
        <f t="shared" si="7"/>
        <v>0</v>
      </c>
      <c r="T16" s="33">
        <f t="shared" si="16"/>
        <v>3953</v>
      </c>
      <c r="U16" s="15">
        <f t="shared" si="8"/>
        <v>0</v>
      </c>
      <c r="W16" t="s">
        <v>12</v>
      </c>
    </row>
    <row r="17" spans="1:23" ht="13.5" thickBot="1" x14ac:dyDescent="0.25">
      <c r="A17" s="9">
        <v>44635</v>
      </c>
      <c r="B17" s="33">
        <f t="shared" si="9"/>
        <v>46728</v>
      </c>
      <c r="C17" s="15">
        <f t="shared" si="0"/>
        <v>0</v>
      </c>
      <c r="D17" s="33">
        <f t="shared" si="10"/>
        <v>40367</v>
      </c>
      <c r="E17" s="15">
        <f t="shared" si="1"/>
        <v>0</v>
      </c>
      <c r="F17" s="33">
        <f t="shared" si="11"/>
        <v>21400</v>
      </c>
      <c r="G17" s="15">
        <f t="shared" si="2"/>
        <v>0</v>
      </c>
      <c r="H17" s="33">
        <f t="shared" si="12"/>
        <v>254089</v>
      </c>
      <c r="I17" s="15">
        <f t="shared" si="3"/>
        <v>0</v>
      </c>
      <c r="J17" s="33">
        <v>303517</v>
      </c>
      <c r="K17" s="15">
        <v>0</v>
      </c>
      <c r="L17" s="33">
        <f t="shared" si="13"/>
        <v>25919</v>
      </c>
      <c r="M17" s="15">
        <f t="shared" si="4"/>
        <v>0</v>
      </c>
      <c r="N17" s="33">
        <f t="shared" si="14"/>
        <v>225763</v>
      </c>
      <c r="O17" s="15">
        <f t="shared" si="5"/>
        <v>0</v>
      </c>
      <c r="P17" s="33">
        <f t="shared" si="15"/>
        <v>143562</v>
      </c>
      <c r="Q17" s="15">
        <f t="shared" si="6"/>
        <v>0</v>
      </c>
      <c r="R17" s="1">
        <v>55047</v>
      </c>
      <c r="S17" s="15">
        <f>S16</f>
        <v>0</v>
      </c>
      <c r="T17" s="33">
        <f t="shared" si="16"/>
        <v>3953</v>
      </c>
      <c r="U17" s="15">
        <f t="shared" si="8"/>
        <v>0</v>
      </c>
    </row>
    <row r="18" spans="1:23" ht="13.5" thickBot="1" x14ac:dyDescent="0.25">
      <c r="A18" s="9">
        <v>44636</v>
      </c>
      <c r="B18" s="33">
        <f t="shared" si="9"/>
        <v>46728</v>
      </c>
      <c r="C18" s="15">
        <f t="shared" si="0"/>
        <v>0</v>
      </c>
      <c r="D18" s="33">
        <f t="shared" si="10"/>
        <v>40367</v>
      </c>
      <c r="E18" s="15">
        <f t="shared" si="1"/>
        <v>0</v>
      </c>
      <c r="F18" s="33">
        <f t="shared" si="11"/>
        <v>21400</v>
      </c>
      <c r="G18" s="15">
        <f t="shared" si="2"/>
        <v>0</v>
      </c>
      <c r="H18" s="33">
        <f t="shared" si="12"/>
        <v>254089</v>
      </c>
      <c r="I18" s="15">
        <f t="shared" si="3"/>
        <v>0</v>
      </c>
      <c r="J18" s="33">
        <v>303517</v>
      </c>
      <c r="K18" s="15">
        <v>0</v>
      </c>
      <c r="L18" s="33">
        <f t="shared" si="13"/>
        <v>25919</v>
      </c>
      <c r="M18" s="15">
        <f t="shared" si="4"/>
        <v>0</v>
      </c>
      <c r="N18" s="33">
        <f t="shared" si="14"/>
        <v>225763</v>
      </c>
      <c r="O18" s="15">
        <f t="shared" si="5"/>
        <v>0</v>
      </c>
      <c r="P18" s="33">
        <f t="shared" si="15"/>
        <v>143562</v>
      </c>
      <c r="Q18" s="15">
        <f t="shared" si="6"/>
        <v>0</v>
      </c>
      <c r="R18" s="1">
        <v>55047</v>
      </c>
      <c r="S18" s="15">
        <f t="shared" si="7"/>
        <v>0</v>
      </c>
      <c r="T18" s="33">
        <f t="shared" si="16"/>
        <v>3953</v>
      </c>
      <c r="U18" s="15">
        <f t="shared" si="8"/>
        <v>0</v>
      </c>
    </row>
    <row r="19" spans="1:23" ht="13.5" thickBot="1" x14ac:dyDescent="0.25">
      <c r="A19" s="9">
        <v>44637</v>
      </c>
      <c r="B19" s="33">
        <f t="shared" si="9"/>
        <v>46728</v>
      </c>
      <c r="C19" s="15">
        <f t="shared" si="0"/>
        <v>0</v>
      </c>
      <c r="D19" s="33">
        <f t="shared" si="10"/>
        <v>40367</v>
      </c>
      <c r="E19" s="15">
        <f t="shared" si="1"/>
        <v>0</v>
      </c>
      <c r="F19" s="33">
        <f t="shared" si="11"/>
        <v>21400</v>
      </c>
      <c r="G19" s="15">
        <f t="shared" si="2"/>
        <v>0</v>
      </c>
      <c r="H19" s="33">
        <f t="shared" si="12"/>
        <v>254089</v>
      </c>
      <c r="I19" s="15">
        <f t="shared" si="3"/>
        <v>0</v>
      </c>
      <c r="J19" s="33">
        <v>303517</v>
      </c>
      <c r="K19" s="15">
        <v>0</v>
      </c>
      <c r="L19" s="33">
        <f t="shared" si="13"/>
        <v>25919</v>
      </c>
      <c r="M19" s="15">
        <f t="shared" si="4"/>
        <v>0</v>
      </c>
      <c r="N19" s="33">
        <f t="shared" si="14"/>
        <v>225763</v>
      </c>
      <c r="O19" s="15">
        <f t="shared" si="5"/>
        <v>0</v>
      </c>
      <c r="P19" s="33">
        <f t="shared" si="15"/>
        <v>143562</v>
      </c>
      <c r="Q19" s="15">
        <f t="shared" si="6"/>
        <v>0</v>
      </c>
      <c r="R19" s="1">
        <v>55047</v>
      </c>
      <c r="S19" s="15">
        <f t="shared" si="7"/>
        <v>0</v>
      </c>
      <c r="T19" s="33">
        <f t="shared" si="16"/>
        <v>3953</v>
      </c>
      <c r="U19" s="15">
        <f t="shared" si="8"/>
        <v>0</v>
      </c>
      <c r="W19" t="s">
        <v>12</v>
      </c>
    </row>
    <row r="20" spans="1:23" ht="13.5" thickBot="1" x14ac:dyDescent="0.25">
      <c r="A20" s="9">
        <v>44638</v>
      </c>
      <c r="B20" s="33">
        <f t="shared" si="9"/>
        <v>46728</v>
      </c>
      <c r="C20" s="15">
        <f t="shared" si="0"/>
        <v>0</v>
      </c>
      <c r="D20" s="33">
        <f t="shared" si="10"/>
        <v>40367</v>
      </c>
      <c r="E20" s="15">
        <f t="shared" si="1"/>
        <v>0</v>
      </c>
      <c r="F20" s="33">
        <f t="shared" si="11"/>
        <v>21400</v>
      </c>
      <c r="G20" s="15">
        <f t="shared" si="2"/>
        <v>0</v>
      </c>
      <c r="H20" s="33">
        <f t="shared" si="12"/>
        <v>254089</v>
      </c>
      <c r="I20" s="15">
        <f t="shared" si="3"/>
        <v>0</v>
      </c>
      <c r="J20" s="33">
        <v>303517</v>
      </c>
      <c r="K20" s="15">
        <v>0</v>
      </c>
      <c r="L20" s="33">
        <f t="shared" si="13"/>
        <v>25919</v>
      </c>
      <c r="M20" s="15">
        <f t="shared" si="4"/>
        <v>0</v>
      </c>
      <c r="N20" s="33">
        <f t="shared" si="14"/>
        <v>225763</v>
      </c>
      <c r="O20" s="15">
        <f t="shared" si="5"/>
        <v>0</v>
      </c>
      <c r="P20" s="33">
        <f t="shared" si="15"/>
        <v>143562</v>
      </c>
      <c r="Q20" s="15">
        <f>P20-P19</f>
        <v>0</v>
      </c>
      <c r="R20" s="1">
        <v>55047</v>
      </c>
      <c r="S20" s="15">
        <f t="shared" si="7"/>
        <v>0</v>
      </c>
      <c r="T20" s="33">
        <f t="shared" si="16"/>
        <v>3953</v>
      </c>
      <c r="U20" s="15">
        <f t="shared" si="8"/>
        <v>0</v>
      </c>
    </row>
    <row r="21" spans="1:23" ht="13.5" thickBot="1" x14ac:dyDescent="0.25">
      <c r="A21" s="9">
        <v>44639</v>
      </c>
      <c r="B21" s="33">
        <f t="shared" si="9"/>
        <v>46728</v>
      </c>
      <c r="C21" s="15">
        <f t="shared" si="0"/>
        <v>0</v>
      </c>
      <c r="D21" s="33">
        <f t="shared" si="10"/>
        <v>40367</v>
      </c>
      <c r="E21" s="15">
        <f t="shared" si="1"/>
        <v>0</v>
      </c>
      <c r="F21" s="33">
        <f t="shared" si="11"/>
        <v>21400</v>
      </c>
      <c r="G21" s="15">
        <f t="shared" si="2"/>
        <v>0</v>
      </c>
      <c r="H21" s="33">
        <f t="shared" si="12"/>
        <v>254089</v>
      </c>
      <c r="I21" s="15">
        <f t="shared" si="3"/>
        <v>0</v>
      </c>
      <c r="J21" s="33">
        <v>303517</v>
      </c>
      <c r="K21" s="15">
        <v>0</v>
      </c>
      <c r="L21" s="33">
        <f t="shared" si="13"/>
        <v>25919</v>
      </c>
      <c r="M21" s="15">
        <f t="shared" si="4"/>
        <v>0</v>
      </c>
      <c r="N21" s="33">
        <f t="shared" si="14"/>
        <v>225763</v>
      </c>
      <c r="O21" s="15">
        <f t="shared" si="5"/>
        <v>0</v>
      </c>
      <c r="P21" s="33">
        <f t="shared" si="15"/>
        <v>143562</v>
      </c>
      <c r="Q21" s="15">
        <f t="shared" si="6"/>
        <v>0</v>
      </c>
      <c r="R21" s="1">
        <v>55047</v>
      </c>
      <c r="S21" s="15">
        <f t="shared" si="7"/>
        <v>0</v>
      </c>
      <c r="T21" s="33">
        <f t="shared" si="16"/>
        <v>3953</v>
      </c>
      <c r="U21" s="15">
        <f t="shared" si="8"/>
        <v>0</v>
      </c>
    </row>
    <row r="22" spans="1:23" ht="13.5" thickBot="1" x14ac:dyDescent="0.25">
      <c r="A22" s="9">
        <v>44640</v>
      </c>
      <c r="B22" s="33">
        <f t="shared" si="9"/>
        <v>46728</v>
      </c>
      <c r="C22" s="15">
        <f t="shared" si="0"/>
        <v>0</v>
      </c>
      <c r="D22" s="33">
        <f t="shared" si="10"/>
        <v>40367</v>
      </c>
      <c r="E22" s="15">
        <f t="shared" si="1"/>
        <v>0</v>
      </c>
      <c r="F22" s="33">
        <f t="shared" si="11"/>
        <v>21400</v>
      </c>
      <c r="G22" s="15">
        <f t="shared" si="2"/>
        <v>0</v>
      </c>
      <c r="H22" s="33">
        <f t="shared" si="12"/>
        <v>254089</v>
      </c>
      <c r="I22" s="15">
        <f t="shared" si="3"/>
        <v>0</v>
      </c>
      <c r="J22" s="33">
        <v>303517</v>
      </c>
      <c r="K22" s="15">
        <v>0</v>
      </c>
      <c r="L22" s="33">
        <f t="shared" si="13"/>
        <v>25919</v>
      </c>
      <c r="M22" s="15">
        <f t="shared" si="4"/>
        <v>0</v>
      </c>
      <c r="N22" s="33">
        <f t="shared" si="14"/>
        <v>225763</v>
      </c>
      <c r="O22" s="15">
        <f t="shared" si="5"/>
        <v>0</v>
      </c>
      <c r="P22" s="33">
        <f t="shared" si="15"/>
        <v>143562</v>
      </c>
      <c r="Q22" s="15">
        <f>P22-P21</f>
        <v>0</v>
      </c>
      <c r="R22" s="1">
        <v>55047</v>
      </c>
      <c r="S22" s="15">
        <f t="shared" si="7"/>
        <v>0</v>
      </c>
      <c r="T22" s="33">
        <f t="shared" si="16"/>
        <v>3953</v>
      </c>
      <c r="U22" s="15">
        <f t="shared" si="8"/>
        <v>0</v>
      </c>
    </row>
    <row r="23" spans="1:23" ht="13.5" thickBot="1" x14ac:dyDescent="0.25">
      <c r="A23" s="9">
        <v>44641</v>
      </c>
      <c r="B23" s="33">
        <f t="shared" si="9"/>
        <v>46728</v>
      </c>
      <c r="C23" s="15">
        <f t="shared" si="0"/>
        <v>0</v>
      </c>
      <c r="D23" s="33">
        <f t="shared" si="10"/>
        <v>40367</v>
      </c>
      <c r="E23" s="15">
        <f t="shared" si="1"/>
        <v>0</v>
      </c>
      <c r="F23" s="33">
        <f t="shared" si="11"/>
        <v>21400</v>
      </c>
      <c r="G23" s="15">
        <f t="shared" si="2"/>
        <v>0</v>
      </c>
      <c r="H23" s="33">
        <f t="shared" si="12"/>
        <v>254089</v>
      </c>
      <c r="I23" s="15">
        <f t="shared" si="3"/>
        <v>0</v>
      </c>
      <c r="J23" s="33">
        <v>303517</v>
      </c>
      <c r="K23" s="15">
        <v>0</v>
      </c>
      <c r="L23" s="33">
        <f t="shared" si="13"/>
        <v>25919</v>
      </c>
      <c r="M23" s="15">
        <f t="shared" si="4"/>
        <v>0</v>
      </c>
      <c r="N23" s="33">
        <f t="shared" si="14"/>
        <v>225763</v>
      </c>
      <c r="O23" s="15">
        <f t="shared" si="5"/>
        <v>0</v>
      </c>
      <c r="P23" s="33">
        <f t="shared" si="15"/>
        <v>143562</v>
      </c>
      <c r="Q23" s="15">
        <f t="shared" si="6"/>
        <v>0</v>
      </c>
      <c r="R23" s="1">
        <v>55047</v>
      </c>
      <c r="S23" s="15">
        <f t="shared" si="7"/>
        <v>0</v>
      </c>
      <c r="T23" s="33">
        <f t="shared" si="16"/>
        <v>3953</v>
      </c>
      <c r="U23" s="15">
        <f t="shared" si="8"/>
        <v>0</v>
      </c>
    </row>
    <row r="24" spans="1:23" s="133" customFormat="1" ht="13.5" thickBot="1" x14ac:dyDescent="0.25">
      <c r="A24" s="9">
        <v>44642</v>
      </c>
      <c r="B24" s="33">
        <f t="shared" si="9"/>
        <v>46728</v>
      </c>
      <c r="C24" s="15">
        <f t="shared" si="0"/>
        <v>0</v>
      </c>
      <c r="D24" s="33">
        <f t="shared" si="10"/>
        <v>40367</v>
      </c>
      <c r="E24" s="15">
        <f t="shared" si="1"/>
        <v>0</v>
      </c>
      <c r="F24" s="33">
        <f t="shared" si="11"/>
        <v>21400</v>
      </c>
      <c r="G24" s="15">
        <f t="shared" si="2"/>
        <v>0</v>
      </c>
      <c r="H24" s="33">
        <f t="shared" si="12"/>
        <v>254089</v>
      </c>
      <c r="I24" s="15">
        <f t="shared" si="3"/>
        <v>0</v>
      </c>
      <c r="J24" s="33">
        <v>303517</v>
      </c>
      <c r="K24" s="15">
        <v>0</v>
      </c>
      <c r="L24" s="33">
        <f t="shared" si="13"/>
        <v>25919</v>
      </c>
      <c r="M24" s="15">
        <f t="shared" si="4"/>
        <v>0</v>
      </c>
      <c r="N24" s="33">
        <f t="shared" si="14"/>
        <v>225763</v>
      </c>
      <c r="O24" s="15">
        <f t="shared" si="5"/>
        <v>0</v>
      </c>
      <c r="P24" s="33">
        <f t="shared" si="15"/>
        <v>143562</v>
      </c>
      <c r="Q24" s="15">
        <f t="shared" si="6"/>
        <v>0</v>
      </c>
      <c r="R24" s="1">
        <v>55047</v>
      </c>
      <c r="S24" s="15">
        <f t="shared" si="7"/>
        <v>0</v>
      </c>
      <c r="T24" s="33">
        <f t="shared" si="16"/>
        <v>3953</v>
      </c>
      <c r="U24" s="15">
        <f t="shared" si="8"/>
        <v>0</v>
      </c>
    </row>
    <row r="25" spans="1:23" ht="13.5" thickBot="1" x14ac:dyDescent="0.25">
      <c r="A25" s="9">
        <v>44643</v>
      </c>
      <c r="B25" s="33">
        <f t="shared" si="9"/>
        <v>46728</v>
      </c>
      <c r="C25" s="15">
        <f t="shared" si="0"/>
        <v>0</v>
      </c>
      <c r="D25" s="33">
        <f t="shared" si="10"/>
        <v>40367</v>
      </c>
      <c r="E25" s="15">
        <f t="shared" si="1"/>
        <v>0</v>
      </c>
      <c r="F25" s="33">
        <f t="shared" si="11"/>
        <v>21400</v>
      </c>
      <c r="G25" s="15">
        <f t="shared" si="2"/>
        <v>0</v>
      </c>
      <c r="H25" s="33">
        <f t="shared" si="12"/>
        <v>254089</v>
      </c>
      <c r="I25" s="15">
        <f t="shared" si="3"/>
        <v>0</v>
      </c>
      <c r="J25" s="33">
        <v>303517</v>
      </c>
      <c r="K25" s="15">
        <v>0</v>
      </c>
      <c r="L25" s="33">
        <f t="shared" si="13"/>
        <v>25919</v>
      </c>
      <c r="M25" s="15">
        <f t="shared" si="4"/>
        <v>0</v>
      </c>
      <c r="N25" s="33">
        <f t="shared" si="14"/>
        <v>225763</v>
      </c>
      <c r="O25" s="15">
        <f t="shared" si="5"/>
        <v>0</v>
      </c>
      <c r="P25" s="33">
        <f t="shared" si="15"/>
        <v>143562</v>
      </c>
      <c r="Q25" s="15">
        <f t="shared" si="6"/>
        <v>0</v>
      </c>
      <c r="R25" s="1">
        <v>55047</v>
      </c>
      <c r="S25" s="15">
        <f t="shared" si="7"/>
        <v>0</v>
      </c>
      <c r="T25" s="33">
        <f t="shared" si="16"/>
        <v>3953</v>
      </c>
      <c r="U25" s="15">
        <f t="shared" si="8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9"/>
        <v>46728</v>
      </c>
      <c r="C26" s="15">
        <f t="shared" si="0"/>
        <v>0</v>
      </c>
      <c r="D26" s="33">
        <f t="shared" si="10"/>
        <v>40367</v>
      </c>
      <c r="E26" s="15">
        <f t="shared" si="1"/>
        <v>0</v>
      </c>
      <c r="F26" s="33">
        <f t="shared" si="11"/>
        <v>21400</v>
      </c>
      <c r="G26" s="15">
        <f t="shared" si="2"/>
        <v>0</v>
      </c>
      <c r="H26" s="33">
        <f t="shared" si="12"/>
        <v>254089</v>
      </c>
      <c r="I26" s="15">
        <f t="shared" si="3"/>
        <v>0</v>
      </c>
      <c r="J26" s="33">
        <v>303517</v>
      </c>
      <c r="K26" s="15">
        <v>0</v>
      </c>
      <c r="L26" s="33">
        <f t="shared" si="13"/>
        <v>25919</v>
      </c>
      <c r="M26" s="15">
        <f t="shared" si="4"/>
        <v>0</v>
      </c>
      <c r="N26" s="33">
        <f t="shared" si="14"/>
        <v>225763</v>
      </c>
      <c r="O26" s="15">
        <f t="shared" si="5"/>
        <v>0</v>
      </c>
      <c r="P26" s="33">
        <f t="shared" si="15"/>
        <v>143562</v>
      </c>
      <c r="Q26" s="15">
        <f t="shared" si="6"/>
        <v>0</v>
      </c>
      <c r="R26" s="1">
        <v>55047</v>
      </c>
      <c r="S26" s="15">
        <f t="shared" si="7"/>
        <v>0</v>
      </c>
      <c r="T26" s="33">
        <f t="shared" si="16"/>
        <v>3953</v>
      </c>
      <c r="U26" s="15">
        <f t="shared" si="8"/>
        <v>0</v>
      </c>
      <c r="W26" t="s">
        <v>12</v>
      </c>
    </row>
    <row r="27" spans="1:23" ht="13.5" thickBot="1" x14ac:dyDescent="0.25">
      <c r="A27" s="9">
        <v>44645</v>
      </c>
      <c r="B27" s="33">
        <f t="shared" si="9"/>
        <v>46728</v>
      </c>
      <c r="C27" s="15">
        <f t="shared" si="0"/>
        <v>0</v>
      </c>
      <c r="D27" s="33">
        <f t="shared" si="10"/>
        <v>40367</v>
      </c>
      <c r="E27" s="15">
        <f t="shared" si="1"/>
        <v>0</v>
      </c>
      <c r="F27" s="33">
        <f t="shared" si="11"/>
        <v>21400</v>
      </c>
      <c r="G27" s="15">
        <f t="shared" si="2"/>
        <v>0</v>
      </c>
      <c r="H27" s="33">
        <f t="shared" si="12"/>
        <v>254089</v>
      </c>
      <c r="I27" s="15">
        <f t="shared" si="3"/>
        <v>0</v>
      </c>
      <c r="J27" s="33">
        <v>303517</v>
      </c>
      <c r="K27" s="15">
        <v>0</v>
      </c>
      <c r="L27" s="33">
        <f t="shared" si="13"/>
        <v>25919</v>
      </c>
      <c r="M27" s="15">
        <f t="shared" si="4"/>
        <v>0</v>
      </c>
      <c r="N27" s="33">
        <f t="shared" si="14"/>
        <v>225763</v>
      </c>
      <c r="O27" s="15">
        <f t="shared" si="5"/>
        <v>0</v>
      </c>
      <c r="P27" s="33">
        <f t="shared" si="15"/>
        <v>143562</v>
      </c>
      <c r="Q27" s="15">
        <f t="shared" si="6"/>
        <v>0</v>
      </c>
      <c r="R27" s="1">
        <v>55047</v>
      </c>
      <c r="S27" s="15">
        <f t="shared" si="7"/>
        <v>0</v>
      </c>
      <c r="T27" s="33">
        <f t="shared" si="16"/>
        <v>3953</v>
      </c>
      <c r="U27" s="15">
        <f t="shared" si="8"/>
        <v>0</v>
      </c>
    </row>
    <row r="28" spans="1:23" ht="13.5" thickBot="1" x14ac:dyDescent="0.25">
      <c r="A28" s="9">
        <v>44646</v>
      </c>
      <c r="B28" s="33">
        <f t="shared" si="9"/>
        <v>46728</v>
      </c>
      <c r="C28" s="15">
        <f t="shared" si="0"/>
        <v>0</v>
      </c>
      <c r="D28" s="33">
        <f t="shared" si="10"/>
        <v>40367</v>
      </c>
      <c r="E28" s="15">
        <f t="shared" si="1"/>
        <v>0</v>
      </c>
      <c r="F28" s="33">
        <f t="shared" si="11"/>
        <v>21400</v>
      </c>
      <c r="G28" s="15">
        <f t="shared" si="2"/>
        <v>0</v>
      </c>
      <c r="H28" s="33">
        <f t="shared" si="12"/>
        <v>254089</v>
      </c>
      <c r="I28" s="15">
        <f t="shared" si="3"/>
        <v>0</v>
      </c>
      <c r="J28" s="33">
        <v>303517</v>
      </c>
      <c r="K28" s="15">
        <v>0</v>
      </c>
      <c r="L28" s="33">
        <f t="shared" si="13"/>
        <v>25919</v>
      </c>
      <c r="M28" s="15">
        <f t="shared" si="4"/>
        <v>0</v>
      </c>
      <c r="N28" s="33">
        <f t="shared" si="14"/>
        <v>225763</v>
      </c>
      <c r="O28" s="15">
        <f t="shared" si="5"/>
        <v>0</v>
      </c>
      <c r="P28" s="33">
        <f t="shared" si="15"/>
        <v>143562</v>
      </c>
      <c r="Q28" s="16">
        <f t="shared" si="6"/>
        <v>0</v>
      </c>
      <c r="R28" s="1">
        <v>55047</v>
      </c>
      <c r="S28" s="16">
        <f t="shared" si="7"/>
        <v>0</v>
      </c>
      <c r="T28" s="33">
        <f t="shared" si="16"/>
        <v>3953</v>
      </c>
      <c r="U28" s="15">
        <f t="shared" si="8"/>
        <v>0</v>
      </c>
    </row>
    <row r="29" spans="1:23" ht="13.5" thickBot="1" x14ac:dyDescent="0.25">
      <c r="A29" s="9">
        <v>44647</v>
      </c>
      <c r="B29" s="33">
        <f t="shared" si="9"/>
        <v>46728</v>
      </c>
      <c r="C29" s="15">
        <f t="shared" si="0"/>
        <v>0</v>
      </c>
      <c r="D29" s="33">
        <f t="shared" si="10"/>
        <v>40367</v>
      </c>
      <c r="E29" s="15">
        <f t="shared" si="1"/>
        <v>0</v>
      </c>
      <c r="F29" s="33">
        <f t="shared" si="11"/>
        <v>21400</v>
      </c>
      <c r="G29" s="15">
        <f t="shared" si="2"/>
        <v>0</v>
      </c>
      <c r="H29" s="33">
        <f t="shared" si="12"/>
        <v>254089</v>
      </c>
      <c r="I29" s="15">
        <f t="shared" si="3"/>
        <v>0</v>
      </c>
      <c r="J29" s="33">
        <v>303517</v>
      </c>
      <c r="K29" s="15">
        <v>0</v>
      </c>
      <c r="L29" s="33">
        <f t="shared" si="13"/>
        <v>25919</v>
      </c>
      <c r="M29" s="15">
        <f t="shared" si="4"/>
        <v>0</v>
      </c>
      <c r="N29" s="33">
        <f t="shared" si="14"/>
        <v>225763</v>
      </c>
      <c r="O29" s="15">
        <f t="shared" si="5"/>
        <v>0</v>
      </c>
      <c r="P29" s="33">
        <f t="shared" si="15"/>
        <v>143562</v>
      </c>
      <c r="Q29" s="15">
        <f t="shared" si="6"/>
        <v>0</v>
      </c>
      <c r="R29" s="1">
        <v>55047</v>
      </c>
      <c r="S29" s="15">
        <f t="shared" si="7"/>
        <v>0</v>
      </c>
      <c r="T29" s="33">
        <f t="shared" si="16"/>
        <v>3953</v>
      </c>
      <c r="U29" s="15">
        <f t="shared" si="8"/>
        <v>0</v>
      </c>
    </row>
    <row r="30" spans="1:23" ht="13.5" thickBot="1" x14ac:dyDescent="0.25">
      <c r="A30" s="9">
        <v>44648</v>
      </c>
      <c r="B30" s="33">
        <f t="shared" si="9"/>
        <v>46728</v>
      </c>
      <c r="C30" s="15">
        <f t="shared" si="0"/>
        <v>0</v>
      </c>
      <c r="D30" s="33">
        <f t="shared" si="10"/>
        <v>40367</v>
      </c>
      <c r="E30" s="15">
        <f t="shared" si="1"/>
        <v>0</v>
      </c>
      <c r="F30" s="33">
        <f t="shared" si="11"/>
        <v>21400</v>
      </c>
      <c r="G30" s="15">
        <f t="shared" si="2"/>
        <v>0</v>
      </c>
      <c r="H30" s="33">
        <f t="shared" si="12"/>
        <v>254089</v>
      </c>
      <c r="I30" s="15">
        <f t="shared" si="3"/>
        <v>0</v>
      </c>
      <c r="J30" s="33">
        <v>303517</v>
      </c>
      <c r="K30" s="15">
        <v>0</v>
      </c>
      <c r="L30" s="33">
        <f t="shared" si="13"/>
        <v>25919</v>
      </c>
      <c r="M30" s="15">
        <f t="shared" si="4"/>
        <v>0</v>
      </c>
      <c r="N30" s="33">
        <f t="shared" si="14"/>
        <v>225763</v>
      </c>
      <c r="O30" s="15">
        <f t="shared" si="5"/>
        <v>0</v>
      </c>
      <c r="P30" s="33">
        <f t="shared" si="15"/>
        <v>143562</v>
      </c>
      <c r="Q30" s="15">
        <v>0</v>
      </c>
      <c r="R30" s="1">
        <v>55047</v>
      </c>
      <c r="S30" s="15">
        <f t="shared" si="7"/>
        <v>0</v>
      </c>
      <c r="T30" s="33">
        <f t="shared" si="16"/>
        <v>3953</v>
      </c>
      <c r="U30" s="15">
        <f t="shared" si="8"/>
        <v>0</v>
      </c>
    </row>
    <row r="31" spans="1:23" ht="16.5" thickBot="1" x14ac:dyDescent="0.3">
      <c r="A31" s="15" t="s">
        <v>23</v>
      </c>
      <c r="B31" s="1"/>
      <c r="C31" s="10">
        <f>SUM(C4:C30)</f>
        <v>4320</v>
      </c>
      <c r="D31" s="12"/>
      <c r="E31" s="10">
        <f>SUM(E4:E30)</f>
        <v>3200</v>
      </c>
      <c r="F31" s="12"/>
      <c r="G31" s="10">
        <f>SUM(G4:G30)</f>
        <v>440</v>
      </c>
      <c r="H31" s="12"/>
      <c r="I31" s="10">
        <f>SUM(I4:I30)</f>
        <v>90</v>
      </c>
      <c r="J31" s="12"/>
      <c r="K31" s="10">
        <f>SUM(K4:K30)</f>
        <v>0</v>
      </c>
      <c r="L31" s="12"/>
      <c r="M31" s="10">
        <f>SUM(M4:M30)</f>
        <v>3200</v>
      </c>
      <c r="N31" s="34"/>
      <c r="O31" s="10">
        <f>SUM(O4:O30)</f>
        <v>532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1920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B10" sqref="B10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/>
      <c r="C10" s="146"/>
      <c r="D10" s="40">
        <f t="shared" si="4"/>
        <v>0</v>
      </c>
      <c r="E10" s="147"/>
      <c r="F10" s="40" t="str">
        <f t="shared" si="5"/>
        <v>0</v>
      </c>
      <c r="G10" s="148"/>
      <c r="H10" s="40" t="str">
        <f t="shared" si="6"/>
        <v>0</v>
      </c>
      <c r="I10" s="149">
        <f t="shared" si="7"/>
        <v>0</v>
      </c>
      <c r="J10" s="147"/>
      <c r="K10" s="40">
        <f t="shared" si="15"/>
        <v>0</v>
      </c>
      <c r="L10" s="150"/>
      <c r="M10" s="40" t="str">
        <f t="shared" si="8"/>
        <v>0</v>
      </c>
      <c r="N10" s="147"/>
      <c r="O10" s="40">
        <f t="shared" si="16"/>
        <v>0</v>
      </c>
      <c r="P10" s="150"/>
      <c r="Q10" s="40" t="str">
        <f t="shared" si="9"/>
        <v>0</v>
      </c>
      <c r="R10" s="147"/>
      <c r="S10" s="40" t="str">
        <f t="shared" si="10"/>
        <v>0</v>
      </c>
      <c r="T10" s="147">
        <v>0</v>
      </c>
      <c r="U10" s="151"/>
      <c r="V10" s="147"/>
      <c r="W10" s="40" t="str">
        <f t="shared" si="11"/>
        <v>0</v>
      </c>
      <c r="X10" s="20">
        <f t="shared" si="12"/>
        <v>0</v>
      </c>
      <c r="Y10" s="152">
        <f t="shared" si="13"/>
        <v>0</v>
      </c>
      <c r="Z10" s="3">
        <f t="shared" si="14"/>
        <v>0</v>
      </c>
      <c r="AA10" s="3">
        <f t="shared" si="17"/>
        <v>17073.894448000003</v>
      </c>
    </row>
    <row r="11" spans="1:27" ht="15.75" customHeight="1" thickBot="1" x14ac:dyDescent="0.3">
      <c r="A11" s="9">
        <v>44629</v>
      </c>
      <c r="B11" s="40"/>
      <c r="C11" s="146"/>
      <c r="D11" s="40">
        <f t="shared" si="4"/>
        <v>0</v>
      </c>
      <c r="E11" s="147"/>
      <c r="F11" s="40">
        <f t="shared" si="5"/>
        <v>0</v>
      </c>
      <c r="G11" s="148"/>
      <c r="H11" s="40">
        <f t="shared" si="6"/>
        <v>0</v>
      </c>
      <c r="I11" s="149">
        <f t="shared" si="7"/>
        <v>0</v>
      </c>
      <c r="J11" s="147"/>
      <c r="K11" s="40">
        <f t="shared" si="15"/>
        <v>0</v>
      </c>
      <c r="L11" s="150"/>
      <c r="M11" s="40">
        <f t="shared" si="8"/>
        <v>0</v>
      </c>
      <c r="N11" s="147"/>
      <c r="O11" s="40">
        <f t="shared" si="16"/>
        <v>0</v>
      </c>
      <c r="P11" s="150"/>
      <c r="Q11" s="40">
        <f t="shared" si="9"/>
        <v>0</v>
      </c>
      <c r="R11" s="147"/>
      <c r="S11" s="40">
        <f t="shared" si="10"/>
        <v>0</v>
      </c>
      <c r="T11" s="147">
        <v>0</v>
      </c>
      <c r="U11" s="151"/>
      <c r="V11" s="147"/>
      <c r="W11" s="40">
        <f t="shared" si="11"/>
        <v>0</v>
      </c>
      <c r="X11" s="20">
        <f t="shared" si="12"/>
        <v>0</v>
      </c>
      <c r="Y11" s="152">
        <f t="shared" si="13"/>
        <v>0</v>
      </c>
      <c r="Z11" s="3">
        <f t="shared" si="14"/>
        <v>0</v>
      </c>
      <c r="AA11" s="3">
        <f t="shared" si="17"/>
        <v>10355.764182400002</v>
      </c>
    </row>
    <row r="12" spans="1:27" ht="16.5" thickBot="1" x14ac:dyDescent="0.3">
      <c r="A12" s="9">
        <v>44630</v>
      </c>
      <c r="B12" s="40"/>
      <c r="C12" s="146"/>
      <c r="D12" s="40">
        <f t="shared" si="4"/>
        <v>0</v>
      </c>
      <c r="E12" s="147"/>
      <c r="F12" s="40">
        <f t="shared" si="5"/>
        <v>0</v>
      </c>
      <c r="G12" s="148"/>
      <c r="H12" s="40">
        <f t="shared" si="6"/>
        <v>0</v>
      </c>
      <c r="I12" s="149">
        <f t="shared" si="7"/>
        <v>0</v>
      </c>
      <c r="J12" s="147"/>
      <c r="K12" s="40">
        <f t="shared" si="15"/>
        <v>0</v>
      </c>
      <c r="L12" s="150"/>
      <c r="M12" s="40">
        <f t="shared" si="8"/>
        <v>0</v>
      </c>
      <c r="N12" s="147"/>
      <c r="O12" s="40">
        <f t="shared" si="16"/>
        <v>0</v>
      </c>
      <c r="P12" s="150"/>
      <c r="Q12" s="40">
        <f t="shared" si="9"/>
        <v>0</v>
      </c>
      <c r="R12" s="147"/>
      <c r="S12" s="40">
        <f t="shared" si="10"/>
        <v>0</v>
      </c>
      <c r="T12" s="147">
        <v>0</v>
      </c>
      <c r="U12" s="151"/>
      <c r="V12" s="147"/>
      <c r="W12" s="40">
        <f t="shared" si="11"/>
        <v>0</v>
      </c>
      <c r="X12" s="20">
        <f t="shared" si="12"/>
        <v>0</v>
      </c>
      <c r="Y12" s="152">
        <f t="shared" si="13"/>
        <v>0</v>
      </c>
      <c r="Z12" s="3">
        <f t="shared" si="14"/>
        <v>0</v>
      </c>
      <c r="AA12" s="3">
        <f t="shared" si="17"/>
        <v>4900.0036800000007</v>
      </c>
    </row>
    <row r="13" spans="1:27" ht="16.5" thickBot="1" x14ac:dyDescent="0.3">
      <c r="A13" s="9">
        <v>44631</v>
      </c>
      <c r="B13" s="40"/>
      <c r="C13" s="146"/>
      <c r="D13" s="40">
        <f t="shared" ref="D13" si="18">IF((C13-C12)&lt;0,"0",(C13-C12))*160</f>
        <v>0</v>
      </c>
      <c r="E13" s="147"/>
      <c r="F13" s="40">
        <f t="shared" ref="F13" si="19">IF((E13-E12)&lt;0,"0",(E13-E12))</f>
        <v>0</v>
      </c>
      <c r="G13" s="148"/>
      <c r="H13" s="40">
        <f t="shared" ref="H13" si="20">IF((G13-G12)&lt;0,"0",(G13-G12))</f>
        <v>0</v>
      </c>
      <c r="I13" s="149">
        <f t="shared" ref="I13" si="21">F13+H13</f>
        <v>0</v>
      </c>
      <c r="J13" s="147"/>
      <c r="K13" s="40">
        <f t="shared" ref="K13" si="22">(IF((J13-J12)&lt;0,"0",(J13-J12)))*2</f>
        <v>0</v>
      </c>
      <c r="L13" s="150"/>
      <c r="M13" s="40">
        <f t="shared" ref="M13" si="23">IF((L13-L12)&lt;0,"0",(L13-L12))</f>
        <v>0</v>
      </c>
      <c r="N13" s="147"/>
      <c r="O13" s="40">
        <f t="shared" ref="O13" si="24">(IF((N13-N12)&lt;0,"0",(N13-N12)))*2</f>
        <v>0</v>
      </c>
      <c r="P13" s="150"/>
      <c r="Q13" s="40">
        <f t="shared" ref="Q13" si="25">IF((P13-P12)&lt;0,"0",(P13-P12))</f>
        <v>0</v>
      </c>
      <c r="R13" s="147"/>
      <c r="S13" s="40">
        <f t="shared" ref="S13" si="26">IF((R13-R12)&lt;0,"0",(R13-R12))</f>
        <v>0</v>
      </c>
      <c r="T13" s="147">
        <v>0</v>
      </c>
      <c r="U13" s="151"/>
      <c r="V13" s="147"/>
      <c r="W13" s="40">
        <f t="shared" ref="W13" si="27">IF((V13-V12)&lt;0,"0",(V13-V12))</f>
        <v>0</v>
      </c>
      <c r="X13" s="20">
        <f t="shared" ref="X13" si="28">K13+M13+O13+Q13+S13+U13+W13</f>
        <v>0</v>
      </c>
      <c r="Y13" s="152">
        <f t="shared" ref="Y13" si="29">I13-X13</f>
        <v>0</v>
      </c>
      <c r="Z13" s="3">
        <f t="shared" ref="Z13" si="30">(0.93352*(W13+S13)+0.5568*(Q13+O13))*0.26</f>
        <v>0</v>
      </c>
      <c r="AA13" s="3">
        <f t="shared" si="17"/>
        <v>0</v>
      </c>
    </row>
    <row r="14" spans="1:27" ht="16.5" thickBot="1" x14ac:dyDescent="0.3">
      <c r="A14" s="9">
        <v>44632</v>
      </c>
      <c r="B14" s="40"/>
      <c r="C14" s="146"/>
      <c r="D14" s="40">
        <f t="shared" si="4"/>
        <v>0</v>
      </c>
      <c r="E14" s="147"/>
      <c r="F14" s="40">
        <f t="shared" si="5"/>
        <v>0</v>
      </c>
      <c r="G14" s="148"/>
      <c r="H14" s="40">
        <f t="shared" si="6"/>
        <v>0</v>
      </c>
      <c r="I14" s="149">
        <f t="shared" si="7"/>
        <v>0</v>
      </c>
      <c r="J14" s="147"/>
      <c r="K14" s="40">
        <f t="shared" si="15"/>
        <v>0</v>
      </c>
      <c r="L14" s="150"/>
      <c r="M14" s="40">
        <f t="shared" si="8"/>
        <v>0</v>
      </c>
      <c r="N14" s="147"/>
      <c r="O14" s="40">
        <f t="shared" si="16"/>
        <v>0</v>
      </c>
      <c r="P14" s="150"/>
      <c r="Q14" s="40">
        <f t="shared" si="9"/>
        <v>0</v>
      </c>
      <c r="R14" s="147"/>
      <c r="S14" s="40">
        <f>IF((R14-R13)&lt;0,"0",(R14-R13))</f>
        <v>0</v>
      </c>
      <c r="T14" s="147">
        <v>0</v>
      </c>
      <c r="U14" s="151"/>
      <c r="V14" s="147"/>
      <c r="W14" s="40">
        <f t="shared" si="11"/>
        <v>0</v>
      </c>
      <c r="X14" s="20">
        <f t="shared" si="12"/>
        <v>0</v>
      </c>
      <c r="Y14" s="152">
        <f t="shared" si="13"/>
        <v>0</v>
      </c>
      <c r="Z14" s="3">
        <f t="shared" si="14"/>
        <v>0</v>
      </c>
      <c r="AA14" s="3">
        <f t="shared" si="17"/>
        <v>0</v>
      </c>
    </row>
    <row r="15" spans="1:27" ht="16.5" thickBot="1" x14ac:dyDescent="0.3">
      <c r="A15" s="9">
        <v>44633</v>
      </c>
      <c r="B15" s="40"/>
      <c r="C15" s="146"/>
      <c r="D15" s="40">
        <f t="shared" si="4"/>
        <v>0</v>
      </c>
      <c r="E15" s="147"/>
      <c r="F15" s="40">
        <f t="shared" si="5"/>
        <v>0</v>
      </c>
      <c r="G15" s="148"/>
      <c r="H15" s="40">
        <f t="shared" si="6"/>
        <v>0</v>
      </c>
      <c r="I15" s="149">
        <f t="shared" si="7"/>
        <v>0</v>
      </c>
      <c r="J15" s="147"/>
      <c r="K15" s="40">
        <f t="shared" si="15"/>
        <v>0</v>
      </c>
      <c r="L15" s="150"/>
      <c r="M15" s="40">
        <f t="shared" si="8"/>
        <v>0</v>
      </c>
      <c r="N15" s="147"/>
      <c r="O15" s="40">
        <f t="shared" si="16"/>
        <v>0</v>
      </c>
      <c r="P15" s="150"/>
      <c r="Q15" s="40">
        <f t="shared" si="9"/>
        <v>0</v>
      </c>
      <c r="R15" s="147"/>
      <c r="S15" s="40">
        <f>IF((R15-R14)&lt;0,"0",(R15-R14))</f>
        <v>0</v>
      </c>
      <c r="T15" s="147">
        <v>0</v>
      </c>
      <c r="U15" s="151"/>
      <c r="V15" s="147"/>
      <c r="W15" s="40">
        <f t="shared" si="11"/>
        <v>0</v>
      </c>
      <c r="X15" s="20">
        <f t="shared" si="12"/>
        <v>0</v>
      </c>
      <c r="Y15" s="152">
        <f t="shared" si="13"/>
        <v>0</v>
      </c>
      <c r="Z15" s="3">
        <f t="shared" si="14"/>
        <v>0</v>
      </c>
      <c r="AA15" s="3">
        <f t="shared" si="17"/>
        <v>0</v>
      </c>
    </row>
    <row r="16" spans="1:27" ht="16.5" thickBot="1" x14ac:dyDescent="0.3">
      <c r="A16" s="9">
        <v>44634</v>
      </c>
      <c r="B16" s="40"/>
      <c r="C16" s="146"/>
      <c r="D16" s="40">
        <f t="shared" si="4"/>
        <v>0</v>
      </c>
      <c r="E16" s="147"/>
      <c r="F16" s="40">
        <f t="shared" si="5"/>
        <v>0</v>
      </c>
      <c r="G16" s="148"/>
      <c r="H16" s="40">
        <f t="shared" si="6"/>
        <v>0</v>
      </c>
      <c r="I16" s="149">
        <f t="shared" si="7"/>
        <v>0</v>
      </c>
      <c r="J16" s="147"/>
      <c r="K16" s="40">
        <f t="shared" si="15"/>
        <v>0</v>
      </c>
      <c r="L16" s="150"/>
      <c r="M16" s="40">
        <f t="shared" si="8"/>
        <v>0</v>
      </c>
      <c r="N16" s="147"/>
      <c r="O16" s="40">
        <f t="shared" si="16"/>
        <v>0</v>
      </c>
      <c r="P16" s="150"/>
      <c r="Q16" s="40">
        <f t="shared" si="9"/>
        <v>0</v>
      </c>
      <c r="R16" s="147"/>
      <c r="S16" s="40">
        <f t="shared" si="10"/>
        <v>0</v>
      </c>
      <c r="T16" s="147">
        <v>0</v>
      </c>
      <c r="U16" s="151"/>
      <c r="V16" s="147"/>
      <c r="W16" s="40">
        <f t="shared" si="11"/>
        <v>0</v>
      </c>
      <c r="X16" s="20">
        <f t="shared" si="12"/>
        <v>0</v>
      </c>
      <c r="Y16" s="152">
        <f t="shared" si="13"/>
        <v>0</v>
      </c>
      <c r="Z16" s="3">
        <f t="shared" si="14"/>
        <v>0</v>
      </c>
      <c r="AA16" s="3">
        <f t="shared" si="17"/>
        <v>0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>
        <f t="shared" si="5"/>
        <v>0</v>
      </c>
      <c r="G17" s="148"/>
      <c r="H17" s="40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>
        <f t="shared" si="8"/>
        <v>0</v>
      </c>
      <c r="N17" s="147"/>
      <c r="O17" s="131">
        <f t="shared" si="16"/>
        <v>0</v>
      </c>
      <c r="P17" s="150"/>
      <c r="Q17" s="131">
        <f t="shared" si="9"/>
        <v>0</v>
      </c>
      <c r="R17" s="147"/>
      <c r="S17" s="131">
        <f t="shared" si="10"/>
        <v>0</v>
      </c>
      <c r="T17" s="154">
        <v>0</v>
      </c>
      <c r="U17" s="151"/>
      <c r="V17" s="147"/>
      <c r="W17" s="131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0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0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0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1887</v>
      </c>
      <c r="C31" s="138"/>
      <c r="D31" s="138">
        <f>SUM(D3:D30)</f>
        <v>2880</v>
      </c>
      <c r="E31" s="57">
        <v>0</v>
      </c>
      <c r="F31" s="57">
        <f>SUM(F3:F30)</f>
        <v>88409</v>
      </c>
      <c r="G31" s="57">
        <v>0</v>
      </c>
      <c r="H31" s="57">
        <f>SUM(H3:H30)</f>
        <v>264500</v>
      </c>
      <c r="I31" s="57">
        <f>SUM(I6:I30)</f>
        <v>197874</v>
      </c>
      <c r="J31" s="57">
        <v>0</v>
      </c>
      <c r="K31" s="57">
        <f>SUM(K3:K30)</f>
        <v>59264</v>
      </c>
      <c r="L31" s="57">
        <v>0</v>
      </c>
      <c r="M31" s="57">
        <f>SUM(M3:M30)</f>
        <v>40320</v>
      </c>
      <c r="N31" s="57">
        <v>0</v>
      </c>
      <c r="O31" s="57">
        <f>SUM(O3:O30)</f>
        <v>43000</v>
      </c>
      <c r="P31" s="57">
        <v>0</v>
      </c>
      <c r="Q31" s="57">
        <f>SUM(Q3:Q30)</f>
        <v>16442</v>
      </c>
      <c r="R31" s="57">
        <v>0</v>
      </c>
      <c r="S31" s="57">
        <f>SUM(S3:S30)</f>
        <v>66206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71379</v>
      </c>
      <c r="X31" s="57">
        <f>SUM(X6:X30)</f>
        <v>164175</v>
      </c>
      <c r="Y31" s="57">
        <f>SUM(Y3:Y30)</f>
        <v>56298</v>
      </c>
      <c r="Z31" s="57">
        <f>SUM(Z3:Z30)</f>
        <v>41999.270248000008</v>
      </c>
      <c r="AA31" s="57">
        <f>SUM(AA3:AA30)</f>
        <v>161550.85092640002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H10" sqref="H10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/>
      <c r="C10" s="40">
        <f>(IF((B10-B9)&lt;0,"0",(B10-B9)))*10</f>
        <v>0</v>
      </c>
      <c r="D10" s="3"/>
      <c r="E10" s="40">
        <f t="shared" si="0"/>
        <v>0</v>
      </c>
      <c r="F10" s="3"/>
      <c r="G10" s="40">
        <f t="shared" si="3"/>
        <v>0</v>
      </c>
      <c r="H10" s="3"/>
      <c r="I10" s="45">
        <f t="shared" si="4"/>
        <v>0</v>
      </c>
      <c r="J10" s="20">
        <f t="shared" si="1"/>
        <v>0</v>
      </c>
      <c r="K10" s="21">
        <f t="shared" si="2"/>
        <v>0</v>
      </c>
    </row>
    <row r="11" spans="1:14" ht="16.5" thickBot="1" x14ac:dyDescent="0.3">
      <c r="A11" s="9">
        <v>44629</v>
      </c>
      <c r="B11" s="3"/>
      <c r="C11" s="40">
        <f t="shared" si="5"/>
        <v>0</v>
      </c>
      <c r="D11" s="3"/>
      <c r="E11" s="40">
        <f t="shared" si="0"/>
        <v>0</v>
      </c>
      <c r="F11" s="3"/>
      <c r="G11" s="40">
        <f t="shared" si="3"/>
        <v>0</v>
      </c>
      <c r="H11" s="3"/>
      <c r="I11" s="45">
        <f t="shared" si="4"/>
        <v>0</v>
      </c>
      <c r="J11" s="20">
        <f t="shared" si="1"/>
        <v>0</v>
      </c>
      <c r="K11" s="21">
        <f t="shared" si="2"/>
        <v>0</v>
      </c>
      <c r="N11" t="s">
        <v>12</v>
      </c>
    </row>
    <row r="12" spans="1:14" ht="16.5" thickBot="1" x14ac:dyDescent="0.3">
      <c r="A12" s="9">
        <v>44630</v>
      </c>
      <c r="B12" s="3"/>
      <c r="C12" s="40">
        <f t="shared" si="5"/>
        <v>0</v>
      </c>
      <c r="D12" s="3"/>
      <c r="E12" s="40">
        <f t="shared" si="0"/>
        <v>0</v>
      </c>
      <c r="F12" s="3"/>
      <c r="G12" s="40">
        <f t="shared" si="3"/>
        <v>0</v>
      </c>
      <c r="H12" s="3"/>
      <c r="I12" s="45">
        <f t="shared" si="4"/>
        <v>0</v>
      </c>
      <c r="J12" s="20">
        <f t="shared" si="1"/>
        <v>0</v>
      </c>
      <c r="K12" s="21">
        <f t="shared" si="2"/>
        <v>0</v>
      </c>
    </row>
    <row r="13" spans="1:14" ht="16.5" thickBot="1" x14ac:dyDescent="0.3">
      <c r="A13" s="9">
        <v>44631</v>
      </c>
      <c r="B13" s="3"/>
      <c r="C13" s="40">
        <f t="shared" si="5"/>
        <v>0</v>
      </c>
      <c r="D13" s="3"/>
      <c r="E13" s="40">
        <f t="shared" si="0"/>
        <v>0</v>
      </c>
      <c r="F13" s="3"/>
      <c r="G13" s="40">
        <f t="shared" si="3"/>
        <v>0</v>
      </c>
      <c r="H13" s="3"/>
      <c r="I13" s="45">
        <f t="shared" si="4"/>
        <v>0</v>
      </c>
      <c r="J13" s="20">
        <f t="shared" si="1"/>
        <v>0</v>
      </c>
      <c r="K13" s="21">
        <f t="shared" si="2"/>
        <v>0</v>
      </c>
    </row>
    <row r="14" spans="1:14" ht="16.5" thickBot="1" x14ac:dyDescent="0.3">
      <c r="A14" s="9">
        <v>44632</v>
      </c>
      <c r="B14" s="3"/>
      <c r="C14" s="40">
        <f t="shared" si="5"/>
        <v>0</v>
      </c>
      <c r="D14" s="3"/>
      <c r="E14" s="40">
        <f t="shared" si="0"/>
        <v>0</v>
      </c>
      <c r="F14" s="3"/>
      <c r="G14" s="40">
        <f t="shared" si="3"/>
        <v>0</v>
      </c>
      <c r="H14" s="3"/>
      <c r="I14" s="45">
        <f t="shared" si="4"/>
        <v>0</v>
      </c>
      <c r="J14" s="20">
        <f t="shared" si="1"/>
        <v>0</v>
      </c>
      <c r="K14" s="21">
        <f t="shared" si="2"/>
        <v>0</v>
      </c>
    </row>
    <row r="15" spans="1:14" ht="16.5" thickBot="1" x14ac:dyDescent="0.3">
      <c r="A15" s="9">
        <v>44633</v>
      </c>
      <c r="B15" s="3"/>
      <c r="C15" s="40">
        <f t="shared" si="5"/>
        <v>0</v>
      </c>
      <c r="D15" s="3"/>
      <c r="E15" s="40">
        <f t="shared" si="0"/>
        <v>0</v>
      </c>
      <c r="F15" s="3"/>
      <c r="G15" s="40">
        <f t="shared" si="3"/>
        <v>0</v>
      </c>
      <c r="H15" s="3"/>
      <c r="I15" s="45">
        <f t="shared" si="4"/>
        <v>0</v>
      </c>
      <c r="J15" s="20">
        <f t="shared" si="1"/>
        <v>0</v>
      </c>
      <c r="K15" s="21">
        <f t="shared" si="2"/>
        <v>0</v>
      </c>
    </row>
    <row r="16" spans="1:14" ht="16.5" thickBot="1" x14ac:dyDescent="0.3">
      <c r="A16" s="9">
        <v>44634</v>
      </c>
      <c r="B16" s="3"/>
      <c r="C16" s="40">
        <f t="shared" si="5"/>
        <v>0</v>
      </c>
      <c r="D16" s="3"/>
      <c r="E16" s="40">
        <f t="shared" si="0"/>
        <v>0</v>
      </c>
      <c r="F16" s="3"/>
      <c r="G16" s="40">
        <f t="shared" si="3"/>
        <v>0</v>
      </c>
      <c r="H16" s="3"/>
      <c r="I16" s="45">
        <f t="shared" si="4"/>
        <v>0</v>
      </c>
      <c r="J16" s="20">
        <f t="shared" si="1"/>
        <v>0</v>
      </c>
      <c r="K16" s="21">
        <f t="shared" si="2"/>
        <v>0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5480</v>
      </c>
      <c r="D31" s="3"/>
      <c r="E31" s="57">
        <f>SUM(E4:E30)</f>
        <v>2790</v>
      </c>
      <c r="F31" s="3"/>
      <c r="G31" s="57">
        <f>SUM(G4:G30)</f>
        <v>2146.5</v>
      </c>
      <c r="H31" s="3"/>
      <c r="I31" s="57">
        <f>SUM(I4:I30)</f>
        <v>23.517000000000003</v>
      </c>
      <c r="J31" s="57">
        <f>SUM(J4:J30)</f>
        <v>10440.017</v>
      </c>
      <c r="K31" s="57">
        <f>SUM(K4:K30)</f>
        <v>61178.499620000002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C34" sqref="C34:C35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/>
      <c r="C10" s="46" t="str">
        <f t="shared" si="0"/>
        <v>0</v>
      </c>
    </row>
    <row r="11" spans="1:9" ht="24" thickBot="1" x14ac:dyDescent="0.4">
      <c r="A11" s="9">
        <v>44629</v>
      </c>
      <c r="B11" s="134"/>
      <c r="C11" s="46">
        <f>IF((B11-B10)&lt;0,"0",(B11-B10))</f>
        <v>0</v>
      </c>
    </row>
    <row r="12" spans="1:9" ht="24" thickBot="1" x14ac:dyDescent="0.4">
      <c r="A12" s="9">
        <v>44630</v>
      </c>
      <c r="B12" s="134"/>
      <c r="C12" s="46">
        <f t="shared" si="0"/>
        <v>0</v>
      </c>
    </row>
    <row r="13" spans="1:9" ht="24" thickBot="1" x14ac:dyDescent="0.4">
      <c r="A13" s="9">
        <v>44631</v>
      </c>
      <c r="B13" s="134"/>
      <c r="C13" s="46">
        <f t="shared" si="0"/>
        <v>0</v>
      </c>
    </row>
    <row r="14" spans="1:9" ht="24" thickBot="1" x14ac:dyDescent="0.4">
      <c r="A14" s="9">
        <v>44632</v>
      </c>
      <c r="B14" s="134"/>
      <c r="C14" s="46">
        <f t="shared" si="0"/>
        <v>0</v>
      </c>
    </row>
    <row r="15" spans="1:9" ht="24" thickBot="1" x14ac:dyDescent="0.4">
      <c r="A15" s="9">
        <v>44633</v>
      </c>
      <c r="B15" s="134"/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44634</v>
      </c>
      <c r="B16" s="134"/>
      <c r="C16" s="46">
        <f t="shared" si="0"/>
        <v>0</v>
      </c>
      <c r="F16" s="157"/>
    </row>
    <row r="17" spans="1:9" ht="25.5" customHeight="1" thickBot="1" x14ac:dyDescent="0.4">
      <c r="A17" s="9">
        <v>44635</v>
      </c>
      <c r="B17" s="134"/>
      <c r="C17" s="46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15311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opLeftCell="N1" zoomScaleNormal="100" workbookViewId="0">
      <pane ySplit="1" topLeftCell="A2" activePane="bottomLeft" state="frozen"/>
      <selection pane="bottomLeft" activeCell="X17" sqref="X17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/>
      <c r="C10" s="45" t="str">
        <f t="shared" si="21"/>
        <v>0</v>
      </c>
      <c r="D10" s="29">
        <f t="shared" si="22"/>
        <v>0</v>
      </c>
      <c r="E10" s="1"/>
      <c r="F10" s="45" t="str">
        <f t="shared" si="23"/>
        <v>0</v>
      </c>
      <c r="G10" s="29">
        <f t="shared" si="24"/>
        <v>0</v>
      </c>
      <c r="H10" s="1"/>
      <c r="I10" s="45" t="str">
        <f t="shared" si="25"/>
        <v>0</v>
      </c>
      <c r="J10" s="29">
        <f t="shared" si="26"/>
        <v>0</v>
      </c>
      <c r="K10" s="7"/>
      <c r="L10" s="45" t="str">
        <f t="shared" si="27"/>
        <v>0</v>
      </c>
      <c r="M10" s="29">
        <f t="shared" si="28"/>
        <v>0</v>
      </c>
      <c r="N10" s="7"/>
      <c r="O10" s="45" t="str">
        <f>IF((N10-N9)&lt;0,"0",(N10-N9))</f>
        <v>0</v>
      </c>
      <c r="P10" s="29">
        <f t="shared" si="30"/>
        <v>0</v>
      </c>
      <c r="Q10" s="7"/>
      <c r="R10" s="45" t="str">
        <f t="shared" si="31"/>
        <v>0</v>
      </c>
      <c r="S10" s="29">
        <f t="shared" si="32"/>
        <v>0</v>
      </c>
      <c r="T10" s="8">
        <f t="shared" si="34"/>
        <v>0</v>
      </c>
      <c r="U10" s="31">
        <f t="shared" si="33"/>
        <v>0</v>
      </c>
      <c r="W10" s="158">
        <v>44628</v>
      </c>
      <c r="X10" s="159"/>
      <c r="Y10" s="164" t="str">
        <f t="shared" si="20"/>
        <v>0</v>
      </c>
      <c r="Z10" s="159"/>
      <c r="AA10" s="164" t="str">
        <f t="shared" si="20"/>
        <v>0</v>
      </c>
      <c r="AB10" s="159"/>
      <c r="AC10" s="164" t="str">
        <f t="shared" si="20"/>
        <v>0</v>
      </c>
      <c r="AD10" s="159"/>
      <c r="AE10" s="164" t="str">
        <f t="shared" si="20"/>
        <v>0</v>
      </c>
      <c r="AF10" s="159"/>
      <c r="AG10" s="164" t="str">
        <f t="shared" si="20"/>
        <v>0</v>
      </c>
    </row>
    <row r="11" spans="1:33" ht="16.5" thickBot="1" x14ac:dyDescent="0.25">
      <c r="A11" s="9">
        <v>44629</v>
      </c>
      <c r="B11" s="161"/>
      <c r="C11" s="45">
        <f t="shared" si="21"/>
        <v>0</v>
      </c>
      <c r="D11" s="29">
        <f t="shared" si="22"/>
        <v>0</v>
      </c>
      <c r="E11" s="1"/>
      <c r="F11" s="45">
        <f t="shared" si="23"/>
        <v>0</v>
      </c>
      <c r="G11" s="29">
        <f t="shared" si="24"/>
        <v>0</v>
      </c>
      <c r="H11" s="1"/>
      <c r="I11" s="45">
        <f t="shared" si="25"/>
        <v>0</v>
      </c>
      <c r="J11" s="29">
        <f t="shared" si="26"/>
        <v>0</v>
      </c>
      <c r="K11" s="7"/>
      <c r="L11" s="45">
        <f t="shared" si="27"/>
        <v>0</v>
      </c>
      <c r="M11" s="29">
        <f t="shared" si="28"/>
        <v>0</v>
      </c>
      <c r="N11" s="7"/>
      <c r="O11" s="45">
        <f t="shared" si="29"/>
        <v>0</v>
      </c>
      <c r="P11" s="29">
        <f t="shared" si="30"/>
        <v>0</v>
      </c>
      <c r="Q11" s="7"/>
      <c r="R11" s="45">
        <f t="shared" si="31"/>
        <v>0</v>
      </c>
      <c r="S11" s="29">
        <f t="shared" si="32"/>
        <v>0</v>
      </c>
      <c r="T11" s="8">
        <f t="shared" si="34"/>
        <v>0</v>
      </c>
      <c r="U11" s="31">
        <f t="shared" si="33"/>
        <v>0</v>
      </c>
      <c r="W11" s="158">
        <v>44629</v>
      </c>
      <c r="X11" s="159"/>
      <c r="Y11" s="164">
        <f t="shared" si="20"/>
        <v>0</v>
      </c>
      <c r="Z11" s="159"/>
      <c r="AA11" s="164">
        <f t="shared" si="20"/>
        <v>0</v>
      </c>
      <c r="AB11" s="159"/>
      <c r="AC11" s="164">
        <f t="shared" si="20"/>
        <v>0</v>
      </c>
      <c r="AD11" s="159"/>
      <c r="AE11" s="164">
        <f t="shared" si="20"/>
        <v>0</v>
      </c>
      <c r="AF11" s="159"/>
      <c r="AG11" s="164">
        <f t="shared" si="20"/>
        <v>0</v>
      </c>
    </row>
    <row r="12" spans="1:33" ht="16.5" thickBot="1" x14ac:dyDescent="0.25">
      <c r="A12" s="9">
        <v>44630</v>
      </c>
      <c r="B12" s="161"/>
      <c r="C12" s="45">
        <f t="shared" si="21"/>
        <v>0</v>
      </c>
      <c r="D12" s="29">
        <f t="shared" si="22"/>
        <v>0</v>
      </c>
      <c r="E12" s="1"/>
      <c r="F12" s="45">
        <f t="shared" si="23"/>
        <v>0</v>
      </c>
      <c r="G12" s="29">
        <f t="shared" si="24"/>
        <v>0</v>
      </c>
      <c r="H12" s="1"/>
      <c r="I12" s="45">
        <f t="shared" si="25"/>
        <v>0</v>
      </c>
      <c r="J12" s="29">
        <f t="shared" si="26"/>
        <v>0</v>
      </c>
      <c r="K12" s="7"/>
      <c r="L12" s="45">
        <f t="shared" si="27"/>
        <v>0</v>
      </c>
      <c r="M12" s="29">
        <f t="shared" si="28"/>
        <v>0</v>
      </c>
      <c r="N12" s="7"/>
      <c r="O12" s="45">
        <f t="shared" si="29"/>
        <v>0</v>
      </c>
      <c r="P12" s="29">
        <f t="shared" si="30"/>
        <v>0</v>
      </c>
      <c r="Q12" s="7"/>
      <c r="R12" s="45">
        <f t="shared" si="31"/>
        <v>0</v>
      </c>
      <c r="S12" s="29">
        <f t="shared" si="32"/>
        <v>0</v>
      </c>
      <c r="T12" s="8">
        <f t="shared" si="34"/>
        <v>0</v>
      </c>
      <c r="U12" s="31">
        <f t="shared" si="33"/>
        <v>0</v>
      </c>
      <c r="W12" s="158">
        <v>44630</v>
      </c>
      <c r="X12" s="159"/>
      <c r="Y12" s="164">
        <f t="shared" si="20"/>
        <v>0</v>
      </c>
      <c r="Z12" s="159"/>
      <c r="AA12" s="164">
        <f t="shared" si="20"/>
        <v>0</v>
      </c>
      <c r="AB12" s="159"/>
      <c r="AC12" s="164">
        <f t="shared" si="20"/>
        <v>0</v>
      </c>
      <c r="AD12" s="159"/>
      <c r="AE12" s="164">
        <f t="shared" si="20"/>
        <v>0</v>
      </c>
      <c r="AF12" s="159"/>
      <c r="AG12" s="164">
        <f t="shared" si="20"/>
        <v>0</v>
      </c>
    </row>
    <row r="13" spans="1:33" ht="16.5" thickBot="1" x14ac:dyDescent="0.25">
      <c r="A13" s="9">
        <v>44631</v>
      </c>
      <c r="B13" s="161"/>
      <c r="C13" s="45">
        <f t="shared" si="21"/>
        <v>0</v>
      </c>
      <c r="D13" s="29">
        <f t="shared" si="22"/>
        <v>0</v>
      </c>
      <c r="E13" s="1"/>
      <c r="F13" s="45">
        <f t="shared" si="23"/>
        <v>0</v>
      </c>
      <c r="G13" s="29">
        <f t="shared" si="24"/>
        <v>0</v>
      </c>
      <c r="H13" s="1"/>
      <c r="I13" s="45">
        <f t="shared" si="25"/>
        <v>0</v>
      </c>
      <c r="J13" s="29">
        <f t="shared" si="26"/>
        <v>0</v>
      </c>
      <c r="K13" s="7"/>
      <c r="L13" s="45">
        <f t="shared" si="27"/>
        <v>0</v>
      </c>
      <c r="M13" s="29">
        <f t="shared" si="28"/>
        <v>0</v>
      </c>
      <c r="N13" s="7"/>
      <c r="O13" s="45">
        <f t="shared" si="29"/>
        <v>0</v>
      </c>
      <c r="P13" s="29">
        <f t="shared" si="30"/>
        <v>0</v>
      </c>
      <c r="Q13" s="7"/>
      <c r="R13" s="45">
        <f t="shared" si="31"/>
        <v>0</v>
      </c>
      <c r="S13" s="29">
        <f t="shared" si="32"/>
        <v>0</v>
      </c>
      <c r="T13" s="8">
        <f t="shared" si="34"/>
        <v>0</v>
      </c>
      <c r="U13" s="31">
        <f t="shared" si="33"/>
        <v>0</v>
      </c>
      <c r="W13" s="158">
        <v>44631</v>
      </c>
      <c r="X13" s="159"/>
      <c r="Y13" s="164">
        <f t="shared" si="20"/>
        <v>0</v>
      </c>
      <c r="Z13" s="159"/>
      <c r="AA13" s="164">
        <f t="shared" si="20"/>
        <v>0</v>
      </c>
      <c r="AB13" s="159"/>
      <c r="AC13" s="164">
        <f t="shared" si="20"/>
        <v>0</v>
      </c>
      <c r="AD13" s="159"/>
      <c r="AE13" s="164">
        <f t="shared" si="20"/>
        <v>0</v>
      </c>
      <c r="AF13" s="159"/>
      <c r="AG13" s="164">
        <f t="shared" si="20"/>
        <v>0</v>
      </c>
    </row>
    <row r="14" spans="1:33" ht="16.5" thickBot="1" x14ac:dyDescent="0.25">
      <c r="A14" s="9">
        <v>44632</v>
      </c>
      <c r="B14" s="161"/>
      <c r="C14" s="45">
        <f t="shared" si="21"/>
        <v>0</v>
      </c>
      <c r="D14" s="29">
        <f t="shared" si="22"/>
        <v>0</v>
      </c>
      <c r="E14" s="1"/>
      <c r="F14" s="45">
        <f t="shared" si="23"/>
        <v>0</v>
      </c>
      <c r="G14" s="29">
        <f t="shared" si="24"/>
        <v>0</v>
      </c>
      <c r="H14" s="1"/>
      <c r="I14" s="45">
        <f t="shared" si="25"/>
        <v>0</v>
      </c>
      <c r="J14" s="29">
        <f t="shared" si="26"/>
        <v>0</v>
      </c>
      <c r="K14" s="7"/>
      <c r="L14" s="45">
        <f t="shared" si="27"/>
        <v>0</v>
      </c>
      <c r="M14" s="29">
        <f t="shared" si="28"/>
        <v>0</v>
      </c>
      <c r="N14" s="7"/>
      <c r="O14" s="45">
        <f>IF((N14-N13)&lt;0,"0",(N14-N13))</f>
        <v>0</v>
      </c>
      <c r="P14" s="29">
        <f t="shared" si="30"/>
        <v>0</v>
      </c>
      <c r="Q14" s="7"/>
      <c r="R14" s="45">
        <f t="shared" si="31"/>
        <v>0</v>
      </c>
      <c r="S14" s="29">
        <f t="shared" si="32"/>
        <v>0</v>
      </c>
      <c r="T14" s="8">
        <f t="shared" si="34"/>
        <v>0</v>
      </c>
      <c r="U14" s="31">
        <f t="shared" si="33"/>
        <v>0</v>
      </c>
      <c r="W14" s="158">
        <v>44632</v>
      </c>
      <c r="X14" s="159"/>
      <c r="Y14" s="164">
        <f t="shared" si="20"/>
        <v>0</v>
      </c>
      <c r="Z14" s="159"/>
      <c r="AA14" s="164">
        <f t="shared" si="20"/>
        <v>0</v>
      </c>
      <c r="AB14" s="159"/>
      <c r="AC14" s="164">
        <f t="shared" si="20"/>
        <v>0</v>
      </c>
      <c r="AD14" s="159"/>
      <c r="AE14" s="164">
        <f t="shared" si="20"/>
        <v>0</v>
      </c>
      <c r="AF14" s="159"/>
      <c r="AG14" s="164">
        <f t="shared" si="20"/>
        <v>0</v>
      </c>
    </row>
    <row r="15" spans="1:33" ht="16.5" thickBot="1" x14ac:dyDescent="0.25">
      <c r="A15" s="9">
        <v>44633</v>
      </c>
      <c r="B15" s="161"/>
      <c r="C15" s="45">
        <f t="shared" ref="C15" si="35">IF((B15-B14)&lt;0,"0",(B15-B14))</f>
        <v>0</v>
      </c>
      <c r="D15" s="29">
        <f t="shared" ref="D15" si="36">C15*1.9*1000</f>
        <v>0</v>
      </c>
      <c r="E15" s="1"/>
      <c r="F15" s="45">
        <f t="shared" ref="F15" si="37">IF((E15-E14)&lt;0,"0",(E15-E14))</f>
        <v>0</v>
      </c>
      <c r="G15" s="29">
        <f t="shared" ref="G15" si="38">F15*1.9*1000</f>
        <v>0</v>
      </c>
      <c r="H15" s="1"/>
      <c r="I15" s="45">
        <f t="shared" ref="I15" si="39">IF((H15-H14)&lt;0,"0",(H15-H14))</f>
        <v>0</v>
      </c>
      <c r="J15" s="29">
        <f t="shared" ref="J15" si="40">I15*1.9*1000</f>
        <v>0</v>
      </c>
      <c r="K15" s="7"/>
      <c r="L15" s="45">
        <f t="shared" ref="L15" si="41">IF((K15-K14)&lt;0,"0",(K15-K14))</f>
        <v>0</v>
      </c>
      <c r="M15" s="29">
        <f t="shared" ref="M15" si="42">L15*1.9*1000</f>
        <v>0</v>
      </c>
      <c r="N15" s="7"/>
      <c r="O15" s="45">
        <f>IF((N15-N14)&lt;0,"0",(N15-N14))</f>
        <v>0</v>
      </c>
      <c r="P15" s="29">
        <f t="shared" ref="P15" si="43">O15*1.9*1000</f>
        <v>0</v>
      </c>
      <c r="Q15" s="7"/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0</v>
      </c>
      <c r="U15" s="31">
        <f t="shared" ref="U15" si="47">T15*1.9*1000</f>
        <v>0</v>
      </c>
      <c r="W15" s="158">
        <v>44633</v>
      </c>
      <c r="X15" s="159"/>
      <c r="Y15" s="164">
        <f t="shared" si="20"/>
        <v>0</v>
      </c>
      <c r="Z15" s="159"/>
      <c r="AA15" s="164">
        <f t="shared" si="20"/>
        <v>0</v>
      </c>
      <c r="AB15" s="159"/>
      <c r="AC15" s="164">
        <f t="shared" si="20"/>
        <v>0</v>
      </c>
      <c r="AD15" s="159"/>
      <c r="AE15" s="164">
        <f t="shared" si="20"/>
        <v>0</v>
      </c>
      <c r="AF15" s="159"/>
      <c r="AG15" s="164">
        <f t="shared" si="20"/>
        <v>0</v>
      </c>
    </row>
    <row r="16" spans="1:33" ht="16.5" thickBot="1" x14ac:dyDescent="0.25">
      <c r="A16" s="9">
        <v>44634</v>
      </c>
      <c r="B16" s="161"/>
      <c r="C16" s="45">
        <f t="shared" si="21"/>
        <v>0</v>
      </c>
      <c r="D16" s="29">
        <f t="shared" si="22"/>
        <v>0</v>
      </c>
      <c r="E16" s="1"/>
      <c r="F16" s="45">
        <f t="shared" si="23"/>
        <v>0</v>
      </c>
      <c r="G16" s="29">
        <f t="shared" si="24"/>
        <v>0</v>
      </c>
      <c r="H16" s="1"/>
      <c r="I16" s="45">
        <f t="shared" si="25"/>
        <v>0</v>
      </c>
      <c r="J16" s="29">
        <f t="shared" si="26"/>
        <v>0</v>
      </c>
      <c r="K16" s="7"/>
      <c r="L16" s="45">
        <f t="shared" si="27"/>
        <v>0</v>
      </c>
      <c r="M16" s="29">
        <f t="shared" si="28"/>
        <v>0</v>
      </c>
      <c r="N16" s="7"/>
      <c r="O16" s="45">
        <f t="shared" si="29"/>
        <v>0</v>
      </c>
      <c r="P16" s="29">
        <f t="shared" si="30"/>
        <v>0</v>
      </c>
      <c r="Q16" s="7"/>
      <c r="R16" s="45">
        <f t="shared" si="31"/>
        <v>0</v>
      </c>
      <c r="S16" s="29">
        <f t="shared" si="32"/>
        <v>0</v>
      </c>
      <c r="T16" s="8">
        <f t="shared" si="34"/>
        <v>0</v>
      </c>
      <c r="U16" s="31">
        <f t="shared" si="33"/>
        <v>0</v>
      </c>
      <c r="W16" s="158">
        <v>44634</v>
      </c>
      <c r="X16" s="159"/>
      <c r="Y16" s="164">
        <f t="shared" si="20"/>
        <v>0</v>
      </c>
      <c r="Z16" s="159"/>
      <c r="AA16" s="164">
        <f t="shared" si="20"/>
        <v>0</v>
      </c>
      <c r="AB16" s="159"/>
      <c r="AC16" s="164">
        <f t="shared" si="20"/>
        <v>0</v>
      </c>
      <c r="AD16" s="159"/>
      <c r="AE16" s="164">
        <f t="shared" si="20"/>
        <v>0</v>
      </c>
      <c r="AF16" s="159"/>
      <c r="AG16" s="164">
        <f t="shared" si="20"/>
        <v>0</v>
      </c>
    </row>
    <row r="17" spans="1:33" ht="16.5" thickBot="1" x14ac:dyDescent="0.25">
      <c r="A17" s="9">
        <v>44635</v>
      </c>
      <c r="B17" s="161"/>
      <c r="C17" s="45">
        <f t="shared" si="21"/>
        <v>0</v>
      </c>
      <c r="D17" s="29">
        <f t="shared" si="22"/>
        <v>0</v>
      </c>
      <c r="E17" s="1"/>
      <c r="F17" s="45">
        <f t="shared" si="23"/>
        <v>0</v>
      </c>
      <c r="G17" s="29">
        <f t="shared" si="24"/>
        <v>0</v>
      </c>
      <c r="H17" s="1"/>
      <c r="I17" s="45">
        <f t="shared" si="25"/>
        <v>0</v>
      </c>
      <c r="J17" s="29">
        <f t="shared" si="26"/>
        <v>0</v>
      </c>
      <c r="K17" s="7"/>
      <c r="L17" s="45">
        <f t="shared" si="27"/>
        <v>0</v>
      </c>
      <c r="M17" s="29">
        <f t="shared" si="28"/>
        <v>0</v>
      </c>
      <c r="N17" s="7"/>
      <c r="O17" s="45">
        <f t="shared" si="29"/>
        <v>0</v>
      </c>
      <c r="P17" s="29">
        <f t="shared" si="30"/>
        <v>0</v>
      </c>
      <c r="Q17" s="7"/>
      <c r="R17" s="45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>
        <f t="shared" si="20"/>
        <v>0</v>
      </c>
      <c r="Z17" s="159"/>
      <c r="AA17" s="164">
        <f t="shared" si="20"/>
        <v>0</v>
      </c>
      <c r="AB17" s="159"/>
      <c r="AC17" s="164">
        <f t="shared" si="20"/>
        <v>0</v>
      </c>
      <c r="AD17" s="159"/>
      <c r="AE17" s="164">
        <f t="shared" si="20"/>
        <v>0</v>
      </c>
      <c r="AF17" s="159"/>
      <c r="AG17" s="164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24.541000000001077</v>
      </c>
      <c r="D31" s="138">
        <f>SUM(D3:D30)</f>
        <v>46627.900000002046</v>
      </c>
      <c r="E31" s="138"/>
      <c r="F31" s="45">
        <f>SUM(F2:F30)</f>
        <v>6.2049999999999272</v>
      </c>
      <c r="G31" s="138">
        <f>SUM(G3:G30)</f>
        <v>11789.499999999862</v>
      </c>
      <c r="H31" s="138"/>
      <c r="I31" s="45">
        <f>SUM(I2:I30)</f>
        <v>36</v>
      </c>
      <c r="J31" s="138">
        <f>SUM(J3:J30)</f>
        <v>68400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8.3170000000000073</v>
      </c>
      <c r="P31" s="138">
        <f>SUM(P3:P30)</f>
        <v>15802.300000000014</v>
      </c>
      <c r="Q31" s="138"/>
      <c r="R31" s="45">
        <f>SUM(R3:R30)</f>
        <v>1.2700000000004366</v>
      </c>
      <c r="S31" s="138">
        <f>SUM(S3:S30)</f>
        <v>2413.0000000008295</v>
      </c>
      <c r="T31" s="138">
        <f>SUM(T3:T30)</f>
        <v>76.333000000001448</v>
      </c>
      <c r="U31" s="138">
        <f>SUM(U3:U30)</f>
        <v>145032.70000000275</v>
      </c>
      <c r="V31"/>
      <c r="W31" s="138" t="s">
        <v>141</v>
      </c>
      <c r="X31" s="138"/>
      <c r="Y31" s="138">
        <f>SUM(Y2:Y30)</f>
        <v>165408</v>
      </c>
      <c r="Z31" s="138"/>
      <c r="AA31" s="138">
        <f>SUM(AA2:AA30)</f>
        <v>8593</v>
      </c>
      <c r="AB31" s="138"/>
      <c r="AC31" s="138">
        <f>SUM(AC2:AC30)</f>
        <v>2.8999999999999986</v>
      </c>
      <c r="AD31" s="138"/>
      <c r="AE31" s="138">
        <f>SUM(AE2:AE30)</f>
        <v>24</v>
      </c>
      <c r="AF31" s="138">
        <v>0</v>
      </c>
      <c r="AG31" s="138">
        <f>SUM(AG2:AG30)</f>
        <v>76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-16104486</v>
      </c>
      <c r="D7" s="106">
        <f t="shared" si="0"/>
        <v>-20452697.219999999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8122</v>
      </c>
      <c r="D8" s="106">
        <f t="shared" si="0"/>
        <v>10314.94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2717</v>
      </c>
      <c r="D9" s="106">
        <f t="shared" si="0"/>
        <v>3450.59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3360</v>
      </c>
      <c r="D10" s="106">
        <f t="shared" si="0"/>
        <v>4267.2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143562</v>
      </c>
      <c r="D11" s="106">
        <f t="shared" si="0"/>
        <v>182323.74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3953</v>
      </c>
      <c r="K16" s="95">
        <f>(J16-I16)*160</f>
        <v>2080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303517</v>
      </c>
      <c r="K17" s="95">
        <f>(J17-I17)*160</f>
        <v>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25919</v>
      </c>
      <c r="K18" s="95">
        <f>(J18-I18)*160</f>
        <v>3360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0</v>
      </c>
      <c r="J19" s="118">
        <f>'Mall, Citadel, Rotana'!P30</f>
        <v>143562</v>
      </c>
      <c r="K19" s="95">
        <f>J19-I19</f>
        <v>143562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46728</v>
      </c>
      <c r="K21" s="95">
        <f>(J21-I21)*120</f>
        <v>3840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40367</v>
      </c>
      <c r="K22" s="95">
        <f>(J22-I22)*160</f>
        <v>3680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21400</v>
      </c>
      <c r="K23" s="95">
        <f>(J23-I23)*20</f>
        <v>500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254089</v>
      </c>
      <c r="K24" s="95">
        <f>J24-I24</f>
        <v>102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225763</v>
      </c>
      <c r="K25" s="95">
        <f>J25-I25</f>
        <v>637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84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84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92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92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85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85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84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84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92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92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85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85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84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84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5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85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84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84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5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85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84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84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92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92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85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85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84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84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92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92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85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85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84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84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92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92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85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85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84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84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92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92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85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85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84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84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92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92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85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85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84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84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92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85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5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84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84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92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92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85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85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84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84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92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92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85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85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84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84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92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92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85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5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4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84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92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92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85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85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4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84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92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84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84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92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92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84">
        <v>23</v>
      </c>
      <c r="D49" s="62" t="s">
        <v>83</v>
      </c>
      <c r="E49" s="63"/>
      <c r="F49" s="63"/>
      <c r="G49" s="64">
        <f t="shared" si="2"/>
        <v>0</v>
      </c>
      <c r="H49" s="65"/>
      <c r="J49" s="184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63"/>
      <c r="F50" s="63"/>
      <c r="G50" s="64">
        <f t="shared" si="2"/>
        <v>0</v>
      </c>
      <c r="H50" s="65"/>
      <c r="J50" s="192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93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94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94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95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84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84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5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85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4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84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85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85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84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84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85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85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4">
        <v>28</v>
      </c>
      <c r="D62" s="179" t="s">
        <v>86</v>
      </c>
      <c r="E62" s="63"/>
      <c r="F62" s="63"/>
      <c r="G62" s="64"/>
      <c r="H62" s="181" t="s">
        <v>87</v>
      </c>
      <c r="I62" s="68"/>
      <c r="J62" s="184">
        <v>28</v>
      </c>
      <c r="K62" s="179" t="s">
        <v>86</v>
      </c>
      <c r="L62" s="63"/>
      <c r="M62" s="63"/>
      <c r="N62" s="64"/>
      <c r="O62" s="181" t="s">
        <v>87</v>
      </c>
    </row>
    <row r="63" spans="1:15" ht="15" x14ac:dyDescent="0.2">
      <c r="A63" s="68"/>
      <c r="B63" s="58"/>
      <c r="C63" s="185"/>
      <c r="D63" s="180"/>
      <c r="E63" s="63"/>
      <c r="F63" s="63"/>
      <c r="G63" s="64"/>
      <c r="H63" s="182"/>
      <c r="I63" s="68"/>
      <c r="J63" s="185"/>
      <c r="K63" s="180"/>
      <c r="L63" s="63"/>
      <c r="M63" s="63"/>
      <c r="N63" s="64"/>
      <c r="O63" s="182"/>
    </row>
    <row r="64" spans="1:15" x14ac:dyDescent="0.2">
      <c r="A64" s="68"/>
      <c r="B64" s="58"/>
      <c r="C64" s="183" t="s">
        <v>88</v>
      </c>
      <c r="D64" s="183"/>
      <c r="E64" s="183"/>
      <c r="F64" s="183"/>
      <c r="G64" s="82">
        <f>SUM(G2:G63)</f>
        <v>43022</v>
      </c>
      <c r="H64" s="83"/>
      <c r="I64" s="68"/>
      <c r="J64" s="183" t="s">
        <v>88</v>
      </c>
      <c r="K64" s="183"/>
      <c r="L64" s="183"/>
      <c r="M64" s="183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6">
        <v>44562</v>
      </c>
      <c r="C69" s="187"/>
      <c r="D69" s="187"/>
      <c r="E69" s="188"/>
      <c r="F69" s="86"/>
      <c r="G69" s="189">
        <v>44593</v>
      </c>
      <c r="H69" s="190"/>
      <c r="I69" s="190"/>
      <c r="J69" s="191"/>
      <c r="K69" s="86"/>
      <c r="L69" s="176" t="s">
        <v>25</v>
      </c>
      <c r="M69" s="177"/>
      <c r="N69" s="177"/>
      <c r="O69" s="178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2022-03-08T00:14:45Z</dcterms:modified>
</cp:coreProperties>
</file>