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2" documentId="8_{8CD2F458-AFFE-4F38-B1FD-9546D786C9AC}" xr6:coauthVersionLast="47" xr6:coauthVersionMax="47" xr10:uidLastSave="{6B8B9929-8893-41CB-83B9-674CF97D5593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2" l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F41" i="36" s="1"/>
  <c r="F42" i="36" s="1"/>
  <c r="E49" i="36" s="1"/>
  <c r="F30" i="36"/>
  <c r="H30" i="36" s="1"/>
  <c r="P25" i="36" s="1"/>
  <c r="F29" i="36"/>
  <c r="F28" i="36"/>
  <c r="N27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G42" i="35"/>
  <c r="F40" i="35"/>
  <c r="D49" i="35" s="1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8" i="35"/>
  <c r="F9" i="35" s="1"/>
  <c r="F11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D22" i="14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2" i="2"/>
  <c r="G2" i="1" s="1"/>
  <c r="L2" i="2"/>
  <c r="I2" i="1" s="1"/>
  <c r="K2" i="1"/>
  <c r="J2" i="2"/>
  <c r="I2" i="2"/>
  <c r="H2" i="2"/>
  <c r="G2" i="2"/>
  <c r="F2" i="2"/>
  <c r="E2" i="2"/>
  <c r="M2" i="1"/>
  <c r="N2" i="2" s="1"/>
  <c r="F7" i="13" l="1"/>
  <c r="F8" i="13" s="1"/>
  <c r="D49" i="36"/>
  <c r="F15" i="12"/>
  <c r="F18" i="33"/>
  <c r="H25" i="36"/>
  <c r="K25" i="36" s="1"/>
  <c r="K28" i="36" s="1"/>
  <c r="F13" i="18"/>
  <c r="F15" i="32"/>
  <c r="F14" i="29"/>
  <c r="F17" i="32"/>
  <c r="F22" i="34"/>
  <c r="F10" i="21"/>
  <c r="F11" i="21" s="1"/>
  <c r="F29" i="21" s="1"/>
  <c r="F15" i="27"/>
  <c r="F17" i="30"/>
  <c r="F15" i="26"/>
  <c r="F17" i="18"/>
  <c r="F22" i="31"/>
  <c r="F41" i="35"/>
  <c r="F42" i="35" s="1"/>
  <c r="E49" i="35" s="1"/>
  <c r="H27" i="36"/>
  <c r="M25" i="36" s="1"/>
  <c r="M28" i="36" s="1"/>
  <c r="F7" i="33"/>
  <c r="F8" i="33" s="1"/>
  <c r="G8" i="33" s="1"/>
  <c r="G28" i="33" s="1"/>
  <c r="F22" i="10"/>
  <c r="D47" i="35"/>
  <c r="F20" i="35"/>
  <c r="F22" i="35"/>
  <c r="F21" i="35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F15" i="5"/>
  <c r="D16" i="5"/>
  <c r="F16" i="5" s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G8" i="27" s="1"/>
  <c r="G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F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F7" i="29"/>
  <c r="F8" i="29" s="1"/>
  <c r="F28" i="29" s="1"/>
  <c r="F29" i="34"/>
  <c r="F18" i="6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F23" i="31"/>
  <c r="G23" i="31" s="1"/>
  <c r="G31" i="31" s="1"/>
  <c r="F31" i="31"/>
  <c r="F13" i="33"/>
  <c r="F19" i="33" s="1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8" i="27" l="1"/>
  <c r="G11" i="21"/>
  <c r="G29" i="21" s="1"/>
  <c r="F19" i="25"/>
  <c r="F23" i="35"/>
  <c r="E47" i="35" s="1"/>
  <c r="F19" i="29"/>
  <c r="G11" i="22"/>
  <c r="G29" i="22" s="1"/>
  <c r="G11" i="17"/>
  <c r="G29" i="17" s="1"/>
  <c r="F19" i="18"/>
  <c r="F28" i="33"/>
  <c r="G8" i="32"/>
  <c r="G28" i="32" s="1"/>
  <c r="F23" i="27"/>
  <c r="G23" i="27" s="1"/>
  <c r="G31" i="27" s="1"/>
  <c r="G11" i="7"/>
  <c r="G29" i="7" s="1"/>
  <c r="F19" i="9"/>
  <c r="F30" i="9" s="1"/>
  <c r="F29" i="11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F19" i="21"/>
  <c r="G19" i="21" s="1"/>
  <c r="G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32" l="1"/>
  <c r="F30" i="2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E50" i="36" s="1"/>
  <c r="G19" i="8"/>
  <c r="G30" i="8" s="1"/>
  <c r="G32" i="8" s="1"/>
  <c r="F30" i="8"/>
  <c r="G19" i="5"/>
  <c r="G30" i="5" s="1"/>
  <c r="G32" i="5" s="1"/>
  <c r="F30" i="5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<sst xmlns="http://schemas.openxmlformats.org/spreadsheetml/2006/main" count="2488" uniqueCount="181">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</sst>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2"/>
  <sheetViews>
    <sheetView tabSelected="1" zoomScaleNormal="100" workbookViewId="0">
      <selection activeCell="A10" sqref="A10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7" width="11.578125" style="2"/>
    <col min="8" max="8" width="11.578125" style="4"/>
    <col min="9" max="9" width="11.578125" style="2"/>
    <col min="10" max="10" width="11.578125" style="5"/>
    <col min="11" max="11" width="11.578125" style="275"/>
    <col min="12" max="12" width="11.578125" style="5"/>
    <col min="13" max="13" width="11.578125" style="6"/>
    <col min="14" max="16384" width="11.578125" style="2"/>
  </cols>
  <sheetData>
    <row r="1" spans="1:15" s="7" customFormat="1" ht="57.9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4.7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527.25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2"/>
  <sheetViews>
    <sheetView topLeftCell="C1" zoomScaleNormal="100" workbookViewId="0">
      <selection activeCell="E8" sqref="E8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8" width="11.578125" style="2"/>
    <col min="9" max="9" width="11.578125" style="4"/>
    <col min="10" max="13" width="11.578125" style="2"/>
    <col min="14" max="14" width="11.578125" style="6"/>
    <col min="15" max="15" width="11.578125" style="2"/>
  </cols>
  <sheetData>
    <row r="1" spans="1:15" s="13" customFormat="1" ht="28.8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527.25</v>
      </c>
      <c r="N2" s="6">
        <f>Total!M2</f>
        <v>330</v>
      </c>
      <c r="O2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7" sqref="O17"/>
    </sheetView>
  </sheetViews>
  <sheetFormatPr defaultColWidth="8.578125" defaultRowHeight="14.4"/>
  <cols>
    <col min="1" max="1" width="9.15625" style="14" customWidth="1"/>
    <col min="2" max="2" width="17.26171875" style="14" customWidth="1"/>
    <col min="3" max="3" width="14.68359375" style="15" customWidth="1"/>
    <col min="4" max="4" width="8.68359375" style="14" hidden="1" customWidth="1"/>
    <col min="5" max="5" width="5.41796875" style="14" hidden="1" customWidth="1"/>
    <col min="6" max="6" width="6.578125" style="14" hidden="1" customWidth="1"/>
    <col min="7" max="7" width="6.83984375" style="14" hidden="1" customWidth="1"/>
    <col min="8" max="13" width="12.68359375" customWidth="1"/>
    <col min="14" max="14" width="17.15625" style="2" customWidth="1"/>
    <col min="15" max="15" width="10.83984375" style="2" customWidth="1"/>
  </cols>
  <sheetData>
    <row r="1" spans="1:17" ht="25.5" customHeight="1">
      <c r="A1" s="294" t="s">
        <v>180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Q1" s="16" t="s">
        <v>22</v>
      </c>
    </row>
    <row r="2" spans="1:17" s="13" customFormat="1">
      <c r="A2" s="17"/>
      <c r="B2" s="18" t="s">
        <v>23</v>
      </c>
      <c r="C2" s="295" t="s">
        <v>24</v>
      </c>
      <c r="D2" s="295"/>
      <c r="E2" s="295"/>
      <c r="F2" s="295"/>
      <c r="G2" s="295"/>
      <c r="H2" s="296" t="s">
        <v>25</v>
      </c>
      <c r="I2" s="296"/>
      <c r="J2" s="296"/>
      <c r="K2" s="296"/>
      <c r="L2" s="296"/>
      <c r="M2" s="296"/>
      <c r="N2" s="297" t="s">
        <v>26</v>
      </c>
      <c r="O2" s="298" t="s">
        <v>27</v>
      </c>
    </row>
    <row r="3" spans="1:17" s="13" customFormat="1">
      <c r="A3" s="299" t="s">
        <v>28</v>
      </c>
      <c r="B3" s="19" t="s">
        <v>29</v>
      </c>
      <c r="C3" s="20" t="s">
        <v>30</v>
      </c>
      <c r="D3" s="300" t="s">
        <v>31</v>
      </c>
      <c r="E3" s="300"/>
      <c r="F3" s="301" t="s">
        <v>32</v>
      </c>
      <c r="G3" s="301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7"/>
      <c r="O3" s="298"/>
    </row>
    <row r="4" spans="1:17" s="13" customFormat="1">
      <c r="A4" s="299"/>
      <c r="B4" s="19" t="s">
        <v>36</v>
      </c>
      <c r="C4" s="22" t="s">
        <v>37</v>
      </c>
      <c r="D4" s="302" t="s">
        <v>38</v>
      </c>
      <c r="E4" s="302"/>
      <c r="F4" s="303" t="s">
        <v>39</v>
      </c>
      <c r="G4" s="303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9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74.137142857142862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3" zoomScaleNormal="100" workbookViewId="0">
      <selection activeCell="E10" sqref="E10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94132.3</v>
      </c>
      <c r="E22" s="61">
        <f>'Daily Meter'!N6</f>
        <v>94274.8</v>
      </c>
      <c r="F22" s="85">
        <f>E22-D22</f>
        <v>142.5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527.25</v>
      </c>
      <c r="G23" s="89">
        <f>F23*2.5</f>
        <v>1318.125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142.5</v>
      </c>
      <c r="G31" s="99">
        <f>G23</f>
        <v>1318.125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15155.922179998881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 t="str">
        <f>'Daily Meter'!B14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105"/>
      <c r="D26" s="306" t="s">
        <v>75</v>
      </c>
      <c r="E26" s="306"/>
      <c r="F26" s="306"/>
      <c r="G26" s="306"/>
      <c r="H26" s="96"/>
    </row>
    <row r="27" spans="1:11" ht="20.399999999999999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74.137142857142862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5625" defaultRowHeight="14.4"/>
  <cols>
    <col min="1" max="1" width="5.578125" style="44" customWidth="1"/>
    <col min="2" max="2" width="37.578125" style="44" customWidth="1"/>
    <col min="3" max="3" width="21.578125" style="44" customWidth="1"/>
    <col min="4" max="4" width="21.15625" style="44" customWidth="1"/>
    <col min="5" max="5" width="21.578125" style="44" customWidth="1"/>
    <col min="6" max="6" width="20.83984375" style="107" customWidth="1"/>
    <col min="7" max="8" width="20" style="107" customWidth="1"/>
    <col min="9" max="16384" width="9.15625" style="44"/>
  </cols>
  <sheetData>
    <row r="1" spans="1:16" ht="15" customHeight="1">
      <c r="A1" s="308" t="s">
        <v>45</v>
      </c>
      <c r="B1" s="308"/>
      <c r="C1" s="308"/>
      <c r="D1" s="308"/>
      <c r="E1" s="308"/>
      <c r="F1" s="308"/>
      <c r="G1" s="308"/>
      <c r="H1" s="108"/>
      <c r="P1" s="16" t="s">
        <v>22</v>
      </c>
    </row>
    <row r="2" spans="1:16" ht="12" customHeight="1">
      <c r="A2" s="308"/>
      <c r="B2" s="308"/>
      <c r="C2" s="308"/>
      <c r="D2" s="308"/>
      <c r="E2" s="308"/>
      <c r="F2" s="308"/>
      <c r="G2" s="308"/>
      <c r="H2" s="108"/>
    </row>
    <row r="3" spans="1:16" ht="17.7">
      <c r="A3" s="309" t="s">
        <v>47</v>
      </c>
      <c r="B3" s="309"/>
      <c r="C3" s="309"/>
      <c r="D3" s="309"/>
      <c r="E3" s="309"/>
      <c r="F3" s="309"/>
      <c r="G3" s="309"/>
      <c r="H3" s="108"/>
      <c r="P3" s="16" t="s">
        <v>46</v>
      </c>
    </row>
    <row r="4" spans="1:16" ht="17.7">
      <c r="A4" s="310" t="s">
        <v>87</v>
      </c>
      <c r="B4" s="310"/>
      <c r="C4" s="310"/>
      <c r="D4" s="109" t="s">
        <v>88</v>
      </c>
      <c r="E4" s="110"/>
      <c r="F4" s="111" t="s">
        <v>89</v>
      </c>
      <c r="G4" s="311"/>
      <c r="H4" s="311"/>
    </row>
    <row r="5" spans="1:16" ht="27.75" customHeight="1">
      <c r="A5" s="312" t="s">
        <v>49</v>
      </c>
      <c r="B5" s="313" t="s">
        <v>50</v>
      </c>
      <c r="C5" s="113"/>
      <c r="D5" s="115" t="s">
        <v>90</v>
      </c>
      <c r="E5" s="115" t="s">
        <v>91</v>
      </c>
      <c r="F5" s="314" t="s">
        <v>92</v>
      </c>
      <c r="G5" s="314" t="s">
        <v>93</v>
      </c>
      <c r="H5" s="314" t="s">
        <v>94</v>
      </c>
    </row>
    <row r="6" spans="1:16" ht="24" customHeight="1">
      <c r="A6" s="312"/>
      <c r="B6" s="313"/>
      <c r="C6" s="116"/>
      <c r="D6" s="117" t="s">
        <v>95</v>
      </c>
      <c r="E6" s="117" t="s">
        <v>96</v>
      </c>
      <c r="F6" s="314"/>
      <c r="G6" s="314"/>
      <c r="H6" s="314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5"/>
      <c r="D10" s="315"/>
      <c r="E10" s="315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5"/>
      <c r="D11" s="315"/>
      <c r="E11" s="315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6"/>
      <c r="D12" s="316"/>
      <c r="E12" s="316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6"/>
      <c r="D13" s="316"/>
      <c r="E13" s="316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7"/>
      <c r="C14" s="317"/>
      <c r="D14" s="317"/>
      <c r="E14" s="317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8"/>
      <c r="D15" s="318"/>
      <c r="E15" s="318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9" t="s">
        <v>103</v>
      </c>
      <c r="H16" s="319"/>
    </row>
    <row r="17" spans="1:8" ht="27.6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5"/>
      <c r="D18" s="315"/>
      <c r="E18" s="315"/>
      <c r="F18" s="142">
        <v>350</v>
      </c>
      <c r="G18" s="143"/>
      <c r="H18" s="137"/>
    </row>
    <row r="19" spans="1:8">
      <c r="A19" s="68"/>
      <c r="B19" s="126" t="s">
        <v>106</v>
      </c>
      <c r="C19" s="315"/>
      <c r="D19" s="315"/>
      <c r="E19" s="315"/>
      <c r="F19" s="142">
        <v>400</v>
      </c>
      <c r="G19" s="143"/>
      <c r="H19" s="137"/>
    </row>
    <row r="20" spans="1:8">
      <c r="A20" s="68"/>
      <c r="B20" s="126" t="s">
        <v>107</v>
      </c>
      <c r="C20" s="315"/>
      <c r="D20" s="315"/>
      <c r="E20" s="315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5"/>
      <c r="D21" s="315"/>
      <c r="E21" s="315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5"/>
      <c r="D22" s="315"/>
      <c r="E22" s="315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20"/>
      <c r="D23" s="320"/>
      <c r="E23" s="320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8"/>
      <c r="D24" s="318"/>
      <c r="E24" s="318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8"/>
      <c r="D31" s="318"/>
      <c r="E31" s="318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5"/>
      <c r="D32" s="315"/>
      <c r="E32" s="315"/>
      <c r="F32" s="128">
        <v>460</v>
      </c>
      <c r="G32" s="153"/>
      <c r="H32" s="137"/>
    </row>
    <row r="33" spans="1:8">
      <c r="A33" s="56"/>
      <c r="B33" s="126" t="s">
        <v>112</v>
      </c>
      <c r="C33" s="315"/>
      <c r="D33" s="315"/>
      <c r="E33" s="315"/>
      <c r="F33" s="128">
        <v>560</v>
      </c>
      <c r="G33" s="153"/>
      <c r="H33" s="137"/>
    </row>
    <row r="34" spans="1:8">
      <c r="A34" s="56"/>
      <c r="B34" s="126" t="s">
        <v>113</v>
      </c>
      <c r="C34" s="315"/>
      <c r="D34" s="315"/>
      <c r="E34" s="315"/>
      <c r="F34" s="128">
        <v>640</v>
      </c>
      <c r="G34" s="153"/>
      <c r="H34" s="137"/>
    </row>
    <row r="35" spans="1:8">
      <c r="A35" s="56"/>
      <c r="B35" s="126" t="s">
        <v>114</v>
      </c>
      <c r="C35" s="315"/>
      <c r="D35" s="315"/>
      <c r="E35" s="315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5"/>
      <c r="D36" s="315"/>
      <c r="E36" s="315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21"/>
      <c r="D37" s="321"/>
      <c r="E37" s="321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22"/>
      <c r="D39" s="322"/>
      <c r="E39" s="322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21"/>
      <c r="D42" s="321"/>
      <c r="E42" s="321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0.399999999999999">
      <c r="A44" s="94"/>
      <c r="B44" s="323" t="s">
        <v>75</v>
      </c>
      <c r="C44" s="323"/>
      <c r="D44" s="323"/>
      <c r="E44" s="323"/>
      <c r="F44" s="105"/>
      <c r="G44" s="105"/>
      <c r="H44" s="105"/>
    </row>
    <row r="45" spans="1:8" ht="20.399999999999999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6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44" customWidth="1"/>
    <col min="2" max="2" width="38.26171875" style="44" customWidth="1"/>
    <col min="3" max="3" width="21.578125" style="44" customWidth="1"/>
    <col min="4" max="4" width="20.15625" style="44" customWidth="1"/>
    <col min="5" max="5" width="20.26171875" style="44" customWidth="1"/>
    <col min="6" max="6" width="21.26171875" style="107" customWidth="1"/>
    <col min="7" max="7" width="20" style="107" customWidth="1"/>
    <col min="8" max="10" width="9.15625" style="44"/>
    <col min="11" max="16" width="10.578125" style="44" customWidth="1"/>
    <col min="17" max="16384" width="9.15625" style="44"/>
  </cols>
  <sheetData>
    <row r="1" spans="1:14" ht="15" customHeight="1">
      <c r="A1" s="325" t="s">
        <v>45</v>
      </c>
      <c r="B1" s="325"/>
      <c r="C1" s="325"/>
      <c r="D1" s="325"/>
      <c r="E1" s="325"/>
      <c r="F1" s="325"/>
      <c r="G1" s="325"/>
    </row>
    <row r="2" spans="1:14" ht="10.5" customHeight="1">
      <c r="A2" s="325"/>
      <c r="B2" s="325"/>
      <c r="C2" s="325"/>
      <c r="D2" s="325"/>
      <c r="E2" s="325"/>
      <c r="F2" s="325"/>
      <c r="G2" s="325"/>
    </row>
    <row r="3" spans="1:14" ht="21.75" customHeight="1">
      <c r="A3" s="326" t="s">
        <v>47</v>
      </c>
      <c r="B3" s="326"/>
      <c r="C3" s="326"/>
      <c r="D3" s="326"/>
      <c r="E3" s="326"/>
      <c r="F3" s="326"/>
      <c r="G3" s="326"/>
    </row>
    <row r="4" spans="1:14" ht="35.4">
      <c r="A4" s="327" t="s">
        <v>123</v>
      </c>
      <c r="B4" s="327"/>
      <c r="C4" s="168" t="s">
        <v>124</v>
      </c>
      <c r="D4" s="112"/>
      <c r="E4" s="169" t="s">
        <v>88</v>
      </c>
      <c r="F4" s="328"/>
      <c r="G4" s="328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9" t="s">
        <v>125</v>
      </c>
      <c r="G5" s="330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9"/>
      <c r="G6" s="330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.6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4" t="s">
        <v>75</v>
      </c>
      <c r="C44" s="324"/>
      <c r="D44" s="324"/>
      <c r="E44" s="324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6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17" customWidth="1"/>
    <col min="2" max="32" width="16.68359375" style="218" customWidth="1"/>
    <col min="33" max="35" width="9.15625" style="218"/>
    <col min="36" max="36" width="24.68359375" style="218" customWidth="1"/>
    <col min="37" max="16384" width="9.15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31"/>
      <c r="B4" s="331"/>
      <c r="C4" s="331"/>
      <c r="D4" s="331"/>
      <c r="E4" s="331"/>
      <c r="F4" s="331"/>
      <c r="G4" s="331"/>
      <c r="H4" s="3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31"/>
      <c r="B15" s="331"/>
      <c r="C15" s="331"/>
      <c r="D15" s="331"/>
      <c r="E15" s="331"/>
      <c r="F15" s="331"/>
      <c r="G15" s="331"/>
      <c r="H15" s="33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8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31"/>
      <c r="B18" s="331"/>
      <c r="C18" s="331"/>
      <c r="D18" s="331"/>
      <c r="E18" s="331"/>
      <c r="F18" s="331"/>
      <c r="G18" s="331"/>
      <c r="H18" s="331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8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36" customWidth="1"/>
    <col min="2" max="16384" width="35.6835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36"/>
    <col min="5" max="5" width="32.83984375" style="236" customWidth="1"/>
    <col min="6" max="6" width="35.68359375" style="236"/>
    <col min="7" max="7" width="6.68359375" style="236" customWidth="1"/>
    <col min="8" max="16384" width="35.6835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3"/>
      <c r="G1" s="333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4" t="s">
        <v>158</v>
      </c>
      <c r="G2" s="334"/>
      <c r="H2" s="266"/>
    </row>
    <row r="3" spans="1:12" ht="69.75" customHeight="1">
      <c r="A3" s="265"/>
      <c r="B3" s="249"/>
      <c r="C3" s="244"/>
      <c r="E3" s="267" t="s">
        <v>159</v>
      </c>
      <c r="F3" s="335">
        <v>1292977.78</v>
      </c>
      <c r="G3" s="335"/>
      <c r="H3" s="268"/>
    </row>
    <row r="4" spans="1:12" ht="69.75" customHeight="1">
      <c r="A4" s="265"/>
      <c r="B4" s="269"/>
      <c r="C4" s="244"/>
      <c r="E4" s="270" t="s">
        <v>160</v>
      </c>
      <c r="F4" s="332">
        <v>553296</v>
      </c>
      <c r="G4" s="332"/>
      <c r="H4" s="268"/>
    </row>
    <row r="5" spans="1:12" ht="69.75" customHeight="1">
      <c r="A5" s="265"/>
      <c r="B5" s="271"/>
      <c r="C5" s="244"/>
      <c r="E5" s="270" t="s">
        <v>161</v>
      </c>
      <c r="F5" s="332">
        <v>528379</v>
      </c>
      <c r="G5" s="332"/>
      <c r="H5" s="268"/>
    </row>
    <row r="6" spans="1:12" ht="69.75" customHeight="1">
      <c r="A6" s="265"/>
      <c r="B6" s="271"/>
      <c r="C6" s="244"/>
      <c r="E6" s="270" t="s">
        <v>162</v>
      </c>
      <c r="F6" s="332">
        <v>13436.55</v>
      </c>
      <c r="G6" s="332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812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401fae36-edd3-4788-a18a-50cdc6e677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b6f10ed-c627-4ef3-be43-403188ac181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2024-02-22T14:13:36Z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