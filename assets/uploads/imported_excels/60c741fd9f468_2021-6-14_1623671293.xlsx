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4" l="1"/>
  <c r="AB4" i="4"/>
  <c r="AB5" i="4"/>
  <c r="G5" i="3" s="1"/>
  <c r="AB6" i="4"/>
  <c r="AB7" i="4"/>
  <c r="AB8" i="4"/>
  <c r="AB9" i="4"/>
  <c r="AB10" i="4"/>
  <c r="G10" i="3" s="1"/>
  <c r="AB11" i="4"/>
  <c r="AB12" i="4"/>
  <c r="AB13" i="4"/>
  <c r="G13" i="3" s="1"/>
  <c r="AB14" i="4"/>
  <c r="AB15" i="4"/>
  <c r="AB16" i="4"/>
  <c r="AB17" i="4"/>
  <c r="AB18" i="4"/>
  <c r="G18" i="3" s="1"/>
  <c r="AB19" i="4"/>
  <c r="AB20" i="4"/>
  <c r="AB21" i="4"/>
  <c r="G21" i="3" s="1"/>
  <c r="AB22" i="4"/>
  <c r="AB23" i="4"/>
  <c r="AB24" i="4"/>
  <c r="AB25" i="4"/>
  <c r="AB26" i="4"/>
  <c r="G26" i="3" s="1"/>
  <c r="AB27" i="4"/>
  <c r="AB28" i="4"/>
  <c r="AB29" i="4"/>
  <c r="G29" i="3" s="1"/>
  <c r="AB30" i="4"/>
  <c r="AB31" i="4"/>
  <c r="AB32" i="4"/>
  <c r="AB2" i="4"/>
  <c r="G2" i="3" s="1"/>
  <c r="G3" i="3"/>
  <c r="G4" i="3"/>
  <c r="G6" i="3"/>
  <c r="G7" i="3"/>
  <c r="G8" i="3"/>
  <c r="G9" i="3"/>
  <c r="G11" i="3"/>
  <c r="G12" i="3"/>
  <c r="G14" i="3"/>
  <c r="G15" i="3"/>
  <c r="G16" i="3"/>
  <c r="G17" i="3"/>
  <c r="G19" i="3"/>
  <c r="G20" i="3"/>
  <c r="G22" i="3"/>
  <c r="G23" i="3"/>
  <c r="G24" i="3"/>
  <c r="G25" i="3"/>
  <c r="G27" i="3"/>
  <c r="G28" i="3"/>
  <c r="G30" i="3"/>
  <c r="G31" i="3"/>
  <c r="G32" i="3"/>
  <c r="AC15" i="1" l="1"/>
  <c r="AC10" i="1"/>
  <c r="R21" i="1"/>
  <c r="R20" i="1"/>
  <c r="R26" i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S12" i="1" l="1"/>
  <c r="S11" i="1"/>
  <c r="S4" i="1"/>
  <c r="S5" i="1"/>
  <c r="S6" i="1"/>
  <c r="S7" i="1"/>
  <c r="S8" i="1"/>
  <c r="S9" i="1"/>
  <c r="S10" i="1"/>
  <c r="S3" i="1"/>
  <c r="O3" i="4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<sst xmlns="http://schemas.openxmlformats.org/spreadsheetml/2006/main" count="140" uniqueCount="73">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</sst>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B31" sqref="B31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5</v>
      </c>
      <c r="D2" s="1">
        <v>2021</v>
      </c>
      <c r="E2" s="12">
        <f>'Submetering '!O2+'Submetering '!P2+'Submetering '!Q2+'Submetering '!R2+'Submetering '!S2</f>
        <v>35076</v>
      </c>
      <c r="F2" s="11">
        <f>('FS Seychelles'!R3*'FS Seychelles'!S3)/TOTAL!E2</f>
        <v>0.25517409624814691</v>
      </c>
      <c r="G2" s="12">
        <f>'Submetering '!AB2</f>
        <v>320.48387096774195</v>
      </c>
      <c r="H2" s="11">
        <v>18.899999999999999</v>
      </c>
      <c r="I2" s="12">
        <f>'FS Seychelles'!T3+'FS Seychelles'!V3+'FS Seychelles'!W3+'FS Seychelles'!X3</f>
        <v>310</v>
      </c>
      <c r="J2" s="11">
        <v>0</v>
      </c>
      <c r="K2" s="29">
        <f>'Submetering '!Z2</f>
        <v>4</v>
      </c>
      <c r="L2" s="11">
        <v>0</v>
      </c>
      <c r="M2" s="58">
        <f>'FS Seychelles'!B3</f>
        <v>45</v>
      </c>
    </row>
    <row r="3" spans="1:13" s="15" customFormat="1" x14ac:dyDescent="0.25">
      <c r="A3" s="1" t="s">
        <v>13</v>
      </c>
      <c r="B3" s="14">
        <f>B2+1</f>
        <v>2</v>
      </c>
      <c r="C3" s="11">
        <v>5</v>
      </c>
      <c r="D3" s="1">
        <v>2021</v>
      </c>
      <c r="E3" s="12">
        <f>'Submetering '!O3+'Submetering '!P3+'Submetering '!Q3+'Submetering '!R3+'Submetering '!S3</f>
        <v>32383</v>
      </c>
      <c r="F3" s="11">
        <f>('FS Seychelles'!R4*'FS Seychelles'!S4)/TOTAL!E3</f>
        <v>0.27195585029181979</v>
      </c>
      <c r="G3" s="12">
        <f>'Submetering '!AB3</f>
        <v>320.48387096774195</v>
      </c>
      <c r="H3" s="11">
        <f>H2</f>
        <v>18.899999999999999</v>
      </c>
      <c r="I3" s="12">
        <f>'FS Seychelles'!T4+'FS Seychelles'!V4+'FS Seychelles'!W4+'FS Seychelles'!X4</f>
        <v>375</v>
      </c>
      <c r="J3" s="11">
        <f>J2</f>
        <v>0</v>
      </c>
      <c r="K3" s="29">
        <f>'Submetering '!Z3</f>
        <v>4</v>
      </c>
      <c r="L3" s="11">
        <f>L2</f>
        <v>0</v>
      </c>
      <c r="M3" s="58">
        <f>'FS Seychelles'!B4</f>
        <v>55.26</v>
      </c>
    </row>
    <row r="4" spans="1:13" s="15" customFormat="1" x14ac:dyDescent="0.25">
      <c r="A4" s="1" t="s">
        <v>13</v>
      </c>
      <c r="B4" s="14">
        <f t="shared" ref="B4:B32" si="0">B3+1</f>
        <v>3</v>
      </c>
      <c r="C4" s="11">
        <v>5</v>
      </c>
      <c r="D4" s="1">
        <v>2021</v>
      </c>
      <c r="E4" s="12">
        <f>'Submetering '!O4+'Submetering '!P4+'Submetering '!Q4+'Submetering '!R4+'Submetering '!S4</f>
        <v>34173</v>
      </c>
      <c r="F4" s="11">
        <f>('FS Seychelles'!R5*'FS Seychelles'!S5)/TOTAL!E4</f>
        <v>0.26880500395048723</v>
      </c>
      <c r="G4" s="12">
        <f>'Submetering '!AB4</f>
        <v>320.48387096774195</v>
      </c>
      <c r="H4" s="11">
        <f t="shared" ref="H4:H32" si="1">H3</f>
        <v>18.899999999999999</v>
      </c>
      <c r="I4" s="12">
        <f>'FS Seychelles'!T5+'FS Seychelles'!V5+'FS Seychelles'!W5+'FS Seychelles'!X5</f>
        <v>328</v>
      </c>
      <c r="J4" s="11">
        <f t="shared" ref="J4:L32" si="2">J3</f>
        <v>0</v>
      </c>
      <c r="K4" s="29">
        <f>'Submetering '!Z4</f>
        <v>3</v>
      </c>
      <c r="L4" s="11">
        <f t="shared" si="2"/>
        <v>0</v>
      </c>
      <c r="M4" s="58">
        <f>'FS Seychelles'!B5</f>
        <v>52.63</v>
      </c>
    </row>
    <row r="5" spans="1:13" s="15" customFormat="1" x14ac:dyDescent="0.25">
      <c r="A5" s="1" t="s">
        <v>13</v>
      </c>
      <c r="B5" s="14">
        <f t="shared" si="0"/>
        <v>4</v>
      </c>
      <c r="C5" s="11">
        <v>5</v>
      </c>
      <c r="D5" s="1">
        <v>2021</v>
      </c>
      <c r="E5" s="12">
        <f>'Submetering '!O5+'Submetering '!P5+'Submetering '!Q5+'Submetering '!R5+'Submetering '!S5</f>
        <v>25537</v>
      </c>
      <c r="F5" s="11">
        <f>('FS Seychelles'!R6*'FS Seychelles'!S6)/TOTAL!E5</f>
        <v>0.26779803030896349</v>
      </c>
      <c r="G5" s="12">
        <f>'Submetering '!AB5</f>
        <v>320.48387096774195</v>
      </c>
      <c r="H5" s="11">
        <f t="shared" si="1"/>
        <v>18.899999999999999</v>
      </c>
      <c r="I5" s="12">
        <f>'FS Seychelles'!T6+'FS Seychelles'!V6+'FS Seychelles'!W6+'FS Seychelles'!X6</f>
        <v>428</v>
      </c>
      <c r="J5" s="11">
        <f t="shared" si="2"/>
        <v>0</v>
      </c>
      <c r="K5" s="29">
        <f>'Submetering '!Z5</f>
        <v>62</v>
      </c>
      <c r="L5" s="11">
        <f t="shared" si="2"/>
        <v>0</v>
      </c>
      <c r="M5" s="58">
        <f>'FS Seychelles'!B6</f>
        <v>60.53</v>
      </c>
    </row>
    <row r="6" spans="1:13" s="15" customFormat="1" x14ac:dyDescent="0.25">
      <c r="A6" s="1" t="s">
        <v>13</v>
      </c>
      <c r="B6" s="14">
        <f t="shared" si="0"/>
        <v>5</v>
      </c>
      <c r="C6" s="11">
        <v>5</v>
      </c>
      <c r="D6" s="1">
        <v>2021</v>
      </c>
      <c r="E6" s="12">
        <f>'Submetering '!O6+'Submetering '!P6+'Submetering '!Q6+'Submetering '!R6+'Submetering '!S6</f>
        <v>31490</v>
      </c>
      <c r="F6" s="11">
        <f>('FS Seychelles'!R7*'FS Seychelles'!S7)/TOTAL!E6</f>
        <v>0.27050812956494125</v>
      </c>
      <c r="G6" s="12">
        <f>'Submetering '!AB6</f>
        <v>320.48387096774195</v>
      </c>
      <c r="H6" s="11">
        <f t="shared" si="1"/>
        <v>18.899999999999999</v>
      </c>
      <c r="I6" s="12">
        <f>'FS Seychelles'!T7+'FS Seychelles'!V7+'FS Seychelles'!W7+'FS Seychelles'!X7</f>
        <v>370</v>
      </c>
      <c r="J6" s="11">
        <f t="shared" si="2"/>
        <v>0</v>
      </c>
      <c r="K6" s="29">
        <f>'Submetering '!Z6</f>
        <v>91</v>
      </c>
      <c r="L6" s="11">
        <f t="shared" si="2"/>
        <v>0</v>
      </c>
      <c r="M6" s="58">
        <f>'FS Seychelles'!B7</f>
        <v>57.89</v>
      </c>
    </row>
    <row r="7" spans="1:13" s="15" customFormat="1" x14ac:dyDescent="0.25">
      <c r="A7" s="1" t="s">
        <v>13</v>
      </c>
      <c r="B7" s="14">
        <f t="shared" si="0"/>
        <v>6</v>
      </c>
      <c r="C7" s="11">
        <v>5</v>
      </c>
      <c r="D7" s="1">
        <v>2021</v>
      </c>
      <c r="E7" s="12">
        <f>'Submetering '!O7+'Submetering '!P7+'Submetering '!Q7+'Submetering '!R7+'Submetering '!S7</f>
        <v>44518</v>
      </c>
      <c r="F7" s="11">
        <f>('FS Seychelles'!R8*'FS Seychelles'!S8)/TOTAL!E7</f>
        <v>0.26465432184734267</v>
      </c>
      <c r="G7" s="12">
        <f>'Submetering '!AB7</f>
        <v>320.48387096774195</v>
      </c>
      <c r="H7" s="11">
        <f t="shared" si="1"/>
        <v>18.899999999999999</v>
      </c>
      <c r="I7" s="12">
        <f>'FS Seychelles'!T8+'FS Seychelles'!V8+'FS Seychelles'!W8+'FS Seychelles'!X8</f>
        <v>410</v>
      </c>
      <c r="J7" s="11">
        <f t="shared" si="2"/>
        <v>0</v>
      </c>
      <c r="K7" s="29">
        <f>'Submetering '!Z7</f>
        <v>46</v>
      </c>
      <c r="L7" s="11">
        <f t="shared" si="2"/>
        <v>0</v>
      </c>
      <c r="M7" s="58">
        <f>'FS Seychelles'!B8</f>
        <v>61.84</v>
      </c>
    </row>
    <row r="8" spans="1:13" s="15" customFormat="1" x14ac:dyDescent="0.25">
      <c r="A8" s="1" t="s">
        <v>13</v>
      </c>
      <c r="B8" s="14">
        <f t="shared" si="0"/>
        <v>7</v>
      </c>
      <c r="C8" s="11">
        <v>5</v>
      </c>
      <c r="D8" s="1">
        <v>2021</v>
      </c>
      <c r="E8" s="12">
        <f>'Submetering '!O8+'Submetering '!P8+'Submetering '!Q8+'Submetering '!R8+'Submetering '!S8</f>
        <v>20892</v>
      </c>
      <c r="F8" s="11">
        <f>('FS Seychelles'!R9*'FS Seychelles'!S9)/TOTAL!E8</f>
        <v>0.25844466302891062</v>
      </c>
      <c r="G8" s="12">
        <f>'Submetering '!AB8</f>
        <v>320.48387096774195</v>
      </c>
      <c r="H8" s="11">
        <f t="shared" si="1"/>
        <v>18.899999999999999</v>
      </c>
      <c r="I8" s="12">
        <f>'FS Seychelles'!T9+'FS Seychelles'!V9+'FS Seychelles'!W9+'FS Seychelles'!X9</f>
        <v>414</v>
      </c>
      <c r="J8" s="11">
        <f t="shared" si="2"/>
        <v>0</v>
      </c>
      <c r="K8" s="29">
        <f>'Submetering '!Z8</f>
        <v>86</v>
      </c>
      <c r="L8" s="11">
        <f t="shared" si="2"/>
        <v>0</v>
      </c>
      <c r="M8" s="58">
        <f>'FS Seychelles'!B9</f>
        <v>68.42</v>
      </c>
    </row>
    <row r="9" spans="1:13" s="15" customFormat="1" x14ac:dyDescent="0.25">
      <c r="A9" s="1" t="s">
        <v>13</v>
      </c>
      <c r="B9" s="14">
        <f t="shared" si="0"/>
        <v>8</v>
      </c>
      <c r="C9" s="11">
        <v>5</v>
      </c>
      <c r="D9" s="1">
        <v>2021</v>
      </c>
      <c r="E9" s="12">
        <f>'Submetering '!O9+'Submetering '!P9+'Submetering '!Q9+'Submetering '!R9+'Submetering '!S9</f>
        <v>30487</v>
      </c>
      <c r="F9" s="11">
        <f>('FS Seychelles'!R10*'FS Seychelles'!S10)/TOTAL!E9</f>
        <v>0.26940846262341323</v>
      </c>
      <c r="G9" s="12">
        <f>'Submetering '!AB9</f>
        <v>320.48387096774195</v>
      </c>
      <c r="H9" s="11">
        <f t="shared" si="1"/>
        <v>18.899999999999999</v>
      </c>
      <c r="I9" s="12">
        <f>'FS Seychelles'!T10+'FS Seychelles'!V10+'FS Seychelles'!W10+'FS Seychelles'!X10</f>
        <v>435</v>
      </c>
      <c r="J9" s="11">
        <f t="shared" si="2"/>
        <v>0</v>
      </c>
      <c r="K9" s="29">
        <f>'Submetering '!Z9</f>
        <v>128</v>
      </c>
      <c r="L9" s="11">
        <f t="shared" si="2"/>
        <v>0</v>
      </c>
      <c r="M9" s="58">
        <f>'FS Seychelles'!B10</f>
        <v>69.73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5</v>
      </c>
      <c r="D10" s="1">
        <v>2021</v>
      </c>
      <c r="E10" s="12">
        <f>'Submetering '!O10+'Submetering '!P10+'Submetering '!Q10+'Submetering '!R10+'Submetering '!S10</f>
        <v>21171</v>
      </c>
      <c r="F10" s="11">
        <f>('FS Seychelles'!R11*'FS Seychelles'!S11)/TOTAL!E10</f>
        <v>0.31623532190260262</v>
      </c>
      <c r="G10" s="12">
        <f>'Submetering '!AB10</f>
        <v>320.48387096774195</v>
      </c>
      <c r="H10" s="11">
        <f t="shared" si="1"/>
        <v>18.899999999999999</v>
      </c>
      <c r="I10" s="12">
        <f>'FS Seychelles'!T11+'FS Seychelles'!V11+'FS Seychelles'!W11+'FS Seychelles'!X11</f>
        <v>352</v>
      </c>
      <c r="J10" s="11">
        <f t="shared" si="2"/>
        <v>0</v>
      </c>
      <c r="K10" s="29">
        <f>'Submetering '!Z10</f>
        <v>74</v>
      </c>
      <c r="L10" s="11">
        <f t="shared" si="2"/>
        <v>0</v>
      </c>
      <c r="M10" s="58">
        <f>'FS Seychelles'!B11</f>
        <v>64.47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5</v>
      </c>
      <c r="D11" s="1">
        <v>2021</v>
      </c>
      <c r="E11" s="12">
        <f>'Submetering '!O11+'Submetering '!P11+'Submetering '!Q11+'Submetering '!R11+'Submetering '!S11</f>
        <v>28949</v>
      </c>
      <c r="F11" s="11">
        <f>('FS Seychelles'!R12*'FS Seychelles'!S12)/TOTAL!E11</f>
        <v>0.26406034059898442</v>
      </c>
      <c r="G11" s="12">
        <f>'Submetering '!AB11</f>
        <v>320.48387096774195</v>
      </c>
      <c r="H11" s="11">
        <f t="shared" si="1"/>
        <v>18.899999999999999</v>
      </c>
      <c r="I11" s="12">
        <f>'FS Seychelles'!T12+'FS Seychelles'!V12+'FS Seychelles'!W12+'FS Seychelles'!X12</f>
        <v>393.73333333333335</v>
      </c>
      <c r="J11" s="11">
        <f t="shared" si="2"/>
        <v>0</v>
      </c>
      <c r="K11" s="29">
        <f>'Submetering '!Z11</f>
        <v>75.566666666666663</v>
      </c>
      <c r="L11" s="11">
        <f t="shared" si="2"/>
        <v>0</v>
      </c>
      <c r="M11" s="58">
        <f>'FS Seychelles'!B12</f>
        <v>44.74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5</v>
      </c>
      <c r="D12" s="1">
        <v>2021</v>
      </c>
      <c r="E12" s="12">
        <f>'Submetering '!O12+'Submetering '!P12+'Submetering '!Q12+'Submetering '!R12+'Submetering '!S12</f>
        <v>30508</v>
      </c>
      <c r="F12" s="11">
        <f>('FS Seychelles'!R13*'FS Seychelles'!S13)/TOTAL!E12</f>
        <v>0.26759669594860364</v>
      </c>
      <c r="G12" s="12">
        <f>'Submetering '!AB12</f>
        <v>320.48387096774195</v>
      </c>
      <c r="H12" s="11">
        <f t="shared" si="1"/>
        <v>18.899999999999999</v>
      </c>
      <c r="I12" s="12">
        <f>'FS Seychelles'!T13+'FS Seychelles'!V13+'FS Seychelles'!W13+'FS Seychelles'!X13</f>
        <v>370</v>
      </c>
      <c r="J12" s="11">
        <f t="shared" si="2"/>
        <v>0</v>
      </c>
      <c r="K12" s="29">
        <f>'Submetering '!Z12</f>
        <v>52</v>
      </c>
      <c r="L12" s="11">
        <f t="shared" si="2"/>
        <v>0</v>
      </c>
      <c r="M12" s="58">
        <f>'FS Seychelles'!B13</f>
        <v>46.05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5</v>
      </c>
      <c r="D13" s="1">
        <v>2021</v>
      </c>
      <c r="E13" s="12">
        <f>'Submetering '!O13+'Submetering '!P13+'Submetering '!Q13+'Submetering '!R13+'Submetering '!S13</f>
        <v>36748</v>
      </c>
      <c r="F13" s="11">
        <f>('FS Seychelles'!R14*'FS Seychelles'!S14)/TOTAL!E13</f>
        <v>0.26390334167845869</v>
      </c>
      <c r="G13" s="12">
        <f>'Submetering '!AB13</f>
        <v>320.48387096774195</v>
      </c>
      <c r="H13" s="11">
        <f t="shared" si="1"/>
        <v>18.899999999999999</v>
      </c>
      <c r="I13" s="12">
        <f>'FS Seychelles'!T14+'FS Seychelles'!V14+'FS Seychelles'!W14+'FS Seychelles'!X14</f>
        <v>388</v>
      </c>
      <c r="J13" s="11">
        <f t="shared" si="2"/>
        <v>0</v>
      </c>
      <c r="K13" s="29">
        <f>'Submetering '!Z13</f>
        <v>136</v>
      </c>
      <c r="L13" s="11">
        <f t="shared" si="2"/>
        <v>0</v>
      </c>
      <c r="M13" s="58">
        <f>'FS Seychelles'!B14</f>
        <v>49.38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5</v>
      </c>
      <c r="D14" s="1">
        <v>2021</v>
      </c>
      <c r="E14" s="12">
        <f>'Submetering '!O14+'Submetering '!P14+'Submetering '!Q14+'Submetering '!R14+'Submetering '!S14</f>
        <v>19099</v>
      </c>
      <c r="F14" s="11">
        <f>('FS Seychelles'!R15*'FS Seychelles'!S15)/TOTAL!E14</f>
        <v>0.28313943138384207</v>
      </c>
      <c r="G14" s="12">
        <f>'Submetering '!AB14</f>
        <v>320.48387096774195</v>
      </c>
      <c r="H14" s="11">
        <f t="shared" si="1"/>
        <v>18.899999999999999</v>
      </c>
      <c r="I14" s="12">
        <f>'FS Seychelles'!T15+'FS Seychelles'!V15+'FS Seychelles'!W15+'FS Seychelles'!X15</f>
        <v>363</v>
      </c>
      <c r="J14" s="11">
        <f t="shared" si="2"/>
        <v>0</v>
      </c>
      <c r="K14" s="29">
        <f>'Submetering '!Z14</f>
        <v>74</v>
      </c>
      <c r="L14" s="11">
        <f t="shared" si="2"/>
        <v>0</v>
      </c>
      <c r="M14" s="58">
        <f>'FS Seychelles'!B15</f>
        <v>53.66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5</v>
      </c>
      <c r="D15" s="1">
        <v>2021</v>
      </c>
      <c r="E15" s="12">
        <f>'Submetering '!O15+'Submetering '!P15+'Submetering '!Q15+'Submetering '!R15+'Submetering '!S15</f>
        <v>25174</v>
      </c>
      <c r="F15" s="11">
        <f>('FS Seychelles'!R16*'FS Seychelles'!S16)/TOTAL!E15</f>
        <v>0.46589020417891475</v>
      </c>
      <c r="G15" s="12">
        <f>'Submetering '!AB15</f>
        <v>320.48387096774195</v>
      </c>
      <c r="H15" s="11">
        <f t="shared" si="1"/>
        <v>18.899999999999999</v>
      </c>
      <c r="I15" s="12">
        <f>'FS Seychelles'!T16+'FS Seychelles'!V16+'FS Seychelles'!W16+'FS Seychelles'!X16</f>
        <v>384</v>
      </c>
      <c r="J15" s="11">
        <f t="shared" si="2"/>
        <v>0</v>
      </c>
      <c r="K15" s="29">
        <f>'Submetering '!Z15</f>
        <v>129</v>
      </c>
      <c r="L15" s="11">
        <f t="shared" si="2"/>
        <v>0</v>
      </c>
      <c r="M15" s="58">
        <f>'FS Seychelles'!B16</f>
        <v>50.6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5</v>
      </c>
      <c r="D16" s="1">
        <v>2021</v>
      </c>
      <c r="E16" s="12">
        <f>'Submetering '!O16+'Submetering '!P16+'Submetering '!Q16+'Submetering '!R16+'Submetering '!S16</f>
        <v>29439</v>
      </c>
      <c r="F16" s="11">
        <f>('FS Seychelles'!R17*'FS Seychelles'!S17)/TOTAL!E16</f>
        <v>0.27186793029654538</v>
      </c>
      <c r="G16" s="12">
        <f>'Submetering '!AB16</f>
        <v>320.48387096774195</v>
      </c>
      <c r="H16" s="11">
        <f t="shared" si="1"/>
        <v>18.899999999999999</v>
      </c>
      <c r="I16" s="12">
        <f>'FS Seychelles'!T17+'FS Seychelles'!V17+'FS Seychelles'!W17+'FS Seychelles'!X17</f>
        <v>337</v>
      </c>
      <c r="J16" s="11">
        <f t="shared" si="2"/>
        <v>0</v>
      </c>
      <c r="K16" s="29">
        <f>'Submetering '!Z16</f>
        <v>91</v>
      </c>
      <c r="L16" s="11">
        <f t="shared" si="2"/>
        <v>0</v>
      </c>
      <c r="M16" s="58">
        <f>'FS Seychelles'!B17</f>
        <v>39.76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5</v>
      </c>
      <c r="D17" s="1">
        <v>2021</v>
      </c>
      <c r="E17" s="12">
        <f>'Submetering '!O17+'Submetering '!P17+'Submetering '!Q17+'Submetering '!R17+'Submetering '!S17</f>
        <v>28798</v>
      </c>
      <c r="F17" s="11">
        <f>('FS Seychelles'!R18*'FS Seychelles'!S18)/TOTAL!E17</f>
        <v>0.25247933884297519</v>
      </c>
      <c r="G17" s="12">
        <f>'Submetering '!AB17</f>
        <v>320.48387096774195</v>
      </c>
      <c r="H17" s="11">
        <f t="shared" si="1"/>
        <v>18.899999999999999</v>
      </c>
      <c r="I17" s="12">
        <f>'FS Seychelles'!T18+'FS Seychelles'!V18+'FS Seychelles'!W18+'FS Seychelles'!X18</f>
        <v>326</v>
      </c>
      <c r="J17" s="11">
        <f t="shared" si="2"/>
        <v>0</v>
      </c>
      <c r="K17" s="29">
        <f>'Submetering '!Z17</f>
        <v>2</v>
      </c>
      <c r="L17" s="11">
        <f t="shared" si="2"/>
        <v>0</v>
      </c>
      <c r="M17" s="58">
        <f>'FS Seychelles'!B18</f>
        <v>34.15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5</v>
      </c>
      <c r="D18" s="1">
        <v>2021</v>
      </c>
      <c r="E18" s="12">
        <f>'Submetering '!O18+'Submetering '!P18+'Submetering '!Q18+'Submetering '!R18+'Submetering '!S18</f>
        <v>27377</v>
      </c>
      <c r="F18" s="11">
        <f>('FS Seychelles'!R19*'FS Seychelles'!S19)/TOTAL!E18</f>
        <v>0.26434817547576434</v>
      </c>
      <c r="G18" s="12">
        <f>'Submetering '!AB18</f>
        <v>320.48387096774195</v>
      </c>
      <c r="H18" s="11">
        <f t="shared" si="1"/>
        <v>18.899999999999999</v>
      </c>
      <c r="I18" s="12">
        <f>'FS Seychelles'!T19+'FS Seychelles'!V19+'FS Seychelles'!W19+'FS Seychelles'!X19</f>
        <v>338</v>
      </c>
      <c r="J18" s="11">
        <f t="shared" si="2"/>
        <v>0</v>
      </c>
      <c r="K18" s="29">
        <f>'Submetering '!Z18</f>
        <v>121</v>
      </c>
      <c r="L18" s="11">
        <f t="shared" si="2"/>
        <v>0</v>
      </c>
      <c r="M18" s="58">
        <f>'FS Seychelles'!B19</f>
        <v>37.659999999999997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5</v>
      </c>
      <c r="D19" s="1">
        <v>2021</v>
      </c>
      <c r="E19" s="12">
        <f>'Submetering '!O19+'Submetering '!P19+'Submetering '!Q19+'Submetering '!R19+'Submetering '!S19</f>
        <v>29613</v>
      </c>
      <c r="F19" s="11">
        <f>('FS Seychelles'!R20*'FS Seychelles'!S20)/TOTAL!E19</f>
        <v>0.26149731536825038</v>
      </c>
      <c r="G19" s="12">
        <f>'Submetering '!AB19</f>
        <v>320.48387096774195</v>
      </c>
      <c r="H19" s="11">
        <f t="shared" si="1"/>
        <v>18.899999999999999</v>
      </c>
      <c r="I19" s="12">
        <f>'FS Seychelles'!T20+'FS Seychelles'!V20+'FS Seychelles'!W20+'FS Seychelles'!X20</f>
        <v>371</v>
      </c>
      <c r="J19" s="11">
        <f t="shared" si="2"/>
        <v>0</v>
      </c>
      <c r="K19" s="29">
        <f>'Submetering '!Z19</f>
        <v>35</v>
      </c>
      <c r="L19" s="11">
        <f t="shared" si="2"/>
        <v>0</v>
      </c>
      <c r="M19" s="58">
        <f>'FS Seychelles'!B20</f>
        <v>44.56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5</v>
      </c>
      <c r="D20" s="1">
        <v>2021</v>
      </c>
      <c r="E20" s="12">
        <f>'Submetering '!O20+'Submetering '!P20+'Submetering '!Q20+'Submetering '!R20+'Submetering '!S20</f>
        <v>30705</v>
      </c>
      <c r="F20" s="11">
        <f>('FS Seychelles'!R21*'FS Seychelles'!S21)/TOTAL!E20</f>
        <v>0.25822830157954729</v>
      </c>
      <c r="G20" s="12">
        <f>'Submetering '!AB20</f>
        <v>320.48387096774195</v>
      </c>
      <c r="H20" s="11">
        <f t="shared" si="1"/>
        <v>18.899999999999999</v>
      </c>
      <c r="I20" s="12">
        <f>'FS Seychelles'!T21+'FS Seychelles'!V21+'FS Seychelles'!W21+'FS Seychelles'!X21</f>
        <v>380</v>
      </c>
      <c r="J20" s="11">
        <f t="shared" si="2"/>
        <v>0</v>
      </c>
      <c r="K20" s="29">
        <f>'Submetering '!Z20</f>
        <v>96</v>
      </c>
      <c r="L20" s="11">
        <f t="shared" si="2"/>
        <v>0</v>
      </c>
      <c r="M20" s="58">
        <f>'FS Seychelles'!B21</f>
        <v>44.16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5</v>
      </c>
      <c r="D21" s="1">
        <v>2021</v>
      </c>
      <c r="E21" s="12">
        <f>'Submetering '!O21+'Submetering '!P21+'Submetering '!Q21+'Submetering '!R21+'Submetering '!S21</f>
        <v>32149</v>
      </c>
      <c r="F21" s="11">
        <f>('FS Seychelles'!R22*'FS Seychelles'!S22)/TOTAL!E21</f>
        <v>0.24124980559270895</v>
      </c>
      <c r="G21" s="12">
        <f>'Submetering '!AB21</f>
        <v>320.48387096774195</v>
      </c>
      <c r="H21" s="11">
        <f t="shared" si="1"/>
        <v>18.899999999999999</v>
      </c>
      <c r="I21" s="12">
        <f>'FS Seychelles'!T22+'FS Seychelles'!V22+'FS Seychelles'!W22+'FS Seychelles'!X22</f>
        <v>353</v>
      </c>
      <c r="J21" s="11">
        <f t="shared" si="2"/>
        <v>0</v>
      </c>
      <c r="K21" s="29">
        <f>'Submetering '!Z21</f>
        <v>76</v>
      </c>
      <c r="L21" s="11">
        <f t="shared" si="2"/>
        <v>0</v>
      </c>
      <c r="M21" s="58">
        <f>'FS Seychelles'!B22</f>
        <v>48.06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5</v>
      </c>
      <c r="D22" s="1">
        <v>2021</v>
      </c>
      <c r="E22" s="12">
        <f>'Submetering '!O22+'Submetering '!P22+'Submetering '!Q22+'Submetering '!R22+'Submetering '!S22</f>
        <v>33532</v>
      </c>
      <c r="F22" s="11">
        <f>('FS Seychelles'!R23*'FS Seychelles'!S23)/TOTAL!E22</f>
        <v>0.23118752236669449</v>
      </c>
      <c r="G22" s="12">
        <f>'Submetering '!AB22</f>
        <v>320.48387096774195</v>
      </c>
      <c r="H22" s="11">
        <f t="shared" si="1"/>
        <v>18.899999999999999</v>
      </c>
      <c r="I22" s="12">
        <f>'FS Seychelles'!T23+'FS Seychelles'!V23+'FS Seychelles'!W23+'FS Seychelles'!X23</f>
        <v>449</v>
      </c>
      <c r="J22" s="11">
        <f t="shared" si="2"/>
        <v>0</v>
      </c>
      <c r="K22" s="29">
        <f>'Submetering '!Z22</f>
        <v>51</v>
      </c>
      <c r="L22" s="11">
        <f t="shared" si="2"/>
        <v>0</v>
      </c>
      <c r="M22" s="58">
        <f>'FS Seychelles'!B23</f>
        <v>37.659999999999997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5</v>
      </c>
      <c r="D23" s="1">
        <v>2021</v>
      </c>
      <c r="E23" s="12">
        <f>'Submetering '!O23+'Submetering '!P23+'Submetering '!Q23+'Submetering '!R23+'Submetering '!S23</f>
        <v>27916</v>
      </c>
      <c r="F23" s="11">
        <f>('FS Seychelles'!R24*'FS Seychelles'!S24)/TOTAL!E23</f>
        <v>0.27163562114916173</v>
      </c>
      <c r="G23" s="12">
        <f>'Submetering '!AB23</f>
        <v>320.48387096774195</v>
      </c>
      <c r="H23" s="11">
        <f t="shared" si="1"/>
        <v>18.899999999999999</v>
      </c>
      <c r="I23" s="12">
        <f>'FS Seychelles'!T24+'FS Seychelles'!V24+'FS Seychelles'!W24+'FS Seychelles'!X24</f>
        <v>372</v>
      </c>
      <c r="J23" s="11">
        <f t="shared" si="2"/>
        <v>0</v>
      </c>
      <c r="K23" s="29">
        <f>'Submetering '!Z23</f>
        <v>77</v>
      </c>
      <c r="L23" s="11">
        <f t="shared" si="2"/>
        <v>0</v>
      </c>
      <c r="M23" s="58">
        <f>'FS Seychelles'!B24</f>
        <v>38.96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5</v>
      </c>
      <c r="D24" s="1">
        <v>2021</v>
      </c>
      <c r="E24" s="12">
        <f>'Submetering '!O24+'Submetering '!P24+'Submetering '!Q24+'Submetering '!R24+'Submetering '!S24</f>
        <v>27693</v>
      </c>
      <c r="F24" s="11">
        <f>('FS Seychelles'!R25*'FS Seychelles'!S25)/TOTAL!E24</f>
        <v>0.276402701043585</v>
      </c>
      <c r="G24" s="12">
        <f>'Submetering '!AB24</f>
        <v>320.48387096774195</v>
      </c>
      <c r="H24" s="11">
        <f t="shared" si="1"/>
        <v>18.899999999999999</v>
      </c>
      <c r="I24" s="12">
        <f>'FS Seychelles'!T25+'FS Seychelles'!V25+'FS Seychelles'!W25+'FS Seychelles'!X25</f>
        <v>353</v>
      </c>
      <c r="J24" s="11">
        <f t="shared" si="2"/>
        <v>0</v>
      </c>
      <c r="K24" s="29">
        <f>'Submetering '!Z24</f>
        <v>115</v>
      </c>
      <c r="L24" s="11">
        <f t="shared" si="2"/>
        <v>0</v>
      </c>
      <c r="M24" s="58">
        <f>'FS Seychelles'!B25</f>
        <v>45.45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5</v>
      </c>
      <c r="D25" s="1">
        <v>2021</v>
      </c>
      <c r="E25" s="12">
        <f>'Submetering '!O25+'Submetering '!P25+'Submetering '!Q25+'Submetering '!R25+'Submetering '!S25</f>
        <v>27433</v>
      </c>
      <c r="F25" s="11">
        <f>('FS Seychelles'!R26*'FS Seychelles'!S26)/TOTAL!E25</f>
        <v>0.25140451281303539</v>
      </c>
      <c r="G25" s="12">
        <f>'Submetering '!AB25</f>
        <v>320.48387096774195</v>
      </c>
      <c r="H25" s="11">
        <f t="shared" si="1"/>
        <v>18.899999999999999</v>
      </c>
      <c r="I25" s="12">
        <f>'FS Seychelles'!T26+'FS Seychelles'!V26+'FS Seychelles'!W26+'FS Seychelles'!X26</f>
        <v>417</v>
      </c>
      <c r="J25" s="11">
        <f t="shared" si="2"/>
        <v>0</v>
      </c>
      <c r="K25" s="29">
        <f>'Submetering '!Z25</f>
        <v>117</v>
      </c>
      <c r="L25" s="11">
        <f t="shared" si="2"/>
        <v>0</v>
      </c>
      <c r="M25" s="58">
        <f>'FS Seychelles'!B26</f>
        <v>51.95</v>
      </c>
    </row>
    <row r="26" spans="1:13" s="15" customFormat="1" x14ac:dyDescent="0.25">
      <c r="A26" s="1" t="s">
        <v>13</v>
      </c>
      <c r="B26" s="14">
        <f>B25+1</f>
        <v>25</v>
      </c>
      <c r="C26" s="11">
        <v>5</v>
      </c>
      <c r="D26" s="1">
        <v>2021</v>
      </c>
      <c r="E26" s="12">
        <f>'Submetering '!O26+'Submetering '!P26+'Submetering '!Q26+'Submetering '!R26+'Submetering '!S26</f>
        <v>29004</v>
      </c>
      <c r="F26" s="11">
        <f>('FS Seychelles'!R27*'FS Seychelles'!S27)/TOTAL!E26</f>
        <v>0.25405668183698799</v>
      </c>
      <c r="G26" s="12">
        <f>'Submetering '!AB26</f>
        <v>320.48387096774195</v>
      </c>
      <c r="H26" s="11">
        <f t="shared" si="1"/>
        <v>18.899999999999999</v>
      </c>
      <c r="I26" s="12">
        <f>'FS Seychelles'!T27+'FS Seychelles'!V27+'FS Seychelles'!W27+'FS Seychelles'!X27</f>
        <v>351</v>
      </c>
      <c r="J26" s="11">
        <f t="shared" si="2"/>
        <v>0</v>
      </c>
      <c r="K26" s="29">
        <f>'Submetering '!Z26</f>
        <v>112</v>
      </c>
      <c r="L26" s="11">
        <f t="shared" si="2"/>
        <v>0</v>
      </c>
      <c r="M26" s="58">
        <f>'FS Seychelles'!B27</f>
        <v>54.55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5</v>
      </c>
      <c r="D27" s="1">
        <v>2021</v>
      </c>
      <c r="E27" s="12">
        <f>'Submetering '!O27+'Submetering '!P27+'Submetering '!Q27+'Submetering '!R27+'Submetering '!S27</f>
        <v>19099</v>
      </c>
      <c r="F27" s="11">
        <f>('FS Seychelles'!R28*'FS Seychelles'!S28)/TOTAL!E27</f>
        <v>0.27866799308864337</v>
      </c>
      <c r="G27" s="12">
        <f>'Submetering '!AB27</f>
        <v>320.48387096774195</v>
      </c>
      <c r="H27" s="11">
        <f t="shared" si="1"/>
        <v>18.899999999999999</v>
      </c>
      <c r="I27" s="12">
        <f>'FS Seychelles'!T28+'FS Seychelles'!V28+'FS Seychelles'!W28+'FS Seychelles'!X28</f>
        <v>395</v>
      </c>
      <c r="J27" s="11">
        <f t="shared" si="2"/>
        <v>0</v>
      </c>
      <c r="K27" s="29">
        <f>'Submetering '!Z27</f>
        <v>114</v>
      </c>
      <c r="L27" s="11">
        <f t="shared" si="2"/>
        <v>0</v>
      </c>
      <c r="M27" s="58">
        <f>'FS Seychelles'!B28</f>
        <v>55.22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5</v>
      </c>
      <c r="D28" s="1">
        <v>2021</v>
      </c>
      <c r="E28" s="12">
        <f>'Submetering '!O28+'Submetering '!P28+'Submetering '!Q28+'Submetering '!R28+'Submetering '!S28</f>
        <v>31209</v>
      </c>
      <c r="F28" s="11">
        <f>('FS Seychelles'!R29*'FS Seychelles'!S29)/TOTAL!E28</f>
        <v>0.24734147201127879</v>
      </c>
      <c r="G28" s="12">
        <f>'Submetering '!AB28</f>
        <v>320.48387096774195</v>
      </c>
      <c r="H28" s="11">
        <f t="shared" si="1"/>
        <v>18.899999999999999</v>
      </c>
      <c r="I28" s="12">
        <f>'FS Seychelles'!T29+'FS Seychelles'!V29+'FS Seychelles'!W29+'FS Seychelles'!X29</f>
        <v>614</v>
      </c>
      <c r="J28" s="11">
        <f t="shared" si="2"/>
        <v>0</v>
      </c>
      <c r="K28" s="29">
        <f>'Submetering '!Z28</f>
        <v>82</v>
      </c>
      <c r="L28" s="11">
        <f t="shared" si="2"/>
        <v>0</v>
      </c>
      <c r="M28" s="58">
        <f>'FS Seychelles'!B29</f>
        <v>73.849999999999994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5</v>
      </c>
      <c r="D29" s="1">
        <v>2021</v>
      </c>
      <c r="E29" s="12">
        <f>'Submetering '!O29+'Submetering '!P29+'Submetering '!Q29+'Submetering '!R29+'Submetering '!S29</f>
        <v>33480</v>
      </c>
      <c r="F29" s="11">
        <f>('FS Seychelles'!R30*'FS Seychelles'!S30)/TOTAL!E29</f>
        <v>0.24920669056152922</v>
      </c>
      <c r="G29" s="12">
        <f>'Submetering '!AB29</f>
        <v>320.48387096774195</v>
      </c>
      <c r="H29" s="11">
        <f t="shared" si="1"/>
        <v>18.899999999999999</v>
      </c>
      <c r="I29" s="12">
        <f>'FS Seychelles'!T30+'FS Seychelles'!V30+'FS Seychelles'!W30+'FS Seychelles'!X30</f>
        <v>526</v>
      </c>
      <c r="J29" s="11">
        <f t="shared" si="2"/>
        <v>0</v>
      </c>
      <c r="K29" s="29">
        <f>'Submetering '!Z29</f>
        <v>79</v>
      </c>
      <c r="L29" s="11">
        <f t="shared" si="2"/>
        <v>0</v>
      </c>
      <c r="M29" s="58">
        <f>'FS Seychelles'!B30</f>
        <v>80.599999999999994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5</v>
      </c>
      <c r="D30" s="1">
        <v>2021</v>
      </c>
      <c r="E30" s="12">
        <f>'Submetering '!O30+'Submetering '!P30+'Submetering '!Q30+'Submetering '!R30+'Submetering '!S30</f>
        <v>32194</v>
      </c>
      <c r="F30" s="11">
        <f>('FS Seychelles'!R31*'FS Seychelles'!S31)/TOTAL!E30</f>
        <v>0.26213952910480215</v>
      </c>
      <c r="G30" s="12">
        <f>'Submetering '!AB30</f>
        <v>320.48387096774195</v>
      </c>
      <c r="H30" s="11">
        <f t="shared" si="1"/>
        <v>18.899999999999999</v>
      </c>
      <c r="I30" s="12">
        <f>'FS Seychelles'!T31+'FS Seychelles'!V31+'FS Seychelles'!W31+'FS Seychelles'!X31</f>
        <v>418</v>
      </c>
      <c r="J30" s="11">
        <f t="shared" si="2"/>
        <v>0</v>
      </c>
      <c r="K30" s="29">
        <f>'Submetering '!Z30</f>
        <v>74</v>
      </c>
      <c r="L30" s="11">
        <f t="shared" si="2"/>
        <v>0</v>
      </c>
      <c r="M30" s="58">
        <f>'FS Seychelles'!B31</f>
        <v>76.81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5</v>
      </c>
      <c r="D31" s="1">
        <v>2021</v>
      </c>
      <c r="E31" s="12">
        <f>'Submetering '!O31+'Submetering '!P31+'Submetering '!Q31+'Submetering '!R31+'Submetering '!S31</f>
        <v>32644</v>
      </c>
      <c r="F31" s="11">
        <f>('FS Seychelles'!R32*'FS Seychelles'!S32)/TOTAL!E31</f>
        <v>0.25599191275578975</v>
      </c>
      <c r="G31" s="12">
        <f>'Submetering '!AB31</f>
        <v>320.48387096774195</v>
      </c>
      <c r="H31" s="11">
        <f t="shared" si="1"/>
        <v>18.899999999999999</v>
      </c>
      <c r="I31" s="12">
        <f>'FS Seychelles'!T32+'FS Seychelles'!V32+'FS Seychelles'!W32+'FS Seychelles'!X32</f>
        <v>453</v>
      </c>
      <c r="J31" s="11">
        <f t="shared" si="2"/>
        <v>0</v>
      </c>
      <c r="K31" s="29">
        <f>'Submetering '!Z31</f>
        <v>74</v>
      </c>
      <c r="L31" s="11">
        <f t="shared" si="2"/>
        <v>0</v>
      </c>
      <c r="M31" s="58">
        <f>'FS Seychelles'!B32</f>
        <v>71.88</v>
      </c>
    </row>
    <row r="32" spans="1:13" x14ac:dyDescent="0.25">
      <c r="A32" s="1" t="s">
        <v>13</v>
      </c>
      <c r="B32" s="14">
        <f t="shared" si="0"/>
        <v>31</v>
      </c>
      <c r="C32" s="11">
        <v>5</v>
      </c>
      <c r="D32" s="1">
        <v>2021</v>
      </c>
      <c r="E32" s="12">
        <f>'Submetering '!O32+'Submetering '!P32+'Submetering '!Q32+'Submetering '!R32+'Submetering '!S32</f>
        <v>31565</v>
      </c>
      <c r="F32" s="11">
        <f>('FS Seychelles'!R33*'FS Seychelles'!S33)/TOTAL!E32</f>
        <v>0.25643402502772056</v>
      </c>
      <c r="G32" s="12">
        <f>'Submetering '!AB32</f>
        <v>320.48387096774195</v>
      </c>
      <c r="H32" s="11">
        <f t="shared" si="1"/>
        <v>18.899999999999999</v>
      </c>
      <c r="I32" s="12">
        <f>'FS Seychelles'!T33+'FS Seychelles'!V33+'FS Seychelles'!W33+'FS Seychelles'!X33</f>
        <v>432</v>
      </c>
      <c r="J32" s="11">
        <f t="shared" si="2"/>
        <v>0</v>
      </c>
      <c r="K32" s="29">
        <f>'Submetering '!Z32</f>
        <v>62</v>
      </c>
      <c r="L32" s="11">
        <f t="shared" si="2"/>
        <v>0</v>
      </c>
      <c r="M32" s="58">
        <f>'FS Seychelles'!B33</f>
        <v>57.83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N1" workbookViewId="0">
      <selection activeCell="AB2" sqref="AB2:AB32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 x14ac:dyDescent="0.25">
      <c r="A2" s="1" t="s">
        <v>13</v>
      </c>
      <c r="B2" s="11">
        <v>1</v>
      </c>
      <c r="C2" s="11">
        <v>5</v>
      </c>
      <c r="D2" s="11">
        <v>2021</v>
      </c>
      <c r="E2" s="18">
        <f>'FS Seychelles'!B3</f>
        <v>45</v>
      </c>
      <c r="F2" s="18">
        <f>'FS Seychelles'!D3*1000</f>
        <v>3696.64</v>
      </c>
      <c r="G2" s="18">
        <f>'FS Seychelles'!E3*1000</f>
        <v>5747.2000000000007</v>
      </c>
      <c r="H2" s="18">
        <f>'FS Seychelles'!F3*1000</f>
        <v>5398.0160000000005</v>
      </c>
      <c r="I2" s="18">
        <f>'FS Seychelles'!G3*1000</f>
        <v>1838.848</v>
      </c>
      <c r="J2" s="18">
        <f>'FS Seychelles'!H3*1000</f>
        <v>3007.7440000000001</v>
      </c>
      <c r="K2" s="18">
        <f>'FS Seychelles'!I3*1000</f>
        <v>3032.8319999999999</v>
      </c>
      <c r="L2" s="18">
        <f>'FS Seychelles'!J3*1000</f>
        <v>1430.7840000000001</v>
      </c>
      <c r="M2" s="18">
        <f>'FS Seychelles'!K3*1000</f>
        <v>1749.2479999999998</v>
      </c>
      <c r="N2" s="18">
        <f>'FS Seychelles'!L3*1000</f>
        <v>3978.24</v>
      </c>
      <c r="O2" s="18">
        <f>'FS Seychelles'!M3</f>
        <v>0</v>
      </c>
      <c r="P2" s="18">
        <f>'FS Seychelles'!N3</f>
        <v>6868</v>
      </c>
      <c r="Q2" s="18">
        <f>'FS Seychelles'!O3</f>
        <v>7735</v>
      </c>
      <c r="R2" s="18">
        <f>'FS Seychelles'!P3</f>
        <v>11302</v>
      </c>
      <c r="S2" s="18">
        <f>'FS Seychelles'!Q3</f>
        <v>9171</v>
      </c>
      <c r="T2" s="18">
        <f>'FS Seychelles'!R3</f>
        <v>9278</v>
      </c>
      <c r="U2" s="18">
        <f>'FS Seychelles'!T3</f>
        <v>51</v>
      </c>
      <c r="V2" s="18">
        <f>'FS Seychelles'!U3</f>
        <v>47</v>
      </c>
      <c r="W2" s="18">
        <f>'FS Seychelles'!V3</f>
        <v>38</v>
      </c>
      <c r="X2" s="18">
        <f>'FS Seychelles'!W3</f>
        <v>77</v>
      </c>
      <c r="Y2" s="18">
        <f>'FS Seychelles'!X3</f>
        <v>144</v>
      </c>
      <c r="Z2" s="18">
        <f>'FS Seychelles'!Y3</f>
        <v>4</v>
      </c>
      <c r="AA2" s="18">
        <f>'FS Seychelles'!Z3</f>
        <v>0</v>
      </c>
      <c r="AB2" s="18">
        <f>('FS Seychelles'!$AC$10+'FS Seychelles'!$AC$15)/31</f>
        <v>320.48387096774195</v>
      </c>
    </row>
    <row r="3" spans="1:28" x14ac:dyDescent="0.25">
      <c r="A3" s="1" t="s">
        <v>13</v>
      </c>
      <c r="B3" s="11">
        <f>B2+1</f>
        <v>2</v>
      </c>
      <c r="C3" s="11">
        <v>5</v>
      </c>
      <c r="D3" s="11">
        <v>2021</v>
      </c>
      <c r="E3" s="18">
        <f>'FS Seychelles'!B4</f>
        <v>55.26</v>
      </c>
      <c r="F3" s="18">
        <f>'FS Seychelles'!D4*1000</f>
        <v>3937.7919999999999</v>
      </c>
      <c r="G3" s="18">
        <f>'FS Seychelles'!E4*1000</f>
        <v>5858.8159999999998</v>
      </c>
      <c r="H3" s="18">
        <f>'FS Seychelles'!F4*1000</f>
        <v>5402.1120000000001</v>
      </c>
      <c r="I3" s="18">
        <f>'FS Seychelles'!G4*1000</f>
        <v>1933.8240000000001</v>
      </c>
      <c r="J3" s="18">
        <f>'FS Seychelles'!H4*1000</f>
        <v>3232.2559999999999</v>
      </c>
      <c r="K3" s="18">
        <f>'FS Seychelles'!I4*1000</f>
        <v>3105.5360000000001</v>
      </c>
      <c r="L3" s="18">
        <f>'FS Seychelles'!J4*1000</f>
        <v>1304.576</v>
      </c>
      <c r="M3" s="18">
        <f>'FS Seychelles'!K4*1000</f>
        <v>1952.768</v>
      </c>
      <c r="N3" s="18">
        <f>'FS Seychelles'!L4*1000</f>
        <v>3857.92</v>
      </c>
      <c r="O3" s="18">
        <f>'FS Seychelles'!M4</f>
        <v>0</v>
      </c>
      <c r="P3" s="18">
        <f>'FS Seychelles'!N4</f>
        <v>9662</v>
      </c>
      <c r="Q3" s="18">
        <f>'FS Seychelles'!O4</f>
        <v>6534</v>
      </c>
      <c r="R3" s="18">
        <f>'FS Seychelles'!P4</f>
        <v>16187</v>
      </c>
      <c r="S3" s="18">
        <f>'FS Seychelles'!Q4</f>
        <v>0</v>
      </c>
      <c r="T3" s="18">
        <f>'FS Seychelles'!R4</f>
        <v>9129</v>
      </c>
      <c r="U3" s="18">
        <f>'FS Seychelles'!T4</f>
        <v>54</v>
      </c>
      <c r="V3" s="18">
        <f>'FS Seychelles'!U4</f>
        <v>26</v>
      </c>
      <c r="W3" s="18">
        <f>'FS Seychelles'!V4</f>
        <v>73</v>
      </c>
      <c r="X3" s="18">
        <f>'FS Seychelles'!W4</f>
        <v>101</v>
      </c>
      <c r="Y3" s="18">
        <f>'FS Seychelles'!X4</f>
        <v>147</v>
      </c>
      <c r="Z3" s="18">
        <f>'FS Seychelles'!Y4</f>
        <v>4</v>
      </c>
      <c r="AA3" s="18">
        <f>'FS Seychelles'!Z4</f>
        <v>0</v>
      </c>
      <c r="AB3" s="18">
        <f>('FS Seychelles'!$AC$10+'FS Seychelles'!$AC$15)/31</f>
        <v>320.48387096774195</v>
      </c>
    </row>
    <row r="4" spans="1:28" x14ac:dyDescent="0.25">
      <c r="A4" s="1" t="s">
        <v>13</v>
      </c>
      <c r="B4" s="11">
        <f t="shared" ref="B4:B32" si="0">B3+1</f>
        <v>3</v>
      </c>
      <c r="C4" s="11">
        <v>5</v>
      </c>
      <c r="D4" s="11">
        <v>2021</v>
      </c>
      <c r="E4" s="18">
        <f>'FS Seychelles'!B5</f>
        <v>52.63</v>
      </c>
      <c r="F4" s="18">
        <f>'FS Seychelles'!D5*1000</f>
        <v>3957.7599999999998</v>
      </c>
      <c r="G4" s="18">
        <f>'FS Seychelles'!E5*1000</f>
        <v>6141.4400000000005</v>
      </c>
      <c r="H4" s="18">
        <f>'FS Seychelles'!F5*1000</f>
        <v>5505.0239999999994</v>
      </c>
      <c r="I4" s="18">
        <f>'FS Seychelles'!G5*1000</f>
        <v>1950.9760000000001</v>
      </c>
      <c r="J4" s="18">
        <f>'FS Seychelles'!H5*1000</f>
        <v>3254.7840000000001</v>
      </c>
      <c r="K4" s="18">
        <f>'FS Seychelles'!I5*1000</f>
        <v>3238.9119999999998</v>
      </c>
      <c r="L4" s="18">
        <f>'FS Seychelles'!J5*1000</f>
        <v>1429.376</v>
      </c>
      <c r="M4" s="18">
        <f>'FS Seychelles'!K5*1000</f>
        <v>2088.192</v>
      </c>
      <c r="N4" s="18">
        <f>'FS Seychelles'!L5*1000</f>
        <v>4065.7919999999999</v>
      </c>
      <c r="O4" s="18">
        <f>'FS Seychelles'!M5</f>
        <v>0</v>
      </c>
      <c r="P4" s="18">
        <f>'FS Seychelles'!N5</f>
        <v>9674</v>
      </c>
      <c r="Q4" s="18">
        <f>'FS Seychelles'!O5</f>
        <v>6545</v>
      </c>
      <c r="R4" s="18">
        <f>'FS Seychelles'!P5</f>
        <v>9089</v>
      </c>
      <c r="S4" s="18">
        <f>'FS Seychelles'!Q5</f>
        <v>8865</v>
      </c>
      <c r="T4" s="18">
        <f>'FS Seychelles'!R5</f>
        <v>9522</v>
      </c>
      <c r="U4" s="18">
        <f>'FS Seychelles'!T5</f>
        <v>55</v>
      </c>
      <c r="V4" s="18">
        <f>'FS Seychelles'!U5</f>
        <v>20</v>
      </c>
      <c r="W4" s="18">
        <f>'FS Seychelles'!V5</f>
        <v>57</v>
      </c>
      <c r="X4" s="18">
        <f>'FS Seychelles'!W5</f>
        <v>87</v>
      </c>
      <c r="Y4" s="18">
        <f>'FS Seychelles'!X5</f>
        <v>129</v>
      </c>
      <c r="Z4" s="18">
        <f>'FS Seychelles'!Y5</f>
        <v>3</v>
      </c>
      <c r="AA4" s="18">
        <f>'FS Seychelles'!Z5</f>
        <v>0</v>
      </c>
      <c r="AB4" s="18">
        <f>('FS Seychelles'!$AC$10+'FS Seychelles'!$AC$15)/31</f>
        <v>320.48387096774195</v>
      </c>
    </row>
    <row r="5" spans="1:28" x14ac:dyDescent="0.25">
      <c r="A5" s="1" t="s">
        <v>13</v>
      </c>
      <c r="B5" s="11">
        <f t="shared" si="0"/>
        <v>4</v>
      </c>
      <c r="C5" s="11">
        <v>5</v>
      </c>
      <c r="D5" s="11">
        <v>2021</v>
      </c>
      <c r="E5" s="18">
        <f>'FS Seychelles'!B6</f>
        <v>60.53</v>
      </c>
      <c r="F5" s="18">
        <f>'FS Seychelles'!D6*1000</f>
        <v>2863.8720000000003</v>
      </c>
      <c r="G5" s="18">
        <f>'FS Seychelles'!E6*1000</f>
        <v>4583.9359999999997</v>
      </c>
      <c r="H5" s="18">
        <f>'FS Seychelles'!F6*1000</f>
        <v>4869.12</v>
      </c>
      <c r="I5" s="18">
        <f>'FS Seychelles'!G6*1000</f>
        <v>1531.904</v>
      </c>
      <c r="J5" s="18">
        <f>'FS Seychelles'!H6*1000</f>
        <v>2360.8319999999999</v>
      </c>
      <c r="K5" s="18">
        <f>'FS Seychelles'!I6*1000</f>
        <v>2352.64</v>
      </c>
      <c r="L5" s="18">
        <f>'FS Seychelles'!J6*1000</f>
        <v>1457.92</v>
      </c>
      <c r="M5" s="18">
        <f>'FS Seychelles'!K6*1000</f>
        <v>1623.296</v>
      </c>
      <c r="N5" s="18">
        <f>'FS Seychelles'!L6*1000</f>
        <v>3856.8959999999997</v>
      </c>
      <c r="O5" s="18">
        <f>'FS Seychelles'!M6</f>
        <v>0</v>
      </c>
      <c r="P5" s="18">
        <f>'FS Seychelles'!N6</f>
        <v>5980</v>
      </c>
      <c r="Q5" s="18">
        <f>'FS Seychelles'!O6</f>
        <v>11921</v>
      </c>
      <c r="R5" s="18">
        <f>'FS Seychelles'!P6</f>
        <v>7636</v>
      </c>
      <c r="S5" s="18">
        <f>'FS Seychelles'!Q6</f>
        <v>0</v>
      </c>
      <c r="T5" s="18">
        <f>'FS Seychelles'!R6</f>
        <v>7089</v>
      </c>
      <c r="U5" s="18">
        <f>'FS Seychelles'!T6</f>
        <v>53</v>
      </c>
      <c r="V5" s="18">
        <f>'FS Seychelles'!U6</f>
        <v>31</v>
      </c>
      <c r="W5" s="18">
        <f>'FS Seychelles'!V6</f>
        <v>106</v>
      </c>
      <c r="X5" s="18">
        <f>'FS Seychelles'!W6</f>
        <v>97</v>
      </c>
      <c r="Y5" s="18">
        <f>'FS Seychelles'!X6</f>
        <v>172</v>
      </c>
      <c r="Z5" s="18">
        <f>'FS Seychelles'!Y6</f>
        <v>62</v>
      </c>
      <c r="AA5" s="18">
        <f>'FS Seychelles'!Z6</f>
        <v>0</v>
      </c>
      <c r="AB5" s="18">
        <f>('FS Seychelles'!$AC$10+'FS Seychelles'!$AC$15)/31</f>
        <v>320.48387096774195</v>
      </c>
    </row>
    <row r="6" spans="1:28" x14ac:dyDescent="0.25">
      <c r="A6" s="1" t="s">
        <v>13</v>
      </c>
      <c r="B6" s="11">
        <f t="shared" si="0"/>
        <v>5</v>
      </c>
      <c r="C6" s="11">
        <v>5</v>
      </c>
      <c r="D6" s="11">
        <v>2021</v>
      </c>
      <c r="E6" s="18">
        <f>'FS Seychelles'!B7</f>
        <v>57.89</v>
      </c>
      <c r="F6" s="18">
        <f>'FS Seychelles'!D7*1000</f>
        <v>3833.0880000000002</v>
      </c>
      <c r="G6" s="18">
        <f>'FS Seychelles'!E7*1000</f>
        <v>5977.5999999999995</v>
      </c>
      <c r="H6" s="18">
        <f>'FS Seychelles'!F7*1000</f>
        <v>5429.76</v>
      </c>
      <c r="I6" s="18">
        <f>'FS Seychelles'!G7*1000</f>
        <v>1964.288</v>
      </c>
      <c r="J6" s="18">
        <f>'FS Seychelles'!H7*1000</f>
        <v>2927.8719999999998</v>
      </c>
      <c r="K6" s="18">
        <f>'FS Seychelles'!I7*1000</f>
        <v>2844.16</v>
      </c>
      <c r="L6" s="18">
        <f>'FS Seychelles'!J7*1000</f>
        <v>1472.768</v>
      </c>
      <c r="M6" s="18">
        <f>'FS Seychelles'!K7*1000</f>
        <v>1885.184</v>
      </c>
      <c r="N6" s="18">
        <f>'FS Seychelles'!L7*1000</f>
        <v>3951.616</v>
      </c>
      <c r="O6" s="18">
        <f>'FS Seychelles'!M7</f>
        <v>0</v>
      </c>
      <c r="P6" s="18">
        <f>'FS Seychelles'!N7</f>
        <v>9975</v>
      </c>
      <c r="Q6" s="18">
        <f>'FS Seychelles'!O7</f>
        <v>4629</v>
      </c>
      <c r="R6" s="18">
        <f>'FS Seychelles'!P7</f>
        <v>8474</v>
      </c>
      <c r="S6" s="18">
        <f>'FS Seychelles'!Q7</f>
        <v>8412</v>
      </c>
      <c r="T6" s="18">
        <f>'FS Seychelles'!R7</f>
        <v>8830</v>
      </c>
      <c r="U6" s="18">
        <f>'FS Seychelles'!T7</f>
        <v>57</v>
      </c>
      <c r="V6" s="18">
        <f>'FS Seychelles'!U7</f>
        <v>64</v>
      </c>
      <c r="W6" s="18">
        <f>'FS Seychelles'!V7</f>
        <v>72</v>
      </c>
      <c r="X6" s="18">
        <f>'FS Seychelles'!W7</f>
        <v>97</v>
      </c>
      <c r="Y6" s="18">
        <f>'FS Seychelles'!X7</f>
        <v>144</v>
      </c>
      <c r="Z6" s="18">
        <f>'FS Seychelles'!Y7</f>
        <v>91</v>
      </c>
      <c r="AA6" s="18">
        <f>'FS Seychelles'!Z7</f>
        <v>0</v>
      </c>
      <c r="AB6" s="18">
        <f>('FS Seychelles'!$AC$10+'FS Seychelles'!$AC$15)/31</f>
        <v>320.48387096774195</v>
      </c>
    </row>
    <row r="7" spans="1:28" x14ac:dyDescent="0.25">
      <c r="A7" s="1" t="s">
        <v>13</v>
      </c>
      <c r="B7" s="11">
        <f t="shared" si="0"/>
        <v>6</v>
      </c>
      <c r="C7" s="11">
        <v>5</v>
      </c>
      <c r="D7" s="11">
        <v>2021</v>
      </c>
      <c r="E7" s="18">
        <f>'FS Seychelles'!B8</f>
        <v>61.84</v>
      </c>
      <c r="F7" s="18">
        <f>'FS Seychelles'!D8*1000</f>
        <v>3860.48</v>
      </c>
      <c r="G7" s="18">
        <f>'FS Seychelles'!E8*1000</f>
        <v>6109.6959999999999</v>
      </c>
      <c r="H7" s="18">
        <f>'FS Seychelles'!F8*1000</f>
        <v>5585.4080000000004</v>
      </c>
      <c r="I7" s="18">
        <f>'FS Seychelles'!G8*1000</f>
        <v>1998.3359999999998</v>
      </c>
      <c r="J7" s="18">
        <f>'FS Seychelles'!H8*1000</f>
        <v>2898.9440000000004</v>
      </c>
      <c r="K7" s="18">
        <f>'FS Seychelles'!I8*1000</f>
        <v>3025.4079999999999</v>
      </c>
      <c r="L7" s="18">
        <f>'FS Seychelles'!J8*1000</f>
        <v>1424.5119999999999</v>
      </c>
      <c r="M7" s="18">
        <f>'FS Seychelles'!K8*1000</f>
        <v>1947.6480000000001</v>
      </c>
      <c r="N7" s="18">
        <f>'FS Seychelles'!L8*1000</f>
        <v>3880.96</v>
      </c>
      <c r="O7" s="18">
        <f>'FS Seychelles'!M8</f>
        <v>0</v>
      </c>
      <c r="P7" s="18">
        <f>'FS Seychelles'!N8</f>
        <v>10607</v>
      </c>
      <c r="Q7" s="18">
        <f>'FS Seychelles'!O8</f>
        <v>9131</v>
      </c>
      <c r="R7" s="18">
        <f>'FS Seychelles'!P8</f>
        <v>12870</v>
      </c>
      <c r="S7" s="18">
        <f>'FS Seychelles'!Q8</f>
        <v>11910</v>
      </c>
      <c r="T7" s="18">
        <f>'FS Seychelles'!R8</f>
        <v>12213</v>
      </c>
      <c r="U7" s="18">
        <f>'FS Seychelles'!T8</f>
        <v>58</v>
      </c>
      <c r="V7" s="18">
        <f>'FS Seychelles'!U8</f>
        <v>22</v>
      </c>
      <c r="W7" s="18">
        <f>'FS Seychelles'!V8</f>
        <v>78</v>
      </c>
      <c r="X7" s="18">
        <f>'FS Seychelles'!W8</f>
        <v>123</v>
      </c>
      <c r="Y7" s="18">
        <f>'FS Seychelles'!X8</f>
        <v>151</v>
      </c>
      <c r="Z7" s="18">
        <f>'FS Seychelles'!Y8</f>
        <v>46</v>
      </c>
      <c r="AA7" s="18">
        <f>'FS Seychelles'!Z8</f>
        <v>0</v>
      </c>
      <c r="AB7" s="18">
        <f>('FS Seychelles'!$AC$10+'FS Seychelles'!$AC$15)/31</f>
        <v>320.48387096774195</v>
      </c>
    </row>
    <row r="8" spans="1:28" x14ac:dyDescent="0.25">
      <c r="A8" s="1" t="s">
        <v>13</v>
      </c>
      <c r="B8" s="11">
        <f t="shared" si="0"/>
        <v>7</v>
      </c>
      <c r="C8" s="11">
        <v>5</v>
      </c>
      <c r="D8" s="11">
        <v>2021</v>
      </c>
      <c r="E8" s="18">
        <f>'FS Seychelles'!B9</f>
        <v>68.42</v>
      </c>
      <c r="F8" s="18">
        <f>'FS Seychelles'!D9*1000</f>
        <v>3935.4879999999998</v>
      </c>
      <c r="G8" s="18">
        <f>'FS Seychelles'!E9*1000</f>
        <v>6085.12</v>
      </c>
      <c r="H8" s="18">
        <f>'FS Seychelles'!F9*1000</f>
        <v>5732.3519999999999</v>
      </c>
      <c r="I8" s="18">
        <f>'FS Seychelles'!G9*1000</f>
        <v>1997.3119999999999</v>
      </c>
      <c r="J8" s="18">
        <f>'FS Seychelles'!H9*1000</f>
        <v>3079.1680000000001</v>
      </c>
      <c r="K8" s="18">
        <f>'FS Seychelles'!I9*1000</f>
        <v>2987.0079999999998</v>
      </c>
      <c r="L8" s="18">
        <f>'FS Seychelles'!J9*1000</f>
        <v>1345.5360000000001</v>
      </c>
      <c r="M8" s="18">
        <f>'FS Seychelles'!K9*1000</f>
        <v>1865.9840000000002</v>
      </c>
      <c r="N8" s="18">
        <f>'FS Seychelles'!L9*1000</f>
        <v>3770.3679999999999</v>
      </c>
      <c r="O8" s="18">
        <f>'FS Seychelles'!M9</f>
        <v>0</v>
      </c>
      <c r="P8" s="18">
        <f>'FS Seychelles'!N9</f>
        <v>12118</v>
      </c>
      <c r="Q8" s="18">
        <f>'FS Seychelles'!O9</f>
        <v>4235</v>
      </c>
      <c r="R8" s="18">
        <f>'FS Seychelles'!P9</f>
        <v>0</v>
      </c>
      <c r="S8" s="18">
        <f>'FS Seychelles'!Q9</f>
        <v>4539</v>
      </c>
      <c r="T8" s="18">
        <f>'FS Seychelles'!R9</f>
        <v>5597</v>
      </c>
      <c r="U8" s="18">
        <f>'FS Seychelles'!T9</f>
        <v>52</v>
      </c>
      <c r="V8" s="18">
        <f>'FS Seychelles'!U9</f>
        <v>19</v>
      </c>
      <c r="W8" s="18">
        <f>'FS Seychelles'!V9</f>
        <v>68</v>
      </c>
      <c r="X8" s="18">
        <f>'FS Seychelles'!W9</f>
        <v>108</v>
      </c>
      <c r="Y8" s="18">
        <f>'FS Seychelles'!X9</f>
        <v>186</v>
      </c>
      <c r="Z8" s="18">
        <f>'FS Seychelles'!Y9</f>
        <v>86</v>
      </c>
      <c r="AA8" s="18">
        <f>'FS Seychelles'!Z9</f>
        <v>0</v>
      </c>
      <c r="AB8" s="18">
        <f>('FS Seychelles'!$AC$10+'FS Seychelles'!$AC$15)/31</f>
        <v>320.48387096774195</v>
      </c>
    </row>
    <row r="9" spans="1:28" x14ac:dyDescent="0.25">
      <c r="A9" s="1" t="s">
        <v>13</v>
      </c>
      <c r="B9" s="11">
        <f t="shared" si="0"/>
        <v>8</v>
      </c>
      <c r="C9" s="11">
        <v>5</v>
      </c>
      <c r="D9" s="11">
        <v>2021</v>
      </c>
      <c r="E9" s="18">
        <f>'FS Seychelles'!B10</f>
        <v>69.73</v>
      </c>
      <c r="F9" s="18">
        <f>'FS Seychelles'!D10*1000</f>
        <v>3695.1040000000003</v>
      </c>
      <c r="G9" s="18">
        <f>'FS Seychelles'!E10*1000</f>
        <v>5480.4480000000003</v>
      </c>
      <c r="H9" s="18">
        <f>'FS Seychelles'!F10*1000</f>
        <v>5529.6</v>
      </c>
      <c r="I9" s="18">
        <f>'FS Seychelles'!G10*1000</f>
        <v>1905.152</v>
      </c>
      <c r="J9" s="18">
        <f>'FS Seychelles'!H10*1000</f>
        <v>2803.712</v>
      </c>
      <c r="K9" s="18">
        <f>'FS Seychelles'!I10*1000</f>
        <v>2879.7440000000001</v>
      </c>
      <c r="L9" s="18">
        <f>'FS Seychelles'!J10*1000</f>
        <v>1263.104</v>
      </c>
      <c r="M9" s="18">
        <f>'FS Seychelles'!K10*1000</f>
        <v>1869.056</v>
      </c>
      <c r="N9" s="18">
        <f>'FS Seychelles'!L10*1000</f>
        <v>3703.808</v>
      </c>
      <c r="O9" s="18">
        <f>'FS Seychelles'!M10</f>
        <v>0</v>
      </c>
      <c r="P9" s="18">
        <f>'FS Seychelles'!N10</f>
        <v>10401</v>
      </c>
      <c r="Q9" s="18">
        <f>'FS Seychelles'!O10</f>
        <v>5213</v>
      </c>
      <c r="R9" s="18">
        <f>'FS Seychelles'!P10</f>
        <v>11081</v>
      </c>
      <c r="S9" s="18">
        <f>'FS Seychelles'!Q10</f>
        <v>3792</v>
      </c>
      <c r="T9" s="18">
        <f>'FS Seychelles'!R10</f>
        <v>8514</v>
      </c>
      <c r="U9" s="18">
        <f>'FS Seychelles'!T10</f>
        <v>53</v>
      </c>
      <c r="V9" s="18">
        <f>'FS Seychelles'!U10</f>
        <v>23</v>
      </c>
      <c r="W9" s="18">
        <f>'FS Seychelles'!V10</f>
        <v>64</v>
      </c>
      <c r="X9" s="18">
        <f>'FS Seychelles'!W10</f>
        <v>155</v>
      </c>
      <c r="Y9" s="18">
        <f>'FS Seychelles'!X10</f>
        <v>163</v>
      </c>
      <c r="Z9" s="18">
        <f>'FS Seychelles'!Y10</f>
        <v>128</v>
      </c>
      <c r="AA9" s="18">
        <f>'FS Seychelles'!Z10</f>
        <v>0</v>
      </c>
      <c r="AB9" s="18">
        <f>('FS Seychelles'!$AC$10+'FS Seychelles'!$AC$15)/31</f>
        <v>320.48387096774195</v>
      </c>
    </row>
    <row r="10" spans="1:28" x14ac:dyDescent="0.25">
      <c r="A10" s="1" t="s">
        <v>13</v>
      </c>
      <c r="B10" s="11">
        <f t="shared" si="0"/>
        <v>9</v>
      </c>
      <c r="C10" s="11">
        <v>5</v>
      </c>
      <c r="D10" s="11">
        <v>2021</v>
      </c>
      <c r="E10" s="18">
        <f>'FS Seychelles'!B11</f>
        <v>64.47</v>
      </c>
      <c r="F10" s="18">
        <f>'FS Seychelles'!D11*1000</f>
        <v>2865.92</v>
      </c>
      <c r="G10" s="18">
        <f>'FS Seychelles'!E11*1000</f>
        <v>4255.7439999999997</v>
      </c>
      <c r="H10" s="18">
        <f>'FS Seychelles'!F11*1000</f>
        <v>4779.5199999999995</v>
      </c>
      <c r="I10" s="18">
        <f>'FS Seychelles'!G11*1000</f>
        <v>1413.8879999999999</v>
      </c>
      <c r="J10" s="18">
        <f>'FS Seychelles'!H11*1000</f>
        <v>2104.8319999999999</v>
      </c>
      <c r="K10" s="18">
        <f>'FS Seychelles'!I11*1000</f>
        <v>2213.8879999999999</v>
      </c>
      <c r="L10" s="18">
        <f>'FS Seychelles'!J11*1000</f>
        <v>1427.712</v>
      </c>
      <c r="M10" s="18">
        <f>'FS Seychelles'!K11*1000</f>
        <v>1426.432</v>
      </c>
      <c r="N10" s="18">
        <f>'FS Seychelles'!L11*1000</f>
        <v>3222.5280000000002</v>
      </c>
      <c r="O10" s="18">
        <f>'FS Seychelles'!M11</f>
        <v>0</v>
      </c>
      <c r="P10" s="18">
        <f>'FS Seychelles'!N11</f>
        <v>0</v>
      </c>
      <c r="Q10" s="18">
        <f>'FS Seychelles'!O11</f>
        <v>7612</v>
      </c>
      <c r="R10" s="18">
        <f>'FS Seychelles'!P11</f>
        <v>12353</v>
      </c>
      <c r="S10" s="18">
        <f>'FS Seychelles'!Q11</f>
        <v>1206</v>
      </c>
      <c r="T10" s="18">
        <f>'FS Seychelles'!R11</f>
        <v>6940</v>
      </c>
      <c r="U10" s="18">
        <f>'FS Seychelles'!T11</f>
        <v>49</v>
      </c>
      <c r="V10" s="18">
        <f>'FS Seychelles'!U11</f>
        <v>27</v>
      </c>
      <c r="W10" s="18">
        <f>'FS Seychelles'!V11</f>
        <v>54</v>
      </c>
      <c r="X10" s="18">
        <f>'FS Seychelles'!W11</f>
        <v>83</v>
      </c>
      <c r="Y10" s="18">
        <f>'FS Seychelles'!X11</f>
        <v>166</v>
      </c>
      <c r="Z10" s="18">
        <f>'FS Seychelles'!Y11</f>
        <v>74</v>
      </c>
      <c r="AA10" s="18">
        <f>'FS Seychelles'!Z11</f>
        <v>0</v>
      </c>
      <c r="AB10" s="18">
        <f>('FS Seychelles'!$AC$10+'FS Seychelles'!$AC$15)/31</f>
        <v>320.48387096774195</v>
      </c>
    </row>
    <row r="11" spans="1:28" x14ac:dyDescent="0.25">
      <c r="A11" s="1" t="s">
        <v>13</v>
      </c>
      <c r="B11" s="11">
        <f t="shared" si="0"/>
        <v>10</v>
      </c>
      <c r="C11" s="11">
        <v>5</v>
      </c>
      <c r="D11" s="11">
        <v>2021</v>
      </c>
      <c r="E11" s="18">
        <f>'FS Seychelles'!B12</f>
        <v>44.74</v>
      </c>
      <c r="F11" s="18">
        <f>'FS Seychelles'!D12*1000</f>
        <v>3297.0239999999999</v>
      </c>
      <c r="G11" s="18">
        <f>'FS Seychelles'!E12*1000</f>
        <v>5255.68</v>
      </c>
      <c r="H11" s="18">
        <f>'FS Seychelles'!F12*1000</f>
        <v>4993.0240000000003</v>
      </c>
      <c r="I11" s="18">
        <f>'FS Seychelles'!G12*1000</f>
        <v>1971.2</v>
      </c>
      <c r="J11" s="18">
        <f>'FS Seychelles'!H12*1000</f>
        <v>2560</v>
      </c>
      <c r="K11" s="18">
        <f>'FS Seychelles'!I12*1000</f>
        <v>2592.5120000000002</v>
      </c>
      <c r="L11" s="18">
        <f>'FS Seychelles'!J12*1000</f>
        <v>1486.9760000000001</v>
      </c>
      <c r="M11" s="18">
        <f>'FS Seychelles'!K12*1000</f>
        <v>1530.624</v>
      </c>
      <c r="N11" s="18">
        <f>'FS Seychelles'!L12*1000</f>
        <v>3783.68</v>
      </c>
      <c r="O11" s="18">
        <f>'FS Seychelles'!M12</f>
        <v>0</v>
      </c>
      <c r="P11" s="18">
        <f>'FS Seychelles'!N12</f>
        <v>8861</v>
      </c>
      <c r="Q11" s="18">
        <f>'FS Seychelles'!O12</f>
        <v>5932</v>
      </c>
      <c r="R11" s="18">
        <f>'FS Seychelles'!P12</f>
        <v>8844</v>
      </c>
      <c r="S11" s="18">
        <f>'FS Seychelles'!Q12</f>
        <v>5312</v>
      </c>
      <c r="T11" s="18">
        <f>'FS Seychelles'!R12</f>
        <v>7924</v>
      </c>
      <c r="U11" s="18">
        <f>'FS Seychelles'!T12</f>
        <v>55</v>
      </c>
      <c r="V11" s="18">
        <f>'FS Seychelles'!U12</f>
        <v>28.266666666666666</v>
      </c>
      <c r="W11" s="18">
        <f>'FS Seychelles'!V12</f>
        <v>72.733333333333334</v>
      </c>
      <c r="X11" s="18">
        <f>'FS Seychelles'!W12</f>
        <v>122.6</v>
      </c>
      <c r="Y11" s="18">
        <f>'FS Seychelles'!X12</f>
        <v>143.4</v>
      </c>
      <c r="Z11" s="18">
        <f>'FS Seychelles'!Y12</f>
        <v>75.566666666666663</v>
      </c>
      <c r="AA11" s="18">
        <f>'FS Seychelles'!Z12</f>
        <v>0</v>
      </c>
      <c r="AB11" s="18">
        <f>('FS Seychelles'!$AC$10+'FS Seychelles'!$AC$15)/31</f>
        <v>320.48387096774195</v>
      </c>
    </row>
    <row r="12" spans="1:28" x14ac:dyDescent="0.25">
      <c r="A12" s="1" t="s">
        <v>13</v>
      </c>
      <c r="B12" s="11">
        <f t="shared" si="0"/>
        <v>11</v>
      </c>
      <c r="C12" s="11">
        <v>5</v>
      </c>
      <c r="D12" s="11">
        <v>2021</v>
      </c>
      <c r="E12" s="18">
        <f>'FS Seychelles'!B13</f>
        <v>46.05</v>
      </c>
      <c r="F12" s="18">
        <f>'FS Seychelles'!D13*1000</f>
        <v>3480.576</v>
      </c>
      <c r="G12" s="18">
        <f>'FS Seychelles'!E13*1000</f>
        <v>5673.4720000000007</v>
      </c>
      <c r="H12" s="18">
        <f>'FS Seychelles'!F13*1000</f>
        <v>5223.9359999999997</v>
      </c>
      <c r="I12" s="18">
        <f>'FS Seychelles'!G13*1000</f>
        <v>2280.192</v>
      </c>
      <c r="J12" s="18">
        <f>'FS Seychelles'!H13*1000</f>
        <v>2705.92</v>
      </c>
      <c r="K12" s="18">
        <f>'FS Seychelles'!I13*1000</f>
        <v>2765.5680000000002</v>
      </c>
      <c r="L12" s="18">
        <f>'FS Seychelles'!J13*1000</f>
        <v>1421.184</v>
      </c>
      <c r="M12" s="18">
        <f>'FS Seychelles'!K13*1000</f>
        <v>1713.152</v>
      </c>
      <c r="N12" s="18">
        <f>'FS Seychelles'!L13*1000</f>
        <v>3790.3359999999998</v>
      </c>
      <c r="O12" s="18">
        <f>'FS Seychelles'!M13</f>
        <v>0</v>
      </c>
      <c r="P12" s="18">
        <f>'FS Seychelles'!N13</f>
        <v>10450</v>
      </c>
      <c r="Q12" s="18">
        <f>'FS Seychelles'!O13</f>
        <v>5287</v>
      </c>
      <c r="R12" s="18">
        <f>'FS Seychelles'!P13</f>
        <v>10291</v>
      </c>
      <c r="S12" s="18">
        <f>'FS Seychelles'!Q13</f>
        <v>4480</v>
      </c>
      <c r="T12" s="18">
        <f>'FS Seychelles'!R13</f>
        <v>8504</v>
      </c>
      <c r="U12" s="18">
        <f>'FS Seychelles'!T13</f>
        <v>55</v>
      </c>
      <c r="V12" s="18">
        <f>'FS Seychelles'!U13</f>
        <v>36</v>
      </c>
      <c r="W12" s="18">
        <f>'FS Seychelles'!V13</f>
        <v>67</v>
      </c>
      <c r="X12" s="18">
        <f>'FS Seychelles'!W13</f>
        <v>118</v>
      </c>
      <c r="Y12" s="18">
        <f>'FS Seychelles'!X13</f>
        <v>130</v>
      </c>
      <c r="Z12" s="18">
        <f>'FS Seychelles'!Y13</f>
        <v>52</v>
      </c>
      <c r="AA12" s="18">
        <f>'FS Seychelles'!Z13</f>
        <v>0</v>
      </c>
      <c r="AB12" s="18">
        <f>('FS Seychelles'!$AC$10+'FS Seychelles'!$AC$15)/31</f>
        <v>320.48387096774195</v>
      </c>
    </row>
    <row r="13" spans="1:28" x14ac:dyDescent="0.25">
      <c r="A13" s="1" t="s">
        <v>13</v>
      </c>
      <c r="B13" s="11">
        <f t="shared" si="0"/>
        <v>12</v>
      </c>
      <c r="C13" s="11">
        <v>5</v>
      </c>
      <c r="D13" s="11">
        <v>2021</v>
      </c>
      <c r="E13" s="18">
        <f>'FS Seychelles'!B14</f>
        <v>49.38</v>
      </c>
      <c r="F13" s="18">
        <f>'FS Seychelles'!D14*1000</f>
        <v>3120.8960000000002</v>
      </c>
      <c r="G13" s="18">
        <f>'FS Seychelles'!E14*1000</f>
        <v>5237.7599999999993</v>
      </c>
      <c r="H13" s="18">
        <f>'FS Seychelles'!F14*1000</f>
        <v>4879.3600000000006</v>
      </c>
      <c r="I13" s="18">
        <f>'FS Seychelles'!G14*1000</f>
        <v>1940.992</v>
      </c>
      <c r="J13" s="18">
        <f>'FS Seychelles'!H14*1000</f>
        <v>2387.4559999999997</v>
      </c>
      <c r="K13" s="18">
        <f>'FS Seychelles'!I14*1000</f>
        <v>2686.9760000000001</v>
      </c>
      <c r="L13" s="18">
        <f>'FS Seychelles'!J14*1000</f>
        <v>1104.768</v>
      </c>
      <c r="M13" s="18">
        <f>'FS Seychelles'!K14*1000</f>
        <v>1818.1119999999999</v>
      </c>
      <c r="N13" s="18">
        <f>'FS Seychelles'!L14*1000</f>
        <v>3215.36</v>
      </c>
      <c r="O13" s="18">
        <f>'FS Seychelles'!M14</f>
        <v>0</v>
      </c>
      <c r="P13" s="18">
        <f>'FS Seychelles'!N14</f>
        <v>8642</v>
      </c>
      <c r="Q13" s="18">
        <f>'FS Seychelles'!O14</f>
        <v>9897</v>
      </c>
      <c r="R13" s="18">
        <f>'FS Seychelles'!P14</f>
        <v>9508</v>
      </c>
      <c r="S13" s="18">
        <f>'FS Seychelles'!Q14</f>
        <v>8701</v>
      </c>
      <c r="T13" s="18">
        <f>'FS Seychelles'!R14</f>
        <v>10102</v>
      </c>
      <c r="U13" s="18">
        <f>'FS Seychelles'!T14</f>
        <v>50</v>
      </c>
      <c r="V13" s="18">
        <f>'FS Seychelles'!U14</f>
        <v>0</v>
      </c>
      <c r="W13" s="18">
        <f>'FS Seychelles'!V14</f>
        <v>88</v>
      </c>
      <c r="X13" s="18">
        <f>'FS Seychelles'!W14</f>
        <v>120</v>
      </c>
      <c r="Y13" s="18">
        <f>'FS Seychelles'!X14</f>
        <v>130</v>
      </c>
      <c r="Z13" s="18">
        <f>'FS Seychelles'!Y14</f>
        <v>136</v>
      </c>
      <c r="AA13" s="18">
        <f>'FS Seychelles'!Z14</f>
        <v>0</v>
      </c>
      <c r="AB13" s="18">
        <f>('FS Seychelles'!$AC$10+'FS Seychelles'!$AC$15)/31</f>
        <v>320.48387096774195</v>
      </c>
    </row>
    <row r="14" spans="1:28" x14ac:dyDescent="0.25">
      <c r="A14" s="1" t="s">
        <v>13</v>
      </c>
      <c r="B14" s="11">
        <f t="shared" si="0"/>
        <v>13</v>
      </c>
      <c r="C14" s="11">
        <v>5</v>
      </c>
      <c r="D14" s="11">
        <v>2021</v>
      </c>
      <c r="E14" s="18">
        <f>'FS Seychelles'!B15</f>
        <v>53.66</v>
      </c>
      <c r="F14" s="18">
        <f>'FS Seychelles'!D15*1000</f>
        <v>3030.7840000000001</v>
      </c>
      <c r="G14" s="18">
        <f>'FS Seychelles'!E15*1000</f>
        <v>4752.384</v>
      </c>
      <c r="H14" s="18">
        <f>'FS Seychelles'!F15*1000</f>
        <v>4838.3999999999996</v>
      </c>
      <c r="I14" s="18">
        <f>'FS Seychelles'!G15*1000</f>
        <v>1735.424</v>
      </c>
      <c r="J14" s="18">
        <f>'FS Seychelles'!H15*1000</f>
        <v>2228.2240000000002</v>
      </c>
      <c r="K14" s="18">
        <f>'FS Seychelles'!I15*1000</f>
        <v>2393.8559999999998</v>
      </c>
      <c r="L14" s="18">
        <f>'FS Seychelles'!J15*1000</f>
        <v>1463.2959999999998</v>
      </c>
      <c r="M14" s="18">
        <f>'FS Seychelles'!K15*1000</f>
        <v>1476.096</v>
      </c>
      <c r="N14" s="18">
        <f>'FS Seychelles'!L15*1000</f>
        <v>3775.4880000000003</v>
      </c>
      <c r="O14" s="18">
        <f>'FS Seychelles'!M15</f>
        <v>0</v>
      </c>
      <c r="P14" s="18">
        <f>'FS Seychelles'!N15</f>
        <v>0</v>
      </c>
      <c r="Q14" s="18">
        <f>'FS Seychelles'!O15</f>
        <v>5031</v>
      </c>
      <c r="R14" s="18">
        <f>'FS Seychelles'!P15</f>
        <v>14068</v>
      </c>
      <c r="S14" s="18">
        <f>'FS Seychelles'!Q15</f>
        <v>0</v>
      </c>
      <c r="T14" s="18">
        <f>'FS Seychelles'!R15</f>
        <v>5633</v>
      </c>
      <c r="U14" s="18">
        <f>'FS Seychelles'!T15</f>
        <v>54</v>
      </c>
      <c r="V14" s="18">
        <f>'FS Seychelles'!U15</f>
        <v>46</v>
      </c>
      <c r="W14" s="18">
        <f>'FS Seychelles'!V15</f>
        <v>96</v>
      </c>
      <c r="X14" s="18">
        <f>'FS Seychelles'!W15</f>
        <v>86</v>
      </c>
      <c r="Y14" s="18">
        <f>'FS Seychelles'!X15</f>
        <v>127</v>
      </c>
      <c r="Z14" s="18">
        <f>'FS Seychelles'!Y15</f>
        <v>74</v>
      </c>
      <c r="AA14" s="18">
        <f>'FS Seychelles'!Z15</f>
        <v>0</v>
      </c>
      <c r="AB14" s="18">
        <f>('FS Seychelles'!$AC$10+'FS Seychelles'!$AC$15)/31</f>
        <v>320.48387096774195</v>
      </c>
    </row>
    <row r="15" spans="1:28" x14ac:dyDescent="0.25">
      <c r="A15" s="1" t="s">
        <v>13</v>
      </c>
      <c r="B15" s="11">
        <f t="shared" si="0"/>
        <v>14</v>
      </c>
      <c r="C15" s="11">
        <v>5</v>
      </c>
      <c r="D15" s="11">
        <v>2021</v>
      </c>
      <c r="E15" s="18">
        <f>'FS Seychelles'!B16</f>
        <v>50.6</v>
      </c>
      <c r="F15" s="18">
        <f>'FS Seychelles'!D16*1000</f>
        <v>3419.136</v>
      </c>
      <c r="G15" s="18">
        <f>'FS Seychelles'!E16*1000</f>
        <v>5716.48</v>
      </c>
      <c r="H15" s="18">
        <f>'FS Seychelles'!F16*1000</f>
        <v>5091.84</v>
      </c>
      <c r="I15" s="18">
        <f>'FS Seychelles'!G16*1000</f>
        <v>2044.6719999999998</v>
      </c>
      <c r="J15" s="18">
        <f>'FS Seychelles'!H16*1000</f>
        <v>2620.9280000000003</v>
      </c>
      <c r="K15" s="18">
        <f>'FS Seychelles'!I16*1000</f>
        <v>2776.0639999999999</v>
      </c>
      <c r="L15" s="18">
        <f>'FS Seychelles'!J16*1000</f>
        <v>1112.0639999999999</v>
      </c>
      <c r="M15" s="18">
        <f>'FS Seychelles'!K16*1000</f>
        <v>1636.864</v>
      </c>
      <c r="N15" s="18">
        <f>'FS Seychelles'!L16*1000</f>
        <v>3266.0480000000002</v>
      </c>
      <c r="O15" s="18">
        <f>'FS Seychelles'!M16</f>
        <v>0</v>
      </c>
      <c r="P15" s="18">
        <f>'FS Seychelles'!N16</f>
        <v>8555</v>
      </c>
      <c r="Q15" s="18">
        <f>'FS Seychelles'!O16</f>
        <v>12766</v>
      </c>
      <c r="R15" s="18">
        <f>'FS Seychelles'!P16</f>
        <v>2202</v>
      </c>
      <c r="S15" s="18">
        <f>'FS Seychelles'!Q16</f>
        <v>1651</v>
      </c>
      <c r="T15" s="18">
        <f>'FS Seychelles'!R16</f>
        <v>12217</v>
      </c>
      <c r="U15" s="18">
        <f>'FS Seychelles'!T16</f>
        <v>55</v>
      </c>
      <c r="V15" s="18">
        <f>'FS Seychelles'!U16</f>
        <v>23</v>
      </c>
      <c r="W15" s="18">
        <f>'FS Seychelles'!V16</f>
        <v>93</v>
      </c>
      <c r="X15" s="18">
        <f>'FS Seychelles'!W16</f>
        <v>113</v>
      </c>
      <c r="Y15" s="18">
        <f>'FS Seychelles'!X16</f>
        <v>123</v>
      </c>
      <c r="Z15" s="18">
        <f>'FS Seychelles'!Y16</f>
        <v>129</v>
      </c>
      <c r="AA15" s="18">
        <f>'FS Seychelles'!Z16</f>
        <v>0</v>
      </c>
      <c r="AB15" s="18">
        <f>('FS Seychelles'!$AC$10+'FS Seychelles'!$AC$15)/31</f>
        <v>320.48387096774195</v>
      </c>
    </row>
    <row r="16" spans="1:28" x14ac:dyDescent="0.25">
      <c r="A16" s="1" t="s">
        <v>13</v>
      </c>
      <c r="B16" s="11">
        <f t="shared" si="0"/>
        <v>15</v>
      </c>
      <c r="C16" s="11">
        <v>5</v>
      </c>
      <c r="D16" s="11">
        <v>2021</v>
      </c>
      <c r="E16" s="18">
        <f>'FS Seychelles'!B17</f>
        <v>39.76</v>
      </c>
      <c r="F16" s="18">
        <f>'FS Seychelles'!D17*1000</f>
        <v>3535.616</v>
      </c>
      <c r="G16" s="18">
        <f>'FS Seychelles'!E17*1000</f>
        <v>5509.6319999999996</v>
      </c>
      <c r="H16" s="18">
        <f>'FS Seychelles'!F17*1000</f>
        <v>5007.3600000000006</v>
      </c>
      <c r="I16" s="18">
        <f>'FS Seychelles'!G17*1000</f>
        <v>2085.6320000000001</v>
      </c>
      <c r="J16" s="18">
        <f>'FS Seychelles'!H17*1000</f>
        <v>2461.44</v>
      </c>
      <c r="K16" s="18">
        <f>'FS Seychelles'!I17*1000</f>
        <v>2847.4879999999998</v>
      </c>
      <c r="L16" s="18">
        <f>'FS Seychelles'!J17*1000</f>
        <v>1236.864</v>
      </c>
      <c r="M16" s="18">
        <f>'FS Seychelles'!K17*1000</f>
        <v>1770.4960000000001</v>
      </c>
      <c r="N16" s="18">
        <f>'FS Seychelles'!L17*1000</f>
        <v>3493.3760000000002</v>
      </c>
      <c r="O16" s="18">
        <f>'FS Seychelles'!M17</f>
        <v>0</v>
      </c>
      <c r="P16" s="18">
        <f>'FS Seychelles'!N17</f>
        <v>8208</v>
      </c>
      <c r="Q16" s="18">
        <f>'FS Seychelles'!O17</f>
        <v>5537</v>
      </c>
      <c r="R16" s="18">
        <f>'FS Seychelles'!P17</f>
        <v>9965</v>
      </c>
      <c r="S16" s="18">
        <f>'FS Seychelles'!Q17</f>
        <v>5729</v>
      </c>
      <c r="T16" s="18">
        <f>'FS Seychelles'!R17</f>
        <v>8337</v>
      </c>
      <c r="U16" s="18">
        <f>'FS Seychelles'!T17</f>
        <v>52</v>
      </c>
      <c r="V16" s="18">
        <f>'FS Seychelles'!U17</f>
        <v>2</v>
      </c>
      <c r="W16" s="18">
        <f>'FS Seychelles'!V17</f>
        <v>58</v>
      </c>
      <c r="X16" s="18">
        <f>'FS Seychelles'!W17</f>
        <v>92</v>
      </c>
      <c r="Y16" s="18">
        <f>'FS Seychelles'!X17</f>
        <v>135</v>
      </c>
      <c r="Z16" s="18">
        <f>'FS Seychelles'!Y17</f>
        <v>91</v>
      </c>
      <c r="AA16" s="18">
        <f>'FS Seychelles'!Z17</f>
        <v>0</v>
      </c>
      <c r="AB16" s="18">
        <f>('FS Seychelles'!$AC$10+'FS Seychelles'!$AC$15)/31</f>
        <v>320.48387096774195</v>
      </c>
    </row>
    <row r="17" spans="1:28" x14ac:dyDescent="0.25">
      <c r="A17" s="1" t="s">
        <v>13</v>
      </c>
      <c r="B17" s="11">
        <f t="shared" si="0"/>
        <v>16</v>
      </c>
      <c r="C17" s="11">
        <v>5</v>
      </c>
      <c r="D17" s="11">
        <v>2021</v>
      </c>
      <c r="E17" s="18">
        <f>'FS Seychelles'!B18</f>
        <v>34.15</v>
      </c>
      <c r="F17" s="18">
        <f>'FS Seychelles'!D18*1000</f>
        <v>3416.8319999999999</v>
      </c>
      <c r="G17" s="18">
        <f>'FS Seychelles'!E18*1000</f>
        <v>5340.16</v>
      </c>
      <c r="H17" s="18">
        <f>'FS Seychelles'!F18*1000</f>
        <v>4858.3679999999995</v>
      </c>
      <c r="I17" s="18">
        <f>'FS Seychelles'!G18*1000</f>
        <v>1989.6320000000001</v>
      </c>
      <c r="J17" s="18">
        <f>'FS Seychelles'!H18*1000</f>
        <v>2435.5839999999998</v>
      </c>
      <c r="K17" s="18">
        <f>'FS Seychelles'!I18*1000</f>
        <v>3169.0239999999999</v>
      </c>
      <c r="L17" s="18">
        <f>'FS Seychelles'!J18*1000</f>
        <v>1242.7520000000002</v>
      </c>
      <c r="M17" s="18">
        <f>'FS Seychelles'!K18*1000</f>
        <v>1730.3040000000001</v>
      </c>
      <c r="N17" s="18">
        <f>'FS Seychelles'!L18*1000</f>
        <v>3547.6480000000001</v>
      </c>
      <c r="O17" s="18">
        <f>'FS Seychelles'!M18</f>
        <v>0</v>
      </c>
      <c r="P17" s="18">
        <f>'FS Seychelles'!N18</f>
        <v>9576</v>
      </c>
      <c r="Q17" s="18">
        <f>'FS Seychelles'!O18</f>
        <v>5268</v>
      </c>
      <c r="R17" s="18">
        <f>'FS Seychelles'!P18</f>
        <v>9560</v>
      </c>
      <c r="S17" s="18">
        <f>'FS Seychelles'!Q18</f>
        <v>4394</v>
      </c>
      <c r="T17" s="18">
        <f>'FS Seychelles'!R18</f>
        <v>7735</v>
      </c>
      <c r="U17" s="18">
        <f>'FS Seychelles'!T18</f>
        <v>52</v>
      </c>
      <c r="V17" s="18">
        <f>'FS Seychelles'!U18</f>
        <v>32</v>
      </c>
      <c r="W17" s="18">
        <f>'FS Seychelles'!V18</f>
        <v>41</v>
      </c>
      <c r="X17" s="18">
        <f>'FS Seychelles'!W18</f>
        <v>91</v>
      </c>
      <c r="Y17" s="18">
        <f>'FS Seychelles'!X18</f>
        <v>142</v>
      </c>
      <c r="Z17" s="18">
        <f>'FS Seychelles'!Y18</f>
        <v>2</v>
      </c>
      <c r="AA17" s="18">
        <f>'FS Seychelles'!Z18</f>
        <v>0</v>
      </c>
      <c r="AB17" s="18">
        <f>('FS Seychelles'!$AC$10+'FS Seychelles'!$AC$15)/31</f>
        <v>320.48387096774195</v>
      </c>
    </row>
    <row r="18" spans="1:28" x14ac:dyDescent="0.25">
      <c r="A18" s="1" t="s">
        <v>13</v>
      </c>
      <c r="B18" s="11">
        <f t="shared" si="0"/>
        <v>17</v>
      </c>
      <c r="C18" s="11">
        <v>5</v>
      </c>
      <c r="D18" s="11">
        <v>2021</v>
      </c>
      <c r="E18" s="18">
        <f>'FS Seychelles'!B19</f>
        <v>37.659999999999997</v>
      </c>
      <c r="F18" s="18">
        <f>'FS Seychelles'!D19*1000</f>
        <v>3055.8719999999998</v>
      </c>
      <c r="G18" s="18">
        <f>'FS Seychelles'!E19*1000</f>
        <v>4738.5599999999995</v>
      </c>
      <c r="H18" s="18">
        <f>'FS Seychelles'!F19*1000</f>
        <v>4844.0320000000002</v>
      </c>
      <c r="I18" s="18">
        <f>'FS Seychelles'!G19*1000</f>
        <v>1752.0640000000001</v>
      </c>
      <c r="J18" s="18">
        <f>'FS Seychelles'!H19*1000</f>
        <v>2355.9679999999998</v>
      </c>
      <c r="K18" s="18">
        <f>'FS Seychelles'!I19*1000</f>
        <v>2806.0160000000001</v>
      </c>
      <c r="L18" s="18">
        <f>'FS Seychelles'!J19*1000</f>
        <v>1317.3760000000002</v>
      </c>
      <c r="M18" s="18">
        <f>'FS Seychelles'!K19*1000</f>
        <v>1815.5520000000001</v>
      </c>
      <c r="N18" s="18">
        <f>'FS Seychelles'!L19*1000</f>
        <v>3580.9279999999999</v>
      </c>
      <c r="O18" s="18">
        <f>'FS Seychelles'!M19</f>
        <v>0</v>
      </c>
      <c r="P18" s="18">
        <f>'FS Seychelles'!N19</f>
        <v>8568</v>
      </c>
      <c r="Q18" s="18">
        <f>'FS Seychelles'!O19</f>
        <v>5487</v>
      </c>
      <c r="R18" s="18">
        <f>'FS Seychelles'!P19</f>
        <v>8666</v>
      </c>
      <c r="S18" s="18">
        <f>'FS Seychelles'!Q19</f>
        <v>4656</v>
      </c>
      <c r="T18" s="18">
        <f>'FS Seychelles'!R19</f>
        <v>7699</v>
      </c>
      <c r="U18" s="18">
        <f>'FS Seychelles'!T19</f>
        <v>50</v>
      </c>
      <c r="V18" s="18">
        <f>'FS Seychelles'!U19</f>
        <v>34</v>
      </c>
      <c r="W18" s="18">
        <f>'FS Seychelles'!V19</f>
        <v>34</v>
      </c>
      <c r="X18" s="18">
        <f>'FS Seychelles'!W19</f>
        <v>121</v>
      </c>
      <c r="Y18" s="18">
        <f>'FS Seychelles'!X19</f>
        <v>133</v>
      </c>
      <c r="Z18" s="18">
        <f>'FS Seychelles'!Y19</f>
        <v>121</v>
      </c>
      <c r="AA18" s="18">
        <f>'FS Seychelles'!Z19</f>
        <v>0</v>
      </c>
      <c r="AB18" s="18">
        <f>('FS Seychelles'!$AC$10+'FS Seychelles'!$AC$15)/31</f>
        <v>320.48387096774195</v>
      </c>
    </row>
    <row r="19" spans="1:28" x14ac:dyDescent="0.25">
      <c r="A19" s="1" t="s">
        <v>13</v>
      </c>
      <c r="B19" s="11">
        <f t="shared" si="0"/>
        <v>18</v>
      </c>
      <c r="C19" s="11">
        <v>5</v>
      </c>
      <c r="D19" s="11">
        <v>2021</v>
      </c>
      <c r="E19" s="18">
        <f>'FS Seychelles'!B20</f>
        <v>44.56</v>
      </c>
      <c r="F19" s="18">
        <f>'FS Seychelles'!D20*1000</f>
        <v>3398.6559999999999</v>
      </c>
      <c r="G19" s="18">
        <f>'FS Seychelles'!E20*1000</f>
        <v>5308.9279999999999</v>
      </c>
      <c r="H19" s="18">
        <f>'FS Seychelles'!F20*1000</f>
        <v>5060.6080000000002</v>
      </c>
      <c r="I19" s="18">
        <f>'FS Seychelles'!G20*1000</f>
        <v>2215.6799999999998</v>
      </c>
      <c r="J19" s="18">
        <f>'FS Seychelles'!H20*1000</f>
        <v>2541.5679999999998</v>
      </c>
      <c r="K19" s="18">
        <f>'FS Seychelles'!I20*1000</f>
        <v>3051.7759999999998</v>
      </c>
      <c r="L19" s="18">
        <f>'FS Seychelles'!J20*1000</f>
        <v>1361.664</v>
      </c>
      <c r="M19" s="18">
        <f>'FS Seychelles'!K20*1000</f>
        <v>1653.76</v>
      </c>
      <c r="N19" s="18">
        <f>'FS Seychelles'!L20*1000</f>
        <v>3800.576</v>
      </c>
      <c r="O19" s="18">
        <f>'FS Seychelles'!M20</f>
        <v>0</v>
      </c>
      <c r="P19" s="18">
        <f>'FS Seychelles'!N20</f>
        <v>10492</v>
      </c>
      <c r="Q19" s="18">
        <f>'FS Seychelles'!O20</f>
        <v>4958</v>
      </c>
      <c r="R19" s="18">
        <f>'FS Seychelles'!P20</f>
        <v>9514</v>
      </c>
      <c r="S19" s="18">
        <f>'FS Seychelles'!Q20</f>
        <v>4649</v>
      </c>
      <c r="T19" s="18">
        <f>'FS Seychelles'!R20</f>
        <v>8238</v>
      </c>
      <c r="U19" s="18">
        <f>'FS Seychelles'!T20</f>
        <v>48</v>
      </c>
      <c r="V19" s="18">
        <f>'FS Seychelles'!U20</f>
        <v>14</v>
      </c>
      <c r="W19" s="18">
        <f>'FS Seychelles'!V20</f>
        <v>41</v>
      </c>
      <c r="X19" s="18">
        <f>'FS Seychelles'!W20</f>
        <v>129</v>
      </c>
      <c r="Y19" s="18">
        <f>'FS Seychelles'!X20</f>
        <v>153</v>
      </c>
      <c r="Z19" s="18">
        <f>'FS Seychelles'!Y20</f>
        <v>35</v>
      </c>
      <c r="AA19" s="18">
        <f>'FS Seychelles'!Z20</f>
        <v>0</v>
      </c>
      <c r="AB19" s="18">
        <f>('FS Seychelles'!$AC$10+'FS Seychelles'!$AC$15)/31</f>
        <v>320.48387096774195</v>
      </c>
    </row>
    <row r="20" spans="1:28" x14ac:dyDescent="0.25">
      <c r="A20" s="1" t="s">
        <v>13</v>
      </c>
      <c r="B20" s="11">
        <f t="shared" si="0"/>
        <v>19</v>
      </c>
      <c r="C20" s="11">
        <v>5</v>
      </c>
      <c r="D20" s="11">
        <v>2021</v>
      </c>
      <c r="E20" s="18">
        <f>'FS Seychelles'!B21</f>
        <v>44.16</v>
      </c>
      <c r="F20" s="18">
        <f>'FS Seychelles'!D21*1000</f>
        <v>3412.48</v>
      </c>
      <c r="G20" s="18">
        <f>'FS Seychelles'!E21*1000</f>
        <v>5444.6079999999993</v>
      </c>
      <c r="H20" s="18">
        <f>'FS Seychelles'!F21*1000</f>
        <v>5240.32</v>
      </c>
      <c r="I20" s="18">
        <f>'FS Seychelles'!G21*1000</f>
        <v>2151.9360000000001</v>
      </c>
      <c r="J20" s="18">
        <f>'FS Seychelles'!H21*1000</f>
        <v>2656.768</v>
      </c>
      <c r="K20" s="18">
        <f>'FS Seychelles'!I21*1000</f>
        <v>3118.848</v>
      </c>
      <c r="L20" s="18">
        <f>'FS Seychelles'!J21*1000</f>
        <v>1352.8320000000001</v>
      </c>
      <c r="M20" s="18">
        <f>'FS Seychelles'!K21*1000</f>
        <v>1929.7280000000001</v>
      </c>
      <c r="N20" s="18">
        <f>'FS Seychelles'!L21*1000</f>
        <v>3721.2159999999999</v>
      </c>
      <c r="O20" s="18">
        <f>'FS Seychelles'!M21</f>
        <v>0</v>
      </c>
      <c r="P20" s="18">
        <f>'FS Seychelles'!N21</f>
        <v>10714</v>
      </c>
      <c r="Q20" s="18">
        <f>'FS Seychelles'!O21</f>
        <v>4931</v>
      </c>
      <c r="R20" s="18">
        <f>'FS Seychelles'!P21</f>
        <v>10868</v>
      </c>
      <c r="S20" s="18">
        <f>'FS Seychelles'!Q21</f>
        <v>4192</v>
      </c>
      <c r="T20" s="18">
        <f>'FS Seychelles'!R21</f>
        <v>8435</v>
      </c>
      <c r="U20" s="18">
        <f>'FS Seychelles'!T21</f>
        <v>51</v>
      </c>
      <c r="V20" s="18">
        <f>'FS Seychelles'!U21</f>
        <v>44</v>
      </c>
      <c r="W20" s="18">
        <f>'FS Seychelles'!V21</f>
        <v>50</v>
      </c>
      <c r="X20" s="18">
        <f>'FS Seychelles'!W21</f>
        <v>128</v>
      </c>
      <c r="Y20" s="18">
        <f>'FS Seychelles'!X21</f>
        <v>151</v>
      </c>
      <c r="Z20" s="18">
        <f>'FS Seychelles'!Y21</f>
        <v>96</v>
      </c>
      <c r="AA20" s="18">
        <f>'FS Seychelles'!Z21</f>
        <v>0</v>
      </c>
      <c r="AB20" s="18">
        <f>('FS Seychelles'!$AC$10+'FS Seychelles'!$AC$15)/31</f>
        <v>320.48387096774195</v>
      </c>
    </row>
    <row r="21" spans="1:28" x14ac:dyDescent="0.25">
      <c r="A21" s="1" t="s">
        <v>13</v>
      </c>
      <c r="B21" s="11">
        <f t="shared" si="0"/>
        <v>20</v>
      </c>
      <c r="C21" s="11">
        <v>5</v>
      </c>
      <c r="D21" s="11">
        <v>2021</v>
      </c>
      <c r="E21" s="18">
        <f>'FS Seychelles'!B22</f>
        <v>48.06</v>
      </c>
      <c r="F21" s="18">
        <f>'FS Seychelles'!D22*1000</f>
        <v>3508.9920000000002</v>
      </c>
      <c r="G21" s="18">
        <f>'FS Seychelles'!E22*1000</f>
        <v>5781.5039999999999</v>
      </c>
      <c r="H21" s="18">
        <f>'FS Seychelles'!F22*1000</f>
        <v>5152.768</v>
      </c>
      <c r="I21" s="18">
        <f>'FS Seychelles'!G22*1000</f>
        <v>2114.56</v>
      </c>
      <c r="J21" s="18">
        <f>'FS Seychelles'!H22*1000</f>
        <v>2631.68</v>
      </c>
      <c r="K21" s="18">
        <f>'FS Seychelles'!I22*1000</f>
        <v>3032.576</v>
      </c>
      <c r="L21" s="18">
        <f>'FS Seychelles'!J22*1000</f>
        <v>1345.0239999999999</v>
      </c>
      <c r="M21" s="18">
        <f>'FS Seychelles'!K22*1000</f>
        <v>1788.9280000000001</v>
      </c>
      <c r="N21" s="18">
        <f>'FS Seychelles'!L22*1000</f>
        <v>3849.7279999999996</v>
      </c>
      <c r="O21" s="18">
        <f>'FS Seychelles'!M22</f>
        <v>0</v>
      </c>
      <c r="P21" s="18">
        <f>'FS Seychelles'!N22</f>
        <v>8048</v>
      </c>
      <c r="Q21" s="18">
        <f>'FS Seychelles'!O22</f>
        <v>7595</v>
      </c>
      <c r="R21" s="18">
        <f>'FS Seychelles'!P22</f>
        <v>10656</v>
      </c>
      <c r="S21" s="18">
        <f>'FS Seychelles'!Q23</f>
        <v>5850</v>
      </c>
      <c r="T21" s="18">
        <f>'FS Seychelles'!R22</f>
        <v>8251</v>
      </c>
      <c r="U21" s="18">
        <f>'FS Seychelles'!T22</f>
        <v>52</v>
      </c>
      <c r="V21" s="18">
        <f>'FS Seychelles'!U22</f>
        <v>33</v>
      </c>
      <c r="W21" s="18">
        <f>'FS Seychelles'!V22</f>
        <v>44</v>
      </c>
      <c r="X21" s="18">
        <f>'FS Seychelles'!W22</f>
        <v>120</v>
      </c>
      <c r="Y21" s="18">
        <f>'FS Seychelles'!X22</f>
        <v>137</v>
      </c>
      <c r="Z21" s="18">
        <f>'FS Seychelles'!Y22</f>
        <v>76</v>
      </c>
      <c r="AA21" s="18">
        <f>'FS Seychelles'!Z22</f>
        <v>0</v>
      </c>
      <c r="AB21" s="18">
        <f>('FS Seychelles'!$AC$10+'FS Seychelles'!$AC$15)/31</f>
        <v>320.48387096774195</v>
      </c>
    </row>
    <row r="22" spans="1:28" x14ac:dyDescent="0.25">
      <c r="A22" s="1" t="s">
        <v>13</v>
      </c>
      <c r="B22" s="11">
        <f t="shared" si="0"/>
        <v>21</v>
      </c>
      <c r="C22" s="11">
        <v>5</v>
      </c>
      <c r="D22" s="11">
        <v>2021</v>
      </c>
      <c r="E22" s="18">
        <f>'FS Seychelles'!B23</f>
        <v>37.659999999999997</v>
      </c>
      <c r="F22" s="18">
        <f>'FS Seychelles'!D23*1000</f>
        <v>3374.3359999999998</v>
      </c>
      <c r="G22" s="18">
        <f>'FS Seychelles'!E23*1000</f>
        <v>5935.616</v>
      </c>
      <c r="H22" s="18">
        <f>'FS Seychelles'!F23*1000</f>
        <v>5160.96</v>
      </c>
      <c r="I22" s="18">
        <f>'FS Seychelles'!G23*1000</f>
        <v>2060.288</v>
      </c>
      <c r="J22" s="18">
        <f>'FS Seychelles'!H23*1000</f>
        <v>2639.1040000000003</v>
      </c>
      <c r="K22" s="18">
        <f>'FS Seychelles'!I23*1000</f>
        <v>2938.88</v>
      </c>
      <c r="L22" s="18">
        <f>'FS Seychelles'!J23*1000</f>
        <v>1394.56</v>
      </c>
      <c r="M22" s="18">
        <f>'FS Seychelles'!K23*1000</f>
        <v>1743.616</v>
      </c>
      <c r="N22" s="18">
        <f>'FS Seychelles'!L23*1000</f>
        <v>3773.9519999999998</v>
      </c>
      <c r="O22" s="18">
        <f>'FS Seychelles'!M23</f>
        <v>0</v>
      </c>
      <c r="P22" s="18">
        <f>'FS Seychelles'!N23</f>
        <v>4204</v>
      </c>
      <c r="Q22" s="18">
        <f>'FS Seychelles'!O23</f>
        <v>10171</v>
      </c>
      <c r="R22" s="18">
        <f>'FS Seychelles'!P23</f>
        <v>9676</v>
      </c>
      <c r="S22" s="18">
        <f>'FS Seychelles'!Q24</f>
        <v>9481</v>
      </c>
      <c r="T22" s="18">
        <f>'FS Seychelles'!R23</f>
        <v>8247</v>
      </c>
      <c r="U22" s="18">
        <f>'FS Seychelles'!T23</f>
        <v>56</v>
      </c>
      <c r="V22" s="18">
        <f>'FS Seychelles'!U23</f>
        <v>42</v>
      </c>
      <c r="W22" s="18">
        <f>'FS Seychelles'!V23</f>
        <v>107</v>
      </c>
      <c r="X22" s="18">
        <f>'FS Seychelles'!W23</f>
        <v>153</v>
      </c>
      <c r="Y22" s="18">
        <f>'FS Seychelles'!X23</f>
        <v>133</v>
      </c>
      <c r="Z22" s="18">
        <f>'FS Seychelles'!Y23</f>
        <v>51</v>
      </c>
      <c r="AA22" s="18">
        <f>'FS Seychelles'!Z23</f>
        <v>0</v>
      </c>
      <c r="AB22" s="18">
        <f>('FS Seychelles'!$AC$10+'FS Seychelles'!$AC$15)/31</f>
        <v>320.48387096774195</v>
      </c>
    </row>
    <row r="23" spans="1:28" x14ac:dyDescent="0.25">
      <c r="A23" s="1" t="s">
        <v>13</v>
      </c>
      <c r="B23" s="11">
        <f t="shared" si="0"/>
        <v>22</v>
      </c>
      <c r="C23" s="11">
        <v>5</v>
      </c>
      <c r="D23" s="11">
        <v>2021</v>
      </c>
      <c r="E23" s="18">
        <f>'FS Seychelles'!B24</f>
        <v>38.96</v>
      </c>
      <c r="F23" s="18">
        <f>'FS Seychelles'!D24*1000</f>
        <v>3128.0640000000003</v>
      </c>
      <c r="G23" s="18">
        <f>'FS Seychelles'!E24*1000</f>
        <v>5542.4</v>
      </c>
      <c r="H23" s="18">
        <f>'FS Seychelles'!F24*1000</f>
        <v>5008.8959999999997</v>
      </c>
      <c r="I23" s="18">
        <f>'FS Seychelles'!G24*1000</f>
        <v>1790.4639999999999</v>
      </c>
      <c r="J23" s="18">
        <f>'FS Seychelles'!H24*1000</f>
        <v>2268.9279999999999</v>
      </c>
      <c r="K23" s="18">
        <f>'FS Seychelles'!I24*1000</f>
        <v>2909.1840000000002</v>
      </c>
      <c r="L23" s="18">
        <f>'FS Seychelles'!J24*1000</f>
        <v>1363.5839999999998</v>
      </c>
      <c r="M23" s="18">
        <f>'FS Seychelles'!K24*1000</f>
        <v>1733.376</v>
      </c>
      <c r="N23" s="18">
        <f>'FS Seychelles'!L24*1000</f>
        <v>3688.4480000000003</v>
      </c>
      <c r="O23" s="18">
        <f>'FS Seychelles'!M24</f>
        <v>0</v>
      </c>
      <c r="P23" s="18">
        <f>'FS Seychelles'!N24</f>
        <v>0</v>
      </c>
      <c r="Q23" s="18">
        <f>'FS Seychelles'!O24</f>
        <v>7738</v>
      </c>
      <c r="R23" s="18">
        <f>'FS Seychelles'!P24</f>
        <v>11240</v>
      </c>
      <c r="S23" s="18">
        <f>'FS Seychelles'!Q25</f>
        <v>8938</v>
      </c>
      <c r="T23" s="18">
        <f>'FS Seychelles'!R24</f>
        <v>8067</v>
      </c>
      <c r="U23" s="18">
        <f>'FS Seychelles'!T24</f>
        <v>53</v>
      </c>
      <c r="V23" s="18">
        <f>'FS Seychelles'!U24</f>
        <v>13</v>
      </c>
      <c r="W23" s="18">
        <f>'FS Seychelles'!V24</f>
        <v>86</v>
      </c>
      <c r="X23" s="18">
        <f>'FS Seychelles'!W24</f>
        <v>103</v>
      </c>
      <c r="Y23" s="18">
        <f>'FS Seychelles'!X24</f>
        <v>130</v>
      </c>
      <c r="Z23" s="18">
        <f>'FS Seychelles'!Y24</f>
        <v>77</v>
      </c>
      <c r="AA23" s="18">
        <f>'FS Seychelles'!Z24</f>
        <v>0</v>
      </c>
      <c r="AB23" s="18">
        <f>('FS Seychelles'!$AC$10+'FS Seychelles'!$AC$15)/31</f>
        <v>320.48387096774195</v>
      </c>
    </row>
    <row r="24" spans="1:28" x14ac:dyDescent="0.25">
      <c r="A24" s="1" t="s">
        <v>13</v>
      </c>
      <c r="B24" s="11">
        <f t="shared" si="0"/>
        <v>23</v>
      </c>
      <c r="C24" s="11">
        <v>5</v>
      </c>
      <c r="D24" s="11">
        <v>2021</v>
      </c>
      <c r="E24" s="18">
        <f>'FS Seychelles'!B25</f>
        <v>45.45</v>
      </c>
      <c r="F24" s="18">
        <f>'FS Seychelles'!D25*1000</f>
        <v>3207.1679999999997</v>
      </c>
      <c r="G24" s="18">
        <f>'FS Seychelles'!E25*1000</f>
        <v>5319.1680000000006</v>
      </c>
      <c r="H24" s="18">
        <f>'FS Seychelles'!F25*1000</f>
        <v>4814.848</v>
      </c>
      <c r="I24" s="18">
        <f>'FS Seychelles'!G25*1000</f>
        <v>2196.9919999999997</v>
      </c>
      <c r="J24" s="18">
        <f>'FS Seychelles'!H25*1000</f>
        <v>2411.0079999999998</v>
      </c>
      <c r="K24" s="18">
        <f>'FS Seychelles'!I25*1000</f>
        <v>3092.48</v>
      </c>
      <c r="L24" s="18">
        <f>'FS Seychelles'!J25*1000</f>
        <v>1308.2879999999998</v>
      </c>
      <c r="M24" s="18">
        <f>'FS Seychelles'!K25*1000</f>
        <v>1698.816</v>
      </c>
      <c r="N24" s="18">
        <f>'FS Seychelles'!L25*1000</f>
        <v>3423.232</v>
      </c>
      <c r="O24" s="18">
        <f>'FS Seychelles'!M25</f>
        <v>0</v>
      </c>
      <c r="P24" s="18">
        <f>'FS Seychelles'!N25</f>
        <v>3655</v>
      </c>
      <c r="Q24" s="18">
        <f>'FS Seychelles'!O25</f>
        <v>3766</v>
      </c>
      <c r="R24" s="18">
        <f>'FS Seychelles'!P25</f>
        <v>11334</v>
      </c>
      <c r="S24" s="18">
        <f>'FS Seychelles'!Q25</f>
        <v>8938</v>
      </c>
      <c r="T24" s="18">
        <f>'FS Seychelles'!R25</f>
        <v>8143</v>
      </c>
      <c r="U24" s="18">
        <f>'FS Seychelles'!T25</f>
        <v>50</v>
      </c>
      <c r="V24" s="18">
        <f>'FS Seychelles'!U25</f>
        <v>40</v>
      </c>
      <c r="W24" s="18">
        <f>'FS Seychelles'!V25</f>
        <v>59</v>
      </c>
      <c r="X24" s="18">
        <f>'FS Seychelles'!W25</f>
        <v>119</v>
      </c>
      <c r="Y24" s="18">
        <f>'FS Seychelles'!X25</f>
        <v>125</v>
      </c>
      <c r="Z24" s="18">
        <f>'FS Seychelles'!Y25</f>
        <v>115</v>
      </c>
      <c r="AA24" s="18">
        <f>'FS Seychelles'!Z25</f>
        <v>0</v>
      </c>
      <c r="AB24" s="18">
        <f>('FS Seychelles'!$AC$10+'FS Seychelles'!$AC$15)/31</f>
        <v>320.48387096774195</v>
      </c>
    </row>
    <row r="25" spans="1:28" x14ac:dyDescent="0.25">
      <c r="A25" s="1" t="s">
        <v>13</v>
      </c>
      <c r="B25" s="11">
        <f t="shared" si="0"/>
        <v>24</v>
      </c>
      <c r="C25" s="11">
        <v>5</v>
      </c>
      <c r="D25" s="11">
        <v>2021</v>
      </c>
      <c r="E25" s="18">
        <f>'FS Seychelles'!B26</f>
        <v>51.95</v>
      </c>
      <c r="F25" s="18">
        <f>'FS Seychelles'!D26*1000</f>
        <v>2800</v>
      </c>
      <c r="G25" s="18">
        <f>'FS Seychelles'!E26*1000</f>
        <v>4930</v>
      </c>
      <c r="H25" s="18">
        <f>'FS Seychelles'!F26*1000</f>
        <v>4780</v>
      </c>
      <c r="I25" s="18">
        <f>'FS Seychelles'!G26*1000</f>
        <v>2100</v>
      </c>
      <c r="J25" s="18">
        <f>'FS Seychelles'!H26*1000</f>
        <v>2420</v>
      </c>
      <c r="K25" s="18">
        <f>'FS Seychelles'!I26*1000</f>
        <v>2810</v>
      </c>
      <c r="L25" s="18">
        <f>'FS Seychelles'!J26*1000</f>
        <v>1410</v>
      </c>
      <c r="M25" s="18">
        <f>'FS Seychelles'!K26*1000</f>
        <v>1590</v>
      </c>
      <c r="N25" s="18">
        <f>'FS Seychelles'!L26*1000</f>
        <v>3670</v>
      </c>
      <c r="O25" s="18">
        <f>'FS Seychelles'!M26</f>
        <v>0</v>
      </c>
      <c r="P25" s="18">
        <f>'FS Seychelles'!N26</f>
        <v>7919</v>
      </c>
      <c r="Q25" s="18">
        <f>'FS Seychelles'!O26</f>
        <v>10536</v>
      </c>
      <c r="R25" s="18">
        <f>'FS Seychelles'!P26</f>
        <v>3833</v>
      </c>
      <c r="S25" s="18">
        <f>'FS Seychelles'!Q26</f>
        <v>5145</v>
      </c>
      <c r="T25" s="18">
        <f>'FS Seychelles'!R26</f>
        <v>7337</v>
      </c>
      <c r="U25" s="18">
        <f>'FS Seychelles'!T26</f>
        <v>57</v>
      </c>
      <c r="V25" s="18">
        <f>'FS Seychelles'!U26</f>
        <v>42</v>
      </c>
      <c r="W25" s="18">
        <f>'FS Seychelles'!V26</f>
        <v>90</v>
      </c>
      <c r="X25" s="18">
        <f>'FS Seychelles'!W26</f>
        <v>117</v>
      </c>
      <c r="Y25" s="18">
        <f>'FS Seychelles'!X26</f>
        <v>153</v>
      </c>
      <c r="Z25" s="18">
        <f>'FS Seychelles'!Y26</f>
        <v>117</v>
      </c>
      <c r="AA25" s="18">
        <f>'FS Seychelles'!Z26</f>
        <v>0</v>
      </c>
      <c r="AB25" s="18">
        <f>('FS Seychelles'!$AC$10+'FS Seychelles'!$AC$15)/31</f>
        <v>320.48387096774195</v>
      </c>
    </row>
    <row r="26" spans="1:28" x14ac:dyDescent="0.25">
      <c r="A26" s="1" t="s">
        <v>13</v>
      </c>
      <c r="B26" s="11">
        <f>B25+1</f>
        <v>25</v>
      </c>
      <c r="C26" s="11">
        <v>5</v>
      </c>
      <c r="D26" s="11">
        <v>2021</v>
      </c>
      <c r="E26" s="18">
        <f>'FS Seychelles'!B27</f>
        <v>54.55</v>
      </c>
      <c r="F26" s="18">
        <f>'FS Seychelles'!D27*1000</f>
        <v>2932.48</v>
      </c>
      <c r="G26" s="18">
        <f>'FS Seychelles'!E27*1000</f>
        <v>4986.88</v>
      </c>
      <c r="H26" s="18">
        <f>'FS Seychelles'!F27*1000</f>
        <v>4896.2560000000003</v>
      </c>
      <c r="I26" s="18">
        <f>'FS Seychelles'!G27*1000</f>
        <v>2359.808</v>
      </c>
      <c r="J26" s="18">
        <f>'FS Seychelles'!H27*1000</f>
        <v>2739.2</v>
      </c>
      <c r="K26" s="18">
        <f>'FS Seychelles'!I27*1000</f>
        <v>3129.3440000000001</v>
      </c>
      <c r="L26" s="18">
        <f>'FS Seychelles'!J27*1000</f>
        <v>1378.6879999999999</v>
      </c>
      <c r="M26" s="18">
        <f>'FS Seychelles'!K27*1000</f>
        <v>1607.1679999999999</v>
      </c>
      <c r="N26" s="18">
        <f>'FS Seychelles'!L27*1000</f>
        <v>3666.4319999999998</v>
      </c>
      <c r="O26" s="18">
        <f>'FS Seychelles'!M27</f>
        <v>0</v>
      </c>
      <c r="P26" s="18">
        <f>'FS Seychelles'!N27</f>
        <v>10022</v>
      </c>
      <c r="Q26" s="18">
        <f>'FS Seychelles'!O27</f>
        <v>5057</v>
      </c>
      <c r="R26" s="18">
        <f>'FS Seychelles'!P27</f>
        <v>9718</v>
      </c>
      <c r="S26" s="18">
        <f>'FS Seychelles'!Q27</f>
        <v>4207</v>
      </c>
      <c r="T26" s="18">
        <f>'FS Seychelles'!R27</f>
        <v>7839</v>
      </c>
      <c r="U26" s="18">
        <f>'FS Seychelles'!T27</f>
        <v>46</v>
      </c>
      <c r="V26" s="18">
        <f>'FS Seychelles'!U27</f>
        <v>1</v>
      </c>
      <c r="W26" s="18">
        <f>'FS Seychelles'!V27</f>
        <v>104</v>
      </c>
      <c r="X26" s="18">
        <f>'FS Seychelles'!W27</f>
        <v>80</v>
      </c>
      <c r="Y26" s="18">
        <f>'FS Seychelles'!X27</f>
        <v>121</v>
      </c>
      <c r="Z26" s="18">
        <f>'FS Seychelles'!Y27</f>
        <v>112</v>
      </c>
      <c r="AA26" s="18">
        <f>'FS Seychelles'!Z27</f>
        <v>0</v>
      </c>
      <c r="AB26" s="18">
        <f>('FS Seychelles'!$AC$10+'FS Seychelles'!$AC$15)/31</f>
        <v>320.48387096774195</v>
      </c>
    </row>
    <row r="27" spans="1:28" x14ac:dyDescent="0.25">
      <c r="A27" s="1" t="s">
        <v>13</v>
      </c>
      <c r="B27" s="11">
        <f t="shared" si="0"/>
        <v>26</v>
      </c>
      <c r="C27" s="11">
        <v>5</v>
      </c>
      <c r="D27" s="11">
        <v>2021</v>
      </c>
      <c r="E27" s="18">
        <f>'FS Seychelles'!B28</f>
        <v>55.22</v>
      </c>
      <c r="F27" s="18">
        <f>'FS Seychelles'!D28*1000</f>
        <v>3010.56</v>
      </c>
      <c r="G27" s="18">
        <f>'FS Seychelles'!E28*1000</f>
        <v>5005.3119999999999</v>
      </c>
      <c r="H27" s="18">
        <f>'FS Seychelles'!F28*1000</f>
        <v>4934.1440000000002</v>
      </c>
      <c r="I27" s="18">
        <f>'FS Seychelles'!G28*1000</f>
        <v>2665.4719999999998</v>
      </c>
      <c r="J27" s="18">
        <f>'FS Seychelles'!H28*1000</f>
        <v>2835.9679999999998</v>
      </c>
      <c r="K27" s="18">
        <f>'FS Seychelles'!I28*1000</f>
        <v>3152.8960000000002</v>
      </c>
      <c r="L27" s="18">
        <f>'FS Seychelles'!J28*1000</f>
        <v>1366.0159999999998</v>
      </c>
      <c r="M27" s="18">
        <f>'FS Seychelles'!K28*1000</f>
        <v>1573.6319999999998</v>
      </c>
      <c r="N27" s="18">
        <f>'FS Seychelles'!L28*1000</f>
        <v>3790.848</v>
      </c>
      <c r="O27" s="18">
        <f>'FS Seychelles'!M28</f>
        <v>0</v>
      </c>
      <c r="P27" s="18">
        <f>'FS Seychelles'!N28</f>
        <v>0</v>
      </c>
      <c r="Q27" s="18">
        <f>'FS Seychelles'!O28</f>
        <v>4829</v>
      </c>
      <c r="R27" s="18">
        <f>'FS Seychelles'!P28</f>
        <v>14270</v>
      </c>
      <c r="S27" s="18">
        <f>'FS Seychelles'!Q28</f>
        <v>0</v>
      </c>
      <c r="T27" s="18">
        <f>'FS Seychelles'!R28</f>
        <v>5662</v>
      </c>
      <c r="U27" s="18">
        <f>'FS Seychelles'!T28</f>
        <v>56</v>
      </c>
      <c r="V27" s="18">
        <f>'FS Seychelles'!U28</f>
        <v>64</v>
      </c>
      <c r="W27" s="18">
        <f>'FS Seychelles'!V28</f>
        <v>74</v>
      </c>
      <c r="X27" s="18">
        <f>'FS Seychelles'!W28</f>
        <v>121</v>
      </c>
      <c r="Y27" s="18">
        <f>'FS Seychelles'!X28</f>
        <v>144</v>
      </c>
      <c r="Z27" s="18">
        <f>'FS Seychelles'!Y28</f>
        <v>114</v>
      </c>
      <c r="AA27" s="18">
        <f>'FS Seychelles'!Z28</f>
        <v>0</v>
      </c>
      <c r="AB27" s="18">
        <f>('FS Seychelles'!$AC$10+'FS Seychelles'!$AC$15)/31</f>
        <v>320.48387096774195</v>
      </c>
    </row>
    <row r="28" spans="1:28" x14ac:dyDescent="0.25">
      <c r="A28" s="1" t="s">
        <v>13</v>
      </c>
      <c r="B28" s="11">
        <f t="shared" si="0"/>
        <v>27</v>
      </c>
      <c r="C28" s="11">
        <v>5</v>
      </c>
      <c r="D28" s="11">
        <v>2021</v>
      </c>
      <c r="E28" s="18">
        <f>'FS Seychelles'!B29</f>
        <v>73.849999999999994</v>
      </c>
      <c r="F28" s="18">
        <f>'FS Seychelles'!D29*1000</f>
        <v>3055.3599999999997</v>
      </c>
      <c r="G28" s="18">
        <f>'FS Seychelles'!E29*1000</f>
        <v>5205.5039999999999</v>
      </c>
      <c r="H28" s="18">
        <f>'FS Seychelles'!F29*1000</f>
        <v>5225.9840000000004</v>
      </c>
      <c r="I28" s="18">
        <f>'FS Seychelles'!G29*1000</f>
        <v>2960.384</v>
      </c>
      <c r="J28" s="18">
        <f>'FS Seychelles'!H29*1000</f>
        <v>3074.8160000000003</v>
      </c>
      <c r="K28" s="18">
        <f>'FS Seychelles'!I29*1000</f>
        <v>4326.9120000000003</v>
      </c>
      <c r="L28" s="18">
        <f>'FS Seychelles'!J29*1000</f>
        <v>1336.192</v>
      </c>
      <c r="M28" s="18">
        <f>'FS Seychelles'!K29*1000</f>
        <v>1709.3119999999999</v>
      </c>
      <c r="N28" s="18">
        <f>'FS Seychelles'!L29*1000</f>
        <v>3773.9519999999998</v>
      </c>
      <c r="O28" s="18">
        <f>'FS Seychelles'!M29</f>
        <v>0</v>
      </c>
      <c r="P28" s="18">
        <f>'FS Seychelles'!N29</f>
        <v>11202</v>
      </c>
      <c r="Q28" s="18">
        <f>'FS Seychelles'!O29</f>
        <v>14697</v>
      </c>
      <c r="R28" s="18">
        <f>'FS Seychelles'!P29</f>
        <v>5310</v>
      </c>
      <c r="S28" s="18">
        <f>'FS Seychelles'!Q29</f>
        <v>0</v>
      </c>
      <c r="T28" s="18">
        <f>'FS Seychelles'!R29</f>
        <v>8212</v>
      </c>
      <c r="U28" s="18">
        <f>'FS Seychelles'!T29</f>
        <v>56</v>
      </c>
      <c r="V28" s="18">
        <f>'FS Seychelles'!U29</f>
        <v>12</v>
      </c>
      <c r="W28" s="18">
        <f>'FS Seychelles'!V29</f>
        <v>83</v>
      </c>
      <c r="X28" s="18">
        <f>'FS Seychelles'!W29</f>
        <v>305</v>
      </c>
      <c r="Y28" s="18">
        <f>'FS Seychelles'!X29</f>
        <v>170</v>
      </c>
      <c r="Z28" s="18">
        <f>'FS Seychelles'!Y29</f>
        <v>82</v>
      </c>
      <c r="AA28" s="18">
        <f>'FS Seychelles'!Z29</f>
        <v>0</v>
      </c>
      <c r="AB28" s="18">
        <f>('FS Seychelles'!$AC$10+'FS Seychelles'!$AC$15)/31</f>
        <v>320.48387096774195</v>
      </c>
    </row>
    <row r="29" spans="1:28" x14ac:dyDescent="0.25">
      <c r="A29" s="1" t="s">
        <v>13</v>
      </c>
      <c r="B29" s="11">
        <f t="shared" si="0"/>
        <v>28</v>
      </c>
      <c r="C29" s="11">
        <v>5</v>
      </c>
      <c r="D29" s="11">
        <v>2021</v>
      </c>
      <c r="E29" s="18">
        <f>'FS Seychelles'!B30</f>
        <v>80.599999999999994</v>
      </c>
      <c r="F29" s="18">
        <f>'FS Seychelles'!D30*1000</f>
        <v>2966.2719999999999</v>
      </c>
      <c r="G29" s="18">
        <f>'FS Seychelles'!E30*1000</f>
        <v>5263.36</v>
      </c>
      <c r="H29" s="18">
        <f>'FS Seychelles'!F30*1000</f>
        <v>5263.8720000000003</v>
      </c>
      <c r="I29" s="18">
        <f>'FS Seychelles'!G30*1000</f>
        <v>2837.5039999999999</v>
      </c>
      <c r="J29" s="18">
        <f>'FS Seychelles'!H30*1000</f>
        <v>3206.9119999999998</v>
      </c>
      <c r="K29" s="18">
        <f>'FS Seychelles'!I30*1000</f>
        <v>4310.7839999999997</v>
      </c>
      <c r="L29" s="18">
        <f>'FS Seychelles'!J30*1000</f>
        <v>1377.7919999999999</v>
      </c>
      <c r="M29" s="18">
        <f>'FS Seychelles'!K30*1000</f>
        <v>1801.2159999999999</v>
      </c>
      <c r="N29" s="18">
        <f>'FS Seychelles'!L30*1000</f>
        <v>3817.9839999999999</v>
      </c>
      <c r="O29" s="18">
        <f>'FS Seychelles'!M30</f>
        <v>0</v>
      </c>
      <c r="P29" s="18">
        <f>'FS Seychelles'!N30</f>
        <v>11674</v>
      </c>
      <c r="Q29" s="18">
        <f>'FS Seychelles'!O30</f>
        <v>9918</v>
      </c>
      <c r="R29" s="18">
        <f>'FS Seychelles'!P30</f>
        <v>11888</v>
      </c>
      <c r="S29" s="18">
        <f>'FS Seychelles'!Q30</f>
        <v>0</v>
      </c>
      <c r="T29" s="18">
        <f>'FS Seychelles'!R30</f>
        <v>8876</v>
      </c>
      <c r="U29" s="18">
        <f>'FS Seychelles'!T30</f>
        <v>70</v>
      </c>
      <c r="V29" s="18">
        <f>'FS Seychelles'!U30</f>
        <v>29</v>
      </c>
      <c r="W29" s="18">
        <f>'FS Seychelles'!V30</f>
        <v>93</v>
      </c>
      <c r="X29" s="18">
        <f>'FS Seychelles'!W30</f>
        <v>222</v>
      </c>
      <c r="Y29" s="18">
        <f>'FS Seychelles'!X30</f>
        <v>141</v>
      </c>
      <c r="Z29" s="18">
        <f>'FS Seychelles'!Y30</f>
        <v>79</v>
      </c>
      <c r="AA29" s="18">
        <f>'FS Seychelles'!Z30</f>
        <v>0</v>
      </c>
      <c r="AB29" s="18">
        <f>('FS Seychelles'!$AC$10+'FS Seychelles'!$AC$15)/31</f>
        <v>320.48387096774195</v>
      </c>
    </row>
    <row r="30" spans="1:28" x14ac:dyDescent="0.25">
      <c r="A30" s="1" t="s">
        <v>13</v>
      </c>
      <c r="B30" s="11">
        <f t="shared" si="0"/>
        <v>29</v>
      </c>
      <c r="C30" s="11">
        <v>5</v>
      </c>
      <c r="D30" s="11">
        <v>2021</v>
      </c>
      <c r="E30" s="18">
        <f>'FS Seychelles'!B31</f>
        <v>76.81</v>
      </c>
      <c r="F30" s="18">
        <f>'FS Seychelles'!D31*1000</f>
        <v>3200.2559999999999</v>
      </c>
      <c r="G30" s="18">
        <f>'FS Seychelles'!E31*1000</f>
        <v>5841.92</v>
      </c>
      <c r="H30" s="18">
        <f>'FS Seychelles'!F31*1000</f>
        <v>5324.8</v>
      </c>
      <c r="I30" s="18">
        <f>'FS Seychelles'!G31*1000</f>
        <v>2770.1760000000004</v>
      </c>
      <c r="J30" s="18">
        <f>'FS Seychelles'!H31*1000</f>
        <v>3096.32</v>
      </c>
      <c r="K30" s="18">
        <f>'FS Seychelles'!I31*1000</f>
        <v>4248.32</v>
      </c>
      <c r="L30" s="18">
        <f>'FS Seychelles'!J31*1000</f>
        <v>1372.9279999999999</v>
      </c>
      <c r="M30" s="18">
        <f>'FS Seychelles'!K31*1000</f>
        <v>1757.952</v>
      </c>
      <c r="N30" s="18">
        <f>'FS Seychelles'!L31*1000</f>
        <v>3996.1600000000003</v>
      </c>
      <c r="O30" s="18">
        <f>'FS Seychelles'!M31</f>
        <v>0</v>
      </c>
      <c r="P30" s="18">
        <f>'FS Seychelles'!N31</f>
        <v>10750</v>
      </c>
      <c r="Q30" s="18">
        <f>'FS Seychelles'!O31</f>
        <v>9811</v>
      </c>
      <c r="R30" s="18">
        <f>'FS Seychelles'!P31</f>
        <v>11633</v>
      </c>
      <c r="S30" s="18">
        <f>'FS Seychelles'!Q31</f>
        <v>0</v>
      </c>
      <c r="T30" s="18">
        <f>'FS Seychelles'!R31</f>
        <v>8978</v>
      </c>
      <c r="U30" s="18">
        <f>'FS Seychelles'!T31</f>
        <v>74</v>
      </c>
      <c r="V30" s="18">
        <f>'FS Seychelles'!U31</f>
        <v>24</v>
      </c>
      <c r="W30" s="18">
        <f>'FS Seychelles'!V31</f>
        <v>58</v>
      </c>
      <c r="X30" s="18">
        <f>'FS Seychelles'!W31</f>
        <v>147</v>
      </c>
      <c r="Y30" s="18">
        <f>'FS Seychelles'!X31</f>
        <v>139</v>
      </c>
      <c r="Z30" s="18">
        <f>'FS Seychelles'!Y31</f>
        <v>74</v>
      </c>
      <c r="AA30" s="18">
        <f>'FS Seychelles'!Z31</f>
        <v>0</v>
      </c>
      <c r="AB30" s="18">
        <f>('FS Seychelles'!$AC$10+'FS Seychelles'!$AC$15)/31</f>
        <v>320.48387096774195</v>
      </c>
    </row>
    <row r="31" spans="1:28" x14ac:dyDescent="0.25">
      <c r="A31" s="1" t="s">
        <v>13</v>
      </c>
      <c r="B31" s="11">
        <f t="shared" si="0"/>
        <v>30</v>
      </c>
      <c r="C31" s="11">
        <v>5</v>
      </c>
      <c r="D31" s="11">
        <v>2021</v>
      </c>
      <c r="E31" s="18">
        <f>'FS Seychelles'!B32</f>
        <v>71.88</v>
      </c>
      <c r="F31" s="18">
        <f>'FS Seychelles'!D32*1000</f>
        <v>3242.24</v>
      </c>
      <c r="G31" s="18">
        <f>'FS Seychelles'!E32*1000</f>
        <v>5980.6720000000005</v>
      </c>
      <c r="H31" s="18">
        <f>'FS Seychelles'!F32*1000</f>
        <v>5409.7920000000004</v>
      </c>
      <c r="I31" s="18">
        <f>'FS Seychelles'!G32*1000</f>
        <v>2317.5680000000002</v>
      </c>
      <c r="J31" s="18">
        <f>'FS Seychelles'!H32*1000</f>
        <v>3087.8719999999998</v>
      </c>
      <c r="K31" s="18">
        <f>'FS Seychelles'!I32*1000</f>
        <v>4102.4000000000005</v>
      </c>
      <c r="L31" s="18">
        <f>'FS Seychelles'!J32*1000</f>
        <v>1369.9840000000002</v>
      </c>
      <c r="M31" s="18">
        <f>'FS Seychelles'!K32*1000</f>
        <v>1891.328</v>
      </c>
      <c r="N31" s="18">
        <f>'FS Seychelles'!L32*1000</f>
        <v>3827.712</v>
      </c>
      <c r="O31" s="18">
        <f>'FS Seychelles'!M32</f>
        <v>0</v>
      </c>
      <c r="P31" s="18">
        <f>'FS Seychelles'!N32</f>
        <v>11218</v>
      </c>
      <c r="Q31" s="18">
        <f>'FS Seychelles'!O32</f>
        <v>12549</v>
      </c>
      <c r="R31" s="18">
        <f>'FS Seychelles'!P32</f>
        <v>8877</v>
      </c>
      <c r="S31" s="18">
        <f>'FS Seychelles'!Q32</f>
        <v>0</v>
      </c>
      <c r="T31" s="18">
        <f>'FS Seychelles'!R32</f>
        <v>8890</v>
      </c>
      <c r="U31" s="18">
        <f>'FS Seychelles'!T32</f>
        <v>71</v>
      </c>
      <c r="V31" s="18">
        <f>'FS Seychelles'!U32</f>
        <v>24</v>
      </c>
      <c r="W31" s="18">
        <f>'FS Seychelles'!V32</f>
        <v>90</v>
      </c>
      <c r="X31" s="18">
        <f>'FS Seychelles'!W32</f>
        <v>133</v>
      </c>
      <c r="Y31" s="18">
        <f>'FS Seychelles'!X32</f>
        <v>159</v>
      </c>
      <c r="Z31" s="18">
        <f>'FS Seychelles'!Y32</f>
        <v>74</v>
      </c>
      <c r="AA31" s="18">
        <f>'FS Seychelles'!Z32</f>
        <v>0</v>
      </c>
      <c r="AB31" s="18">
        <f>('FS Seychelles'!$AC$10+'FS Seychelles'!$AC$15)/31</f>
        <v>320.48387096774195</v>
      </c>
    </row>
    <row r="32" spans="1:28" x14ac:dyDescent="0.25">
      <c r="A32" s="1" t="s">
        <v>13</v>
      </c>
      <c r="B32" s="11">
        <f t="shared" si="0"/>
        <v>31</v>
      </c>
      <c r="C32" s="11">
        <v>5</v>
      </c>
      <c r="D32" s="11">
        <v>2021</v>
      </c>
      <c r="E32" s="18">
        <f>'FS Seychelles'!B33</f>
        <v>57.83</v>
      </c>
      <c r="F32" s="18">
        <f>'FS Seychelles'!D33*1000</f>
        <v>3134.4639999999999</v>
      </c>
      <c r="G32" s="18">
        <f>'FS Seychelles'!E33*1000</f>
        <v>5669.8879999999999</v>
      </c>
      <c r="H32" s="18">
        <f>'FS Seychelles'!F33*1000</f>
        <v>5552.64</v>
      </c>
      <c r="I32" s="18">
        <f>'FS Seychelles'!G33*1000</f>
        <v>2303.4880000000003</v>
      </c>
      <c r="J32" s="18">
        <f>'FS Seychelles'!H33*1000</f>
        <v>3020.5440000000003</v>
      </c>
      <c r="K32" s="18">
        <f>'FS Seychelles'!I33*1000</f>
        <v>3908.3519999999999</v>
      </c>
      <c r="L32" s="18">
        <f>'FS Seychelles'!J33*1000</f>
        <v>1388.5440000000001</v>
      </c>
      <c r="M32" s="18">
        <f>'FS Seychelles'!K33*1000</f>
        <v>1854.9759999999999</v>
      </c>
      <c r="N32" s="18">
        <f>'FS Seychelles'!L33*1000</f>
        <v>3864.576</v>
      </c>
      <c r="O32" s="18">
        <f>'FS Seychelles'!M33</f>
        <v>0</v>
      </c>
      <c r="P32" s="18">
        <f>'FS Seychelles'!N33</f>
        <v>10471</v>
      </c>
      <c r="Q32" s="18">
        <f>'FS Seychelles'!O33</f>
        <v>9539</v>
      </c>
      <c r="R32" s="18">
        <f>'FS Seychelles'!P33</f>
        <v>11555</v>
      </c>
      <c r="S32" s="18">
        <f>'FS Seychelles'!Q33</f>
        <v>0</v>
      </c>
      <c r="T32" s="18">
        <f>'FS Seychelles'!R33</f>
        <v>8611</v>
      </c>
      <c r="U32" s="18">
        <f>'FS Seychelles'!T33</f>
        <v>60</v>
      </c>
      <c r="V32" s="18">
        <f>'FS Seychelles'!U33</f>
        <v>14</v>
      </c>
      <c r="W32" s="18">
        <f>'FS Seychelles'!V33</f>
        <v>116</v>
      </c>
      <c r="X32" s="18">
        <f>'FS Seychelles'!W33</f>
        <v>132</v>
      </c>
      <c r="Y32" s="18">
        <f>'FS Seychelles'!X33</f>
        <v>124</v>
      </c>
      <c r="Z32" s="18">
        <f>'FS Seychelles'!Y33</f>
        <v>62</v>
      </c>
      <c r="AA32" s="18">
        <f>'FS Seychelles'!Z33</f>
        <v>0</v>
      </c>
      <c r="AB32" s="18">
        <f>('FS Seychelles'!$AC$10+'FS Seychelles'!$AC$15)/31</f>
        <v>320.48387096774195</v>
      </c>
    </row>
    <row r="33" spans="15:18" x14ac:dyDescent="0.25">
      <c r="O33" s="18">
        <f>SUM(O2:O32)</f>
        <v>0</v>
      </c>
      <c r="P33" s="18">
        <f>SUM(P2:P32)</f>
        <v>248514</v>
      </c>
      <c r="Q33" s="18">
        <f>SUM(Q2:Q32)</f>
        <v>234855</v>
      </c>
      <c r="R33" s="18">
        <f>SUM(R2:R32)</f>
        <v>302468</v>
      </c>
    </row>
    <row r="35" spans="15:18" x14ac:dyDescent="0.25">
      <c r="R35" s="18">
        <f>SUM(O33:R33)</f>
        <v>785837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zoomScaleNormal="100" workbookViewId="0">
      <pane xSplit="1" topLeftCell="O1" activePane="topRight" state="frozen"/>
      <selection pane="topRight" activeCell="T34" sqref="T34:Z35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 x14ac:dyDescent="0.2">
      <c r="D1" s="89"/>
      <c r="E1" s="89"/>
      <c r="F1" s="89"/>
      <c r="G1" s="89"/>
      <c r="H1" s="89"/>
      <c r="I1" s="89"/>
      <c r="J1" s="89"/>
      <c r="K1" s="89"/>
      <c r="L1" s="89"/>
      <c r="AA1" s="84"/>
      <c r="AB1" s="84"/>
      <c r="AC1" s="84"/>
    </row>
    <row r="2" spans="1:29" s="23" customFormat="1" ht="31.5" customHeight="1" x14ac:dyDescent="0.2">
      <c r="A2" s="79" t="s">
        <v>38</v>
      </c>
      <c r="B2" s="61" t="s">
        <v>39</v>
      </c>
      <c r="C2" s="75" t="s">
        <v>40</v>
      </c>
      <c r="D2" s="73" t="s">
        <v>41</v>
      </c>
      <c r="E2" s="74" t="s">
        <v>42</v>
      </c>
      <c r="F2" s="74" t="s">
        <v>43</v>
      </c>
      <c r="G2" s="74" t="s">
        <v>44</v>
      </c>
      <c r="H2" s="74" t="s">
        <v>45</v>
      </c>
      <c r="I2" s="74" t="s">
        <v>46</v>
      </c>
      <c r="J2" s="74" t="s">
        <v>47</v>
      </c>
      <c r="K2" s="74" t="s">
        <v>48</v>
      </c>
      <c r="L2" s="74" t="s">
        <v>49</v>
      </c>
      <c r="M2" s="76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94" t="s">
        <v>37</v>
      </c>
      <c r="AB2" s="94"/>
      <c r="AC2" s="94"/>
    </row>
    <row r="3" spans="1:29" ht="15" customHeight="1" x14ac:dyDescent="0.2">
      <c r="A3" s="59">
        <v>44317</v>
      </c>
      <c r="B3" s="70">
        <v>45</v>
      </c>
      <c r="C3" s="70">
        <v>301</v>
      </c>
      <c r="D3" s="71">
        <v>3.6966399999999999</v>
      </c>
      <c r="E3" s="69">
        <v>5.7472000000000003</v>
      </c>
      <c r="F3" s="69">
        <v>5.3980160000000001</v>
      </c>
      <c r="G3" s="69">
        <v>1.838848</v>
      </c>
      <c r="H3" s="69">
        <v>3.0077440000000002</v>
      </c>
      <c r="I3" s="69">
        <v>3.032832</v>
      </c>
      <c r="J3" s="69">
        <v>1.4307840000000001</v>
      </c>
      <c r="K3" s="69">
        <v>1.7492479999999999</v>
      </c>
      <c r="L3" s="69">
        <v>3.97824</v>
      </c>
      <c r="M3" s="77">
        <v>0</v>
      </c>
      <c r="N3" s="60">
        <v>6868</v>
      </c>
      <c r="O3" s="32">
        <v>7735</v>
      </c>
      <c r="P3" s="32">
        <v>11302</v>
      </c>
      <c r="Q3" s="32">
        <v>9171</v>
      </c>
      <c r="R3" s="21">
        <v>9278</v>
      </c>
      <c r="S3" s="21">
        <f>17.54*0.055</f>
        <v>0.9647</v>
      </c>
      <c r="T3" s="31">
        <v>51</v>
      </c>
      <c r="U3" s="20">
        <v>47</v>
      </c>
      <c r="V3" s="20">
        <v>38</v>
      </c>
      <c r="W3" s="20">
        <v>77</v>
      </c>
      <c r="X3" s="20">
        <v>144</v>
      </c>
      <c r="Y3" s="31">
        <v>4</v>
      </c>
      <c r="Z3" s="35">
        <v>0</v>
      </c>
      <c r="AA3" s="95" t="s">
        <v>64</v>
      </c>
      <c r="AB3" s="95"/>
      <c r="AC3" s="95"/>
    </row>
    <row r="4" spans="1:29" ht="16.5" customHeight="1" x14ac:dyDescent="0.2">
      <c r="A4" s="59">
        <v>44318</v>
      </c>
      <c r="B4" s="70">
        <v>55.26</v>
      </c>
      <c r="C4" s="70">
        <v>324</v>
      </c>
      <c r="D4" s="71">
        <v>3.937792</v>
      </c>
      <c r="E4" s="69">
        <v>5.858816</v>
      </c>
      <c r="F4" s="69">
        <v>5.4021119999999998</v>
      </c>
      <c r="G4" s="69">
        <v>1.933824</v>
      </c>
      <c r="H4" s="69">
        <v>3.232256</v>
      </c>
      <c r="I4" s="69">
        <v>3.1055359999999999</v>
      </c>
      <c r="J4" s="69">
        <v>1.304576</v>
      </c>
      <c r="K4" s="69">
        <v>1.9527680000000001</v>
      </c>
      <c r="L4" s="69">
        <v>3.85792</v>
      </c>
      <c r="M4" s="78">
        <v>0</v>
      </c>
      <c r="N4" s="60">
        <v>9662</v>
      </c>
      <c r="O4" s="32">
        <v>6534</v>
      </c>
      <c r="P4" s="32">
        <v>16187</v>
      </c>
      <c r="Q4" s="32">
        <v>0</v>
      </c>
      <c r="R4" s="21">
        <v>9129</v>
      </c>
      <c r="S4" s="21">
        <f t="shared" ref="S4:S12" si="0">17.54*0.055</f>
        <v>0.9647</v>
      </c>
      <c r="T4" s="31">
        <v>54</v>
      </c>
      <c r="U4" s="20">
        <v>26</v>
      </c>
      <c r="V4" s="20">
        <v>73</v>
      </c>
      <c r="W4" s="20">
        <v>101</v>
      </c>
      <c r="X4" s="20">
        <v>147</v>
      </c>
      <c r="Y4" s="31">
        <v>4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 x14ac:dyDescent="0.2">
      <c r="A5" s="59">
        <v>44319</v>
      </c>
      <c r="B5" s="70">
        <v>52.63</v>
      </c>
      <c r="C5" s="70">
        <v>319</v>
      </c>
      <c r="D5" s="71">
        <v>3.9577599999999999</v>
      </c>
      <c r="E5" s="69">
        <v>6.1414400000000002</v>
      </c>
      <c r="F5" s="69">
        <v>5.5050239999999997</v>
      </c>
      <c r="G5" s="69">
        <v>1.950976</v>
      </c>
      <c r="H5" s="69">
        <v>3.2547839999999999</v>
      </c>
      <c r="I5" s="69">
        <v>3.238912</v>
      </c>
      <c r="J5" s="69">
        <v>1.429376</v>
      </c>
      <c r="K5" s="69">
        <v>2.0881919999999998</v>
      </c>
      <c r="L5" s="69">
        <v>4.0657920000000001</v>
      </c>
      <c r="M5" s="77">
        <v>0</v>
      </c>
      <c r="N5" s="60">
        <v>9674</v>
      </c>
      <c r="O5" s="32">
        <v>6545</v>
      </c>
      <c r="P5" s="32">
        <v>9089</v>
      </c>
      <c r="Q5" s="32">
        <v>8865</v>
      </c>
      <c r="R5" s="21">
        <v>9522</v>
      </c>
      <c r="S5" s="21">
        <f t="shared" si="0"/>
        <v>0.9647</v>
      </c>
      <c r="T5" s="31">
        <v>55</v>
      </c>
      <c r="U5" s="20">
        <v>20</v>
      </c>
      <c r="V5" s="20">
        <v>57</v>
      </c>
      <c r="W5" s="20">
        <v>87</v>
      </c>
      <c r="X5" s="20">
        <v>129</v>
      </c>
      <c r="Y5" s="20">
        <v>3</v>
      </c>
      <c r="Z5" s="35">
        <v>0</v>
      </c>
      <c r="AA5" s="34">
        <v>4.5</v>
      </c>
      <c r="AB5" s="37">
        <v>9</v>
      </c>
      <c r="AC5" s="34">
        <v>40.5</v>
      </c>
    </row>
    <row r="6" spans="1:29" ht="15" x14ac:dyDescent="0.2">
      <c r="A6" s="59">
        <v>44320</v>
      </c>
      <c r="B6" s="70">
        <v>60.53</v>
      </c>
      <c r="C6" s="70">
        <v>341</v>
      </c>
      <c r="D6" s="71">
        <v>2.8638720000000002</v>
      </c>
      <c r="E6" s="69">
        <v>4.5839359999999996</v>
      </c>
      <c r="F6" s="69">
        <v>4.8691199999999997</v>
      </c>
      <c r="G6" s="69">
        <v>1.5319039999999999</v>
      </c>
      <c r="H6" s="69">
        <v>2.3608319999999998</v>
      </c>
      <c r="I6" s="69">
        <v>2.3526400000000001</v>
      </c>
      <c r="J6" s="69">
        <v>1.4579200000000001</v>
      </c>
      <c r="K6" s="69">
        <v>1.6232960000000001</v>
      </c>
      <c r="L6" s="69">
        <v>3.8568959999999999</v>
      </c>
      <c r="M6" s="77">
        <v>0</v>
      </c>
      <c r="N6" s="60">
        <v>5980</v>
      </c>
      <c r="O6" s="32">
        <v>11921</v>
      </c>
      <c r="P6" s="32">
        <v>7636</v>
      </c>
      <c r="Q6" s="32">
        <v>0</v>
      </c>
      <c r="R6" s="21">
        <v>7089</v>
      </c>
      <c r="S6" s="21">
        <f t="shared" si="0"/>
        <v>0.9647</v>
      </c>
      <c r="T6" s="31">
        <v>53</v>
      </c>
      <c r="U6" s="20">
        <v>31</v>
      </c>
      <c r="V6" s="20">
        <v>106</v>
      </c>
      <c r="W6" s="20">
        <v>97</v>
      </c>
      <c r="X6" s="20">
        <v>172</v>
      </c>
      <c r="Y6" s="20">
        <v>62</v>
      </c>
      <c r="Z6" s="35">
        <v>0</v>
      </c>
      <c r="AA6" s="34">
        <v>9</v>
      </c>
      <c r="AB6" s="37">
        <v>3</v>
      </c>
      <c r="AC6" s="34">
        <v>27</v>
      </c>
    </row>
    <row r="7" spans="1:29" ht="15" x14ac:dyDescent="0.2">
      <c r="A7" s="59">
        <v>44321</v>
      </c>
      <c r="B7" s="70">
        <v>57.89</v>
      </c>
      <c r="C7" s="70">
        <v>334</v>
      </c>
      <c r="D7" s="71">
        <v>3.8330880000000001</v>
      </c>
      <c r="E7" s="69">
        <v>5.9775999999999998</v>
      </c>
      <c r="F7" s="69">
        <v>5.4297599999999999</v>
      </c>
      <c r="G7" s="69">
        <v>1.964288</v>
      </c>
      <c r="H7" s="69">
        <v>2.9278719999999998</v>
      </c>
      <c r="I7" s="69">
        <v>2.84416</v>
      </c>
      <c r="J7" s="69">
        <v>1.4727680000000001</v>
      </c>
      <c r="K7" s="69">
        <v>1.885184</v>
      </c>
      <c r="L7" s="69">
        <v>3.951616</v>
      </c>
      <c r="M7" s="77">
        <v>0</v>
      </c>
      <c r="N7" s="60">
        <v>9975</v>
      </c>
      <c r="O7" s="32">
        <v>4629</v>
      </c>
      <c r="P7" s="32">
        <v>8474</v>
      </c>
      <c r="Q7" s="32">
        <v>8412</v>
      </c>
      <c r="R7" s="21">
        <v>8830</v>
      </c>
      <c r="S7" s="21">
        <f t="shared" si="0"/>
        <v>0.9647</v>
      </c>
      <c r="T7" s="31">
        <v>57</v>
      </c>
      <c r="U7" s="20">
        <v>64</v>
      </c>
      <c r="V7" s="20">
        <v>72</v>
      </c>
      <c r="W7" s="20">
        <v>97</v>
      </c>
      <c r="X7" s="20">
        <v>144</v>
      </c>
      <c r="Y7" s="47">
        <v>91</v>
      </c>
      <c r="Z7" s="35">
        <v>0</v>
      </c>
      <c r="AA7" s="34">
        <v>5</v>
      </c>
      <c r="AB7" s="64">
        <v>14</v>
      </c>
      <c r="AC7" s="34">
        <v>70</v>
      </c>
    </row>
    <row r="8" spans="1:29" ht="15" x14ac:dyDescent="0.2">
      <c r="A8" s="59">
        <v>44322</v>
      </c>
      <c r="B8" s="70">
        <v>61.84</v>
      </c>
      <c r="C8" s="70">
        <v>422</v>
      </c>
      <c r="D8" s="71">
        <v>3.8604799999999999</v>
      </c>
      <c r="E8" s="69">
        <v>6.1096959999999996</v>
      </c>
      <c r="F8" s="69">
        <v>5.5854080000000002</v>
      </c>
      <c r="G8" s="69">
        <v>1.9983359999999999</v>
      </c>
      <c r="H8" s="69">
        <v>2.8989440000000002</v>
      </c>
      <c r="I8" s="69">
        <v>3.0254080000000001</v>
      </c>
      <c r="J8" s="69">
        <v>1.424512</v>
      </c>
      <c r="K8" s="69">
        <v>1.947648</v>
      </c>
      <c r="L8" s="69">
        <v>3.88096</v>
      </c>
      <c r="M8" s="77">
        <v>0</v>
      </c>
      <c r="N8" s="60">
        <v>10607</v>
      </c>
      <c r="O8" s="32">
        <v>9131</v>
      </c>
      <c r="P8" s="32">
        <v>12870</v>
      </c>
      <c r="Q8" s="32">
        <v>11910</v>
      </c>
      <c r="R8" s="21">
        <v>12213</v>
      </c>
      <c r="S8" s="21">
        <f t="shared" si="0"/>
        <v>0.9647</v>
      </c>
      <c r="T8" s="47">
        <v>58</v>
      </c>
      <c r="U8" s="47">
        <v>22</v>
      </c>
      <c r="V8" s="47">
        <v>78</v>
      </c>
      <c r="W8" s="47">
        <v>123</v>
      </c>
      <c r="X8" s="47">
        <v>151</v>
      </c>
      <c r="Y8" s="47">
        <v>46</v>
      </c>
      <c r="Z8" s="35">
        <v>0</v>
      </c>
      <c r="AA8" s="66">
        <v>20</v>
      </c>
      <c r="AB8" s="65">
        <v>72</v>
      </c>
      <c r="AC8" s="34">
        <v>1440</v>
      </c>
    </row>
    <row r="9" spans="1:29" ht="15" customHeight="1" x14ac:dyDescent="0.2">
      <c r="A9" s="59">
        <v>44323</v>
      </c>
      <c r="B9" s="70">
        <v>68.42</v>
      </c>
      <c r="C9" s="70">
        <v>432</v>
      </c>
      <c r="D9" s="71">
        <v>3.9354879999999999</v>
      </c>
      <c r="E9" s="69">
        <v>6.0851199999999999</v>
      </c>
      <c r="F9" s="69">
        <v>5.7323519999999997</v>
      </c>
      <c r="G9" s="69">
        <v>1.997312</v>
      </c>
      <c r="H9" s="69">
        <v>3.0791680000000001</v>
      </c>
      <c r="I9" s="69">
        <v>2.9870079999999999</v>
      </c>
      <c r="J9" s="69">
        <v>1.3455360000000001</v>
      </c>
      <c r="K9" s="69">
        <v>1.8659840000000001</v>
      </c>
      <c r="L9" s="69">
        <v>3.7703679999999999</v>
      </c>
      <c r="M9" s="77">
        <v>0</v>
      </c>
      <c r="N9" s="60">
        <v>12118</v>
      </c>
      <c r="O9" s="32">
        <v>4235</v>
      </c>
      <c r="P9" s="32">
        <v>0</v>
      </c>
      <c r="Q9" s="32">
        <v>4539</v>
      </c>
      <c r="R9" s="21">
        <v>5597</v>
      </c>
      <c r="S9" s="21">
        <f t="shared" si="0"/>
        <v>0.9647</v>
      </c>
      <c r="T9" s="31">
        <v>52</v>
      </c>
      <c r="U9" s="20">
        <v>19</v>
      </c>
      <c r="V9" s="20">
        <v>68</v>
      </c>
      <c r="W9" s="20">
        <v>108</v>
      </c>
      <c r="X9" s="20">
        <v>186</v>
      </c>
      <c r="Y9" s="31">
        <v>86</v>
      </c>
      <c r="Z9" s="35">
        <v>0</v>
      </c>
      <c r="AA9" s="67">
        <v>24</v>
      </c>
      <c r="AB9" s="65">
        <v>2</v>
      </c>
      <c r="AC9" s="34">
        <v>48</v>
      </c>
    </row>
    <row r="10" spans="1:29" ht="15.75" customHeight="1" x14ac:dyDescent="0.2">
      <c r="A10" s="59">
        <v>44324</v>
      </c>
      <c r="B10" s="70">
        <v>69.73</v>
      </c>
      <c r="C10" s="70">
        <v>452</v>
      </c>
      <c r="D10" s="71">
        <v>3.6951040000000002</v>
      </c>
      <c r="E10" s="69">
        <v>5.480448</v>
      </c>
      <c r="F10" s="69">
        <v>5.5296000000000003</v>
      </c>
      <c r="G10" s="69">
        <v>1.905152</v>
      </c>
      <c r="H10" s="69">
        <v>2.803712</v>
      </c>
      <c r="I10" s="69">
        <v>2.8797440000000001</v>
      </c>
      <c r="J10" s="69">
        <v>1.263104</v>
      </c>
      <c r="K10" s="69">
        <v>1.8690560000000001</v>
      </c>
      <c r="L10" s="69">
        <v>3.703808</v>
      </c>
      <c r="M10" s="77">
        <v>0</v>
      </c>
      <c r="N10" s="60">
        <v>10401</v>
      </c>
      <c r="O10" s="32">
        <v>5213</v>
      </c>
      <c r="P10" s="32">
        <v>11081</v>
      </c>
      <c r="Q10" s="32">
        <v>3792</v>
      </c>
      <c r="R10" s="21">
        <v>8514</v>
      </c>
      <c r="S10" s="21">
        <f t="shared" si="0"/>
        <v>0.9647</v>
      </c>
      <c r="T10" s="31">
        <v>53</v>
      </c>
      <c r="U10" s="20">
        <v>23</v>
      </c>
      <c r="V10" s="20">
        <v>64</v>
      </c>
      <c r="W10" s="20">
        <v>155</v>
      </c>
      <c r="X10" s="20">
        <v>163</v>
      </c>
      <c r="Y10" s="31">
        <v>128</v>
      </c>
      <c r="Z10" s="35">
        <v>0</v>
      </c>
      <c r="AA10" s="46"/>
      <c r="AB10" s="62" t="s">
        <v>68</v>
      </c>
      <c r="AC10" s="63">
        <f>SUM(AC6:AC9)</f>
        <v>1585</v>
      </c>
    </row>
    <row r="11" spans="1:29" ht="15" customHeight="1" x14ac:dyDescent="0.2">
      <c r="A11" s="59">
        <v>44325</v>
      </c>
      <c r="B11" s="70">
        <v>64.47</v>
      </c>
      <c r="C11" s="70">
        <v>375</v>
      </c>
      <c r="D11" s="71">
        <v>2.86592</v>
      </c>
      <c r="E11" s="69">
        <v>4.255744</v>
      </c>
      <c r="F11" s="69">
        <v>4.7795199999999998</v>
      </c>
      <c r="G11" s="69">
        <v>1.413888</v>
      </c>
      <c r="H11" s="69">
        <v>2.104832</v>
      </c>
      <c r="I11" s="69">
        <v>2.2138879999999999</v>
      </c>
      <c r="J11" s="69">
        <v>1.4277120000000001</v>
      </c>
      <c r="K11" s="69">
        <v>1.4264319999999999</v>
      </c>
      <c r="L11" s="69">
        <v>3.2225280000000001</v>
      </c>
      <c r="M11" s="77">
        <v>0</v>
      </c>
      <c r="N11" s="60">
        <v>0</v>
      </c>
      <c r="O11" s="32">
        <v>7612</v>
      </c>
      <c r="P11" s="32">
        <v>12353</v>
      </c>
      <c r="Q11" s="32">
        <v>1206</v>
      </c>
      <c r="R11" s="21">
        <v>6940</v>
      </c>
      <c r="S11" s="21">
        <f t="shared" si="0"/>
        <v>0.9647</v>
      </c>
      <c r="T11" s="31">
        <v>49</v>
      </c>
      <c r="U11" s="20">
        <v>27</v>
      </c>
      <c r="V11" s="20">
        <v>54</v>
      </c>
      <c r="W11" s="20">
        <v>83</v>
      </c>
      <c r="X11" s="20">
        <v>166</v>
      </c>
      <c r="Y11" s="31">
        <v>74</v>
      </c>
      <c r="Z11" s="35">
        <v>0</v>
      </c>
      <c r="AA11" s="96" t="s">
        <v>69</v>
      </c>
      <c r="AB11" s="97"/>
      <c r="AC11" s="97"/>
    </row>
    <row r="12" spans="1:29" ht="15" customHeight="1" x14ac:dyDescent="0.2">
      <c r="A12" s="59">
        <v>44326</v>
      </c>
      <c r="B12" s="70">
        <v>44.74</v>
      </c>
      <c r="C12" s="70">
        <v>344</v>
      </c>
      <c r="D12" s="71">
        <v>3.297024</v>
      </c>
      <c r="E12" s="69">
        <v>5.2556799999999999</v>
      </c>
      <c r="F12" s="69">
        <v>4.9930240000000001</v>
      </c>
      <c r="G12" s="69">
        <v>1.9712000000000001</v>
      </c>
      <c r="H12" s="69">
        <v>2.56</v>
      </c>
      <c r="I12" s="69">
        <v>2.5925120000000001</v>
      </c>
      <c r="J12" s="69">
        <v>1.4869760000000001</v>
      </c>
      <c r="K12" s="69">
        <v>1.530624</v>
      </c>
      <c r="L12" s="69">
        <v>3.7836799999999999</v>
      </c>
      <c r="M12" s="77">
        <v>0</v>
      </c>
      <c r="N12" s="60">
        <v>8861</v>
      </c>
      <c r="O12" s="32">
        <v>5932</v>
      </c>
      <c r="P12" s="32">
        <v>8844</v>
      </c>
      <c r="Q12" s="32">
        <v>5312</v>
      </c>
      <c r="R12" s="21">
        <v>7924</v>
      </c>
      <c r="S12" s="21">
        <f t="shared" si="0"/>
        <v>0.9647</v>
      </c>
      <c r="T12" s="31">
        <v>55</v>
      </c>
      <c r="U12" s="31">
        <v>28.266666666666666</v>
      </c>
      <c r="V12" s="31">
        <v>72.733333333333334</v>
      </c>
      <c r="W12" s="31">
        <v>122.6</v>
      </c>
      <c r="X12" s="31">
        <v>143.4</v>
      </c>
      <c r="Y12" s="31">
        <v>75.566666666666663</v>
      </c>
      <c r="Z12" s="35">
        <v>0</v>
      </c>
      <c r="AA12" s="82"/>
      <c r="AB12" s="98" t="s">
        <v>70</v>
      </c>
      <c r="AC12" s="99"/>
    </row>
    <row r="13" spans="1:29" ht="15" customHeight="1" x14ac:dyDescent="0.2">
      <c r="A13" s="59">
        <v>44327</v>
      </c>
      <c r="B13" s="70">
        <v>46.05</v>
      </c>
      <c r="C13" s="70">
        <v>346</v>
      </c>
      <c r="D13" s="71">
        <v>3.4805760000000001</v>
      </c>
      <c r="E13" s="69">
        <v>5.6734720000000003</v>
      </c>
      <c r="F13" s="69">
        <v>5.2239360000000001</v>
      </c>
      <c r="G13" s="69">
        <v>2.280192</v>
      </c>
      <c r="H13" s="69">
        <v>2.7059199999999999</v>
      </c>
      <c r="I13" s="69">
        <v>2.765568</v>
      </c>
      <c r="J13" s="69">
        <v>1.421184</v>
      </c>
      <c r="K13" s="69">
        <v>1.713152</v>
      </c>
      <c r="L13" s="69">
        <v>3.7903359999999999</v>
      </c>
      <c r="M13" s="80">
        <v>0</v>
      </c>
      <c r="N13" s="60">
        <v>10450</v>
      </c>
      <c r="O13" s="32">
        <v>5287</v>
      </c>
      <c r="P13" s="32">
        <v>10291</v>
      </c>
      <c r="Q13" s="32">
        <v>4480</v>
      </c>
      <c r="R13" s="21">
        <v>8504</v>
      </c>
      <c r="S13" s="21">
        <v>0.96</v>
      </c>
      <c r="T13" s="31">
        <v>55</v>
      </c>
      <c r="U13" s="31">
        <v>36</v>
      </c>
      <c r="V13" s="31">
        <v>67</v>
      </c>
      <c r="W13" s="31">
        <v>118</v>
      </c>
      <c r="X13" s="31">
        <v>130</v>
      </c>
      <c r="Y13" s="31">
        <v>52</v>
      </c>
      <c r="Z13" s="35">
        <v>0</v>
      </c>
      <c r="AA13" s="45" t="s">
        <v>71</v>
      </c>
      <c r="AB13" s="86">
        <v>6000</v>
      </c>
      <c r="AC13" s="87"/>
    </row>
    <row r="14" spans="1:29" ht="15" customHeight="1" x14ac:dyDescent="0.2">
      <c r="A14" s="59">
        <v>44328</v>
      </c>
      <c r="B14" s="70">
        <v>49.38</v>
      </c>
      <c r="C14" s="70">
        <v>316</v>
      </c>
      <c r="D14" s="71">
        <v>3.1208960000000001</v>
      </c>
      <c r="E14" s="69">
        <v>5.2377599999999997</v>
      </c>
      <c r="F14" s="69">
        <v>4.8793600000000001</v>
      </c>
      <c r="G14" s="69">
        <v>1.9409920000000001</v>
      </c>
      <c r="H14" s="69">
        <v>2.3874559999999998</v>
      </c>
      <c r="I14" s="69">
        <v>2.686976</v>
      </c>
      <c r="J14" s="69">
        <v>1.104768</v>
      </c>
      <c r="K14" s="69">
        <v>1.818112</v>
      </c>
      <c r="L14" s="69">
        <v>3.21536</v>
      </c>
      <c r="M14" s="68">
        <v>0</v>
      </c>
      <c r="N14" s="50">
        <v>8642</v>
      </c>
      <c r="O14" s="48">
        <v>9897</v>
      </c>
      <c r="P14" s="48">
        <v>9508</v>
      </c>
      <c r="Q14" s="48">
        <v>8701</v>
      </c>
      <c r="R14" s="21">
        <v>10102</v>
      </c>
      <c r="S14" s="21">
        <v>0.96</v>
      </c>
      <c r="T14" s="31">
        <v>50</v>
      </c>
      <c r="U14" s="20">
        <v>0</v>
      </c>
      <c r="V14" s="20">
        <v>88</v>
      </c>
      <c r="W14" s="20">
        <v>120</v>
      </c>
      <c r="X14" s="20">
        <v>130</v>
      </c>
      <c r="Y14" s="20">
        <v>136</v>
      </c>
      <c r="Z14" s="35">
        <v>0</v>
      </c>
      <c r="AA14" s="45" t="s">
        <v>72</v>
      </c>
      <c r="AB14" s="86">
        <v>2350</v>
      </c>
      <c r="AC14" s="87"/>
    </row>
    <row r="15" spans="1:29" ht="15" x14ac:dyDescent="0.2">
      <c r="A15" s="59">
        <v>44329</v>
      </c>
      <c r="B15" s="70">
        <v>53.66</v>
      </c>
      <c r="C15" s="70">
        <v>322</v>
      </c>
      <c r="D15" s="71">
        <v>3.0307840000000001</v>
      </c>
      <c r="E15" s="69">
        <v>4.7523840000000002</v>
      </c>
      <c r="F15" s="69">
        <v>4.8384</v>
      </c>
      <c r="G15" s="69">
        <v>1.7354240000000001</v>
      </c>
      <c r="H15" s="69">
        <v>2.228224</v>
      </c>
      <c r="I15" s="69">
        <v>2.393856</v>
      </c>
      <c r="J15" s="69">
        <v>1.4632959999999999</v>
      </c>
      <c r="K15" s="69">
        <v>1.4760960000000001</v>
      </c>
      <c r="L15" s="69">
        <v>3.7754880000000002</v>
      </c>
      <c r="M15" s="68">
        <v>0</v>
      </c>
      <c r="N15" s="50">
        <v>0</v>
      </c>
      <c r="O15" s="48">
        <v>5031</v>
      </c>
      <c r="P15" s="48">
        <v>14068</v>
      </c>
      <c r="Q15" s="48">
        <v>0</v>
      </c>
      <c r="R15" s="21">
        <v>5633</v>
      </c>
      <c r="S15" s="21">
        <v>0.96</v>
      </c>
      <c r="T15" s="31">
        <v>54</v>
      </c>
      <c r="U15" s="31">
        <v>46</v>
      </c>
      <c r="V15" s="20">
        <v>96</v>
      </c>
      <c r="W15" s="20">
        <v>86</v>
      </c>
      <c r="X15" s="20">
        <v>127</v>
      </c>
      <c r="Y15" s="20">
        <v>74</v>
      </c>
      <c r="Z15" s="35">
        <v>0</v>
      </c>
      <c r="AA15" s="83"/>
      <c r="AB15" s="38" t="s">
        <v>68</v>
      </c>
      <c r="AC15" s="34">
        <f>SUM(AB13:AC14)</f>
        <v>8350</v>
      </c>
    </row>
    <row r="16" spans="1:29" ht="15" customHeight="1" x14ac:dyDescent="0.2">
      <c r="A16" s="59">
        <v>44330</v>
      </c>
      <c r="B16" s="70">
        <v>50.6</v>
      </c>
      <c r="C16" s="70">
        <v>373</v>
      </c>
      <c r="D16" s="71">
        <v>3.419136</v>
      </c>
      <c r="E16" s="69">
        <v>5.7164799999999998</v>
      </c>
      <c r="F16" s="69">
        <v>5.0918400000000004</v>
      </c>
      <c r="G16" s="69">
        <v>2.0446719999999998</v>
      </c>
      <c r="H16" s="69">
        <v>2.6209280000000001</v>
      </c>
      <c r="I16" s="69">
        <v>2.7760639999999999</v>
      </c>
      <c r="J16" s="69">
        <v>1.1120639999999999</v>
      </c>
      <c r="K16" s="69">
        <v>1.6368640000000001</v>
      </c>
      <c r="L16" s="69">
        <v>3.2660480000000001</v>
      </c>
      <c r="M16" s="68">
        <v>0</v>
      </c>
      <c r="N16" s="50">
        <v>8555</v>
      </c>
      <c r="O16" s="48">
        <v>12766</v>
      </c>
      <c r="P16" s="48">
        <v>2202</v>
      </c>
      <c r="Q16" s="48">
        <v>1651</v>
      </c>
      <c r="R16" s="21">
        <v>12217</v>
      </c>
      <c r="S16" s="21">
        <v>0.96</v>
      </c>
      <c r="T16" s="31">
        <v>55</v>
      </c>
      <c r="U16" s="31">
        <v>23</v>
      </c>
      <c r="V16" s="31">
        <v>93</v>
      </c>
      <c r="W16" s="31">
        <v>113</v>
      </c>
      <c r="X16" s="31">
        <v>123</v>
      </c>
      <c r="Y16" s="31">
        <v>129</v>
      </c>
      <c r="Z16" s="35">
        <v>0</v>
      </c>
      <c r="AA16" s="88"/>
      <c r="AB16" s="89"/>
      <c r="AC16" s="90"/>
    </row>
    <row r="17" spans="1:30" ht="15" customHeight="1" x14ac:dyDescent="0.2">
      <c r="A17" s="59">
        <v>44331</v>
      </c>
      <c r="B17" s="70">
        <v>39.76</v>
      </c>
      <c r="C17" s="70">
        <v>320</v>
      </c>
      <c r="D17" s="71">
        <v>3.5356160000000001</v>
      </c>
      <c r="E17" s="69">
        <v>5.5096319999999999</v>
      </c>
      <c r="F17" s="69">
        <v>5.0073600000000003</v>
      </c>
      <c r="G17" s="69">
        <v>2.0856319999999999</v>
      </c>
      <c r="H17" s="69">
        <v>2.4614400000000001</v>
      </c>
      <c r="I17" s="69">
        <v>2.8474879999999998</v>
      </c>
      <c r="J17" s="69">
        <v>1.236864</v>
      </c>
      <c r="K17" s="69">
        <v>1.7704960000000001</v>
      </c>
      <c r="L17" s="69">
        <v>3.493376</v>
      </c>
      <c r="M17" s="68">
        <v>0</v>
      </c>
      <c r="N17" s="50">
        <v>8208</v>
      </c>
      <c r="O17" s="48">
        <v>5537</v>
      </c>
      <c r="P17" s="48">
        <v>9965</v>
      </c>
      <c r="Q17" s="48">
        <v>5729</v>
      </c>
      <c r="R17" s="21">
        <v>8337</v>
      </c>
      <c r="S17" s="21">
        <v>0.96</v>
      </c>
      <c r="T17" s="31">
        <v>52</v>
      </c>
      <c r="U17" s="31">
        <v>2</v>
      </c>
      <c r="V17" s="31">
        <v>58</v>
      </c>
      <c r="W17" s="31">
        <v>92</v>
      </c>
      <c r="X17" s="31">
        <v>135</v>
      </c>
      <c r="Y17" s="31">
        <v>91</v>
      </c>
      <c r="Z17" s="35">
        <v>0</v>
      </c>
      <c r="AA17" s="88"/>
      <c r="AB17" s="89"/>
      <c r="AC17" s="90"/>
    </row>
    <row r="18" spans="1:30" ht="15" customHeight="1" x14ac:dyDescent="0.2">
      <c r="A18" s="59">
        <v>44332</v>
      </c>
      <c r="B18" s="70">
        <v>34.15</v>
      </c>
      <c r="C18" s="70">
        <v>285</v>
      </c>
      <c r="D18" s="71">
        <v>3.4168319999999999</v>
      </c>
      <c r="E18" s="69">
        <v>5.34016</v>
      </c>
      <c r="F18" s="69">
        <v>4.8583679999999996</v>
      </c>
      <c r="G18" s="69">
        <v>1.9896320000000001</v>
      </c>
      <c r="H18" s="69">
        <v>2.435584</v>
      </c>
      <c r="I18" s="69">
        <v>3.1690239999999998</v>
      </c>
      <c r="J18" s="69">
        <v>1.2427520000000001</v>
      </c>
      <c r="K18" s="69">
        <v>1.7303040000000001</v>
      </c>
      <c r="L18" s="69">
        <v>3.5476480000000001</v>
      </c>
      <c r="M18" s="68">
        <v>0</v>
      </c>
      <c r="N18" s="50">
        <v>9576</v>
      </c>
      <c r="O18" s="48">
        <v>5268</v>
      </c>
      <c r="P18" s="48">
        <v>9560</v>
      </c>
      <c r="Q18" s="48">
        <v>4394</v>
      </c>
      <c r="R18" s="21">
        <v>7735</v>
      </c>
      <c r="S18" s="21">
        <v>0.94</v>
      </c>
      <c r="T18" s="31">
        <v>52</v>
      </c>
      <c r="U18" s="31">
        <v>32</v>
      </c>
      <c r="V18" s="31">
        <v>41</v>
      </c>
      <c r="W18" s="31">
        <v>91</v>
      </c>
      <c r="X18" s="31">
        <v>142</v>
      </c>
      <c r="Y18" s="31">
        <v>2</v>
      </c>
      <c r="Z18" s="35">
        <v>0</v>
      </c>
      <c r="AA18" s="88"/>
      <c r="AB18" s="89"/>
      <c r="AC18" s="90"/>
    </row>
    <row r="19" spans="1:30" ht="15" customHeight="1" x14ac:dyDescent="0.2">
      <c r="A19" s="59">
        <v>44333</v>
      </c>
      <c r="B19" s="70">
        <v>37.659999999999997</v>
      </c>
      <c r="C19" s="70">
        <v>204</v>
      </c>
      <c r="D19" s="71">
        <v>3.0558719999999999</v>
      </c>
      <c r="E19" s="69">
        <v>4.7385599999999997</v>
      </c>
      <c r="F19" s="69">
        <v>4.8440320000000003</v>
      </c>
      <c r="G19" s="69">
        <v>1.7520640000000001</v>
      </c>
      <c r="H19" s="69">
        <v>2.3559679999999998</v>
      </c>
      <c r="I19" s="69">
        <v>2.8060160000000001</v>
      </c>
      <c r="J19" s="69">
        <v>1.3173760000000001</v>
      </c>
      <c r="K19" s="69">
        <v>1.8155520000000001</v>
      </c>
      <c r="L19" s="69">
        <v>3.5809280000000001</v>
      </c>
      <c r="M19" s="68">
        <v>0</v>
      </c>
      <c r="N19" s="50">
        <v>8568</v>
      </c>
      <c r="O19" s="48">
        <v>5487</v>
      </c>
      <c r="P19" s="48">
        <v>8666</v>
      </c>
      <c r="Q19" s="48">
        <v>4656</v>
      </c>
      <c r="R19" s="21">
        <v>7699</v>
      </c>
      <c r="S19" s="21">
        <v>0.94</v>
      </c>
      <c r="T19" s="31">
        <v>50</v>
      </c>
      <c r="U19" s="31">
        <v>34</v>
      </c>
      <c r="V19" s="31">
        <v>34</v>
      </c>
      <c r="W19" s="31">
        <v>121</v>
      </c>
      <c r="X19" s="31">
        <v>133</v>
      </c>
      <c r="Y19" s="31">
        <v>121</v>
      </c>
      <c r="Z19" s="35">
        <v>0</v>
      </c>
      <c r="AA19" s="88"/>
      <c r="AB19" s="89"/>
      <c r="AC19" s="90"/>
    </row>
    <row r="20" spans="1:30" ht="15" customHeight="1" x14ac:dyDescent="0.2">
      <c r="A20" s="59">
        <v>44334</v>
      </c>
      <c r="B20" s="70">
        <v>44.56</v>
      </c>
      <c r="C20" s="70">
        <v>346</v>
      </c>
      <c r="D20" s="71">
        <v>3.3986559999999999</v>
      </c>
      <c r="E20" s="69">
        <v>5.3089279999999999</v>
      </c>
      <c r="F20" s="69">
        <v>5.0606080000000002</v>
      </c>
      <c r="G20" s="69">
        <v>2.2156799999999999</v>
      </c>
      <c r="H20" s="69">
        <v>2.5415679999999998</v>
      </c>
      <c r="I20" s="69">
        <v>3.0517759999999998</v>
      </c>
      <c r="J20" s="69">
        <v>1.361664</v>
      </c>
      <c r="K20" s="69">
        <v>1.6537599999999999</v>
      </c>
      <c r="L20" s="69">
        <v>3.800576</v>
      </c>
      <c r="M20" s="68">
        <v>0</v>
      </c>
      <c r="N20" s="48">
        <v>10492</v>
      </c>
      <c r="O20" s="48">
        <v>4958</v>
      </c>
      <c r="P20" s="48">
        <v>9514</v>
      </c>
      <c r="Q20" s="48">
        <v>4649</v>
      </c>
      <c r="R20" s="21">
        <f>2738+1324+2933+1243</f>
        <v>8238</v>
      </c>
      <c r="S20" s="21">
        <v>0.94</v>
      </c>
      <c r="T20" s="31">
        <v>48</v>
      </c>
      <c r="U20" s="31">
        <v>14</v>
      </c>
      <c r="V20" s="31">
        <v>41</v>
      </c>
      <c r="W20" s="31">
        <v>129</v>
      </c>
      <c r="X20" s="31">
        <v>153</v>
      </c>
      <c r="Y20" s="31">
        <v>35</v>
      </c>
      <c r="Z20" s="35">
        <v>0</v>
      </c>
      <c r="AA20" s="88"/>
      <c r="AB20" s="89"/>
      <c r="AC20" s="90"/>
    </row>
    <row r="21" spans="1:30" ht="15" customHeight="1" x14ac:dyDescent="0.2">
      <c r="A21" s="59">
        <v>44335</v>
      </c>
      <c r="B21" s="70">
        <v>44.16</v>
      </c>
      <c r="C21" s="70">
        <v>327</v>
      </c>
      <c r="D21" s="71">
        <v>3.41248</v>
      </c>
      <c r="E21" s="69">
        <v>5.4446079999999997</v>
      </c>
      <c r="F21" s="69">
        <v>5.2403199999999996</v>
      </c>
      <c r="G21" s="69">
        <v>2.1519360000000001</v>
      </c>
      <c r="H21" s="69">
        <v>2.656768</v>
      </c>
      <c r="I21" s="69">
        <v>3.1188479999999998</v>
      </c>
      <c r="J21" s="69">
        <v>1.352832</v>
      </c>
      <c r="K21" s="69">
        <v>1.9297280000000001</v>
      </c>
      <c r="L21" s="69">
        <v>3.7212160000000001</v>
      </c>
      <c r="M21" s="68">
        <v>0</v>
      </c>
      <c r="N21" s="48">
        <v>10714</v>
      </c>
      <c r="O21" s="48">
        <v>4931</v>
      </c>
      <c r="P21" s="48">
        <v>10868</v>
      </c>
      <c r="Q21" s="48">
        <v>4192</v>
      </c>
      <c r="R21" s="21">
        <f>2811+1312+3254+1058</f>
        <v>8435</v>
      </c>
      <c r="S21" s="21">
        <v>0.94</v>
      </c>
      <c r="T21" s="31">
        <v>51</v>
      </c>
      <c r="U21" s="31">
        <v>44</v>
      </c>
      <c r="V21" s="31">
        <v>50</v>
      </c>
      <c r="W21" s="31">
        <v>128</v>
      </c>
      <c r="X21" s="31">
        <v>151</v>
      </c>
      <c r="Y21" s="31">
        <v>96</v>
      </c>
      <c r="Z21" s="35">
        <v>0</v>
      </c>
      <c r="AA21" s="88"/>
      <c r="AB21" s="89"/>
      <c r="AC21" s="90"/>
      <c r="AD21" s="22"/>
    </row>
    <row r="22" spans="1:30" ht="15" customHeight="1" x14ac:dyDescent="0.2">
      <c r="A22" s="59">
        <v>44336</v>
      </c>
      <c r="B22" s="70">
        <v>48.06</v>
      </c>
      <c r="C22" s="70">
        <v>297</v>
      </c>
      <c r="D22" s="71">
        <v>3.5089920000000001</v>
      </c>
      <c r="E22" s="69">
        <v>5.781504</v>
      </c>
      <c r="F22" s="69">
        <v>5.152768</v>
      </c>
      <c r="G22" s="69">
        <v>2.11456</v>
      </c>
      <c r="H22" s="69">
        <v>2.6316799999999998</v>
      </c>
      <c r="I22" s="69">
        <v>3.0325760000000002</v>
      </c>
      <c r="J22" s="69">
        <v>1.345024</v>
      </c>
      <c r="K22" s="69">
        <v>1.7889280000000001</v>
      </c>
      <c r="L22" s="69">
        <v>3.8497279999999998</v>
      </c>
      <c r="M22" s="68">
        <v>0</v>
      </c>
      <c r="N22" s="50">
        <v>8048</v>
      </c>
      <c r="O22" s="48">
        <v>7595</v>
      </c>
      <c r="P22" s="48">
        <v>10656</v>
      </c>
      <c r="Q22" s="48">
        <v>4163</v>
      </c>
      <c r="R22" s="21">
        <v>8251</v>
      </c>
      <c r="S22" s="21">
        <v>0.94</v>
      </c>
      <c r="T22" s="31">
        <v>52</v>
      </c>
      <c r="U22" s="31">
        <v>33</v>
      </c>
      <c r="V22" s="31">
        <v>44</v>
      </c>
      <c r="W22" s="31">
        <v>120</v>
      </c>
      <c r="X22" s="31">
        <v>137</v>
      </c>
      <c r="Y22" s="31">
        <v>76</v>
      </c>
      <c r="Z22" s="35">
        <v>0</v>
      </c>
      <c r="AA22" s="88"/>
      <c r="AB22" s="89"/>
      <c r="AC22" s="90"/>
      <c r="AD22" s="22"/>
    </row>
    <row r="23" spans="1:30" ht="15" customHeight="1" x14ac:dyDescent="0.2">
      <c r="A23" s="59">
        <v>44337</v>
      </c>
      <c r="B23" s="70">
        <v>37.659999999999997</v>
      </c>
      <c r="C23" s="70">
        <v>293</v>
      </c>
      <c r="D23" s="71">
        <v>3.374336</v>
      </c>
      <c r="E23" s="69">
        <v>5.9356159999999996</v>
      </c>
      <c r="F23" s="69">
        <v>5.1609600000000002</v>
      </c>
      <c r="G23" s="69">
        <v>2.0602879999999999</v>
      </c>
      <c r="H23" s="69">
        <v>2.6391040000000001</v>
      </c>
      <c r="I23" s="69">
        <v>2.9388800000000002</v>
      </c>
      <c r="J23" s="69">
        <v>1.39456</v>
      </c>
      <c r="K23" s="69">
        <v>1.7436160000000001</v>
      </c>
      <c r="L23" s="69">
        <v>3.773952</v>
      </c>
      <c r="M23" s="68">
        <v>0</v>
      </c>
      <c r="N23" s="50">
        <v>4204</v>
      </c>
      <c r="O23" s="48">
        <v>10171</v>
      </c>
      <c r="P23" s="48">
        <v>9676</v>
      </c>
      <c r="Q23" s="48">
        <v>5850</v>
      </c>
      <c r="R23" s="21">
        <v>8247</v>
      </c>
      <c r="S23" s="21">
        <v>0.94</v>
      </c>
      <c r="T23" s="31">
        <v>56</v>
      </c>
      <c r="U23" s="31">
        <v>42</v>
      </c>
      <c r="V23" s="31">
        <v>107</v>
      </c>
      <c r="W23" s="31">
        <v>153</v>
      </c>
      <c r="X23" s="31">
        <v>133</v>
      </c>
      <c r="Y23" s="31">
        <v>51</v>
      </c>
      <c r="Z23" s="35">
        <v>0</v>
      </c>
      <c r="AA23" s="88"/>
      <c r="AB23" s="89"/>
      <c r="AC23" s="90"/>
      <c r="AD23" s="22"/>
    </row>
    <row r="24" spans="1:30" ht="15" customHeight="1" x14ac:dyDescent="0.2">
      <c r="A24" s="59">
        <v>44338</v>
      </c>
      <c r="B24" s="70">
        <v>38.96</v>
      </c>
      <c r="C24" s="70">
        <v>336</v>
      </c>
      <c r="D24" s="71">
        <v>3.1280640000000002</v>
      </c>
      <c r="E24" s="69">
        <v>5.5423999999999998</v>
      </c>
      <c r="F24" s="69">
        <v>5.008896</v>
      </c>
      <c r="G24" s="69">
        <v>1.7904640000000001</v>
      </c>
      <c r="H24" s="69">
        <v>2.2689279999999998</v>
      </c>
      <c r="I24" s="69">
        <v>2.9091840000000002</v>
      </c>
      <c r="J24" s="69">
        <v>1.3635839999999999</v>
      </c>
      <c r="K24" s="69">
        <v>1.733376</v>
      </c>
      <c r="L24" s="69">
        <v>3.6884480000000002</v>
      </c>
      <c r="M24" s="68">
        <v>0</v>
      </c>
      <c r="N24" s="50">
        <v>0</v>
      </c>
      <c r="O24" s="48">
        <v>7738</v>
      </c>
      <c r="P24" s="48">
        <v>11240</v>
      </c>
      <c r="Q24" s="48">
        <v>9481</v>
      </c>
      <c r="R24" s="21">
        <v>8067</v>
      </c>
      <c r="S24" s="21">
        <v>0.94</v>
      </c>
      <c r="T24" s="31">
        <v>53</v>
      </c>
      <c r="U24" s="31">
        <v>13</v>
      </c>
      <c r="V24" s="20">
        <v>86</v>
      </c>
      <c r="W24" s="20">
        <v>103</v>
      </c>
      <c r="X24" s="20">
        <v>130</v>
      </c>
      <c r="Y24" s="20">
        <v>77</v>
      </c>
      <c r="Z24" s="35">
        <v>0</v>
      </c>
      <c r="AA24" s="88"/>
      <c r="AB24" s="89"/>
      <c r="AC24" s="90"/>
      <c r="AD24" s="22"/>
    </row>
    <row r="25" spans="1:30" ht="15" customHeight="1" x14ac:dyDescent="0.2">
      <c r="A25" s="59">
        <v>44339</v>
      </c>
      <c r="B25" s="70">
        <v>45.45</v>
      </c>
      <c r="C25" s="70">
        <v>289</v>
      </c>
      <c r="D25" s="71">
        <v>3.2071679999999998</v>
      </c>
      <c r="E25" s="69">
        <v>5.3191680000000003</v>
      </c>
      <c r="F25" s="69">
        <v>4.8148479999999996</v>
      </c>
      <c r="G25" s="69">
        <v>2.1969919999999998</v>
      </c>
      <c r="H25" s="69">
        <v>2.4110079999999998</v>
      </c>
      <c r="I25" s="69">
        <v>3.0924800000000001</v>
      </c>
      <c r="J25" s="69">
        <v>1.3082879999999999</v>
      </c>
      <c r="K25" s="69">
        <v>1.6988160000000001</v>
      </c>
      <c r="L25" s="69">
        <v>3.4232320000000001</v>
      </c>
      <c r="M25" s="68">
        <v>0</v>
      </c>
      <c r="N25" s="50">
        <v>3655</v>
      </c>
      <c r="O25" s="48">
        <v>3766</v>
      </c>
      <c r="P25" s="48">
        <v>11334</v>
      </c>
      <c r="Q25" s="48">
        <v>8938</v>
      </c>
      <c r="R25" s="21">
        <v>8143</v>
      </c>
      <c r="S25" s="21">
        <v>0.94</v>
      </c>
      <c r="T25" s="31">
        <v>50</v>
      </c>
      <c r="U25" s="31">
        <v>40</v>
      </c>
      <c r="V25" s="20">
        <v>59</v>
      </c>
      <c r="W25" s="20">
        <v>119</v>
      </c>
      <c r="X25" s="20">
        <v>125</v>
      </c>
      <c r="Y25" s="20">
        <v>115</v>
      </c>
      <c r="Z25" s="35">
        <v>0</v>
      </c>
      <c r="AA25" s="88"/>
      <c r="AB25" s="89"/>
      <c r="AC25" s="90"/>
      <c r="AD25" s="22"/>
    </row>
    <row r="26" spans="1:30" ht="15" customHeight="1" x14ac:dyDescent="0.2">
      <c r="A26" s="59">
        <v>44340</v>
      </c>
      <c r="B26" s="70">
        <v>51.95</v>
      </c>
      <c r="C26" s="70">
        <v>282</v>
      </c>
      <c r="D26" s="71">
        <v>2.8</v>
      </c>
      <c r="E26" s="69">
        <v>4.93</v>
      </c>
      <c r="F26" s="69">
        <v>4.78</v>
      </c>
      <c r="G26" s="69">
        <v>2.1</v>
      </c>
      <c r="H26" s="69">
        <v>2.42</v>
      </c>
      <c r="I26" s="69">
        <v>2.81</v>
      </c>
      <c r="J26" s="69">
        <v>1.41</v>
      </c>
      <c r="K26" s="69">
        <v>1.59</v>
      </c>
      <c r="L26" s="69">
        <v>3.67</v>
      </c>
      <c r="M26" s="68">
        <v>0</v>
      </c>
      <c r="N26" s="50">
        <v>7919</v>
      </c>
      <c r="O26" s="48">
        <v>10536</v>
      </c>
      <c r="P26" s="48">
        <v>3833</v>
      </c>
      <c r="Q26" s="48">
        <v>5145</v>
      </c>
      <c r="R26" s="21">
        <f>1942+2855+1111+1429</f>
        <v>7337</v>
      </c>
      <c r="S26" s="21">
        <v>0.94</v>
      </c>
      <c r="T26" s="31">
        <v>57</v>
      </c>
      <c r="U26" s="31">
        <v>42</v>
      </c>
      <c r="V26" s="20">
        <v>90</v>
      </c>
      <c r="W26" s="20">
        <v>117</v>
      </c>
      <c r="X26" s="20">
        <v>153</v>
      </c>
      <c r="Y26" s="20">
        <v>117</v>
      </c>
      <c r="Z26" s="35">
        <v>0</v>
      </c>
      <c r="AA26" s="88"/>
      <c r="AB26" s="89"/>
      <c r="AC26" s="90"/>
      <c r="AD26" s="22"/>
    </row>
    <row r="27" spans="1:30" ht="15" customHeight="1" x14ac:dyDescent="0.2">
      <c r="A27" s="59">
        <v>44341</v>
      </c>
      <c r="B27" s="70">
        <v>54.55</v>
      </c>
      <c r="C27" s="70">
        <v>323</v>
      </c>
      <c r="D27" s="71">
        <v>2.93248</v>
      </c>
      <c r="E27" s="69">
        <v>4.9868800000000002</v>
      </c>
      <c r="F27" s="69">
        <v>4.8962560000000002</v>
      </c>
      <c r="G27" s="69">
        <v>2.3598080000000001</v>
      </c>
      <c r="H27" s="69">
        <v>2.7391999999999999</v>
      </c>
      <c r="I27" s="69">
        <v>3.1293440000000001</v>
      </c>
      <c r="J27" s="69">
        <v>1.3786879999999999</v>
      </c>
      <c r="K27" s="69">
        <v>1.6071679999999999</v>
      </c>
      <c r="L27" s="69">
        <v>3.6664319999999999</v>
      </c>
      <c r="M27" s="68">
        <v>0</v>
      </c>
      <c r="N27" s="50">
        <v>10022</v>
      </c>
      <c r="O27" s="48">
        <v>5057</v>
      </c>
      <c r="P27" s="48">
        <v>9718</v>
      </c>
      <c r="Q27" s="48">
        <v>4207</v>
      </c>
      <c r="R27" s="21">
        <v>7839</v>
      </c>
      <c r="S27" s="21">
        <v>0.94</v>
      </c>
      <c r="T27" s="31">
        <v>46</v>
      </c>
      <c r="U27" s="31">
        <v>1</v>
      </c>
      <c r="V27" s="20">
        <v>104</v>
      </c>
      <c r="W27" s="20">
        <v>80</v>
      </c>
      <c r="X27" s="20">
        <v>121</v>
      </c>
      <c r="Y27" s="20">
        <v>112</v>
      </c>
      <c r="Z27" s="35">
        <v>0</v>
      </c>
      <c r="AA27" s="88"/>
      <c r="AB27" s="89"/>
      <c r="AC27" s="90"/>
      <c r="AD27" s="22"/>
    </row>
    <row r="28" spans="1:30" ht="15" customHeight="1" x14ac:dyDescent="0.2">
      <c r="A28" s="59">
        <v>44342</v>
      </c>
      <c r="B28" s="70">
        <v>55.22</v>
      </c>
      <c r="C28" s="70">
        <v>308</v>
      </c>
      <c r="D28" s="71">
        <v>3.0105599999999999</v>
      </c>
      <c r="E28" s="69">
        <v>5.005312</v>
      </c>
      <c r="F28" s="69">
        <v>4.9341439999999999</v>
      </c>
      <c r="G28" s="69">
        <v>2.6654719999999998</v>
      </c>
      <c r="H28" s="69">
        <v>2.8359679999999998</v>
      </c>
      <c r="I28" s="69">
        <v>3.1528960000000001</v>
      </c>
      <c r="J28" s="69">
        <v>1.3660159999999999</v>
      </c>
      <c r="K28" s="69">
        <v>1.5736319999999999</v>
      </c>
      <c r="L28" s="69">
        <v>3.790848</v>
      </c>
      <c r="M28" s="68">
        <v>0</v>
      </c>
      <c r="N28" s="50">
        <v>0</v>
      </c>
      <c r="O28" s="48">
        <v>4829</v>
      </c>
      <c r="P28" s="48">
        <v>14270</v>
      </c>
      <c r="Q28" s="48">
        <v>0</v>
      </c>
      <c r="R28" s="21">
        <v>5662</v>
      </c>
      <c r="S28" s="21">
        <v>0.94</v>
      </c>
      <c r="T28" s="31">
        <v>56</v>
      </c>
      <c r="U28" s="31">
        <v>64</v>
      </c>
      <c r="V28" s="20">
        <v>74</v>
      </c>
      <c r="W28" s="20">
        <v>121</v>
      </c>
      <c r="X28" s="20">
        <v>144</v>
      </c>
      <c r="Y28" s="20">
        <v>114</v>
      </c>
      <c r="Z28" s="35">
        <v>0</v>
      </c>
      <c r="AA28" s="88"/>
      <c r="AB28" s="89"/>
      <c r="AC28" s="90"/>
      <c r="AD28" s="22"/>
    </row>
    <row r="29" spans="1:30" ht="15" customHeight="1" x14ac:dyDescent="0.2">
      <c r="A29" s="59">
        <v>44343</v>
      </c>
      <c r="B29" s="70">
        <v>73.849999999999994</v>
      </c>
      <c r="C29" s="70">
        <v>441</v>
      </c>
      <c r="D29" s="71">
        <v>3.0553599999999999</v>
      </c>
      <c r="E29" s="69">
        <v>5.2055040000000004</v>
      </c>
      <c r="F29" s="69">
        <v>5.2259840000000004</v>
      </c>
      <c r="G29" s="69">
        <v>2.9603839999999999</v>
      </c>
      <c r="H29" s="69">
        <v>3.0748160000000002</v>
      </c>
      <c r="I29" s="69">
        <v>4.3269120000000001</v>
      </c>
      <c r="J29" s="69">
        <v>1.336192</v>
      </c>
      <c r="K29" s="69">
        <v>1.7093119999999999</v>
      </c>
      <c r="L29" s="69">
        <v>3.773952</v>
      </c>
      <c r="M29" s="68">
        <v>0</v>
      </c>
      <c r="N29" s="50">
        <v>11202</v>
      </c>
      <c r="O29" s="48">
        <v>14697</v>
      </c>
      <c r="P29" s="48">
        <v>5310</v>
      </c>
      <c r="Q29" s="48">
        <v>0</v>
      </c>
      <c r="R29" s="21">
        <v>8212</v>
      </c>
      <c r="S29" s="21">
        <v>0.94</v>
      </c>
      <c r="T29" s="31">
        <v>56</v>
      </c>
      <c r="U29" s="31">
        <v>12</v>
      </c>
      <c r="V29" s="20">
        <v>83</v>
      </c>
      <c r="W29" s="20">
        <v>305</v>
      </c>
      <c r="X29" s="20">
        <v>170</v>
      </c>
      <c r="Y29" s="20">
        <v>82</v>
      </c>
      <c r="Z29" s="35">
        <v>0</v>
      </c>
      <c r="AA29" s="88"/>
      <c r="AB29" s="89"/>
      <c r="AC29" s="90"/>
      <c r="AD29" s="22"/>
    </row>
    <row r="30" spans="1:30" ht="15" customHeight="1" x14ac:dyDescent="0.2">
      <c r="A30" s="59">
        <v>44344</v>
      </c>
      <c r="B30" s="70">
        <v>80.599999999999994</v>
      </c>
      <c r="C30" s="70">
        <v>412</v>
      </c>
      <c r="D30" s="71">
        <v>2.966272</v>
      </c>
      <c r="E30" s="69">
        <v>5.2633599999999996</v>
      </c>
      <c r="F30" s="69">
        <v>5.2638720000000001</v>
      </c>
      <c r="G30" s="69">
        <v>2.837504</v>
      </c>
      <c r="H30" s="69">
        <v>3.206912</v>
      </c>
      <c r="I30" s="69">
        <v>4.3107839999999999</v>
      </c>
      <c r="J30" s="69">
        <v>1.3777919999999999</v>
      </c>
      <c r="K30" s="69">
        <v>1.8012159999999999</v>
      </c>
      <c r="L30" s="69">
        <v>3.817984</v>
      </c>
      <c r="M30" s="68">
        <v>0</v>
      </c>
      <c r="N30" s="50">
        <v>11674</v>
      </c>
      <c r="O30" s="48">
        <v>9918</v>
      </c>
      <c r="P30" s="48">
        <v>11888</v>
      </c>
      <c r="Q30" s="48">
        <v>0</v>
      </c>
      <c r="R30" s="21">
        <v>8876</v>
      </c>
      <c r="S30" s="21">
        <v>0.94</v>
      </c>
      <c r="T30" s="31">
        <v>70</v>
      </c>
      <c r="U30" s="31">
        <v>29</v>
      </c>
      <c r="V30" s="20">
        <v>93</v>
      </c>
      <c r="W30" s="20">
        <v>222</v>
      </c>
      <c r="X30" s="20">
        <v>141</v>
      </c>
      <c r="Y30" s="20">
        <v>79</v>
      </c>
      <c r="Z30" s="35">
        <v>0</v>
      </c>
      <c r="AA30" s="88"/>
      <c r="AB30" s="89"/>
      <c r="AC30" s="90"/>
      <c r="AD30" s="22"/>
    </row>
    <row r="31" spans="1:30" ht="15" customHeight="1" x14ac:dyDescent="0.2">
      <c r="A31" s="59">
        <v>44345</v>
      </c>
      <c r="B31" s="70">
        <v>76.81</v>
      </c>
      <c r="C31" s="70">
        <v>446</v>
      </c>
      <c r="D31" s="71">
        <v>3.200256</v>
      </c>
      <c r="E31" s="69">
        <v>5.84192</v>
      </c>
      <c r="F31" s="69">
        <v>5.3247999999999998</v>
      </c>
      <c r="G31" s="69">
        <v>2.7701760000000002</v>
      </c>
      <c r="H31" s="69">
        <v>3.09632</v>
      </c>
      <c r="I31" s="69">
        <v>4.2483199999999997</v>
      </c>
      <c r="J31" s="69">
        <v>1.3729279999999999</v>
      </c>
      <c r="K31" s="69">
        <v>1.757952</v>
      </c>
      <c r="L31" s="69">
        <v>3.9961600000000002</v>
      </c>
      <c r="M31" s="68">
        <v>0</v>
      </c>
      <c r="N31" s="51">
        <v>10750</v>
      </c>
      <c r="O31" s="52">
        <v>9811</v>
      </c>
      <c r="P31" s="48">
        <v>11633</v>
      </c>
      <c r="Q31" s="48">
        <v>0</v>
      </c>
      <c r="R31" s="21">
        <v>8978</v>
      </c>
      <c r="S31" s="21">
        <v>0.94</v>
      </c>
      <c r="T31" s="31">
        <v>74</v>
      </c>
      <c r="U31" s="31">
        <v>24</v>
      </c>
      <c r="V31" s="31">
        <v>58</v>
      </c>
      <c r="W31" s="31">
        <v>147</v>
      </c>
      <c r="X31" s="31">
        <v>139</v>
      </c>
      <c r="Y31" s="31">
        <v>74</v>
      </c>
      <c r="Z31" s="35">
        <v>0</v>
      </c>
      <c r="AA31" s="88"/>
      <c r="AB31" s="89"/>
      <c r="AC31" s="90"/>
      <c r="AD31" s="22"/>
    </row>
    <row r="32" spans="1:30" ht="15" customHeight="1" x14ac:dyDescent="0.2">
      <c r="A32" s="59">
        <v>44346</v>
      </c>
      <c r="B32" s="70">
        <v>71.88</v>
      </c>
      <c r="C32" s="70">
        <v>397</v>
      </c>
      <c r="D32" s="71">
        <v>3.2422399999999998</v>
      </c>
      <c r="E32" s="69">
        <v>5.9806720000000002</v>
      </c>
      <c r="F32" s="69">
        <v>5.4097920000000004</v>
      </c>
      <c r="G32" s="69">
        <v>2.3175680000000001</v>
      </c>
      <c r="H32" s="69">
        <v>3.087872</v>
      </c>
      <c r="I32" s="69">
        <v>4.1024000000000003</v>
      </c>
      <c r="J32" s="69">
        <v>1.3699840000000001</v>
      </c>
      <c r="K32" s="69">
        <v>1.8913279999999999</v>
      </c>
      <c r="L32" s="69">
        <v>3.827712</v>
      </c>
      <c r="M32" s="68">
        <v>0</v>
      </c>
      <c r="N32" s="53">
        <v>11218</v>
      </c>
      <c r="O32" s="54">
        <v>12549</v>
      </c>
      <c r="P32" s="54">
        <v>8877</v>
      </c>
      <c r="Q32" s="54">
        <v>0</v>
      </c>
      <c r="R32" s="21">
        <v>8890</v>
      </c>
      <c r="S32" s="21">
        <v>0.94</v>
      </c>
      <c r="T32" s="31">
        <v>71</v>
      </c>
      <c r="U32" s="31">
        <v>24</v>
      </c>
      <c r="V32" s="31">
        <v>90</v>
      </c>
      <c r="W32" s="31">
        <v>133</v>
      </c>
      <c r="X32" s="31">
        <v>159</v>
      </c>
      <c r="Y32" s="31">
        <v>74</v>
      </c>
      <c r="Z32" s="35">
        <v>0</v>
      </c>
      <c r="AA32" s="88"/>
      <c r="AB32" s="89"/>
      <c r="AC32" s="90"/>
      <c r="AD32" s="22"/>
    </row>
    <row r="33" spans="1:29" ht="12.75" customHeight="1" x14ac:dyDescent="0.2">
      <c r="A33" s="59">
        <v>44347</v>
      </c>
      <c r="B33" s="49">
        <v>57.83</v>
      </c>
      <c r="C33" s="72">
        <v>1335</v>
      </c>
      <c r="D33" s="81">
        <v>3.1344639999999999</v>
      </c>
      <c r="E33" s="81">
        <v>5.6698880000000003</v>
      </c>
      <c r="F33" s="81">
        <v>5.5526400000000002</v>
      </c>
      <c r="G33" s="81">
        <v>2.3034880000000002</v>
      </c>
      <c r="H33" s="81">
        <v>3.0205440000000001</v>
      </c>
      <c r="I33" s="81">
        <v>3.9083519999999998</v>
      </c>
      <c r="J33" s="81">
        <v>1.388544</v>
      </c>
      <c r="K33" s="81">
        <v>1.854976</v>
      </c>
      <c r="L33" s="81">
        <v>3.864576</v>
      </c>
      <c r="M33" s="68">
        <v>0</v>
      </c>
      <c r="N33" s="54">
        <v>10471</v>
      </c>
      <c r="O33" s="54">
        <v>9539</v>
      </c>
      <c r="P33" s="55">
        <v>11555</v>
      </c>
      <c r="Q33" s="56">
        <v>0</v>
      </c>
      <c r="R33" s="21">
        <v>8611</v>
      </c>
      <c r="S33" s="21">
        <v>0.94</v>
      </c>
      <c r="T33" s="57">
        <v>60</v>
      </c>
      <c r="U33" s="57">
        <v>14</v>
      </c>
      <c r="V33" s="57">
        <v>116</v>
      </c>
      <c r="W33" s="57">
        <v>132</v>
      </c>
      <c r="X33" s="57">
        <v>124</v>
      </c>
      <c r="Y33" s="57">
        <v>62</v>
      </c>
      <c r="Z33" s="35">
        <v>0</v>
      </c>
      <c r="AA33" s="91"/>
      <c r="AB33" s="92"/>
      <c r="AC33" s="93"/>
    </row>
    <row r="34" spans="1:29" x14ac:dyDescent="0.2">
      <c r="T34" s="85"/>
      <c r="U34" s="85"/>
      <c r="V34" s="85"/>
      <c r="W34" s="85"/>
      <c r="X34" s="85"/>
      <c r="Y34" s="85"/>
      <c r="AA34" s="84"/>
      <c r="AB34" s="84"/>
      <c r="AC34" s="84"/>
    </row>
  </sheetData>
  <mergeCells count="8"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2021-06-14T11:40:20Z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