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20" yWindow="-120" windowWidth="20730" windowHeight="1116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K27" i="4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J6" i="4"/>
  <c r="J7" i="4"/>
  <c r="J8" i="4"/>
  <c r="K8" i="4" s="1"/>
  <c r="J9" i="4"/>
  <c r="K9" i="4" s="1"/>
  <c r="J10" i="4"/>
  <c r="K10" i="4" s="1"/>
  <c r="J11" i="4"/>
  <c r="J12" i="4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J28" i="4"/>
  <c r="K28" i="4" s="1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8" i="1" s="1"/>
  <c r="I14" i="4"/>
  <c r="E9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M14" i="3" s="1"/>
  <c r="I14" i="3"/>
  <c r="J14" i="3"/>
  <c r="K14" i="3"/>
  <c r="H15" i="3"/>
  <c r="M15" i="3" s="1"/>
  <c r="I15" i="3"/>
  <c r="J15" i="3"/>
  <c r="K15" i="3"/>
  <c r="H16" i="3"/>
  <c r="M16" i="3" s="1"/>
  <c r="I16" i="3"/>
  <c r="J16" i="3"/>
  <c r="K16" i="3"/>
  <c r="H17" i="3"/>
  <c r="M17" i="3" s="1"/>
  <c r="I17" i="3"/>
  <c r="J17" i="3"/>
  <c r="K17" i="3"/>
  <c r="H18" i="3"/>
  <c r="I18" i="3"/>
  <c r="J18" i="3"/>
  <c r="K18" i="3"/>
  <c r="H19" i="3"/>
  <c r="M19" i="3" s="1"/>
  <c r="I19" i="3"/>
  <c r="J19" i="3"/>
  <c r="K19" i="3"/>
  <c r="H20" i="3"/>
  <c r="M20" i="3" s="1"/>
  <c r="I20" i="3"/>
  <c r="J20" i="3"/>
  <c r="K20" i="3"/>
  <c r="H21" i="3"/>
  <c r="M21" i="3" s="1"/>
  <c r="I21" i="3"/>
  <c r="J21" i="3"/>
  <c r="K21" i="3"/>
  <c r="H22" i="3"/>
  <c r="M22" i="3" s="1"/>
  <c r="I22" i="3"/>
  <c r="J22" i="3"/>
  <c r="K22" i="3"/>
  <c r="H23" i="3"/>
  <c r="M23" i="3" s="1"/>
  <c r="I23" i="3"/>
  <c r="J23" i="3"/>
  <c r="K23" i="3"/>
  <c r="H24" i="3"/>
  <c r="M24" i="3" s="1"/>
  <c r="I24" i="3"/>
  <c r="J24" i="3"/>
  <c r="K24" i="3"/>
  <c r="H25" i="3"/>
  <c r="M25" i="3" s="1"/>
  <c r="I25" i="3"/>
  <c r="J25" i="3"/>
  <c r="K25" i="3"/>
  <c r="H26" i="3"/>
  <c r="M26" i="3" s="1"/>
  <c r="I26" i="3"/>
  <c r="J26" i="3"/>
  <c r="K26" i="3"/>
  <c r="H27" i="3"/>
  <c r="M27" i="3" s="1"/>
  <c r="I27" i="3"/>
  <c r="J27" i="3"/>
  <c r="K27" i="3"/>
  <c r="H28" i="3"/>
  <c r="M28" i="3" s="1"/>
  <c r="I28" i="3"/>
  <c r="J28" i="3"/>
  <c r="K28" i="3"/>
  <c r="H29" i="3"/>
  <c r="M29" i="3" s="1"/>
  <c r="I29" i="3"/>
  <c r="J29" i="3"/>
  <c r="K29" i="3"/>
  <c r="H30" i="3"/>
  <c r="M30" i="3" s="1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18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K7" i="4" l="1"/>
  <c r="K6" i="4"/>
  <c r="K5" i="4"/>
  <c r="K12" i="4"/>
  <c r="M12" i="4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4" i="1" s="1"/>
  <c r="I369" i="4"/>
  <c r="O367" i="4"/>
  <c r="I367" i="4"/>
  <c r="J368" i="4"/>
  <c r="L368" i="4"/>
  <c r="J369" i="4"/>
  <c r="L369" i="4"/>
  <c r="J367" i="4"/>
  <c r="L367" i="4"/>
  <c r="I364" i="1"/>
  <c r="K369" i="4" l="1"/>
  <c r="K368" i="4"/>
  <c r="M369" i="4"/>
  <c r="M368" i="4"/>
  <c r="K367" i="4"/>
  <c r="M367" i="4"/>
  <c r="G364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88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6" i="1" s="1"/>
  <c r="L222" i="3"/>
  <c r="I217" i="1" s="1"/>
  <c r="L223" i="3"/>
  <c r="L224" i="3"/>
  <c r="I147" i="1"/>
  <c r="H83" i="3"/>
  <c r="I83" i="3"/>
  <c r="J83" i="3"/>
  <c r="K83" i="3"/>
  <c r="M83" i="3" l="1"/>
  <c r="G78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1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7" i="1" s="1"/>
  <c r="L281" i="4"/>
  <c r="M281" i="4" s="1"/>
  <c r="K281" i="4"/>
  <c r="S280" i="4"/>
  <c r="R280" i="4"/>
  <c r="O280" i="4"/>
  <c r="E276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3" i="1" s="1"/>
  <c r="L277" i="4"/>
  <c r="M277" i="4" s="1"/>
  <c r="K277" i="4"/>
  <c r="S276" i="4"/>
  <c r="R276" i="4"/>
  <c r="O276" i="4"/>
  <c r="E272" i="1" s="1"/>
  <c r="L276" i="4"/>
  <c r="S275" i="4"/>
  <c r="R275" i="4"/>
  <c r="O275" i="4"/>
  <c r="L275" i="4"/>
  <c r="M275" i="4" s="1"/>
  <c r="K275" i="4"/>
  <c r="S274" i="4"/>
  <c r="R274" i="4"/>
  <c r="O274" i="4"/>
  <c r="E270" i="1" s="1"/>
  <c r="L274" i="4"/>
  <c r="M274" i="4" s="1"/>
  <c r="K274" i="4"/>
  <c r="S273" i="4"/>
  <c r="R273" i="4"/>
  <c r="O273" i="4"/>
  <c r="E269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2" i="1" s="1"/>
  <c r="S175" i="4"/>
  <c r="R175" i="4"/>
  <c r="O175" i="4"/>
  <c r="S174" i="4"/>
  <c r="R174" i="4"/>
  <c r="O174" i="4"/>
  <c r="S173" i="4"/>
  <c r="R173" i="4"/>
  <c r="O173" i="4"/>
  <c r="E169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2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08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98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2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3" i="1"/>
  <c r="S66" i="4"/>
  <c r="R66" i="4"/>
  <c r="S65" i="4"/>
  <c r="R65" i="4"/>
  <c r="S64" i="4"/>
  <c r="R64" i="4"/>
  <c r="S63" i="4"/>
  <c r="R63" i="4"/>
  <c r="P85" i="4"/>
  <c r="E59" i="1"/>
  <c r="S62" i="4"/>
  <c r="R62" i="4"/>
  <c r="S61" i="4"/>
  <c r="R61" i="4"/>
  <c r="S60" i="4"/>
  <c r="R60" i="4"/>
  <c r="S59" i="4"/>
  <c r="R59" i="4"/>
  <c r="E55" i="1"/>
  <c r="S58" i="4"/>
  <c r="R58" i="4"/>
  <c r="S57" i="4"/>
  <c r="R57" i="4"/>
  <c r="P57" i="4"/>
  <c r="E53" i="1"/>
  <c r="S56" i="4"/>
  <c r="R56" i="4"/>
  <c r="S55" i="4"/>
  <c r="R55" i="4"/>
  <c r="P55" i="4"/>
  <c r="S54" i="4"/>
  <c r="R54" i="4"/>
  <c r="S53" i="4"/>
  <c r="R53" i="4"/>
  <c r="E49" i="1"/>
  <c r="S52" i="4"/>
  <c r="R52" i="4"/>
  <c r="S51" i="4"/>
  <c r="R51" i="4"/>
  <c r="S50" i="4"/>
  <c r="R50" i="4"/>
  <c r="E46" i="1"/>
  <c r="S49" i="4"/>
  <c r="R49" i="4"/>
  <c r="S48" i="4"/>
  <c r="R48" i="4"/>
  <c r="S47" i="4"/>
  <c r="R47" i="4"/>
  <c r="E43" i="1"/>
  <c r="S46" i="4"/>
  <c r="R46" i="4"/>
  <c r="S45" i="4"/>
  <c r="R45" i="4"/>
  <c r="S44" i="4"/>
  <c r="R44" i="4"/>
  <c r="S43" i="4"/>
  <c r="R43" i="4"/>
  <c r="S42" i="4"/>
  <c r="R42" i="4"/>
  <c r="E38" i="1"/>
  <c r="S41" i="4"/>
  <c r="R41" i="4"/>
  <c r="S40" i="4"/>
  <c r="R40" i="4"/>
  <c r="S39" i="4"/>
  <c r="R39" i="4"/>
  <c r="E35" i="1"/>
  <c r="S38" i="4"/>
  <c r="R38" i="4"/>
  <c r="E34" i="1"/>
  <c r="S37" i="4"/>
  <c r="R37" i="4"/>
  <c r="S36" i="4"/>
  <c r="R36" i="4"/>
  <c r="S35" i="4"/>
  <c r="R35" i="4"/>
  <c r="E31" i="1"/>
  <c r="S34" i="4"/>
  <c r="R34" i="4"/>
  <c r="Q52" i="4"/>
  <c r="P53" i="4"/>
  <c r="E30" i="1"/>
  <c r="S33" i="4"/>
  <c r="R33" i="4"/>
  <c r="E29" i="1"/>
  <c r="S32" i="4"/>
  <c r="R32" i="4"/>
  <c r="E28" i="1"/>
  <c r="S31" i="4"/>
  <c r="R31" i="4"/>
  <c r="S30" i="4"/>
  <c r="R30" i="4"/>
  <c r="E26" i="1"/>
  <c r="S29" i="4"/>
  <c r="R29" i="4"/>
  <c r="P29" i="4"/>
  <c r="S28" i="4"/>
  <c r="R28" i="4"/>
  <c r="S27" i="4"/>
  <c r="R27" i="4"/>
  <c r="P27" i="4"/>
  <c r="S26" i="4"/>
  <c r="R26" i="4"/>
  <c r="S25" i="4"/>
  <c r="R25" i="4"/>
  <c r="E21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3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59" i="1" s="1"/>
  <c r="K364" i="3"/>
  <c r="J364" i="3"/>
  <c r="I364" i="3"/>
  <c r="H364" i="3"/>
  <c r="L363" i="3"/>
  <c r="I358" i="1" s="1"/>
  <c r="K363" i="3"/>
  <c r="J363" i="3"/>
  <c r="I363" i="3"/>
  <c r="H363" i="3"/>
  <c r="L362" i="3"/>
  <c r="K362" i="3"/>
  <c r="J362" i="3"/>
  <c r="I362" i="3"/>
  <c r="H362" i="3"/>
  <c r="L361" i="3"/>
  <c r="I356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3" i="1" s="1"/>
  <c r="K358" i="3"/>
  <c r="J358" i="3"/>
  <c r="I358" i="3"/>
  <c r="H358" i="3"/>
  <c r="L357" i="3"/>
  <c r="I352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49" i="1" s="1"/>
  <c r="K354" i="3"/>
  <c r="J354" i="3"/>
  <c r="I354" i="3"/>
  <c r="H354" i="3"/>
  <c r="L353" i="3"/>
  <c r="I348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5" i="1" s="1"/>
  <c r="K350" i="3"/>
  <c r="J350" i="3"/>
  <c r="I350" i="3"/>
  <c r="H350" i="3"/>
  <c r="L349" i="3"/>
  <c r="I344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1" i="1" s="1"/>
  <c r="K346" i="3"/>
  <c r="I346" i="3"/>
  <c r="H346" i="3"/>
  <c r="L345" i="3"/>
  <c r="I340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7" i="1" s="1"/>
  <c r="K342" i="3"/>
  <c r="J342" i="3"/>
  <c r="I342" i="3"/>
  <c r="H342" i="3"/>
  <c r="L341" i="3"/>
  <c r="I336" i="1" s="1"/>
  <c r="K341" i="3"/>
  <c r="J341" i="3"/>
  <c r="I341" i="3"/>
  <c r="H341" i="3"/>
  <c r="L340" i="3"/>
  <c r="K340" i="3"/>
  <c r="J340" i="3"/>
  <c r="I340" i="3"/>
  <c r="H340" i="3"/>
  <c r="L339" i="3"/>
  <c r="I334" i="1" s="1"/>
  <c r="K339" i="3"/>
  <c r="J339" i="3"/>
  <c r="I339" i="3"/>
  <c r="H339" i="3"/>
  <c r="L338" i="3"/>
  <c r="K338" i="3"/>
  <c r="J338" i="3"/>
  <c r="I338" i="3"/>
  <c r="H338" i="3"/>
  <c r="L337" i="3"/>
  <c r="I332" i="1" s="1"/>
  <c r="K337" i="3"/>
  <c r="J337" i="3"/>
  <c r="I337" i="3"/>
  <c r="H337" i="3"/>
  <c r="L336" i="3"/>
  <c r="I331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4" i="1" s="1"/>
  <c r="K329" i="3"/>
  <c r="J329" i="3"/>
  <c r="I329" i="3"/>
  <c r="H329" i="3"/>
  <c r="L328" i="3"/>
  <c r="I323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0" i="1" s="1"/>
  <c r="K325" i="3"/>
  <c r="J325" i="3"/>
  <c r="I325" i="3"/>
  <c r="H325" i="3"/>
  <c r="L324" i="3"/>
  <c r="I319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6" i="1" s="1"/>
  <c r="K321" i="3"/>
  <c r="J321" i="3"/>
  <c r="I321" i="3"/>
  <c r="H321" i="3"/>
  <c r="L320" i="3"/>
  <c r="I315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2" i="1" s="1"/>
  <c r="K317" i="3"/>
  <c r="J317" i="3"/>
  <c r="I317" i="3"/>
  <c r="H317" i="3"/>
  <c r="L316" i="3"/>
  <c r="I311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08" i="1" s="1"/>
  <c r="K313" i="3"/>
  <c r="J313" i="3"/>
  <c r="I313" i="3"/>
  <c r="H313" i="3"/>
  <c r="L312" i="3"/>
  <c r="I307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4" i="1" s="1"/>
  <c r="K309" i="3"/>
  <c r="J309" i="3"/>
  <c r="I309" i="3"/>
  <c r="H309" i="3"/>
  <c r="L308" i="3"/>
  <c r="I303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0" i="1" s="1"/>
  <c r="K305" i="3"/>
  <c r="J305" i="3"/>
  <c r="I305" i="3"/>
  <c r="H305" i="3"/>
  <c r="L304" i="3"/>
  <c r="I299" i="1" s="1"/>
  <c r="K304" i="3"/>
  <c r="J304" i="3"/>
  <c r="I304" i="3"/>
  <c r="H304" i="3"/>
  <c r="L303" i="3"/>
  <c r="I298" i="1" s="1"/>
  <c r="K303" i="3"/>
  <c r="J303" i="3"/>
  <c r="I303" i="3"/>
  <c r="H303" i="3"/>
  <c r="L302" i="3"/>
  <c r="I297" i="1" s="1"/>
  <c r="K302" i="3"/>
  <c r="J302" i="3"/>
  <c r="I302" i="3"/>
  <c r="H302" i="3"/>
  <c r="L301" i="3"/>
  <c r="K301" i="3"/>
  <c r="J301" i="3"/>
  <c r="I301" i="3"/>
  <c r="H301" i="3"/>
  <c r="L300" i="3"/>
  <c r="I295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2" i="1" s="1"/>
  <c r="K297" i="3"/>
  <c r="J297" i="3"/>
  <c r="I297" i="3"/>
  <c r="H297" i="3"/>
  <c r="L296" i="3"/>
  <c r="I291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88" i="1" s="1"/>
  <c r="K293" i="3"/>
  <c r="J293" i="3"/>
  <c r="I293" i="3"/>
  <c r="H293" i="3"/>
  <c r="L292" i="3"/>
  <c r="I287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4" i="1" s="1"/>
  <c r="K289" i="3"/>
  <c r="J289" i="3"/>
  <c r="I289" i="3"/>
  <c r="H289" i="3"/>
  <c r="L288" i="3"/>
  <c r="I283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0" i="1" s="1"/>
  <c r="K285" i="3"/>
  <c r="J285" i="3"/>
  <c r="I285" i="3"/>
  <c r="H285" i="3"/>
  <c r="L284" i="3"/>
  <c r="I279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6" i="1" s="1"/>
  <c r="K281" i="3"/>
  <c r="J281" i="3"/>
  <c r="I281" i="3"/>
  <c r="H281" i="3"/>
  <c r="L280" i="3"/>
  <c r="I275" i="1" s="1"/>
  <c r="K280" i="3"/>
  <c r="J280" i="3"/>
  <c r="I280" i="3"/>
  <c r="H280" i="3"/>
  <c r="L279" i="3"/>
  <c r="K279" i="3"/>
  <c r="J279" i="3"/>
  <c r="I279" i="3"/>
  <c r="H279" i="3"/>
  <c r="L278" i="3"/>
  <c r="I273" i="1" s="1"/>
  <c r="K278" i="3"/>
  <c r="J278" i="3"/>
  <c r="I278" i="3"/>
  <c r="H278" i="3"/>
  <c r="L277" i="3"/>
  <c r="I272" i="1" s="1"/>
  <c r="K277" i="3"/>
  <c r="J277" i="3"/>
  <c r="I277" i="3"/>
  <c r="H277" i="3"/>
  <c r="L276" i="3"/>
  <c r="I271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6" i="1" s="1"/>
  <c r="K271" i="3"/>
  <c r="J271" i="3"/>
  <c r="I271" i="3"/>
  <c r="H271" i="3"/>
  <c r="L270" i="3"/>
  <c r="I265" i="1" s="1"/>
  <c r="K270" i="3"/>
  <c r="J270" i="3"/>
  <c r="I270" i="3"/>
  <c r="H270" i="3"/>
  <c r="L269" i="3"/>
  <c r="I264" i="1" s="1"/>
  <c r="K269" i="3"/>
  <c r="J269" i="3"/>
  <c r="I269" i="3"/>
  <c r="H269" i="3"/>
  <c r="L268" i="3"/>
  <c r="I263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0" i="1" s="1"/>
  <c r="K265" i="3"/>
  <c r="J265" i="3"/>
  <c r="I265" i="3"/>
  <c r="H265" i="3"/>
  <c r="L264" i="3"/>
  <c r="I259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6" i="1" s="1"/>
  <c r="K261" i="3"/>
  <c r="J261" i="3"/>
  <c r="I261" i="3"/>
  <c r="H261" i="3"/>
  <c r="L260" i="3"/>
  <c r="I255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2" i="1" s="1"/>
  <c r="K257" i="3"/>
  <c r="J257" i="3"/>
  <c r="I257" i="3"/>
  <c r="H257" i="3"/>
  <c r="L256" i="3"/>
  <c r="I251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48" i="1" s="1"/>
  <c r="K253" i="3"/>
  <c r="J253" i="3"/>
  <c r="I253" i="3"/>
  <c r="H253" i="3"/>
  <c r="L252" i="3"/>
  <c r="I247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4" i="1" s="1"/>
  <c r="K249" i="3"/>
  <c r="J249" i="3"/>
  <c r="I249" i="3"/>
  <c r="H249" i="3"/>
  <c r="L248" i="3"/>
  <c r="I243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0" i="1" s="1"/>
  <c r="K245" i="3"/>
  <c r="J245" i="3"/>
  <c r="I245" i="3"/>
  <c r="H245" i="3"/>
  <c r="L244" i="3"/>
  <c r="I239" i="1" s="1"/>
  <c r="K244" i="3"/>
  <c r="J244" i="3"/>
  <c r="I244" i="3"/>
  <c r="H244" i="3"/>
  <c r="L243" i="3"/>
  <c r="K243" i="3"/>
  <c r="J243" i="3"/>
  <c r="I243" i="3"/>
  <c r="H243" i="3"/>
  <c r="L242" i="3"/>
  <c r="I237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2" i="1" s="1"/>
  <c r="K237" i="3"/>
  <c r="J237" i="3"/>
  <c r="I237" i="3"/>
  <c r="H237" i="3"/>
  <c r="L236" i="3"/>
  <c r="I231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28" i="1" s="1"/>
  <c r="K233" i="3"/>
  <c r="J233" i="3"/>
  <c r="I233" i="3"/>
  <c r="H233" i="3"/>
  <c r="L232" i="3"/>
  <c r="I227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4" i="1" s="1"/>
  <c r="K229" i="3"/>
  <c r="J229" i="3"/>
  <c r="I229" i="3"/>
  <c r="H229" i="3"/>
  <c r="L228" i="3"/>
  <c r="I223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0" i="1" s="1"/>
  <c r="K225" i="3"/>
  <c r="J225" i="3"/>
  <c r="I225" i="3"/>
  <c r="H225" i="3"/>
  <c r="Q224" i="3"/>
  <c r="I219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4" i="1" s="1"/>
  <c r="K219" i="3"/>
  <c r="J219" i="3"/>
  <c r="I219" i="3"/>
  <c r="H219" i="3"/>
  <c r="L218" i="3"/>
  <c r="I213" i="1" s="1"/>
  <c r="K218" i="3"/>
  <c r="J218" i="3"/>
  <c r="I218" i="3"/>
  <c r="H218" i="3"/>
  <c r="L217" i="3"/>
  <c r="I212" i="1" s="1"/>
  <c r="K217" i="3"/>
  <c r="J217" i="3"/>
  <c r="I217" i="3"/>
  <c r="H217" i="3"/>
  <c r="L216" i="3"/>
  <c r="K216" i="3"/>
  <c r="J216" i="3"/>
  <c r="I216" i="3"/>
  <c r="H216" i="3"/>
  <c r="L215" i="3"/>
  <c r="I210" i="1" s="1"/>
  <c r="K215" i="3"/>
  <c r="J215" i="3"/>
  <c r="I215" i="3"/>
  <c r="H215" i="3"/>
  <c r="L214" i="3"/>
  <c r="K214" i="3"/>
  <c r="J214" i="3"/>
  <c r="I214" i="3"/>
  <c r="H214" i="3"/>
  <c r="L213" i="3"/>
  <c r="I208" i="1" s="1"/>
  <c r="K213" i="3"/>
  <c r="J213" i="3"/>
  <c r="I213" i="3"/>
  <c r="H213" i="3"/>
  <c r="L212" i="3"/>
  <c r="I207" i="1" s="1"/>
  <c r="K212" i="3"/>
  <c r="J212" i="3"/>
  <c r="I212" i="3"/>
  <c r="H212" i="3"/>
  <c r="L211" i="3"/>
  <c r="K211" i="3"/>
  <c r="J211" i="3"/>
  <c r="I211" i="3"/>
  <c r="H211" i="3"/>
  <c r="L210" i="3"/>
  <c r="I205" i="1" s="1"/>
  <c r="K210" i="3"/>
  <c r="J210" i="3"/>
  <c r="I210" i="3"/>
  <c r="H210" i="3"/>
  <c r="L209" i="3"/>
  <c r="I204" i="1" s="1"/>
  <c r="K209" i="3"/>
  <c r="J209" i="3"/>
  <c r="I209" i="3"/>
  <c r="H209" i="3"/>
  <c r="L208" i="3"/>
  <c r="I203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0" i="1" s="1"/>
  <c r="K205" i="3"/>
  <c r="J205" i="3"/>
  <c r="I205" i="3"/>
  <c r="H205" i="3"/>
  <c r="L204" i="3"/>
  <c r="K204" i="3"/>
  <c r="J204" i="3"/>
  <c r="I204" i="3"/>
  <c r="H204" i="3"/>
  <c r="L203" i="3"/>
  <c r="I198" i="1" s="1"/>
  <c r="K203" i="3"/>
  <c r="J203" i="3"/>
  <c r="I203" i="3"/>
  <c r="H203" i="3"/>
  <c r="L202" i="3"/>
  <c r="I197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3" i="1"/>
  <c r="K198" i="3"/>
  <c r="J198" i="3"/>
  <c r="I198" i="3"/>
  <c r="H198" i="3"/>
  <c r="I192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89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5" i="1"/>
  <c r="K190" i="3"/>
  <c r="J190" i="3"/>
  <c r="I190" i="3"/>
  <c r="H190" i="3"/>
  <c r="I184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1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7" i="1"/>
  <c r="K182" i="3"/>
  <c r="J182" i="3"/>
  <c r="I182" i="3"/>
  <c r="H182" i="3"/>
  <c r="I176" i="1"/>
  <c r="K181" i="3"/>
  <c r="J181" i="3"/>
  <c r="I181" i="3"/>
  <c r="H181" i="3"/>
  <c r="I175" i="1"/>
  <c r="K180" i="3"/>
  <c r="J180" i="3"/>
  <c r="I180" i="3"/>
  <c r="H180" i="3"/>
  <c r="I174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69" i="1"/>
  <c r="K174" i="3"/>
  <c r="J174" i="3"/>
  <c r="I174" i="3"/>
  <c r="H174" i="3"/>
  <c r="I168" i="1"/>
  <c r="K173" i="3"/>
  <c r="J173" i="3"/>
  <c r="I173" i="3"/>
  <c r="H173" i="3"/>
  <c r="K172" i="3"/>
  <c r="J172" i="3"/>
  <c r="I172" i="3"/>
  <c r="H172" i="3"/>
  <c r="I166" i="1"/>
  <c r="K171" i="3"/>
  <c r="J171" i="3"/>
  <c r="I171" i="3"/>
  <c r="H171" i="3"/>
  <c r="I165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1" i="1"/>
  <c r="K166" i="3"/>
  <c r="J166" i="3"/>
  <c r="I166" i="3"/>
  <c r="H166" i="3"/>
  <c r="I160" i="1"/>
  <c r="K165" i="3"/>
  <c r="J165" i="3"/>
  <c r="I165" i="3"/>
  <c r="H165" i="3"/>
  <c r="K164" i="3"/>
  <c r="J164" i="3"/>
  <c r="I164" i="3"/>
  <c r="H164" i="3"/>
  <c r="I158" i="1"/>
  <c r="K163" i="3"/>
  <c r="J163" i="3"/>
  <c r="I163" i="3"/>
  <c r="H163" i="3"/>
  <c r="I157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3" i="1"/>
  <c r="K158" i="3"/>
  <c r="J158" i="3"/>
  <c r="I158" i="3"/>
  <c r="H158" i="3"/>
  <c r="I152" i="1"/>
  <c r="K157" i="3"/>
  <c r="J157" i="3"/>
  <c r="I157" i="3"/>
  <c r="H157" i="3"/>
  <c r="I151" i="1"/>
  <c r="K156" i="3"/>
  <c r="J156" i="3"/>
  <c r="I156" i="3"/>
  <c r="H156" i="3"/>
  <c r="I150" i="1"/>
  <c r="K155" i="3"/>
  <c r="J155" i="3"/>
  <c r="I155" i="3"/>
  <c r="H155" i="3"/>
  <c r="I149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6" i="1"/>
  <c r="K151" i="3"/>
  <c r="J151" i="3"/>
  <c r="I151" i="3"/>
  <c r="H151" i="3"/>
  <c r="K150" i="3"/>
  <c r="J150" i="3"/>
  <c r="I150" i="3"/>
  <c r="H150" i="3"/>
  <c r="I144" i="1"/>
  <c r="K149" i="3"/>
  <c r="J149" i="3"/>
  <c r="I149" i="3"/>
  <c r="H149" i="3"/>
  <c r="I143" i="1"/>
  <c r="K148" i="3"/>
  <c r="J148" i="3"/>
  <c r="I148" i="3"/>
  <c r="H148" i="3"/>
  <c r="I142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39" i="1"/>
  <c r="K144" i="3"/>
  <c r="J144" i="3"/>
  <c r="I144" i="3"/>
  <c r="H144" i="3"/>
  <c r="I138" i="1"/>
  <c r="K143" i="3"/>
  <c r="J143" i="3"/>
  <c r="I143" i="3"/>
  <c r="H143" i="3"/>
  <c r="I137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4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1" i="1"/>
  <c r="K136" i="3"/>
  <c r="J136" i="3"/>
  <c r="I136" i="3"/>
  <c r="H136" i="3"/>
  <c r="I130" i="1"/>
  <c r="K135" i="3"/>
  <c r="J135" i="3"/>
  <c r="I135" i="3"/>
  <c r="H135" i="3"/>
  <c r="I129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6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3" i="1"/>
  <c r="K128" i="3"/>
  <c r="J128" i="3"/>
  <c r="I128" i="3"/>
  <c r="H128" i="3"/>
  <c r="I122" i="1"/>
  <c r="K127" i="3"/>
  <c r="J127" i="3"/>
  <c r="I127" i="3"/>
  <c r="H127" i="3"/>
  <c r="I121" i="1"/>
  <c r="K126" i="3"/>
  <c r="J126" i="3"/>
  <c r="I126" i="3"/>
  <c r="H126" i="3"/>
  <c r="I120" i="1"/>
  <c r="K125" i="3"/>
  <c r="J125" i="3"/>
  <c r="I125" i="3"/>
  <c r="H125" i="3"/>
  <c r="K124" i="3"/>
  <c r="J124" i="3"/>
  <c r="I124" i="3"/>
  <c r="H124" i="3"/>
  <c r="I118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5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2" i="1"/>
  <c r="K117" i="3"/>
  <c r="J117" i="3"/>
  <c r="I117" i="3"/>
  <c r="H117" i="3"/>
  <c r="I111" i="1"/>
  <c r="K116" i="3"/>
  <c r="J116" i="3"/>
  <c r="I116" i="3"/>
  <c r="H116" i="3"/>
  <c r="I110" i="1"/>
  <c r="K115" i="3"/>
  <c r="J115" i="3"/>
  <c r="I115" i="3"/>
  <c r="H115" i="3"/>
  <c r="I109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6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3" i="1"/>
  <c r="K108" i="3"/>
  <c r="J108" i="3"/>
  <c r="I108" i="3"/>
  <c r="H108" i="3"/>
  <c r="I102" i="1"/>
  <c r="K107" i="3"/>
  <c r="J107" i="3"/>
  <c r="I107" i="3"/>
  <c r="H107" i="3"/>
  <c r="I101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98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5" i="1"/>
  <c r="K100" i="3"/>
  <c r="J100" i="3"/>
  <c r="I100" i="3"/>
  <c r="H100" i="3"/>
  <c r="I94" i="1"/>
  <c r="K99" i="3"/>
  <c r="J99" i="3"/>
  <c r="I99" i="3"/>
  <c r="H99" i="3"/>
  <c r="I93" i="1"/>
  <c r="K98" i="3"/>
  <c r="J98" i="3"/>
  <c r="I98" i="3"/>
  <c r="H98" i="3"/>
  <c r="K97" i="3"/>
  <c r="J97" i="3"/>
  <c r="I97" i="3"/>
  <c r="H97" i="3"/>
  <c r="K96" i="3"/>
  <c r="J96" i="3"/>
  <c r="I96" i="3"/>
  <c r="H96" i="3"/>
  <c r="I90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2" i="1"/>
  <c r="K87" i="3"/>
  <c r="J87" i="3"/>
  <c r="I87" i="3"/>
  <c r="H87" i="3"/>
  <c r="K86" i="3"/>
  <c r="J86" i="3"/>
  <c r="I86" i="3"/>
  <c r="H86" i="3"/>
  <c r="I80" i="1"/>
  <c r="K85" i="3"/>
  <c r="J85" i="3"/>
  <c r="I85" i="3"/>
  <c r="H85" i="3"/>
  <c r="I79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2" i="1"/>
  <c r="I71" i="1"/>
  <c r="I69" i="1"/>
  <c r="I68" i="1"/>
  <c r="I64" i="1"/>
  <c r="I63" i="1"/>
  <c r="I61" i="1"/>
  <c r="I60" i="1"/>
  <c r="I57" i="1"/>
  <c r="I55" i="1"/>
  <c r="Q59" i="3"/>
  <c r="I54" i="1"/>
  <c r="I53" i="1"/>
  <c r="I52" i="1"/>
  <c r="I50" i="1"/>
  <c r="I49" i="1"/>
  <c r="I46" i="1"/>
  <c r="I45" i="1"/>
  <c r="I42" i="1"/>
  <c r="I41" i="1"/>
  <c r="G41" i="1"/>
  <c r="I39" i="1"/>
  <c r="Q43" i="3"/>
  <c r="I38" i="1"/>
  <c r="I37" i="1"/>
  <c r="I34" i="1"/>
  <c r="I31" i="1"/>
  <c r="I30" i="1"/>
  <c r="I27" i="1"/>
  <c r="I26" i="1"/>
  <c r="I25" i="1"/>
  <c r="Q24" i="3"/>
  <c r="I19" i="1"/>
  <c r="I18" i="1"/>
  <c r="G18" i="1"/>
  <c r="I16" i="1"/>
  <c r="I15" i="1"/>
  <c r="I11" i="1"/>
  <c r="G11" i="1"/>
  <c r="I10" i="1"/>
  <c r="Q13" i="3"/>
  <c r="I8" i="1"/>
  <c r="I7" i="1"/>
  <c r="I3" i="1"/>
  <c r="I2" i="1"/>
  <c r="G2" i="1"/>
  <c r="M366" i="4" l="1"/>
  <c r="M310" i="4"/>
  <c r="Q288" i="3"/>
  <c r="Q285" i="3"/>
  <c r="Q284" i="3"/>
  <c r="Q281" i="3"/>
  <c r="K276" i="4"/>
  <c r="M276" i="4"/>
  <c r="Q268" i="3"/>
  <c r="K245" i="4"/>
  <c r="M236" i="3"/>
  <c r="G231" i="1" s="1"/>
  <c r="Q219" i="3"/>
  <c r="K213" i="4"/>
  <c r="K212" i="4"/>
  <c r="K188" i="4"/>
  <c r="E178" i="1"/>
  <c r="E200" i="1"/>
  <c r="E225" i="1"/>
  <c r="E226" i="1"/>
  <c r="E227" i="1"/>
  <c r="E229" i="1"/>
  <c r="E230" i="1"/>
  <c r="E231" i="1"/>
  <c r="E233" i="1"/>
  <c r="E234" i="1"/>
  <c r="E235" i="1"/>
  <c r="E302" i="1"/>
  <c r="E311" i="1"/>
  <c r="E312" i="1"/>
  <c r="E316" i="1"/>
  <c r="E318" i="1"/>
  <c r="E173" i="1"/>
  <c r="E204" i="1"/>
  <c r="E218" i="1"/>
  <c r="Q114" i="3"/>
  <c r="M160" i="3"/>
  <c r="G155" i="1" s="1"/>
  <c r="Q170" i="3"/>
  <c r="M346" i="3"/>
  <c r="G341" i="1" s="1"/>
  <c r="Q357" i="3"/>
  <c r="M360" i="3"/>
  <c r="G355" i="1" s="1"/>
  <c r="Q364" i="3"/>
  <c r="Q111" i="3"/>
  <c r="Q149" i="3"/>
  <c r="M344" i="3"/>
  <c r="G339" i="1" s="1"/>
  <c r="Q354" i="3"/>
  <c r="E190" i="1"/>
  <c r="E289" i="1"/>
  <c r="E293" i="1"/>
  <c r="E297" i="1"/>
  <c r="Q360" i="4"/>
  <c r="M338" i="4"/>
  <c r="P207" i="4"/>
  <c r="P329" i="4"/>
  <c r="K308" i="4"/>
  <c r="E358" i="1"/>
  <c r="E239" i="1"/>
  <c r="E240" i="1"/>
  <c r="E242" i="1"/>
  <c r="E243" i="1"/>
  <c r="E244" i="1"/>
  <c r="E246" i="1"/>
  <c r="E247" i="1"/>
  <c r="E248" i="1"/>
  <c r="E249" i="1"/>
  <c r="E251" i="1"/>
  <c r="E252" i="1"/>
  <c r="E253" i="1"/>
  <c r="E255" i="1"/>
  <c r="E256" i="1"/>
  <c r="E257" i="1"/>
  <c r="E259" i="1"/>
  <c r="E260" i="1"/>
  <c r="E261" i="1"/>
  <c r="E263" i="1"/>
  <c r="E264" i="1"/>
  <c r="E265" i="1"/>
  <c r="Q329" i="4"/>
  <c r="M308" i="4"/>
  <c r="E330" i="1"/>
  <c r="E333" i="1"/>
  <c r="E335" i="1"/>
  <c r="E336" i="1"/>
  <c r="E363" i="1"/>
  <c r="Q165" i="3"/>
  <c r="M194" i="3"/>
  <c r="G189" i="1" s="1"/>
  <c r="Q205" i="3"/>
  <c r="M208" i="3"/>
  <c r="G203" i="1" s="1"/>
  <c r="M241" i="3"/>
  <c r="G236" i="1" s="1"/>
  <c r="Q252" i="3"/>
  <c r="M296" i="3"/>
  <c r="G291" i="1" s="1"/>
  <c r="M320" i="3"/>
  <c r="G315" i="1" s="1"/>
  <c r="Q325" i="3"/>
  <c r="M328" i="3"/>
  <c r="G323" i="1" s="1"/>
  <c r="Q197" i="3"/>
  <c r="Q249" i="3"/>
  <c r="O182" i="3"/>
  <c r="Q210" i="3"/>
  <c r="M364" i="3"/>
  <c r="G359" i="1" s="1"/>
  <c r="M157" i="3"/>
  <c r="G152" i="1" s="1"/>
  <c r="Q194" i="3"/>
  <c r="Q208" i="3"/>
  <c r="M218" i="3"/>
  <c r="G213" i="1" s="1"/>
  <c r="M276" i="3"/>
  <c r="G271" i="1" s="1"/>
  <c r="M316" i="3"/>
  <c r="G311" i="1" s="1"/>
  <c r="Q320" i="3"/>
  <c r="Q328" i="3"/>
  <c r="M130" i="3"/>
  <c r="G125" i="1" s="1"/>
  <c r="E104" i="1"/>
  <c r="E149" i="1"/>
  <c r="E187" i="1"/>
  <c r="E285" i="1"/>
  <c r="E320" i="1"/>
  <c r="E326" i="1"/>
  <c r="E327" i="1"/>
  <c r="E159" i="1"/>
  <c r="E160" i="1"/>
  <c r="E298" i="1"/>
  <c r="E119" i="1"/>
  <c r="E307" i="1"/>
  <c r="E337" i="1"/>
  <c r="E338" i="1"/>
  <c r="E340" i="1"/>
  <c r="E342" i="1"/>
  <c r="E346" i="1"/>
  <c r="E350" i="1"/>
  <c r="M79" i="3"/>
  <c r="G74" i="1" s="1"/>
  <c r="Q143" i="3"/>
  <c r="Q155" i="3"/>
  <c r="Q158" i="3"/>
  <c r="Q181" i="3"/>
  <c r="Q146" i="4"/>
  <c r="E154" i="1"/>
  <c r="E185" i="1"/>
  <c r="E198" i="1"/>
  <c r="E267" i="1"/>
  <c r="E329" i="1"/>
  <c r="E347" i="1"/>
  <c r="E355" i="1"/>
  <c r="E360" i="1"/>
  <c r="E64" i="1"/>
  <c r="E202" i="1"/>
  <c r="E250" i="1"/>
  <c r="E254" i="1"/>
  <c r="E258" i="1"/>
  <c r="E262" i="1"/>
  <c r="E266" i="1"/>
  <c r="E271" i="1"/>
  <c r="E275" i="1"/>
  <c r="E279" i="1"/>
  <c r="Q76" i="3"/>
  <c r="Q151" i="3"/>
  <c r="O154" i="3"/>
  <c r="Q166" i="3"/>
  <c r="Q180" i="3"/>
  <c r="M240" i="3"/>
  <c r="G235" i="1" s="1"/>
  <c r="Q297" i="3"/>
  <c r="Q300" i="3"/>
  <c r="E114" i="1"/>
  <c r="E175" i="1"/>
  <c r="E184" i="1"/>
  <c r="E197" i="1"/>
  <c r="E283" i="1"/>
  <c r="E288" i="1"/>
  <c r="E292" i="1"/>
  <c r="E296" i="1"/>
  <c r="E306" i="1"/>
  <c r="K338" i="4"/>
  <c r="E354" i="1"/>
  <c r="E67" i="1"/>
  <c r="E105" i="1"/>
  <c r="E118" i="1"/>
  <c r="Q152" i="4"/>
  <c r="E170" i="1"/>
  <c r="E179" i="1"/>
  <c r="E192" i="1"/>
  <c r="E219" i="1"/>
  <c r="E224" i="1"/>
  <c r="E228" i="1"/>
  <c r="E232" i="1"/>
  <c r="E236" i="1"/>
  <c r="E241" i="1"/>
  <c r="E245" i="1"/>
  <c r="E274" i="1"/>
  <c r="E278" i="1"/>
  <c r="E301" i="1"/>
  <c r="E341" i="1"/>
  <c r="M127" i="3"/>
  <c r="G122" i="1" s="1"/>
  <c r="M135" i="3"/>
  <c r="G130" i="1" s="1"/>
  <c r="E75" i="1"/>
  <c r="E92" i="1"/>
  <c r="E96" i="1"/>
  <c r="E100" i="1"/>
  <c r="E165" i="1"/>
  <c r="E214" i="1"/>
  <c r="E287" i="1"/>
  <c r="E291" i="1"/>
  <c r="E295" i="1"/>
  <c r="E322" i="1"/>
  <c r="E332" i="1"/>
  <c r="E345" i="1"/>
  <c r="E349" i="1"/>
  <c r="Q321" i="3"/>
  <c r="Q324" i="3"/>
  <c r="Q341" i="3"/>
  <c r="M348" i="3"/>
  <c r="G343" i="1" s="1"/>
  <c r="M362" i="3"/>
  <c r="G357" i="1" s="1"/>
  <c r="E182" i="1"/>
  <c r="E313" i="1"/>
  <c r="E317" i="1"/>
  <c r="E331" i="1"/>
  <c r="Q84" i="4"/>
  <c r="E82" i="1"/>
  <c r="E155" i="1"/>
  <c r="E164" i="1"/>
  <c r="E195" i="1"/>
  <c r="E209" i="1"/>
  <c r="E213" i="1"/>
  <c r="E290" i="1"/>
  <c r="E294" i="1"/>
  <c r="E299" i="1"/>
  <c r="E308" i="1"/>
  <c r="E321" i="1"/>
  <c r="E344" i="1"/>
  <c r="E60" i="1"/>
  <c r="Q98" i="3"/>
  <c r="M105" i="3"/>
  <c r="G100" i="1" s="1"/>
  <c r="O336" i="3"/>
  <c r="E88" i="1"/>
  <c r="E137" i="1"/>
  <c r="E146" i="1"/>
  <c r="E151" i="1"/>
  <c r="E211" i="1"/>
  <c r="E216" i="1"/>
  <c r="E221" i="1"/>
  <c r="E238" i="1"/>
  <c r="E115" i="1"/>
  <c r="E174" i="1"/>
  <c r="E215" i="1"/>
  <c r="E220" i="1"/>
  <c r="E284" i="1"/>
  <c r="E39" i="1"/>
  <c r="E68" i="1"/>
  <c r="G52" i="1"/>
  <c r="G58" i="1"/>
  <c r="Q88" i="3"/>
  <c r="Q136" i="3"/>
  <c r="Q139" i="3"/>
  <c r="Q142" i="3"/>
  <c r="Q148" i="3"/>
  <c r="M162" i="3"/>
  <c r="G157" i="1" s="1"/>
  <c r="M174" i="3"/>
  <c r="G169" i="1" s="1"/>
  <c r="M224" i="3"/>
  <c r="G219" i="1" s="1"/>
  <c r="Q229" i="3"/>
  <c r="Q232" i="3"/>
  <c r="M242" i="3"/>
  <c r="G237" i="1" s="1"/>
  <c r="Q309" i="3"/>
  <c r="Q312" i="3"/>
  <c r="M334" i="3"/>
  <c r="G329" i="1" s="1"/>
  <c r="M340" i="3"/>
  <c r="G335" i="1" s="1"/>
  <c r="M368" i="3"/>
  <c r="G363" i="1" s="1"/>
  <c r="E25" i="1"/>
  <c r="E54" i="1"/>
  <c r="E81" i="1"/>
  <c r="E87" i="1"/>
  <c r="E109" i="1"/>
  <c r="E145" i="1"/>
  <c r="Q213" i="4"/>
  <c r="E189" i="1"/>
  <c r="E194" i="1"/>
  <c r="E199" i="1"/>
  <c r="Q244" i="4"/>
  <c r="E237" i="1"/>
  <c r="O32" i="3"/>
  <c r="G63" i="1"/>
  <c r="Q265" i="3"/>
  <c r="Q182" i="4"/>
  <c r="Q211" i="4"/>
  <c r="Q215" i="4" s="1"/>
  <c r="Q270" i="4"/>
  <c r="E353" i="1"/>
  <c r="Q15" i="3"/>
  <c r="G25" i="1"/>
  <c r="Q69" i="3"/>
  <c r="Q87" i="3"/>
  <c r="M103" i="3"/>
  <c r="G98" i="1" s="1"/>
  <c r="Q127" i="3"/>
  <c r="M143" i="3"/>
  <c r="G138" i="1" s="1"/>
  <c r="M146" i="3"/>
  <c r="G141" i="1" s="1"/>
  <c r="M179" i="3"/>
  <c r="G174" i="1" s="1"/>
  <c r="Q190" i="3"/>
  <c r="Q225" i="3"/>
  <c r="Q228" i="3"/>
  <c r="Q237" i="3"/>
  <c r="M280" i="3"/>
  <c r="G275" i="1" s="1"/>
  <c r="M292" i="3"/>
  <c r="G287" i="1" s="1"/>
  <c r="Q302" i="3"/>
  <c r="O305" i="3"/>
  <c r="Q308" i="3"/>
  <c r="M356" i="3"/>
  <c r="G351" i="1" s="1"/>
  <c r="E24" i="1"/>
  <c r="E42" i="1"/>
  <c r="E47" i="1"/>
  <c r="E52" i="1"/>
  <c r="E71" i="1"/>
  <c r="E76" i="1"/>
  <c r="E80" i="1"/>
  <c r="E85" i="1"/>
  <c r="E153" i="1"/>
  <c r="E158" i="1"/>
  <c r="E163" i="1"/>
  <c r="E168" i="1"/>
  <c r="E183" i="1"/>
  <c r="E188" i="1"/>
  <c r="E193" i="1"/>
  <c r="E207" i="1"/>
  <c r="E208" i="1"/>
  <c r="E223" i="1"/>
  <c r="E282" i="1"/>
  <c r="E310" i="1"/>
  <c r="E315" i="1"/>
  <c r="E357" i="1"/>
  <c r="E305" i="1"/>
  <c r="E319" i="1"/>
  <c r="E324" i="1"/>
  <c r="E334" i="1"/>
  <c r="E339" i="1"/>
  <c r="E348" i="1"/>
  <c r="E352" i="1"/>
  <c r="Q171" i="3"/>
  <c r="Q174" i="3"/>
  <c r="Q186" i="3"/>
  <c r="Q189" i="3"/>
  <c r="M232" i="3"/>
  <c r="G227" i="1" s="1"/>
  <c r="M312" i="3"/>
  <c r="G307" i="1" s="1"/>
  <c r="O337" i="3"/>
  <c r="E2" i="1"/>
  <c r="Q27" i="4"/>
  <c r="E6" i="1"/>
  <c r="E10" i="1"/>
  <c r="Q59" i="4"/>
  <c r="E57" i="1"/>
  <c r="Q91" i="4"/>
  <c r="E79" i="1"/>
  <c r="Q85" i="4"/>
  <c r="E84" i="1"/>
  <c r="E89" i="1"/>
  <c r="E111" i="1"/>
  <c r="E142" i="1"/>
  <c r="E152" i="1"/>
  <c r="E157" i="1"/>
  <c r="E162" i="1"/>
  <c r="E167" i="1"/>
  <c r="E212" i="1"/>
  <c r="E217" i="1"/>
  <c r="E222" i="1"/>
  <c r="E268" i="1"/>
  <c r="E281" i="1"/>
  <c r="E286" i="1"/>
  <c r="E300" i="1"/>
  <c r="E304" i="1"/>
  <c r="E309" i="1"/>
  <c r="E314" i="1"/>
  <c r="E323" i="1"/>
  <c r="Q362" i="4"/>
  <c r="E343" i="1"/>
  <c r="E362" i="1"/>
  <c r="Q8" i="3"/>
  <c r="Q51" i="3"/>
  <c r="Q54" i="3"/>
  <c r="Q60" i="3"/>
  <c r="Q74" i="3"/>
  <c r="M91" i="3"/>
  <c r="G86" i="1" s="1"/>
  <c r="Q95" i="3"/>
  <c r="Q126" i="3"/>
  <c r="G13" i="1"/>
  <c r="Q36" i="3"/>
  <c r="Q39" i="3"/>
  <c r="Q42" i="3"/>
  <c r="M102" i="3"/>
  <c r="G97" i="1" s="1"/>
  <c r="M133" i="3"/>
  <c r="G128" i="1" s="1"/>
  <c r="M178" i="3"/>
  <c r="G173" i="1" s="1"/>
  <c r="Q209" i="3"/>
  <c r="O215" i="3"/>
  <c r="Q218" i="3"/>
  <c r="E14" i="1"/>
  <c r="E18" i="1"/>
  <c r="E56" i="1"/>
  <c r="Q121" i="4"/>
  <c r="E93" i="1"/>
  <c r="E97" i="1"/>
  <c r="E101" i="1"/>
  <c r="Q148" i="4"/>
  <c r="E156" i="1"/>
  <c r="E161" i="1"/>
  <c r="E166" i="1"/>
  <c r="E171" i="1"/>
  <c r="E176" i="1"/>
  <c r="E177" i="1"/>
  <c r="E181" i="1"/>
  <c r="E186" i="1"/>
  <c r="E191" i="1"/>
  <c r="E196" i="1"/>
  <c r="E201" i="1"/>
  <c r="E205" i="1"/>
  <c r="E280" i="1"/>
  <c r="E361" i="1"/>
  <c r="E7" i="1"/>
  <c r="E125" i="1"/>
  <c r="E356" i="1"/>
  <c r="E11" i="1"/>
  <c r="E20" i="1"/>
  <c r="E40" i="1"/>
  <c r="E45" i="1"/>
  <c r="Q53" i="4"/>
  <c r="E91" i="1"/>
  <c r="E102" i="1"/>
  <c r="E107" i="1"/>
  <c r="E141" i="1"/>
  <c r="E206" i="1"/>
  <c r="E16" i="1"/>
  <c r="E66" i="1"/>
  <c r="E133" i="1"/>
  <c r="E51" i="1"/>
  <c r="E65" i="1"/>
  <c r="E70" i="1"/>
  <c r="M87" i="4"/>
  <c r="E83" i="1"/>
  <c r="E113" i="1"/>
  <c r="E120" i="1"/>
  <c r="E124" i="1"/>
  <c r="E128" i="1"/>
  <c r="E132" i="1"/>
  <c r="E136" i="1"/>
  <c r="E148" i="1"/>
  <c r="E61" i="1"/>
  <c r="M81" i="4"/>
  <c r="E77" i="1"/>
  <c r="E121" i="1"/>
  <c r="E303" i="1"/>
  <c r="E15" i="1"/>
  <c r="E5" i="1"/>
  <c r="E19" i="1"/>
  <c r="E27" i="1"/>
  <c r="E33" i="1"/>
  <c r="E44" i="1"/>
  <c r="E90" i="1"/>
  <c r="E95" i="1"/>
  <c r="E106" i="1"/>
  <c r="E140" i="1"/>
  <c r="E180" i="1"/>
  <c r="P206" i="4"/>
  <c r="E203" i="1"/>
  <c r="E22" i="1"/>
  <c r="E116" i="1"/>
  <c r="E129" i="1"/>
  <c r="E143" i="1"/>
  <c r="E50" i="1"/>
  <c r="E58" i="1"/>
  <c r="E69" i="1"/>
  <c r="E74" i="1"/>
  <c r="E123" i="1"/>
  <c r="E127" i="1"/>
  <c r="E131" i="1"/>
  <c r="E135" i="1"/>
  <c r="P146" i="4"/>
  <c r="E147" i="1"/>
  <c r="E325" i="1"/>
  <c r="M90" i="4"/>
  <c r="E86" i="1"/>
  <c r="E4" i="1"/>
  <c r="E13" i="1"/>
  <c r="E32" i="1"/>
  <c r="E37" i="1"/>
  <c r="E48" i="1"/>
  <c r="E94" i="1"/>
  <c r="E99" i="1"/>
  <c r="E110" i="1"/>
  <c r="E139" i="1"/>
  <c r="M363" i="4"/>
  <c r="E359" i="1"/>
  <c r="E17" i="1"/>
  <c r="E23" i="1"/>
  <c r="E62" i="1"/>
  <c r="E73" i="1"/>
  <c r="M82" i="4"/>
  <c r="E78" i="1"/>
  <c r="E117" i="1"/>
  <c r="E122" i="1"/>
  <c r="E126" i="1"/>
  <c r="E130" i="1"/>
  <c r="E134" i="1"/>
  <c r="E144" i="1"/>
  <c r="E210" i="1"/>
  <c r="Q272" i="4"/>
  <c r="Q276" i="4" s="1"/>
  <c r="E328" i="1"/>
  <c r="E3" i="1"/>
  <c r="E12" i="1"/>
  <c r="E36" i="1"/>
  <c r="E41" i="1"/>
  <c r="E103" i="1"/>
  <c r="E138" i="1"/>
  <c r="E150" i="1"/>
  <c r="Q333" i="4"/>
  <c r="Q337" i="4" s="1"/>
  <c r="G17" i="1"/>
  <c r="Q112" i="3"/>
  <c r="I107" i="1"/>
  <c r="M175" i="3"/>
  <c r="G170" i="1" s="1"/>
  <c r="Q211" i="3"/>
  <c r="I206" i="1"/>
  <c r="M219" i="3"/>
  <c r="G214" i="1" s="1"/>
  <c r="Q255" i="3"/>
  <c r="I250" i="1"/>
  <c r="M305" i="3"/>
  <c r="G300" i="1" s="1"/>
  <c r="Q326" i="3"/>
  <c r="I321" i="1"/>
  <c r="G30" i="1"/>
  <c r="G33" i="1"/>
  <c r="Q63" i="3"/>
  <c r="I58" i="1"/>
  <c r="M121" i="3"/>
  <c r="G116" i="1" s="1"/>
  <c r="Q129" i="3"/>
  <c r="I124" i="1"/>
  <c r="Q132" i="3"/>
  <c r="I127" i="1"/>
  <c r="M137" i="3"/>
  <c r="G132" i="1" s="1"/>
  <c r="Q145" i="3"/>
  <c r="I140" i="1"/>
  <c r="M150" i="3"/>
  <c r="G145" i="1" s="1"/>
  <c r="M153" i="3"/>
  <c r="G148" i="1" s="1"/>
  <c r="Q161" i="3"/>
  <c r="I156" i="1"/>
  <c r="M169" i="3"/>
  <c r="G164" i="1" s="1"/>
  <c r="Q177" i="3"/>
  <c r="I172" i="1"/>
  <c r="M185" i="3"/>
  <c r="G180" i="1" s="1"/>
  <c r="M188" i="3"/>
  <c r="G183" i="1" s="1"/>
  <c r="Q199" i="3"/>
  <c r="I194" i="1"/>
  <c r="Q202" i="3"/>
  <c r="Q212" i="3"/>
  <c r="M226" i="3"/>
  <c r="G221" i="1" s="1"/>
  <c r="Q234" i="3"/>
  <c r="I229" i="1"/>
  <c r="Q240" i="3"/>
  <c r="I235" i="1"/>
  <c r="Q243" i="3"/>
  <c r="I238" i="1"/>
  <c r="M248" i="3"/>
  <c r="G243" i="1" s="1"/>
  <c r="M251" i="3"/>
  <c r="G246" i="1" s="1"/>
  <c r="Q253" i="3"/>
  <c r="Q256" i="3"/>
  <c r="Q259" i="3"/>
  <c r="I254" i="1"/>
  <c r="M264" i="3"/>
  <c r="G259" i="1" s="1"/>
  <c r="M267" i="3"/>
  <c r="G262" i="1" s="1"/>
  <c r="Q269" i="3"/>
  <c r="O275" i="3"/>
  <c r="I270" i="1"/>
  <c r="M283" i="3"/>
  <c r="G278" i="1" s="1"/>
  <c r="Q291" i="3"/>
  <c r="I286" i="1"/>
  <c r="M299" i="3"/>
  <c r="G294" i="1" s="1"/>
  <c r="M306" i="3"/>
  <c r="G301" i="1" s="1"/>
  <c r="M309" i="3"/>
  <c r="G304" i="1" s="1"/>
  <c r="Q314" i="3"/>
  <c r="I309" i="1"/>
  <c r="M322" i="3"/>
  <c r="G317" i="1" s="1"/>
  <c r="Q330" i="3"/>
  <c r="I325" i="1"/>
  <c r="Q342" i="3"/>
  <c r="Q345" i="3"/>
  <c r="Q348" i="3"/>
  <c r="I343" i="1"/>
  <c r="Q358" i="3"/>
  <c r="Q361" i="3"/>
  <c r="O367" i="3"/>
  <c r="I362" i="1"/>
  <c r="Q14" i="3"/>
  <c r="I9" i="1"/>
  <c r="M159" i="3"/>
  <c r="G154" i="1" s="1"/>
  <c r="Q167" i="3"/>
  <c r="I162" i="1"/>
  <c r="M273" i="3"/>
  <c r="G268" i="1" s="1"/>
  <c r="Q344" i="3"/>
  <c r="I339" i="1"/>
  <c r="Q45" i="3"/>
  <c r="I40" i="1"/>
  <c r="N31" i="3"/>
  <c r="Q18" i="3"/>
  <c r="I13" i="1"/>
  <c r="G36" i="1"/>
  <c r="G43" i="1"/>
  <c r="Q56" i="3"/>
  <c r="I51" i="1"/>
  <c r="Q79" i="3"/>
  <c r="I74" i="1"/>
  <c r="M86" i="3"/>
  <c r="G81" i="1" s="1"/>
  <c r="Q91" i="3"/>
  <c r="I86" i="1"/>
  <c r="M98" i="3"/>
  <c r="G93" i="1" s="1"/>
  <c r="M108" i="3"/>
  <c r="G103" i="1" s="1"/>
  <c r="M114" i="3"/>
  <c r="G109" i="1" s="1"/>
  <c r="Q5" i="3"/>
  <c r="G5" i="1"/>
  <c r="Q11" i="3"/>
  <c r="I6" i="1"/>
  <c r="G14" i="1"/>
  <c r="Q21" i="3"/>
  <c r="G21" i="1"/>
  <c r="Q27" i="3"/>
  <c r="I22" i="1"/>
  <c r="Q30" i="3"/>
  <c r="G27" i="1"/>
  <c r="Q46" i="3"/>
  <c r="Q49" i="3"/>
  <c r="I44" i="1"/>
  <c r="G46" i="1"/>
  <c r="G49" i="1"/>
  <c r="G59" i="1"/>
  <c r="Q66" i="3"/>
  <c r="G66" i="1"/>
  <c r="Q72" i="3"/>
  <c r="I67" i="1"/>
  <c r="M80" i="3"/>
  <c r="G75" i="1" s="1"/>
  <c r="Q82" i="3"/>
  <c r="Q84" i="3"/>
  <c r="M89" i="3"/>
  <c r="G84" i="1" s="1"/>
  <c r="M92" i="3"/>
  <c r="G87" i="1" s="1"/>
  <c r="Q100" i="3"/>
  <c r="Q103" i="3"/>
  <c r="Q106" i="3"/>
  <c r="Q116" i="3"/>
  <c r="Q119" i="3"/>
  <c r="I114" i="1"/>
  <c r="O122" i="3"/>
  <c r="I117" i="1"/>
  <c r="Q135" i="3"/>
  <c r="Q138" i="3"/>
  <c r="I133" i="1"/>
  <c r="Q141" i="3"/>
  <c r="I136" i="1"/>
  <c r="M156" i="3"/>
  <c r="G151" i="1" s="1"/>
  <c r="Q164" i="3"/>
  <c r="I159" i="1"/>
  <c r="M172" i="3"/>
  <c r="G167" i="1" s="1"/>
  <c r="M191" i="3"/>
  <c r="G186" i="1" s="1"/>
  <c r="M200" i="3"/>
  <c r="G195" i="1" s="1"/>
  <c r="Q227" i="3"/>
  <c r="I222" i="1"/>
  <c r="M235" i="3"/>
  <c r="G230" i="1" s="1"/>
  <c r="O246" i="3"/>
  <c r="I241" i="1"/>
  <c r="M254" i="3"/>
  <c r="G249" i="1" s="1"/>
  <c r="Q262" i="3"/>
  <c r="I257" i="1"/>
  <c r="M270" i="3"/>
  <c r="G265" i="1" s="1"/>
  <c r="Q272" i="3"/>
  <c r="I267" i="1"/>
  <c r="M286" i="3"/>
  <c r="G281" i="1" s="1"/>
  <c r="Q294" i="3"/>
  <c r="I289" i="1"/>
  <c r="M302" i="3"/>
  <c r="G297" i="1" s="1"/>
  <c r="Q304" i="3"/>
  <c r="O307" i="3"/>
  <c r="I302" i="1"/>
  <c r="Q317" i="3"/>
  <c r="Q323" i="3"/>
  <c r="I318" i="1"/>
  <c r="M331" i="3"/>
  <c r="G326" i="1" s="1"/>
  <c r="O335" i="3"/>
  <c r="I330" i="1"/>
  <c r="M343" i="3"/>
  <c r="G338" i="1" s="1"/>
  <c r="M349" i="3"/>
  <c r="G344" i="1" s="1"/>
  <c r="Q351" i="3"/>
  <c r="I346" i="1"/>
  <c r="M359" i="3"/>
  <c r="G354" i="1" s="1"/>
  <c r="Q319" i="3"/>
  <c r="I314" i="1"/>
  <c r="M327" i="3"/>
  <c r="G322" i="1" s="1"/>
  <c r="Q329" i="3"/>
  <c r="M333" i="3"/>
  <c r="G328" i="1" s="1"/>
  <c r="M336" i="3"/>
  <c r="G331" i="1" s="1"/>
  <c r="M339" i="3"/>
  <c r="G334" i="1" s="1"/>
  <c r="Q347" i="3"/>
  <c r="I342" i="1"/>
  <c r="M352" i="3"/>
  <c r="G347" i="1" s="1"/>
  <c r="M355" i="3"/>
  <c r="G350" i="1" s="1"/>
  <c r="M361" i="3"/>
  <c r="G356" i="1" s="1"/>
  <c r="Q363" i="3"/>
  <c r="O366" i="3"/>
  <c r="I361" i="1"/>
  <c r="N120" i="3"/>
  <c r="I91" i="1"/>
  <c r="M142" i="3"/>
  <c r="G137" i="1" s="1"/>
  <c r="O183" i="3"/>
  <c r="I178" i="1"/>
  <c r="Q192" i="3"/>
  <c r="I187" i="1"/>
  <c r="Q201" i="3"/>
  <c r="I196" i="1"/>
  <c r="Q230" i="3"/>
  <c r="I225" i="1"/>
  <c r="M263" i="3"/>
  <c r="G258" i="1" s="1"/>
  <c r="M279" i="3"/>
  <c r="G274" i="1" s="1"/>
  <c r="M318" i="3"/>
  <c r="G313" i="1" s="1"/>
  <c r="Q332" i="3"/>
  <c r="I327" i="1"/>
  <c r="Q29" i="3"/>
  <c r="I24" i="1"/>
  <c r="G42" i="1"/>
  <c r="Q65" i="3"/>
  <c r="Q102" i="3"/>
  <c r="I97" i="1"/>
  <c r="Q105" i="3"/>
  <c r="I100" i="1"/>
  <c r="M107" i="3"/>
  <c r="G102" i="1" s="1"/>
  <c r="Q144" i="3"/>
  <c r="Q157" i="3"/>
  <c r="Q160" i="3"/>
  <c r="I155" i="1"/>
  <c r="M165" i="3"/>
  <c r="G160" i="1" s="1"/>
  <c r="Q179" i="3"/>
  <c r="M184" i="3"/>
  <c r="G179" i="1" s="1"/>
  <c r="M193" i="3"/>
  <c r="G188" i="1" s="1"/>
  <c r="Q204" i="3"/>
  <c r="I199" i="1"/>
  <c r="Q207" i="3"/>
  <c r="I202" i="1"/>
  <c r="Q233" i="3"/>
  <c r="Q236" i="3"/>
  <c r="O274" i="3"/>
  <c r="I269" i="1"/>
  <c r="Q290" i="3"/>
  <c r="I285" i="1"/>
  <c r="Q303" i="3"/>
  <c r="M308" i="3"/>
  <c r="G303" i="1" s="1"/>
  <c r="Q316" i="3"/>
  <c r="Q7" i="3"/>
  <c r="Q10" i="3"/>
  <c r="I5" i="1"/>
  <c r="G10" i="1"/>
  <c r="Q23" i="3"/>
  <c r="Q26" i="3"/>
  <c r="I21" i="1"/>
  <c r="G29" i="1"/>
  <c r="Q38" i="3"/>
  <c r="I33" i="1"/>
  <c r="Q41" i="3"/>
  <c r="I36" i="1"/>
  <c r="G38" i="1"/>
  <c r="Q48" i="3"/>
  <c r="I43" i="1"/>
  <c r="Q58" i="3"/>
  <c r="Q68" i="3"/>
  <c r="Q71" i="3"/>
  <c r="I66" i="1"/>
  <c r="G71" i="1"/>
  <c r="Q86" i="3"/>
  <c r="I81" i="1"/>
  <c r="M94" i="3"/>
  <c r="G89" i="1" s="1"/>
  <c r="M97" i="3"/>
  <c r="G92" i="1" s="1"/>
  <c r="M100" i="3"/>
  <c r="G95" i="1" s="1"/>
  <c r="M106" i="3"/>
  <c r="G101" i="1" s="1"/>
  <c r="M110" i="3"/>
  <c r="G105" i="1" s="1"/>
  <c r="M113" i="3"/>
  <c r="G108" i="1" s="1"/>
  <c r="M116" i="3"/>
  <c r="G111" i="1" s="1"/>
  <c r="Q118" i="3"/>
  <c r="I113" i="1"/>
  <c r="O121" i="3"/>
  <c r="I116" i="1"/>
  <c r="Q124" i="3"/>
  <c r="I119" i="1"/>
  <c r="Q137" i="3"/>
  <c r="I132" i="1"/>
  <c r="Q140" i="3"/>
  <c r="I135" i="1"/>
  <c r="Q150" i="3"/>
  <c r="I145" i="1"/>
  <c r="O153" i="3"/>
  <c r="I148" i="1"/>
  <c r="M161" i="3"/>
  <c r="G156" i="1" s="1"/>
  <c r="Q163" i="3"/>
  <c r="M168" i="3"/>
  <c r="G163" i="1" s="1"/>
  <c r="Q169" i="3"/>
  <c r="I164" i="1"/>
  <c r="M177" i="3"/>
  <c r="G172" i="1" s="1"/>
  <c r="Q185" i="3"/>
  <c r="I180" i="1"/>
  <c r="Q188" i="3"/>
  <c r="I183" i="1"/>
  <c r="M199" i="3"/>
  <c r="G194" i="1" s="1"/>
  <c r="M202" i="3"/>
  <c r="G197" i="1" s="1"/>
  <c r="M212" i="3"/>
  <c r="G207" i="1" s="1"/>
  <c r="Q220" i="3"/>
  <c r="I215" i="1"/>
  <c r="Q226" i="3"/>
  <c r="I221" i="1"/>
  <c r="O245" i="3"/>
  <c r="Q248" i="3"/>
  <c r="Q251" i="3"/>
  <c r="I246" i="1"/>
  <c r="M256" i="3"/>
  <c r="G251" i="1" s="1"/>
  <c r="M259" i="3"/>
  <c r="G254" i="1" s="1"/>
  <c r="Q261" i="3"/>
  <c r="Q264" i="3"/>
  <c r="Q267" i="3"/>
  <c r="I262" i="1"/>
  <c r="Q271" i="3"/>
  <c r="M275" i="3"/>
  <c r="G270" i="1" s="1"/>
  <c r="Q277" i="3"/>
  <c r="Q280" i="3"/>
  <c r="Q283" i="3"/>
  <c r="I278" i="1"/>
  <c r="M291" i="3"/>
  <c r="G286" i="1" s="1"/>
  <c r="Q293" i="3"/>
  <c r="Q296" i="3"/>
  <c r="Q299" i="3"/>
  <c r="I294" i="1"/>
  <c r="O306" i="3"/>
  <c r="I301" i="1"/>
  <c r="M311" i="3"/>
  <c r="G306" i="1" s="1"/>
  <c r="M314" i="3"/>
  <c r="G309" i="1" s="1"/>
  <c r="Q322" i="3"/>
  <c r="I317" i="1"/>
  <c r="M330" i="3"/>
  <c r="G325" i="1" s="1"/>
  <c r="Q334" i="3"/>
  <c r="I329" i="1"/>
  <c r="Q340" i="3"/>
  <c r="I335" i="1"/>
  <c r="M342" i="3"/>
  <c r="G337" i="1" s="1"/>
  <c r="M345" i="3"/>
  <c r="G340" i="1" s="1"/>
  <c r="Q350" i="3"/>
  <c r="Q353" i="3"/>
  <c r="Q356" i="3"/>
  <c r="I351" i="1"/>
  <c r="M358" i="3"/>
  <c r="G353" i="1" s="1"/>
  <c r="M367" i="3"/>
  <c r="G362" i="1" s="1"/>
  <c r="Q75" i="3"/>
  <c r="I70" i="1"/>
  <c r="M206" i="3"/>
  <c r="G201" i="1" s="1"/>
  <c r="Q17" i="3"/>
  <c r="I12" i="1"/>
  <c r="Q20" i="3"/>
  <c r="G23" i="1"/>
  <c r="Q62" i="3"/>
  <c r="Q78" i="3"/>
  <c r="I73" i="1"/>
  <c r="M85" i="3"/>
  <c r="G80" i="1" s="1"/>
  <c r="Q99" i="3"/>
  <c r="M123" i="3"/>
  <c r="G118" i="1" s="1"/>
  <c r="Q147" i="3"/>
  <c r="M196" i="3"/>
  <c r="G191" i="1" s="1"/>
  <c r="Q223" i="3"/>
  <c r="I218" i="1"/>
  <c r="Q239" i="3"/>
  <c r="I234" i="1"/>
  <c r="Q242" i="3"/>
  <c r="M250" i="3"/>
  <c r="G245" i="1" s="1"/>
  <c r="G6" i="1"/>
  <c r="G22" i="1"/>
  <c r="G44" i="1"/>
  <c r="Q61" i="3"/>
  <c r="I56" i="1"/>
  <c r="N90" i="3"/>
  <c r="I59" i="1"/>
  <c r="G67" i="1"/>
  <c r="Q80" i="3"/>
  <c r="I75" i="1"/>
  <c r="Q89" i="3"/>
  <c r="I84" i="1"/>
  <c r="Q92" i="3"/>
  <c r="I87" i="1"/>
  <c r="Q130" i="3"/>
  <c r="I125" i="1"/>
  <c r="Q133" i="3"/>
  <c r="I128" i="1"/>
  <c r="Q146" i="3"/>
  <c r="I141" i="1"/>
  <c r="M164" i="3"/>
  <c r="G159" i="1" s="1"/>
  <c r="Q172" i="3"/>
  <c r="I167" i="1"/>
  <c r="Q178" i="3"/>
  <c r="I173" i="1"/>
  <c r="Q191" i="3"/>
  <c r="I186" i="1"/>
  <c r="Q200" i="3"/>
  <c r="I195" i="1"/>
  <c r="M221" i="3"/>
  <c r="G216" i="1" s="1"/>
  <c r="M227" i="3"/>
  <c r="G222" i="1" s="1"/>
  <c r="Q235" i="3"/>
  <c r="I230" i="1"/>
  <c r="Q241" i="3"/>
  <c r="I236" i="1"/>
  <c r="M246" i="3"/>
  <c r="G241" i="1" s="1"/>
  <c r="Q254" i="3"/>
  <c r="I249" i="1"/>
  <c r="M262" i="3"/>
  <c r="G257" i="1" s="1"/>
  <c r="M272" i="3"/>
  <c r="G267" i="1" s="1"/>
  <c r="Q286" i="3"/>
  <c r="I281" i="1"/>
  <c r="Q315" i="3"/>
  <c r="I310" i="1"/>
  <c r="M323" i="3"/>
  <c r="G318" i="1" s="1"/>
  <c r="Q331" i="3"/>
  <c r="I326" i="1"/>
  <c r="M335" i="3"/>
  <c r="G330" i="1" s="1"/>
  <c r="Q343" i="3"/>
  <c r="I338" i="1"/>
  <c r="M351" i="3"/>
  <c r="G346" i="1" s="1"/>
  <c r="Q359" i="3"/>
  <c r="I354" i="1"/>
  <c r="Q362" i="3"/>
  <c r="I357" i="1"/>
  <c r="Q52" i="3"/>
  <c r="I47" i="1"/>
  <c r="Q83" i="3"/>
  <c r="I78" i="1"/>
  <c r="Q93" i="3"/>
  <c r="M120" i="3"/>
  <c r="G115" i="1" s="1"/>
  <c r="M136" i="3"/>
  <c r="G131" i="1" s="1"/>
  <c r="Q195" i="3"/>
  <c r="I190" i="1"/>
  <c r="M247" i="3"/>
  <c r="G242" i="1" s="1"/>
  <c r="Q287" i="3"/>
  <c r="I282" i="1"/>
  <c r="M295" i="3"/>
  <c r="G290" i="1" s="1"/>
  <c r="Q310" i="3"/>
  <c r="I305" i="1"/>
  <c r="Q338" i="3"/>
  <c r="I333" i="1"/>
  <c r="Q360" i="3"/>
  <c r="I355" i="1"/>
  <c r="M365" i="3"/>
  <c r="G360" i="1" s="1"/>
  <c r="G7" i="1"/>
  <c r="G32" i="1"/>
  <c r="Q55" i="3"/>
  <c r="G68" i="1"/>
  <c r="Q81" i="3"/>
  <c r="Q90" i="3"/>
  <c r="Q115" i="3"/>
  <c r="Q128" i="3"/>
  <c r="Q131" i="3"/>
  <c r="Q134" i="3"/>
  <c r="M139" i="3"/>
  <c r="G134" i="1" s="1"/>
  <c r="Q173" i="3"/>
  <c r="Q176" i="3"/>
  <c r="I171" i="1"/>
  <c r="Q198" i="3"/>
  <c r="O214" i="3"/>
  <c r="I209" i="1"/>
  <c r="M231" i="3"/>
  <c r="G226" i="1" s="1"/>
  <c r="Q258" i="3"/>
  <c r="I253" i="1"/>
  <c r="M266" i="3"/>
  <c r="G261" i="1" s="1"/>
  <c r="Q313" i="3"/>
  <c r="Q6" i="3"/>
  <c r="G9" i="1"/>
  <c r="Q22" i="3"/>
  <c r="I17" i="1"/>
  <c r="G19" i="1"/>
  <c r="Q28" i="3"/>
  <c r="I23" i="1"/>
  <c r="G34" i="1"/>
  <c r="Q44" i="3"/>
  <c r="G47" i="1"/>
  <c r="Q57" i="3"/>
  <c r="G54" i="1"/>
  <c r="Q67" i="3"/>
  <c r="I62" i="1"/>
  <c r="G64" i="1"/>
  <c r="Q77" i="3"/>
  <c r="M87" i="3"/>
  <c r="G82" i="1" s="1"/>
  <c r="Q101" i="3"/>
  <c r="I96" i="1"/>
  <c r="Q104" i="3"/>
  <c r="I99" i="1"/>
  <c r="M109" i="3"/>
  <c r="G104" i="1" s="1"/>
  <c r="M119" i="3"/>
  <c r="G114" i="1" s="1"/>
  <c r="M122" i="3"/>
  <c r="G117" i="1" s="1"/>
  <c r="M125" i="3"/>
  <c r="G120" i="1" s="1"/>
  <c r="M128" i="3"/>
  <c r="G123" i="1" s="1"/>
  <c r="M134" i="3"/>
  <c r="G129" i="1" s="1"/>
  <c r="M138" i="3"/>
  <c r="G133" i="1" s="1"/>
  <c r="M141" i="3"/>
  <c r="G136" i="1" s="1"/>
  <c r="M144" i="3"/>
  <c r="G139" i="1" s="1"/>
  <c r="M151" i="3"/>
  <c r="G146" i="1" s="1"/>
  <c r="M154" i="3"/>
  <c r="G149" i="1" s="1"/>
  <c r="Q159" i="3"/>
  <c r="I154" i="1"/>
  <c r="Q162" i="3"/>
  <c r="M167" i="3"/>
  <c r="G162" i="1" s="1"/>
  <c r="M170" i="3"/>
  <c r="G165" i="1" s="1"/>
  <c r="Q175" i="3"/>
  <c r="I170" i="1"/>
  <c r="M183" i="3"/>
  <c r="G178" i="1" s="1"/>
  <c r="M186" i="3"/>
  <c r="G181" i="1" s="1"/>
  <c r="M192" i="3"/>
  <c r="G187" i="1" s="1"/>
  <c r="M201" i="3"/>
  <c r="G196" i="1" s="1"/>
  <c r="Q203" i="3"/>
  <c r="Q206" i="3"/>
  <c r="I201" i="1"/>
  <c r="M211" i="3"/>
  <c r="G206" i="1" s="1"/>
  <c r="O213" i="3"/>
  <c r="Q216" i="3"/>
  <c r="I211" i="1"/>
  <c r="Q238" i="3"/>
  <c r="I233" i="1"/>
  <c r="O244" i="3"/>
  <c r="Q247" i="3"/>
  <c r="I242" i="1"/>
  <c r="M255" i="3"/>
  <c r="G250" i="1" s="1"/>
  <c r="Q257" i="3"/>
  <c r="Q260" i="3"/>
  <c r="Q263" i="3"/>
  <c r="I258" i="1"/>
  <c r="Q270" i="3"/>
  <c r="Q273" i="3"/>
  <c r="I268" i="1"/>
  <c r="O276" i="3"/>
  <c r="Q279" i="3"/>
  <c r="I274" i="1"/>
  <c r="M284" i="3"/>
  <c r="G279" i="1" s="1"/>
  <c r="M287" i="3"/>
  <c r="G282" i="1" s="1"/>
  <c r="Q289" i="3"/>
  <c r="Q292" i="3"/>
  <c r="Q295" i="3"/>
  <c r="I290" i="1"/>
  <c r="M300" i="3"/>
  <c r="G295" i="1" s="1"/>
  <c r="M307" i="3"/>
  <c r="G302" i="1" s="1"/>
  <c r="M310" i="3"/>
  <c r="G305" i="1" s="1"/>
  <c r="M313" i="3"/>
  <c r="G308" i="1" s="1"/>
  <c r="Q318" i="3"/>
  <c r="I313" i="1"/>
  <c r="M326" i="3"/>
  <c r="G321" i="1" s="1"/>
  <c r="M332" i="3"/>
  <c r="G327" i="1" s="1"/>
  <c r="M338" i="3"/>
  <c r="G333" i="1" s="1"/>
  <c r="Q346" i="3"/>
  <c r="Q349" i="3"/>
  <c r="Q352" i="3"/>
  <c r="I347" i="1"/>
  <c r="M363" i="3"/>
  <c r="G358" i="1" s="1"/>
  <c r="Q365" i="3"/>
  <c r="I360" i="1"/>
  <c r="O368" i="3"/>
  <c r="O33" i="3"/>
  <c r="I28" i="1"/>
  <c r="G62" i="1"/>
  <c r="Q109" i="3"/>
  <c r="I104" i="1"/>
  <c r="M126" i="3"/>
  <c r="G121" i="1" s="1"/>
  <c r="Q19" i="3"/>
  <c r="I14" i="1"/>
  <c r="G3" i="1"/>
  <c r="Q16" i="3"/>
  <c r="Q9" i="3"/>
  <c r="I4" i="1"/>
  <c r="Q12" i="3"/>
  <c r="G15" i="1"/>
  <c r="Q25" i="3"/>
  <c r="I20" i="1"/>
  <c r="G24" i="1"/>
  <c r="Q31" i="3"/>
  <c r="Q34" i="3"/>
  <c r="I29" i="1"/>
  <c r="Q37" i="3"/>
  <c r="I32" i="1"/>
  <c r="Q40" i="3"/>
  <c r="I35" i="1"/>
  <c r="Q47" i="3"/>
  <c r="Q50" i="3"/>
  <c r="Q53" i="3"/>
  <c r="I48" i="1"/>
  <c r="G50" i="1"/>
  <c r="G57" i="1"/>
  <c r="G60" i="1"/>
  <c r="Q70" i="3"/>
  <c r="I65" i="1"/>
  <c r="Q73" i="3"/>
  <c r="M78" i="3"/>
  <c r="G73" i="1" s="1"/>
  <c r="M81" i="3"/>
  <c r="Q85" i="3"/>
  <c r="M93" i="3"/>
  <c r="G88" i="1" s="1"/>
  <c r="Q94" i="3"/>
  <c r="I89" i="1"/>
  <c r="Q97" i="3"/>
  <c r="I92" i="1"/>
  <c r="M99" i="3"/>
  <c r="G94" i="1" s="1"/>
  <c r="Q107" i="3"/>
  <c r="Q110" i="3"/>
  <c r="I105" i="1"/>
  <c r="Q113" i="3"/>
  <c r="I108" i="1"/>
  <c r="M115" i="3"/>
  <c r="G110" i="1" s="1"/>
  <c r="Q117" i="3"/>
  <c r="Q120" i="3"/>
  <c r="O123" i="3"/>
  <c r="Q168" i="3"/>
  <c r="I163" i="1"/>
  <c r="M176" i="3"/>
  <c r="G171" i="1" s="1"/>
  <c r="O184" i="3"/>
  <c r="I179" i="1"/>
  <c r="Q187" i="3"/>
  <c r="I182" i="1"/>
  <c r="Q193" i="3"/>
  <c r="I188" i="1"/>
  <c r="Q196" i="3"/>
  <c r="I191" i="1"/>
  <c r="M204" i="3"/>
  <c r="G199" i="1" s="1"/>
  <c r="M207" i="3"/>
  <c r="G202" i="1" s="1"/>
  <c r="M214" i="3"/>
  <c r="G209" i="1" s="1"/>
  <c r="M217" i="3"/>
  <c r="G212" i="1" s="1"/>
  <c r="M223" i="3"/>
  <c r="G218" i="1" s="1"/>
  <c r="Q231" i="3"/>
  <c r="I226" i="1"/>
  <c r="M239" i="3"/>
  <c r="G234" i="1" s="1"/>
  <c r="Q250" i="3"/>
  <c r="I245" i="1"/>
  <c r="M258" i="3"/>
  <c r="G253" i="1" s="1"/>
  <c r="Q266" i="3"/>
  <c r="I261" i="1"/>
  <c r="Q282" i="3"/>
  <c r="I277" i="1"/>
  <c r="Q298" i="3"/>
  <c r="I293" i="1"/>
  <c r="Q301" i="3"/>
  <c r="I296" i="1"/>
  <c r="Q311" i="3"/>
  <c r="I306" i="1"/>
  <c r="M319" i="3"/>
  <c r="G314" i="1" s="1"/>
  <c r="Q327" i="3"/>
  <c r="I322" i="1"/>
  <c r="Q333" i="3"/>
  <c r="I328" i="1"/>
  <c r="M347" i="3"/>
  <c r="G342" i="1" s="1"/>
  <c r="Q355" i="3"/>
  <c r="I350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4" i="1"/>
  <c r="G20" i="1"/>
  <c r="G51" i="1"/>
  <c r="N240" i="3"/>
  <c r="Q217" i="3"/>
  <c r="N243" i="3"/>
  <c r="N334" i="3"/>
  <c r="G28" i="1"/>
  <c r="G65" i="1"/>
  <c r="M117" i="3"/>
  <c r="G112" i="1" s="1"/>
  <c r="N28" i="3"/>
  <c r="G26" i="1"/>
  <c r="G37" i="1"/>
  <c r="G48" i="1"/>
  <c r="G53" i="1"/>
  <c r="G56" i="1"/>
  <c r="G70" i="1"/>
  <c r="M90" i="3"/>
  <c r="N148" i="3"/>
  <c r="M129" i="3"/>
  <c r="G124" i="1" s="1"/>
  <c r="M131" i="3"/>
  <c r="G126" i="1" s="1"/>
  <c r="M145" i="3"/>
  <c r="G140" i="1" s="1"/>
  <c r="M147" i="3"/>
  <c r="G142" i="1" s="1"/>
  <c r="M149" i="3"/>
  <c r="G144" i="1" s="1"/>
  <c r="Q156" i="3"/>
  <c r="N181" i="3"/>
  <c r="N178" i="3"/>
  <c r="M158" i="3"/>
  <c r="M173" i="3"/>
  <c r="G168" i="1" s="1"/>
  <c r="M180" i="3"/>
  <c r="G175" i="1" s="1"/>
  <c r="M182" i="3"/>
  <c r="M190" i="3"/>
  <c r="G185" i="1" s="1"/>
  <c r="M198" i="3"/>
  <c r="G193" i="1" s="1"/>
  <c r="M228" i="3"/>
  <c r="G223" i="1" s="1"/>
  <c r="N331" i="3"/>
  <c r="G12" i="1"/>
  <c r="N59" i="3"/>
  <c r="N56" i="3"/>
  <c r="G40" i="1"/>
  <c r="N87" i="3"/>
  <c r="Q64" i="3"/>
  <c r="M101" i="3"/>
  <c r="G96" i="1" s="1"/>
  <c r="G16" i="1"/>
  <c r="G35" i="1"/>
  <c r="G39" i="1"/>
  <c r="G45" i="1"/>
  <c r="G72" i="1"/>
  <c r="M84" i="3"/>
  <c r="G79" i="1" s="1"/>
  <c r="M95" i="3"/>
  <c r="G90" i="1" s="1"/>
  <c r="M111" i="3"/>
  <c r="G106" i="1" s="1"/>
  <c r="M152" i="3"/>
  <c r="G147" i="1" s="1"/>
  <c r="M166" i="3"/>
  <c r="G161" i="1" s="1"/>
  <c r="M189" i="3"/>
  <c r="G184" i="1" s="1"/>
  <c r="M197" i="3"/>
  <c r="G192" i="1" s="1"/>
  <c r="M215" i="3"/>
  <c r="G210" i="1" s="1"/>
  <c r="M244" i="3"/>
  <c r="G239" i="1" s="1"/>
  <c r="M252" i="3"/>
  <c r="M260" i="3"/>
  <c r="G255" i="1" s="1"/>
  <c r="M268" i="3"/>
  <c r="G263" i="1" s="1"/>
  <c r="M288" i="3"/>
  <c r="G283" i="1" s="1"/>
  <c r="M324" i="3"/>
  <c r="G319" i="1" s="1"/>
  <c r="M96" i="3"/>
  <c r="G91" i="1" s="1"/>
  <c r="M104" i="3"/>
  <c r="G99" i="1" s="1"/>
  <c r="M112" i="3"/>
  <c r="G107" i="1" s="1"/>
  <c r="M118" i="3"/>
  <c r="G113" i="1" s="1"/>
  <c r="M124" i="3"/>
  <c r="G119" i="1" s="1"/>
  <c r="M132" i="3"/>
  <c r="G127" i="1" s="1"/>
  <c r="M140" i="3"/>
  <c r="G135" i="1" s="1"/>
  <c r="M148" i="3"/>
  <c r="G143" i="1" s="1"/>
  <c r="M181" i="3"/>
  <c r="G176" i="1" s="1"/>
  <c r="M222" i="3"/>
  <c r="M238" i="3"/>
  <c r="G233" i="1" s="1"/>
  <c r="M245" i="3"/>
  <c r="G240" i="1" s="1"/>
  <c r="M249" i="3"/>
  <c r="G244" i="1" s="1"/>
  <c r="M253" i="3"/>
  <c r="G248" i="1" s="1"/>
  <c r="M257" i="3"/>
  <c r="G252" i="1" s="1"/>
  <c r="M261" i="3"/>
  <c r="G256" i="1" s="1"/>
  <c r="M265" i="3"/>
  <c r="G260" i="1" s="1"/>
  <c r="M269" i="3"/>
  <c r="G264" i="1" s="1"/>
  <c r="M282" i="3"/>
  <c r="G277" i="1" s="1"/>
  <c r="M298" i="3"/>
  <c r="G293" i="1" s="1"/>
  <c r="G55" i="1"/>
  <c r="M82" i="3"/>
  <c r="G77" i="1" s="1"/>
  <c r="M88" i="3"/>
  <c r="N117" i="3"/>
  <c r="Q96" i="3"/>
  <c r="M155" i="3"/>
  <c r="G150" i="1" s="1"/>
  <c r="M163" i="3"/>
  <c r="G158" i="1" s="1"/>
  <c r="M171" i="3"/>
  <c r="G166" i="1" s="1"/>
  <c r="M187" i="3"/>
  <c r="M195" i="3"/>
  <c r="G190" i="1" s="1"/>
  <c r="M203" i="3"/>
  <c r="G198" i="1" s="1"/>
  <c r="M205" i="3"/>
  <c r="G200" i="1" s="1"/>
  <c r="M216" i="3"/>
  <c r="G211" i="1" s="1"/>
  <c r="M234" i="3"/>
  <c r="G229" i="1" s="1"/>
  <c r="M278" i="3"/>
  <c r="G273" i="1" s="1"/>
  <c r="N304" i="3"/>
  <c r="Q278" i="3"/>
  <c r="M294" i="3"/>
  <c r="G289" i="1" s="1"/>
  <c r="N151" i="3"/>
  <c r="Q125" i="3"/>
  <c r="M209" i="3"/>
  <c r="G204" i="1" s="1"/>
  <c r="M210" i="3"/>
  <c r="G205" i="1" s="1"/>
  <c r="M220" i="3"/>
  <c r="G215" i="1" s="1"/>
  <c r="M230" i="3"/>
  <c r="G225" i="1" s="1"/>
  <c r="M243" i="3"/>
  <c r="G238" i="1" s="1"/>
  <c r="M274" i="3"/>
  <c r="G269" i="1" s="1"/>
  <c r="M290" i="3"/>
  <c r="G285" i="1" s="1"/>
  <c r="N301" i="3"/>
  <c r="M303" i="3"/>
  <c r="G298" i="1" s="1"/>
  <c r="M315" i="3"/>
  <c r="M317" i="3"/>
  <c r="G312" i="1" s="1"/>
  <c r="M321" i="3"/>
  <c r="G316" i="1" s="1"/>
  <c r="M325" i="3"/>
  <c r="M329" i="3"/>
  <c r="G324" i="1" s="1"/>
  <c r="N362" i="3"/>
  <c r="N365" i="3"/>
  <c r="Q339" i="3"/>
  <c r="M354" i="3"/>
  <c r="G349" i="1" s="1"/>
  <c r="M357" i="3"/>
  <c r="G352" i="1" s="1"/>
  <c r="N212" i="3"/>
  <c r="N209" i="3"/>
  <c r="M213" i="3"/>
  <c r="G208" i="1" s="1"/>
  <c r="M225" i="3"/>
  <c r="M229" i="3"/>
  <c r="G224" i="1" s="1"/>
  <c r="M233" i="3"/>
  <c r="G228" i="1" s="1"/>
  <c r="M237" i="3"/>
  <c r="G232" i="1" s="1"/>
  <c r="N270" i="3"/>
  <c r="M271" i="3"/>
  <c r="G266" i="1" s="1"/>
  <c r="M277" i="3"/>
  <c r="G272" i="1" s="1"/>
  <c r="M281" i="3"/>
  <c r="G276" i="1" s="1"/>
  <c r="M285" i="3"/>
  <c r="G280" i="1" s="1"/>
  <c r="M289" i="3"/>
  <c r="G284" i="1" s="1"/>
  <c r="M293" i="3"/>
  <c r="G288" i="1" s="1"/>
  <c r="M297" i="3"/>
  <c r="G292" i="1" s="1"/>
  <c r="M301" i="3"/>
  <c r="G296" i="1" s="1"/>
  <c r="M304" i="3"/>
  <c r="G299" i="1" s="1"/>
  <c r="M337" i="3"/>
  <c r="G332" i="1" s="1"/>
  <c r="M341" i="3"/>
  <c r="M350" i="3"/>
  <c r="M353" i="3"/>
  <c r="G348" i="1" s="1"/>
  <c r="M366" i="3"/>
  <c r="G361" i="1" s="1"/>
  <c r="N273" i="3"/>
  <c r="P307" i="4" l="1"/>
  <c r="P276" i="4"/>
  <c r="O216" i="3"/>
  <c r="P246" i="4"/>
  <c r="P215" i="4"/>
  <c r="P93" i="4"/>
  <c r="N216" i="3"/>
  <c r="P154" i="4"/>
  <c r="P337" i="4"/>
  <c r="O334" i="3"/>
  <c r="G310" i="1"/>
  <c r="O270" i="3"/>
  <c r="G247" i="1"/>
  <c r="N62" i="3"/>
  <c r="O181" i="3"/>
  <c r="G177" i="1"/>
  <c r="O362" i="3"/>
  <c r="G345" i="1"/>
  <c r="O243" i="3"/>
  <c r="G220" i="1"/>
  <c r="O365" i="3"/>
  <c r="G336" i="1"/>
  <c r="O240" i="3"/>
  <c r="G217" i="1"/>
  <c r="O178" i="3"/>
  <c r="G153" i="1"/>
  <c r="O151" i="3"/>
  <c r="O56" i="3"/>
  <c r="G31" i="1"/>
  <c r="O148" i="3"/>
  <c r="G8" i="1"/>
  <c r="O331" i="3"/>
  <c r="G320" i="1"/>
  <c r="O212" i="3"/>
  <c r="G182" i="1"/>
  <c r="O90" i="3"/>
  <c r="G69" i="1"/>
  <c r="O87" i="3"/>
  <c r="G61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<sst xmlns="http://schemas.openxmlformats.org/spreadsheetml/2006/main" count="604" uniqueCount="76">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</sst>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6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4"/>
  <sheetViews>
    <sheetView tabSelected="1" workbookViewId="0">
      <selection activeCell="F8" sqref="F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185" t="s">
        <v>0</v>
      </c>
      <c r="B1" s="185" t="s">
        <v>1</v>
      </c>
      <c r="C1" s="185" t="s">
        <v>2</v>
      </c>
      <c r="D1" s="185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3</v>
      </c>
      <c r="C2" s="3">
        <v>1</v>
      </c>
      <c r="D2" s="3">
        <v>2022</v>
      </c>
      <c r="E2" s="4">
        <f>'Electricity '!I6+'Electricity '!O6</f>
        <v>21979.259999999871</v>
      </c>
      <c r="F2" s="141">
        <v>2.06</v>
      </c>
      <c r="G2" s="4">
        <f>'Gas Water'!M7</f>
        <v>2470</v>
      </c>
      <c r="H2" s="141">
        <v>6.17</v>
      </c>
      <c r="I2" s="2">
        <f>'Gas Water'!L7</f>
        <v>221</v>
      </c>
      <c r="J2" s="141">
        <v>14.95</v>
      </c>
      <c r="K2" s="5">
        <v>143</v>
      </c>
      <c r="L2" s="5">
        <v>256</v>
      </c>
    </row>
    <row r="3" spans="1:13" x14ac:dyDescent="0.25">
      <c r="A3" s="3" t="s">
        <v>73</v>
      </c>
      <c r="B3" s="3">
        <v>4</v>
      </c>
      <c r="C3" s="3">
        <v>1</v>
      </c>
      <c r="D3" s="3">
        <v>2022</v>
      </c>
      <c r="E3" s="4">
        <f>'Electricity '!I7+'Electricity '!O7</f>
        <v>21432.780000000559</v>
      </c>
      <c r="F3" s="141">
        <v>2.06</v>
      </c>
      <c r="G3" s="4">
        <f>'Gas Water'!M8</f>
        <v>2283</v>
      </c>
      <c r="H3" s="141">
        <v>6.17</v>
      </c>
      <c r="I3" s="2">
        <f>'Gas Water'!L8</f>
        <v>206</v>
      </c>
      <c r="J3" s="141">
        <v>14.95</v>
      </c>
      <c r="K3" s="5">
        <v>148</v>
      </c>
      <c r="L3" s="5">
        <v>255</v>
      </c>
    </row>
    <row r="4" spans="1:13" x14ac:dyDescent="0.25">
      <c r="A4" s="3" t="s">
        <v>73</v>
      </c>
      <c r="B4" s="3">
        <v>5</v>
      </c>
      <c r="C4" s="3">
        <v>1</v>
      </c>
      <c r="D4" s="3">
        <v>2022</v>
      </c>
      <c r="E4" s="4">
        <f>'Electricity '!I8+'Electricity '!O8</f>
        <v>22736.879999999841</v>
      </c>
      <c r="F4" s="141">
        <v>2.06</v>
      </c>
      <c r="G4" s="4">
        <f>'Gas Water'!M9</f>
        <v>2077</v>
      </c>
      <c r="H4" s="141">
        <v>6.17</v>
      </c>
      <c r="I4" s="2">
        <f>'Gas Water'!L9</f>
        <v>183</v>
      </c>
      <c r="J4" s="141">
        <v>14.95</v>
      </c>
      <c r="K4" s="5">
        <v>147</v>
      </c>
      <c r="L4" s="5">
        <v>265</v>
      </c>
    </row>
    <row r="5" spans="1:13" x14ac:dyDescent="0.25">
      <c r="A5" s="3" t="s">
        <v>73</v>
      </c>
      <c r="B5" s="3">
        <v>6</v>
      </c>
      <c r="C5" s="3">
        <v>1</v>
      </c>
      <c r="D5" s="3">
        <v>2022</v>
      </c>
      <c r="E5" s="4">
        <f>'Electricity '!I9+'Electricity '!O9</f>
        <v>23142.59999999966</v>
      </c>
      <c r="F5" s="141">
        <v>2.06</v>
      </c>
      <c r="G5" s="4">
        <f>'Gas Water'!M10</f>
        <v>2098</v>
      </c>
      <c r="H5" s="141">
        <v>6.17</v>
      </c>
      <c r="I5" s="2">
        <f>'Gas Water'!L10</f>
        <v>174</v>
      </c>
      <c r="J5" s="141">
        <v>14.95</v>
      </c>
      <c r="K5" s="5">
        <v>152</v>
      </c>
      <c r="L5" s="5">
        <v>279</v>
      </c>
    </row>
    <row r="6" spans="1:13" x14ac:dyDescent="0.25">
      <c r="A6" s="3" t="s">
        <v>73</v>
      </c>
      <c r="B6" s="3">
        <v>7</v>
      </c>
      <c r="C6" s="3">
        <v>1</v>
      </c>
      <c r="D6" s="3">
        <v>2022</v>
      </c>
      <c r="E6" s="4">
        <f>'Electricity '!I10+'Electricity '!O10</f>
        <v>23693.219999999819</v>
      </c>
      <c r="F6" s="141">
        <v>2.06</v>
      </c>
      <c r="G6" s="4">
        <f>'Gas Water'!M11</f>
        <v>2634</v>
      </c>
      <c r="H6" s="141">
        <v>6.17</v>
      </c>
      <c r="I6" s="2">
        <f>'Gas Water'!L11</f>
        <v>179</v>
      </c>
      <c r="J6" s="141">
        <v>14.95</v>
      </c>
      <c r="K6" s="5">
        <v>155</v>
      </c>
      <c r="L6" s="5">
        <v>296</v>
      </c>
    </row>
    <row r="7" spans="1:13" x14ac:dyDescent="0.25">
      <c r="A7" s="3" t="s">
        <v>73</v>
      </c>
      <c r="B7" s="3">
        <v>8</v>
      </c>
      <c r="C7" s="3">
        <v>1</v>
      </c>
      <c r="D7" s="3">
        <v>2022</v>
      </c>
      <c r="E7" s="4">
        <f>'Electricity '!I12+'Electricity '!O11</f>
        <v>23763.600000000039</v>
      </c>
      <c r="F7" s="141">
        <v>2.06</v>
      </c>
      <c r="G7" s="4">
        <f>'Gas Water'!M12</f>
        <v>2711</v>
      </c>
      <c r="H7" s="141">
        <v>6.17</v>
      </c>
      <c r="I7" s="2">
        <f>'Gas Water'!L12</f>
        <v>190</v>
      </c>
      <c r="J7" s="141">
        <v>14.95</v>
      </c>
      <c r="K7" s="5">
        <v>136</v>
      </c>
      <c r="L7" s="5">
        <v>264</v>
      </c>
    </row>
    <row r="8" spans="1:13" x14ac:dyDescent="0.25">
      <c r="A8" s="3" t="s">
        <v>73</v>
      </c>
      <c r="B8" s="3">
        <v>9</v>
      </c>
      <c r="C8" s="3">
        <v>1</v>
      </c>
      <c r="D8" s="3">
        <v>2022</v>
      </c>
      <c r="E8" s="4" t="e">
        <f>'Electricity '!I13+'Electricity '!O12</f>
        <v>#VALUE!</v>
      </c>
      <c r="F8" s="141">
        <v>2.06</v>
      </c>
      <c r="G8" s="4">
        <f>'Gas Water'!M13</f>
        <v>2672</v>
      </c>
      <c r="H8" s="141">
        <v>6.17</v>
      </c>
      <c r="I8" s="2">
        <f>'Gas Water'!L13</f>
        <v>223</v>
      </c>
      <c r="J8" s="141">
        <v>14.95</v>
      </c>
      <c r="K8" s="5">
        <v>125</v>
      </c>
      <c r="L8" s="5">
        <v>224</v>
      </c>
    </row>
    <row r="9" spans="1:13" x14ac:dyDescent="0.25">
      <c r="A9" s="3" t="s">
        <v>73</v>
      </c>
      <c r="B9" s="3">
        <v>10</v>
      </c>
      <c r="C9" s="3">
        <v>1</v>
      </c>
      <c r="D9" s="3">
        <v>2022</v>
      </c>
      <c r="E9" s="4" t="e">
        <f>'Electricity '!I14+'Electricity '!O13</f>
        <v>#VALUE!</v>
      </c>
      <c r="F9" s="141">
        <v>2.06</v>
      </c>
      <c r="G9" s="4" t="str">
        <f>'Gas Water'!M14</f>
        <v/>
      </c>
      <c r="H9" s="141">
        <v>6.17</v>
      </c>
      <c r="I9" s="2" t="str">
        <f>'Gas Water'!L14</f>
        <v/>
      </c>
      <c r="J9" s="141">
        <v>14.95</v>
      </c>
      <c r="K9" s="5"/>
      <c r="L9" s="5"/>
    </row>
    <row r="10" spans="1:13" x14ac:dyDescent="0.25">
      <c r="A10" s="3" t="s">
        <v>73</v>
      </c>
      <c r="B10" s="3">
        <v>11</v>
      </c>
      <c r="C10" s="3">
        <v>1</v>
      </c>
      <c r="D10" s="3">
        <v>2022</v>
      </c>
      <c r="E10" s="4" t="e">
        <f>'Electricity '!I14+'Electricity '!O14</f>
        <v>#VALUE!</v>
      </c>
      <c r="F10" s="141">
        <v>2.06</v>
      </c>
      <c r="G10" s="4" t="str">
        <f>'Gas Water'!M15</f>
        <v/>
      </c>
      <c r="H10" s="141">
        <v>6.17</v>
      </c>
      <c r="I10" s="2" t="str">
        <f>'Gas Water'!L15</f>
        <v/>
      </c>
      <c r="J10" s="141">
        <v>14.95</v>
      </c>
      <c r="K10" s="5"/>
      <c r="L10" s="5"/>
    </row>
    <row r="11" spans="1:13" x14ac:dyDescent="0.25">
      <c r="A11" s="3" t="s">
        <v>73</v>
      </c>
      <c r="B11" s="3">
        <v>12</v>
      </c>
      <c r="C11" s="3">
        <v>1</v>
      </c>
      <c r="D11" s="3">
        <v>2022</v>
      </c>
      <c r="E11" s="4" t="e">
        <f>'Electricity '!I15+'Electricity '!O15</f>
        <v>#VALUE!</v>
      </c>
      <c r="F11" s="141">
        <v>2.06</v>
      </c>
      <c r="G11" s="4" t="str">
        <f>'Gas Water'!M16</f>
        <v/>
      </c>
      <c r="H11" s="141">
        <v>6.17</v>
      </c>
      <c r="I11" s="2" t="str">
        <f>'Gas Water'!L16</f>
        <v/>
      </c>
      <c r="J11" s="141">
        <v>14.95</v>
      </c>
      <c r="K11" s="5"/>
      <c r="L11" s="5"/>
    </row>
    <row r="12" spans="1:13" x14ac:dyDescent="0.25">
      <c r="A12" s="3" t="s">
        <v>73</v>
      </c>
      <c r="B12" s="3">
        <v>13</v>
      </c>
      <c r="C12" s="3">
        <v>1</v>
      </c>
      <c r="D12" s="3">
        <v>2022</v>
      </c>
      <c r="E12" s="4" t="e">
        <f>'Electricity '!I16+'Electricity '!O16</f>
        <v>#VALUE!</v>
      </c>
      <c r="F12" s="141">
        <v>2.06</v>
      </c>
      <c r="G12" s="4" t="str">
        <f>'Gas Water'!M17</f>
        <v/>
      </c>
      <c r="H12" s="141">
        <v>6.17</v>
      </c>
      <c r="I12" s="2" t="str">
        <f>'Gas Water'!L17</f>
        <v/>
      </c>
      <c r="J12" s="141">
        <v>14.95</v>
      </c>
      <c r="K12" s="5"/>
      <c r="L12" s="5"/>
    </row>
    <row r="13" spans="1:13" x14ac:dyDescent="0.25">
      <c r="A13" s="3" t="s">
        <v>73</v>
      </c>
      <c r="B13" s="3">
        <v>14</v>
      </c>
      <c r="C13" s="3">
        <v>1</v>
      </c>
      <c r="D13" s="3">
        <v>2022</v>
      </c>
      <c r="E13" s="4" t="e">
        <f>'Electricity '!I17+'Electricity '!O17</f>
        <v>#VALUE!</v>
      </c>
      <c r="F13" s="141">
        <v>2.06</v>
      </c>
      <c r="G13" s="4" t="str">
        <f>'Gas Water'!M18</f>
        <v/>
      </c>
      <c r="H13" s="141">
        <v>6.17</v>
      </c>
      <c r="I13" s="2" t="str">
        <f>'Gas Water'!L18</f>
        <v/>
      </c>
      <c r="J13" s="141">
        <v>14.95</v>
      </c>
      <c r="K13" s="5"/>
      <c r="L13" s="5"/>
    </row>
    <row r="14" spans="1:13" x14ac:dyDescent="0.25">
      <c r="A14" s="3" t="s">
        <v>73</v>
      </c>
      <c r="B14" s="3">
        <v>15</v>
      </c>
      <c r="C14" s="3">
        <v>1</v>
      </c>
      <c r="D14" s="3">
        <v>2022</v>
      </c>
      <c r="E14" s="4" t="e">
        <f>'Electricity '!I18+'Electricity '!O18</f>
        <v>#VALUE!</v>
      </c>
      <c r="F14" s="141">
        <v>2.06</v>
      </c>
      <c r="G14" s="4" t="str">
        <f>'Gas Water'!M19</f>
        <v/>
      </c>
      <c r="H14" s="141">
        <v>6.17</v>
      </c>
      <c r="I14" s="2" t="str">
        <f>'Gas Water'!L19</f>
        <v/>
      </c>
      <c r="J14" s="141">
        <v>14.95</v>
      </c>
      <c r="K14" s="5"/>
      <c r="L14" s="5"/>
    </row>
    <row r="15" spans="1:13" x14ac:dyDescent="0.25">
      <c r="A15" s="3" t="s">
        <v>73</v>
      </c>
      <c r="B15" s="3">
        <v>16</v>
      </c>
      <c r="C15" s="3">
        <v>1</v>
      </c>
      <c r="D15" s="3">
        <v>2022</v>
      </c>
      <c r="E15" s="4" t="e">
        <f>'Electricity '!I19+'Electricity '!O19</f>
        <v>#VALUE!</v>
      </c>
      <c r="F15" s="141">
        <v>2.06</v>
      </c>
      <c r="G15" s="4" t="str">
        <f>'Gas Water'!M20</f>
        <v/>
      </c>
      <c r="H15" s="141">
        <v>6.17</v>
      </c>
      <c r="I15" s="2" t="str">
        <f>'Gas Water'!L20</f>
        <v/>
      </c>
      <c r="J15" s="141">
        <v>14.95</v>
      </c>
      <c r="K15" s="5"/>
      <c r="L15" s="5"/>
    </row>
    <row r="16" spans="1:13" x14ac:dyDescent="0.25">
      <c r="A16" s="3" t="s">
        <v>73</v>
      </c>
      <c r="B16" s="3">
        <v>17</v>
      </c>
      <c r="C16" s="3">
        <v>1</v>
      </c>
      <c r="D16" s="3">
        <v>2022</v>
      </c>
      <c r="E16" s="4" t="e">
        <f>'Electricity '!I20+'Electricity '!O20</f>
        <v>#VALUE!</v>
      </c>
      <c r="F16" s="141">
        <v>2.06</v>
      </c>
      <c r="G16" s="4" t="str">
        <f>'Gas Water'!M21</f>
        <v/>
      </c>
      <c r="H16" s="141">
        <v>6.17</v>
      </c>
      <c r="I16" s="2" t="str">
        <f>'Gas Water'!L21</f>
        <v/>
      </c>
      <c r="J16" s="141">
        <v>14.95</v>
      </c>
      <c r="K16" s="5"/>
      <c r="L16" s="5"/>
    </row>
    <row r="17" spans="1:12" x14ac:dyDescent="0.25">
      <c r="A17" s="3" t="s">
        <v>73</v>
      </c>
      <c r="B17" s="3">
        <v>18</v>
      </c>
      <c r="C17" s="3">
        <v>1</v>
      </c>
      <c r="D17" s="3">
        <v>2022</v>
      </c>
      <c r="E17" s="4" t="e">
        <f>'Electricity '!I21+'Electricity '!O21</f>
        <v>#VALUE!</v>
      </c>
      <c r="F17" s="141">
        <v>2.06</v>
      </c>
      <c r="G17" s="4" t="str">
        <f>'Gas Water'!M22</f>
        <v/>
      </c>
      <c r="H17" s="141">
        <v>6.17</v>
      </c>
      <c r="I17" s="2" t="str">
        <f>'Gas Water'!L22</f>
        <v/>
      </c>
      <c r="J17" s="141">
        <v>14.95</v>
      </c>
      <c r="K17" s="5"/>
      <c r="L17" s="5"/>
    </row>
    <row r="18" spans="1:12" x14ac:dyDescent="0.25">
      <c r="A18" s="3" t="s">
        <v>73</v>
      </c>
      <c r="B18" s="3">
        <v>19</v>
      </c>
      <c r="C18" s="3">
        <v>1</v>
      </c>
      <c r="D18" s="3">
        <v>2022</v>
      </c>
      <c r="E18" s="4" t="e">
        <f>'Electricity '!I22+'Electricity '!O22</f>
        <v>#VALUE!</v>
      </c>
      <c r="F18" s="141">
        <v>2.06</v>
      </c>
      <c r="G18" s="4" t="str">
        <f>'Gas Water'!M23</f>
        <v/>
      </c>
      <c r="H18" s="141">
        <v>6.17</v>
      </c>
      <c r="I18" s="2" t="str">
        <f>'Gas Water'!L23</f>
        <v/>
      </c>
      <c r="J18" s="141">
        <v>14.95</v>
      </c>
      <c r="K18" s="5"/>
      <c r="L18" s="5"/>
    </row>
    <row r="19" spans="1:12" x14ac:dyDescent="0.25">
      <c r="A19" s="3" t="s">
        <v>73</v>
      </c>
      <c r="B19" s="3">
        <v>20</v>
      </c>
      <c r="C19" s="3">
        <v>1</v>
      </c>
      <c r="D19" s="3">
        <v>2022</v>
      </c>
      <c r="E19" s="4" t="e">
        <f>'Electricity '!I23+'Electricity '!O23</f>
        <v>#VALUE!</v>
      </c>
      <c r="F19" s="141">
        <v>2.06</v>
      </c>
      <c r="G19" s="4" t="str">
        <f>'Gas Water'!M24</f>
        <v/>
      </c>
      <c r="H19" s="141">
        <v>6.17</v>
      </c>
      <c r="I19" s="2" t="str">
        <f>'Gas Water'!L24</f>
        <v/>
      </c>
      <c r="J19" s="141">
        <v>14.95</v>
      </c>
      <c r="K19" s="5"/>
      <c r="L19" s="5"/>
    </row>
    <row r="20" spans="1:12" x14ac:dyDescent="0.25">
      <c r="A20" s="3" t="s">
        <v>73</v>
      </c>
      <c r="B20" s="3">
        <v>21</v>
      </c>
      <c r="C20" s="3">
        <v>1</v>
      </c>
      <c r="D20" s="3">
        <v>2022</v>
      </c>
      <c r="E20" s="4" t="e">
        <f>'Electricity '!I24+'Electricity '!O24</f>
        <v>#VALUE!</v>
      </c>
      <c r="F20" s="141">
        <v>2.06</v>
      </c>
      <c r="G20" s="4" t="str">
        <f>'Gas Water'!M25</f>
        <v/>
      </c>
      <c r="H20" s="141">
        <v>6.17</v>
      </c>
      <c r="I20" s="2" t="str">
        <f>'Gas Water'!L25</f>
        <v/>
      </c>
      <c r="J20" s="141">
        <v>14.95</v>
      </c>
      <c r="K20" s="5"/>
      <c r="L20" s="5"/>
    </row>
    <row r="21" spans="1:12" x14ac:dyDescent="0.25">
      <c r="A21" s="3" t="s">
        <v>73</v>
      </c>
      <c r="B21" s="3">
        <v>22</v>
      </c>
      <c r="C21" s="3">
        <v>1</v>
      </c>
      <c r="D21" s="3">
        <v>2022</v>
      </c>
      <c r="E21" s="4" t="e">
        <f>'Electricity '!I25+'Electricity '!O25</f>
        <v>#VALUE!</v>
      </c>
      <c r="F21" s="141">
        <v>2.06</v>
      </c>
      <c r="G21" s="4" t="str">
        <f>'Gas Water'!M26</f>
        <v/>
      </c>
      <c r="H21" s="141">
        <v>6.17</v>
      </c>
      <c r="I21" s="2" t="str">
        <f>'Gas Water'!L26</f>
        <v/>
      </c>
      <c r="J21" s="141">
        <v>14.95</v>
      </c>
      <c r="K21" s="5"/>
      <c r="L21" s="5"/>
    </row>
    <row r="22" spans="1:12" x14ac:dyDescent="0.25">
      <c r="A22" s="3" t="s">
        <v>73</v>
      </c>
      <c r="B22" s="3">
        <v>23</v>
      </c>
      <c r="C22" s="3">
        <v>1</v>
      </c>
      <c r="D22" s="3">
        <v>2022</v>
      </c>
      <c r="E22" s="4" t="e">
        <f>'Electricity '!I26+'Electricity '!O26</f>
        <v>#VALUE!</v>
      </c>
      <c r="F22" s="141">
        <v>2.06</v>
      </c>
      <c r="G22" s="4" t="str">
        <f>'Gas Water'!M27</f>
        <v/>
      </c>
      <c r="H22" s="141">
        <v>6.17</v>
      </c>
      <c r="I22" s="2" t="str">
        <f>'Gas Water'!L27</f>
        <v/>
      </c>
      <c r="J22" s="141">
        <v>14.95</v>
      </c>
      <c r="K22" s="5"/>
      <c r="L22" s="5"/>
    </row>
    <row r="23" spans="1:12" x14ac:dyDescent="0.25">
      <c r="A23" s="3" t="s">
        <v>73</v>
      </c>
      <c r="B23" s="3">
        <v>24</v>
      </c>
      <c r="C23" s="3">
        <v>1</v>
      </c>
      <c r="D23" s="3">
        <v>2022</v>
      </c>
      <c r="E23" s="4" t="e">
        <f>'Electricity '!I27+'Electricity '!O27</f>
        <v>#VALUE!</v>
      </c>
      <c r="F23" s="141">
        <v>2.06</v>
      </c>
      <c r="G23" s="4" t="str">
        <f>'Gas Water'!M28</f>
        <v/>
      </c>
      <c r="H23" s="141">
        <v>6.17</v>
      </c>
      <c r="I23" s="2" t="str">
        <f>'Gas Water'!L28</f>
        <v/>
      </c>
      <c r="J23" s="141">
        <v>14.95</v>
      </c>
      <c r="K23" s="5"/>
      <c r="L23" s="5"/>
    </row>
    <row r="24" spans="1:12" x14ac:dyDescent="0.25">
      <c r="A24" s="3" t="s">
        <v>73</v>
      </c>
      <c r="B24" s="3">
        <v>25</v>
      </c>
      <c r="C24" s="3">
        <v>1</v>
      </c>
      <c r="D24" s="3">
        <v>2022</v>
      </c>
      <c r="E24" s="4" t="e">
        <f>'Electricity '!I28+'Electricity '!O28</f>
        <v>#VALUE!</v>
      </c>
      <c r="F24" s="141">
        <v>2.06</v>
      </c>
      <c r="G24" s="4" t="str">
        <f>'Gas Water'!M29</f>
        <v/>
      </c>
      <c r="H24" s="141">
        <v>6.17</v>
      </c>
      <c r="I24" s="2" t="str">
        <f>'Gas Water'!L29</f>
        <v/>
      </c>
      <c r="J24" s="141">
        <v>14.95</v>
      </c>
      <c r="K24" s="5"/>
      <c r="L24" s="5"/>
    </row>
    <row r="25" spans="1:12" x14ac:dyDescent="0.25">
      <c r="A25" s="3" t="s">
        <v>73</v>
      </c>
      <c r="B25" s="3">
        <v>26</v>
      </c>
      <c r="C25" s="3">
        <v>1</v>
      </c>
      <c r="D25" s="3">
        <v>2022</v>
      </c>
      <c r="E25" s="4" t="e">
        <f>'Electricity '!I29+'Electricity '!O29</f>
        <v>#VALUE!</v>
      </c>
      <c r="F25" s="141">
        <v>2.06</v>
      </c>
      <c r="G25" s="4" t="str">
        <f>'Gas Water'!M30</f>
        <v/>
      </c>
      <c r="H25" s="141">
        <v>6.17</v>
      </c>
      <c r="I25" s="2" t="str">
        <f>'Gas Water'!L30</f>
        <v/>
      </c>
      <c r="J25" s="141">
        <v>14.95</v>
      </c>
      <c r="K25" s="5"/>
      <c r="L25" s="5"/>
    </row>
    <row r="26" spans="1:12" x14ac:dyDescent="0.25">
      <c r="A26" s="3" t="s">
        <v>73</v>
      </c>
      <c r="B26" s="3">
        <v>27</v>
      </c>
      <c r="C26" s="3">
        <v>1</v>
      </c>
      <c r="D26" s="3">
        <v>2022</v>
      </c>
      <c r="E26" s="4" t="e">
        <f>'Electricity '!I30+'Electricity '!O30</f>
        <v>#VALUE!</v>
      </c>
      <c r="F26" s="141">
        <v>2.06</v>
      </c>
      <c r="G26" s="4" t="str">
        <f>'Gas Water'!M31</f>
        <v/>
      </c>
      <c r="H26" s="141">
        <v>6.17</v>
      </c>
      <c r="I26" s="2" t="str">
        <f>'Gas Water'!L31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28</v>
      </c>
      <c r="C27" s="3">
        <v>1</v>
      </c>
      <c r="D27" s="3">
        <v>2022</v>
      </c>
      <c r="E27" s="4" t="e">
        <f>'Electricity '!I31+'Electricity '!O31</f>
        <v>#VALUE!</v>
      </c>
      <c r="F27" s="141">
        <v>2.06</v>
      </c>
      <c r="G27" s="4" t="str">
        <f>'Gas Water'!M32</f>
        <v/>
      </c>
      <c r="H27" s="141">
        <v>6.17</v>
      </c>
      <c r="I27" s="2" t="str">
        <f>'Gas Water'!L32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29</v>
      </c>
      <c r="C28" s="3">
        <v>1</v>
      </c>
      <c r="D28" s="3">
        <v>2022</v>
      </c>
      <c r="E28" s="4" t="e">
        <f>'Electricity '!I32+'Electricity '!O32</f>
        <v>#VALUE!</v>
      </c>
      <c r="F28" s="141">
        <v>2.06</v>
      </c>
      <c r="G28" s="4" t="str">
        <f>'Gas Water'!M33</f>
        <v/>
      </c>
      <c r="H28" s="141">
        <v>6.17</v>
      </c>
      <c r="I28" s="2" t="str">
        <f>'Gas Water'!L33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30</v>
      </c>
      <c r="C29" s="3">
        <v>1</v>
      </c>
      <c r="D29" s="3">
        <v>2022</v>
      </c>
      <c r="E29" s="4" t="e">
        <f>'Electricity '!I33+'Electricity '!O33</f>
        <v>#VALUE!</v>
      </c>
      <c r="F29" s="141">
        <v>2.06</v>
      </c>
      <c r="G29" s="4">
        <f>'Gas Water'!M34</f>
        <v>0</v>
      </c>
      <c r="H29" s="141">
        <v>6.17</v>
      </c>
      <c r="I29" s="2">
        <f>'Gas Water'!L34</f>
        <v>0</v>
      </c>
      <c r="J29" s="141">
        <v>14.95</v>
      </c>
      <c r="K29" s="5"/>
      <c r="L29" s="5"/>
    </row>
    <row r="30" spans="1:12" x14ac:dyDescent="0.25">
      <c r="A30" s="3" t="s">
        <v>73</v>
      </c>
      <c r="B30" s="3">
        <v>31</v>
      </c>
      <c r="C30" s="3">
        <v>1</v>
      </c>
      <c r="D30" s="3">
        <v>2022</v>
      </c>
      <c r="E30" s="4">
        <f>'Electricity '!I34+'Electricity '!O34</f>
        <v>0</v>
      </c>
      <c r="F30" s="141">
        <v>2.06</v>
      </c>
      <c r="G30" s="4">
        <f>'Gas Water'!M35</f>
        <v>0</v>
      </c>
      <c r="H30" s="141">
        <v>6.17</v>
      </c>
      <c r="I30" s="2">
        <f>'Gas Water'!L35</f>
        <v>0</v>
      </c>
      <c r="J30" s="141">
        <v>14.95</v>
      </c>
      <c r="K30" s="5"/>
      <c r="L30" s="5"/>
    </row>
    <row r="31" spans="1:12" x14ac:dyDescent="0.25">
      <c r="A31" s="3" t="s">
        <v>73</v>
      </c>
      <c r="B31" s="3">
        <v>1</v>
      </c>
      <c r="C31" s="3">
        <v>2</v>
      </c>
      <c r="D31" s="3">
        <v>2022</v>
      </c>
      <c r="E31" s="4">
        <f>'Electricity '!I35+'Electricity '!O35</f>
        <v>0</v>
      </c>
      <c r="F31" s="141"/>
      <c r="G31" s="4">
        <f>'Gas Water'!M36</f>
        <v>0</v>
      </c>
      <c r="H31" s="141"/>
      <c r="I31" s="2">
        <f>'Gas Water'!L36</f>
        <v>0</v>
      </c>
      <c r="J31" s="141"/>
      <c r="K31" s="5"/>
      <c r="L31" s="5"/>
    </row>
    <row r="32" spans="1:12" x14ac:dyDescent="0.25">
      <c r="A32" s="3" t="s">
        <v>73</v>
      </c>
      <c r="B32" s="3">
        <v>2</v>
      </c>
      <c r="C32" s="3">
        <v>2</v>
      </c>
      <c r="D32" s="3">
        <v>2022</v>
      </c>
      <c r="E32" s="4">
        <f>'Electricity '!I36+'Electricity '!O36</f>
        <v>0</v>
      </c>
      <c r="F32" s="141"/>
      <c r="G32" s="4">
        <f>'Gas Water'!M37</f>
        <v>0</v>
      </c>
      <c r="H32" s="141"/>
      <c r="I32" s="2">
        <f>'Gas Water'!L37</f>
        <v>0</v>
      </c>
      <c r="J32" s="141"/>
      <c r="K32" s="5"/>
      <c r="L32" s="5"/>
    </row>
    <row r="33" spans="1:12" x14ac:dyDescent="0.25">
      <c r="A33" s="3" t="s">
        <v>73</v>
      </c>
      <c r="B33" s="3">
        <v>3</v>
      </c>
      <c r="C33" s="3">
        <v>2</v>
      </c>
      <c r="D33" s="3">
        <v>2022</v>
      </c>
      <c r="E33" s="4">
        <f>'Electricity '!I37+'Electricity '!O37</f>
        <v>0</v>
      </c>
      <c r="F33" s="141"/>
      <c r="G33" s="4">
        <f>'Gas Water'!M38</f>
        <v>0</v>
      </c>
      <c r="H33" s="141"/>
      <c r="I33" s="2">
        <f>'Gas Water'!L38</f>
        <v>0</v>
      </c>
      <c r="J33" s="141"/>
      <c r="K33" s="5"/>
      <c r="L33" s="5"/>
    </row>
    <row r="34" spans="1:12" x14ac:dyDescent="0.25">
      <c r="A34" s="3" t="s">
        <v>73</v>
      </c>
      <c r="B34" s="3">
        <v>4</v>
      </c>
      <c r="C34" s="3">
        <v>2</v>
      </c>
      <c r="D34" s="3">
        <v>2022</v>
      </c>
      <c r="E34" s="4">
        <f>'Electricity '!I38+'Electricity '!O38</f>
        <v>0</v>
      </c>
      <c r="F34" s="141"/>
      <c r="G34" s="4">
        <f>'Gas Water'!M39</f>
        <v>0</v>
      </c>
      <c r="H34" s="141"/>
      <c r="I34" s="2">
        <f>'Gas Water'!L39</f>
        <v>0</v>
      </c>
      <c r="J34" s="141"/>
      <c r="K34" s="5"/>
      <c r="L34" s="5"/>
    </row>
    <row r="35" spans="1:12" x14ac:dyDescent="0.25">
      <c r="A35" s="3" t="s">
        <v>73</v>
      </c>
      <c r="B35" s="3">
        <v>5</v>
      </c>
      <c r="C35" s="3">
        <v>2</v>
      </c>
      <c r="D35" s="3">
        <v>2022</v>
      </c>
      <c r="E35" s="4">
        <f>'Electricity '!I39+'Electricity '!O39</f>
        <v>0</v>
      </c>
      <c r="F35" s="141"/>
      <c r="G35" s="4">
        <f>'Gas Water'!M40</f>
        <v>0</v>
      </c>
      <c r="H35" s="141"/>
      <c r="I35" s="2">
        <f>'Gas Water'!L40</f>
        <v>0</v>
      </c>
      <c r="J35" s="141"/>
      <c r="K35" s="5"/>
      <c r="L35" s="5"/>
    </row>
    <row r="36" spans="1:12" x14ac:dyDescent="0.25">
      <c r="A36" s="3" t="s">
        <v>73</v>
      </c>
      <c r="B36" s="3">
        <v>6</v>
      </c>
      <c r="C36" s="3">
        <v>2</v>
      </c>
      <c r="D36" s="3">
        <v>2022</v>
      </c>
      <c r="E36" s="4">
        <f>'Electricity '!I40+'Electricity '!O40</f>
        <v>0</v>
      </c>
      <c r="F36" s="141"/>
      <c r="G36" s="4">
        <f>'Gas Water'!M41</f>
        <v>0</v>
      </c>
      <c r="H36" s="141"/>
      <c r="I36" s="2">
        <f>'Gas Water'!L41</f>
        <v>0</v>
      </c>
      <c r="J36" s="141"/>
      <c r="K36" s="5"/>
      <c r="L36" s="5"/>
    </row>
    <row r="37" spans="1:12" x14ac:dyDescent="0.25">
      <c r="A37" s="3" t="s">
        <v>73</v>
      </c>
      <c r="B37" s="3">
        <v>7</v>
      </c>
      <c r="C37" s="3">
        <v>2</v>
      </c>
      <c r="D37" s="3">
        <v>2022</v>
      </c>
      <c r="E37" s="4">
        <f>'Electricity '!I41+'Electricity '!O41</f>
        <v>0</v>
      </c>
      <c r="F37" s="141"/>
      <c r="G37" s="4">
        <f>'Gas Water'!M42</f>
        <v>0</v>
      </c>
      <c r="H37" s="141"/>
      <c r="I37" s="2">
        <f>'Gas Water'!L42</f>
        <v>0</v>
      </c>
      <c r="J37" s="141"/>
      <c r="K37" s="5"/>
      <c r="L37" s="5"/>
    </row>
    <row r="38" spans="1:12" x14ac:dyDescent="0.25">
      <c r="A38" s="3" t="s">
        <v>73</v>
      </c>
      <c r="B38" s="3">
        <v>8</v>
      </c>
      <c r="C38" s="3">
        <v>2</v>
      </c>
      <c r="D38" s="3">
        <v>2022</v>
      </c>
      <c r="E38" s="4">
        <f>'Electricity '!I42+'Electricity '!O42</f>
        <v>0</v>
      </c>
      <c r="F38" s="141"/>
      <c r="G38" s="4">
        <f>'Gas Water'!M43</f>
        <v>0</v>
      </c>
      <c r="H38" s="141"/>
      <c r="I38" s="2">
        <f>'Gas Water'!L43</f>
        <v>0</v>
      </c>
      <c r="J38" s="141"/>
      <c r="K38" s="5"/>
      <c r="L38" s="5"/>
    </row>
    <row r="39" spans="1:12" x14ac:dyDescent="0.25">
      <c r="A39" s="3" t="s">
        <v>73</v>
      </c>
      <c r="B39" s="3">
        <v>9</v>
      </c>
      <c r="C39" s="3">
        <v>2</v>
      </c>
      <c r="D39" s="3">
        <v>2022</v>
      </c>
      <c r="E39" s="4">
        <f>'Electricity '!I43+'Electricity '!O43</f>
        <v>0</v>
      </c>
      <c r="F39" s="141"/>
      <c r="G39" s="4">
        <f>'Gas Water'!M44</f>
        <v>0</v>
      </c>
      <c r="H39" s="141"/>
      <c r="I39" s="2">
        <f>'Gas Water'!L44</f>
        <v>0</v>
      </c>
      <c r="J39" s="141"/>
      <c r="K39" s="5"/>
      <c r="L39" s="5"/>
    </row>
    <row r="40" spans="1:12" x14ac:dyDescent="0.25">
      <c r="A40" s="3" t="s">
        <v>73</v>
      </c>
      <c r="B40" s="3">
        <v>10</v>
      </c>
      <c r="C40" s="3">
        <v>2</v>
      </c>
      <c r="D40" s="3">
        <v>2022</v>
      </c>
      <c r="E40" s="4">
        <f>'Electricity '!I44+'Electricity '!O44</f>
        <v>0</v>
      </c>
      <c r="F40" s="141"/>
      <c r="G40" s="4">
        <f>'Gas Water'!M45</f>
        <v>0</v>
      </c>
      <c r="H40" s="141"/>
      <c r="I40" s="2">
        <f>'Gas Water'!L45</f>
        <v>0</v>
      </c>
      <c r="J40" s="141"/>
      <c r="K40" s="5"/>
      <c r="L40" s="5"/>
    </row>
    <row r="41" spans="1:12" x14ac:dyDescent="0.25">
      <c r="A41" s="3" t="s">
        <v>73</v>
      </c>
      <c r="B41" s="3">
        <v>11</v>
      </c>
      <c r="C41" s="3">
        <v>2</v>
      </c>
      <c r="D41" s="3">
        <v>2022</v>
      </c>
      <c r="E41" s="4">
        <f>'Electricity '!I45+'Electricity '!O45</f>
        <v>0</v>
      </c>
      <c r="F41" s="141"/>
      <c r="G41" s="4">
        <f>'Gas Water'!M46</f>
        <v>0</v>
      </c>
      <c r="H41" s="141"/>
      <c r="I41" s="2">
        <f>'Gas Water'!L46</f>
        <v>0</v>
      </c>
      <c r="J41" s="141"/>
      <c r="K41" s="5"/>
      <c r="L41" s="5"/>
    </row>
    <row r="42" spans="1:12" x14ac:dyDescent="0.25">
      <c r="A42" s="3" t="s">
        <v>73</v>
      </c>
      <c r="B42" s="3">
        <v>12</v>
      </c>
      <c r="C42" s="3">
        <v>2</v>
      </c>
      <c r="D42" s="3">
        <v>2022</v>
      </c>
      <c r="E42" s="4">
        <f>'Electricity '!I46+'Electricity '!O46</f>
        <v>0</v>
      </c>
      <c r="F42" s="141"/>
      <c r="G42" s="4">
        <f>'Gas Water'!M47</f>
        <v>0</v>
      </c>
      <c r="H42" s="141"/>
      <c r="I42" s="2">
        <f>'Gas Water'!L47</f>
        <v>0</v>
      </c>
      <c r="J42" s="141"/>
      <c r="K42" s="5"/>
      <c r="L42" s="5"/>
    </row>
    <row r="43" spans="1:12" x14ac:dyDescent="0.25">
      <c r="A43" s="3" t="s">
        <v>73</v>
      </c>
      <c r="B43" s="3">
        <v>13</v>
      </c>
      <c r="C43" s="3">
        <v>2</v>
      </c>
      <c r="D43" s="3">
        <v>2022</v>
      </c>
      <c r="E43" s="4">
        <f>'Electricity '!I47+'Electricity '!O47</f>
        <v>0</v>
      </c>
      <c r="F43" s="141"/>
      <c r="G43" s="4">
        <f>'Gas Water'!M48</f>
        <v>0</v>
      </c>
      <c r="H43" s="141"/>
      <c r="I43" s="2">
        <f>'Gas Water'!L48</f>
        <v>0</v>
      </c>
      <c r="J43" s="141"/>
      <c r="K43" s="5"/>
      <c r="L43" s="5"/>
    </row>
    <row r="44" spans="1:12" x14ac:dyDescent="0.25">
      <c r="A44" s="3" t="s">
        <v>73</v>
      </c>
      <c r="B44" s="3">
        <v>14</v>
      </c>
      <c r="C44" s="3">
        <v>2</v>
      </c>
      <c r="D44" s="3">
        <v>2022</v>
      </c>
      <c r="E44" s="4">
        <f>'Electricity '!I48+'Electricity '!O48</f>
        <v>0</v>
      </c>
      <c r="F44" s="141"/>
      <c r="G44" s="4">
        <f>'Gas Water'!M49</f>
        <v>0</v>
      </c>
      <c r="H44" s="141"/>
      <c r="I44" s="2">
        <f>'Gas Water'!L49</f>
        <v>0</v>
      </c>
      <c r="J44" s="141"/>
      <c r="K44" s="5"/>
      <c r="L44" s="5"/>
    </row>
    <row r="45" spans="1:12" x14ac:dyDescent="0.25">
      <c r="A45" s="3" t="s">
        <v>73</v>
      </c>
      <c r="B45" s="3">
        <v>15</v>
      </c>
      <c r="C45" s="3">
        <v>2</v>
      </c>
      <c r="D45" s="3">
        <v>2022</v>
      </c>
      <c r="E45" s="4">
        <f>'Electricity '!I49+'Electricity '!O49</f>
        <v>0</v>
      </c>
      <c r="F45" s="141"/>
      <c r="G45" s="4">
        <f>'Gas Water'!M50</f>
        <v>0</v>
      </c>
      <c r="H45" s="141"/>
      <c r="I45" s="2">
        <f>'Gas Water'!L50</f>
        <v>0</v>
      </c>
      <c r="J45" s="141"/>
      <c r="K45" s="5"/>
      <c r="L45" s="5"/>
    </row>
    <row r="46" spans="1:12" x14ac:dyDescent="0.25">
      <c r="A46" s="3" t="s">
        <v>73</v>
      </c>
      <c r="B46" s="3">
        <v>16</v>
      </c>
      <c r="C46" s="3">
        <v>2</v>
      </c>
      <c r="D46" s="3">
        <v>2022</v>
      </c>
      <c r="E46" s="4">
        <f>'Electricity '!I50+'Electricity '!O50</f>
        <v>0</v>
      </c>
      <c r="F46" s="141"/>
      <c r="G46" s="4">
        <f>'Gas Water'!M51</f>
        <v>0</v>
      </c>
      <c r="H46" s="141"/>
      <c r="I46" s="2">
        <f>'Gas Water'!L51</f>
        <v>0</v>
      </c>
      <c r="J46" s="141"/>
      <c r="K46" s="5"/>
      <c r="L46" s="5"/>
    </row>
    <row r="47" spans="1:12" x14ac:dyDescent="0.25">
      <c r="A47" s="3" t="s">
        <v>73</v>
      </c>
      <c r="B47" s="3">
        <v>17</v>
      </c>
      <c r="C47" s="3">
        <v>2</v>
      </c>
      <c r="D47" s="3">
        <v>2022</v>
      </c>
      <c r="E47" s="4">
        <f>'Electricity '!I51+'Electricity '!O51</f>
        <v>0</v>
      </c>
      <c r="F47" s="141"/>
      <c r="G47" s="4">
        <f>'Gas Water'!M52</f>
        <v>0</v>
      </c>
      <c r="H47" s="141"/>
      <c r="I47" s="2">
        <f>'Gas Water'!L52</f>
        <v>0</v>
      </c>
      <c r="J47" s="141"/>
      <c r="K47" s="5"/>
      <c r="L47" s="5"/>
    </row>
    <row r="48" spans="1:12" x14ac:dyDescent="0.25">
      <c r="A48" s="3" t="s">
        <v>73</v>
      </c>
      <c r="B48" s="3">
        <v>18</v>
      </c>
      <c r="C48" s="3">
        <v>2</v>
      </c>
      <c r="D48" s="3">
        <v>2022</v>
      </c>
      <c r="E48" s="4">
        <f>'Electricity '!I52+'Electricity '!O52</f>
        <v>0</v>
      </c>
      <c r="F48" s="141"/>
      <c r="G48" s="4">
        <f>'Gas Water'!M53</f>
        <v>0</v>
      </c>
      <c r="H48" s="141"/>
      <c r="I48" s="2">
        <f>'Gas Water'!L53</f>
        <v>0</v>
      </c>
      <c r="J48" s="141"/>
      <c r="K48" s="5"/>
      <c r="L48" s="5"/>
    </row>
    <row r="49" spans="1:12" x14ac:dyDescent="0.25">
      <c r="A49" s="3" t="s">
        <v>73</v>
      </c>
      <c r="B49" s="3">
        <v>19</v>
      </c>
      <c r="C49" s="3">
        <v>2</v>
      </c>
      <c r="D49" s="3">
        <v>2022</v>
      </c>
      <c r="E49" s="4">
        <f>'Electricity '!I53+'Electricity '!O53</f>
        <v>0</v>
      </c>
      <c r="F49" s="141"/>
      <c r="G49" s="4">
        <f>'Gas Water'!M54</f>
        <v>0</v>
      </c>
      <c r="H49" s="141"/>
      <c r="I49" s="2">
        <f>'Gas Water'!L54</f>
        <v>0</v>
      </c>
      <c r="J49" s="141"/>
      <c r="K49" s="5"/>
      <c r="L49" s="5"/>
    </row>
    <row r="50" spans="1:12" x14ac:dyDescent="0.25">
      <c r="A50" s="3" t="s">
        <v>73</v>
      </c>
      <c r="B50" s="3">
        <v>20</v>
      </c>
      <c r="C50" s="3">
        <v>2</v>
      </c>
      <c r="D50" s="3">
        <v>2022</v>
      </c>
      <c r="E50" s="4">
        <f>'Electricity '!I54+'Electricity '!O54</f>
        <v>0</v>
      </c>
      <c r="F50" s="141"/>
      <c r="G50" s="4">
        <f>'Gas Water'!M55</f>
        <v>0</v>
      </c>
      <c r="H50" s="141"/>
      <c r="I50" s="2">
        <f>'Gas Water'!L55</f>
        <v>0</v>
      </c>
      <c r="J50" s="141"/>
      <c r="K50" s="5"/>
      <c r="L50" s="5"/>
    </row>
    <row r="51" spans="1:12" x14ac:dyDescent="0.25">
      <c r="A51" s="3" t="s">
        <v>73</v>
      </c>
      <c r="B51" s="3">
        <v>21</v>
      </c>
      <c r="C51" s="3">
        <v>2</v>
      </c>
      <c r="D51" s="3">
        <v>2022</v>
      </c>
      <c r="E51" s="4">
        <f>'Electricity '!I55+'Electricity '!O55</f>
        <v>0</v>
      </c>
      <c r="F51" s="141"/>
      <c r="G51" s="4">
        <f>'Gas Water'!M56</f>
        <v>0</v>
      </c>
      <c r="H51" s="141"/>
      <c r="I51" s="2">
        <f>'Gas Water'!L56</f>
        <v>0</v>
      </c>
      <c r="J51" s="141"/>
      <c r="K51" s="5"/>
      <c r="L51" s="5"/>
    </row>
    <row r="52" spans="1:12" x14ac:dyDescent="0.25">
      <c r="A52" s="3" t="s">
        <v>73</v>
      </c>
      <c r="B52" s="3">
        <v>22</v>
      </c>
      <c r="C52" s="3">
        <v>2</v>
      </c>
      <c r="D52" s="3">
        <v>2022</v>
      </c>
      <c r="E52" s="4">
        <f>'Electricity '!I56+'Electricity '!O56</f>
        <v>0</v>
      </c>
      <c r="F52" s="141"/>
      <c r="G52" s="4">
        <f>'Gas Water'!M57</f>
        <v>0</v>
      </c>
      <c r="H52" s="141"/>
      <c r="I52" s="2">
        <f>'Gas Water'!L57</f>
        <v>0</v>
      </c>
      <c r="J52" s="141"/>
      <c r="K52" s="5"/>
      <c r="L52" s="5"/>
    </row>
    <row r="53" spans="1:12" x14ac:dyDescent="0.25">
      <c r="A53" s="3" t="s">
        <v>73</v>
      </c>
      <c r="B53" s="3">
        <v>23</v>
      </c>
      <c r="C53" s="3">
        <v>2</v>
      </c>
      <c r="D53" s="3">
        <v>2022</v>
      </c>
      <c r="E53" s="4">
        <f>'Electricity '!I57+'Electricity '!O57</f>
        <v>0</v>
      </c>
      <c r="F53" s="141"/>
      <c r="G53" s="4">
        <f>'Gas Water'!M58</f>
        <v>0</v>
      </c>
      <c r="H53" s="141"/>
      <c r="I53" s="2">
        <f>'Gas Water'!L58</f>
        <v>0</v>
      </c>
      <c r="J53" s="141"/>
      <c r="K53" s="5"/>
      <c r="L53" s="5"/>
    </row>
    <row r="54" spans="1:12" x14ac:dyDescent="0.25">
      <c r="A54" s="3" t="s">
        <v>73</v>
      </c>
      <c r="B54" s="3">
        <v>24</v>
      </c>
      <c r="C54" s="3">
        <v>2</v>
      </c>
      <c r="D54" s="3">
        <v>2022</v>
      </c>
      <c r="E54" s="4">
        <f>'Electricity '!I58+'Electricity '!O58</f>
        <v>0</v>
      </c>
      <c r="F54" s="141"/>
      <c r="G54" s="4">
        <f>'Gas Water'!M59</f>
        <v>0</v>
      </c>
      <c r="H54" s="141"/>
      <c r="I54" s="2">
        <f>'Gas Water'!L59</f>
        <v>0</v>
      </c>
      <c r="J54" s="141"/>
      <c r="K54" s="5"/>
      <c r="L54" s="5"/>
    </row>
    <row r="55" spans="1:12" x14ac:dyDescent="0.25">
      <c r="A55" s="3" t="s">
        <v>73</v>
      </c>
      <c r="B55" s="3">
        <v>25</v>
      </c>
      <c r="C55" s="3">
        <v>2</v>
      </c>
      <c r="D55" s="3">
        <v>2022</v>
      </c>
      <c r="E55" s="4">
        <f>'Electricity '!I59+'Electricity '!O59</f>
        <v>0</v>
      </c>
      <c r="F55" s="141"/>
      <c r="G55" s="4">
        <f>'Gas Water'!M60</f>
        <v>0</v>
      </c>
      <c r="H55" s="141"/>
      <c r="I55" s="2">
        <f>'Gas Water'!L60</f>
        <v>0</v>
      </c>
      <c r="J55" s="141"/>
      <c r="K55" s="5"/>
      <c r="L55" s="5"/>
    </row>
    <row r="56" spans="1:12" x14ac:dyDescent="0.25">
      <c r="A56" s="3" t="s">
        <v>73</v>
      </c>
      <c r="B56" s="3">
        <v>26</v>
      </c>
      <c r="C56" s="3">
        <v>2</v>
      </c>
      <c r="D56" s="3">
        <v>2022</v>
      </c>
      <c r="E56" s="4">
        <f>'Electricity '!I60+'Electricity '!O60</f>
        <v>0</v>
      </c>
      <c r="F56" s="141"/>
      <c r="G56" s="4">
        <f>'Gas Water'!M61</f>
        <v>0</v>
      </c>
      <c r="H56" s="141"/>
      <c r="I56" s="2">
        <f>'Gas Water'!L61</f>
        <v>0</v>
      </c>
      <c r="J56" s="141"/>
      <c r="K56" s="5"/>
      <c r="L56" s="5"/>
    </row>
    <row r="57" spans="1:12" x14ac:dyDescent="0.25">
      <c r="A57" s="3" t="s">
        <v>73</v>
      </c>
      <c r="B57" s="3">
        <v>27</v>
      </c>
      <c r="C57" s="3">
        <v>2</v>
      </c>
      <c r="D57" s="3">
        <v>2022</v>
      </c>
      <c r="E57" s="4">
        <f>'Electricity '!I61+'Electricity '!O61</f>
        <v>0</v>
      </c>
      <c r="F57" s="141"/>
      <c r="G57" s="4">
        <f>'Gas Water'!M62</f>
        <v>0</v>
      </c>
      <c r="H57" s="141"/>
      <c r="I57" s="2">
        <f>'Gas Water'!L62</f>
        <v>0</v>
      </c>
      <c r="J57" s="141"/>
      <c r="K57" s="5"/>
      <c r="L57" s="5"/>
    </row>
    <row r="58" spans="1:12" x14ac:dyDescent="0.25">
      <c r="A58" s="3" t="s">
        <v>73</v>
      </c>
      <c r="B58" s="3">
        <v>28</v>
      </c>
      <c r="C58" s="3">
        <v>2</v>
      </c>
      <c r="D58" s="3">
        <v>2022</v>
      </c>
      <c r="E58" s="4">
        <f>'Electricity '!I62+'Electricity '!O62</f>
        <v>0</v>
      </c>
      <c r="F58" s="141"/>
      <c r="G58" s="4">
        <f>'Gas Water'!M63</f>
        <v>0</v>
      </c>
      <c r="H58" s="141"/>
      <c r="I58" s="2">
        <f>'Gas Water'!L63</f>
        <v>0</v>
      </c>
      <c r="J58" s="141"/>
      <c r="K58" s="5"/>
      <c r="L58" s="5"/>
    </row>
    <row r="59" spans="1:12" x14ac:dyDescent="0.25">
      <c r="A59" s="3" t="s">
        <v>73</v>
      </c>
      <c r="B59" s="3">
        <v>1</v>
      </c>
      <c r="C59" s="3">
        <v>3</v>
      </c>
      <c r="D59" s="3">
        <v>2022</v>
      </c>
      <c r="E59" s="4">
        <f>'Electricity '!I63+'Electricity '!O63</f>
        <v>0</v>
      </c>
      <c r="F59" s="141"/>
      <c r="G59" s="4">
        <f>'Gas Water'!M64</f>
        <v>0</v>
      </c>
      <c r="H59" s="141"/>
      <c r="I59" s="2">
        <f>'Gas Water'!L64</f>
        <v>0</v>
      </c>
      <c r="J59" s="141"/>
      <c r="K59" s="5"/>
      <c r="L59" s="5"/>
    </row>
    <row r="60" spans="1:12" x14ac:dyDescent="0.25">
      <c r="A60" s="3" t="s">
        <v>73</v>
      </c>
      <c r="B60" s="3">
        <v>2</v>
      </c>
      <c r="C60" s="3">
        <v>3</v>
      </c>
      <c r="D60" s="3">
        <v>2022</v>
      </c>
      <c r="E60" s="4">
        <f>'Electricity '!I64+'Electricity '!O64</f>
        <v>0</v>
      </c>
      <c r="F60" s="141"/>
      <c r="G60" s="4">
        <f>'Gas Water'!M65</f>
        <v>0</v>
      </c>
      <c r="H60" s="141"/>
      <c r="I60" s="2">
        <f>'Gas Water'!L65</f>
        <v>0</v>
      </c>
      <c r="J60" s="141"/>
      <c r="K60" s="5"/>
      <c r="L60" s="5"/>
    </row>
    <row r="61" spans="1:12" x14ac:dyDescent="0.25">
      <c r="A61" s="3" t="s">
        <v>73</v>
      </c>
      <c r="B61" s="3">
        <v>3</v>
      </c>
      <c r="C61" s="3">
        <v>3</v>
      </c>
      <c r="D61" s="3">
        <v>2022</v>
      </c>
      <c r="E61" s="4">
        <f>'Electricity '!I65+'Electricity '!O65</f>
        <v>0</v>
      </c>
      <c r="F61" s="141"/>
      <c r="G61" s="4">
        <f>'Gas Water'!M66</f>
        <v>0</v>
      </c>
      <c r="H61" s="141"/>
      <c r="I61" s="2">
        <f>'Gas Water'!L66</f>
        <v>0</v>
      </c>
      <c r="J61" s="141"/>
      <c r="K61" s="5"/>
      <c r="L61" s="5"/>
    </row>
    <row r="62" spans="1:12" x14ac:dyDescent="0.25">
      <c r="A62" s="3" t="s">
        <v>73</v>
      </c>
      <c r="B62" s="3">
        <v>4</v>
      </c>
      <c r="C62" s="3">
        <v>3</v>
      </c>
      <c r="D62" s="3">
        <v>2022</v>
      </c>
      <c r="E62" s="4">
        <f>'Electricity '!I66+'Electricity '!O66</f>
        <v>0</v>
      </c>
      <c r="F62" s="141"/>
      <c r="G62" s="4">
        <f>'Gas Water'!M67</f>
        <v>0</v>
      </c>
      <c r="H62" s="141"/>
      <c r="I62" s="2">
        <f>'Gas Water'!L67</f>
        <v>0</v>
      </c>
      <c r="J62" s="141"/>
      <c r="K62" s="5"/>
      <c r="L62" s="5"/>
    </row>
    <row r="63" spans="1:12" x14ac:dyDescent="0.25">
      <c r="A63" s="3" t="s">
        <v>73</v>
      </c>
      <c r="B63" s="3">
        <v>5</v>
      </c>
      <c r="C63" s="3">
        <v>3</v>
      </c>
      <c r="D63" s="3">
        <v>2022</v>
      </c>
      <c r="E63" s="4">
        <f>'Electricity '!I67+'Electricity '!O67</f>
        <v>0</v>
      </c>
      <c r="F63" s="141"/>
      <c r="G63" s="4">
        <f>'Gas Water'!M68</f>
        <v>0</v>
      </c>
      <c r="H63" s="141"/>
      <c r="I63" s="2">
        <f>'Gas Water'!L68</f>
        <v>0</v>
      </c>
      <c r="J63" s="141"/>
      <c r="K63" s="5"/>
      <c r="L63" s="5"/>
    </row>
    <row r="64" spans="1:12" x14ac:dyDescent="0.25">
      <c r="A64" s="3" t="s">
        <v>73</v>
      </c>
      <c r="B64" s="3">
        <v>6</v>
      </c>
      <c r="C64" s="3">
        <v>3</v>
      </c>
      <c r="D64" s="3">
        <v>2022</v>
      </c>
      <c r="E64" s="4">
        <f>'Electricity '!I68+'Electricity '!O68</f>
        <v>0</v>
      </c>
      <c r="F64" s="141"/>
      <c r="G64" s="4">
        <f>'Gas Water'!M69</f>
        <v>0</v>
      </c>
      <c r="H64" s="141"/>
      <c r="I64" s="2">
        <f>'Gas Water'!L69</f>
        <v>0</v>
      </c>
      <c r="J64" s="141"/>
      <c r="K64" s="5"/>
      <c r="L64" s="5"/>
    </row>
    <row r="65" spans="1:12" x14ac:dyDescent="0.25">
      <c r="A65" s="3" t="s">
        <v>73</v>
      </c>
      <c r="B65" s="3">
        <v>7</v>
      </c>
      <c r="C65" s="3">
        <v>3</v>
      </c>
      <c r="D65" s="3">
        <v>2022</v>
      </c>
      <c r="E65" s="4">
        <f>'Electricity '!I69+'Electricity '!O69</f>
        <v>0</v>
      </c>
      <c r="F65" s="141"/>
      <c r="G65" s="4">
        <f>'Gas Water'!M70</f>
        <v>0</v>
      </c>
      <c r="H65" s="141"/>
      <c r="I65" s="2">
        <f>'Gas Water'!L70</f>
        <v>0</v>
      </c>
      <c r="J65" s="141"/>
      <c r="K65" s="5"/>
      <c r="L65" s="5"/>
    </row>
    <row r="66" spans="1:12" x14ac:dyDescent="0.25">
      <c r="A66" s="3" t="s">
        <v>73</v>
      </c>
      <c r="B66" s="3">
        <v>8</v>
      </c>
      <c r="C66" s="3">
        <v>3</v>
      </c>
      <c r="D66" s="3">
        <v>2022</v>
      </c>
      <c r="E66" s="4">
        <f>'Electricity '!I70+'Electricity '!O70</f>
        <v>0</v>
      </c>
      <c r="F66" s="141"/>
      <c r="G66" s="4">
        <f>'Gas Water'!M71</f>
        <v>0</v>
      </c>
      <c r="H66" s="141"/>
      <c r="I66" s="2">
        <f>'Gas Water'!L71</f>
        <v>0</v>
      </c>
      <c r="J66" s="141"/>
      <c r="K66" s="5"/>
      <c r="L66" s="5"/>
    </row>
    <row r="67" spans="1:12" x14ac:dyDescent="0.25">
      <c r="A67" s="3" t="s">
        <v>73</v>
      </c>
      <c r="B67" s="3">
        <v>9</v>
      </c>
      <c r="C67" s="3">
        <v>3</v>
      </c>
      <c r="D67" s="3">
        <v>2022</v>
      </c>
      <c r="E67" s="4">
        <f>'Electricity '!I71+'Electricity '!O71</f>
        <v>0</v>
      </c>
      <c r="F67" s="141"/>
      <c r="G67" s="4">
        <f>'Gas Water'!M72</f>
        <v>0</v>
      </c>
      <c r="H67" s="141"/>
      <c r="I67" s="2">
        <f>'Gas Water'!L72</f>
        <v>0</v>
      </c>
      <c r="J67" s="141"/>
      <c r="K67" s="5"/>
      <c r="L67" s="5"/>
    </row>
    <row r="68" spans="1:12" x14ac:dyDescent="0.25">
      <c r="A68" s="3" t="s">
        <v>73</v>
      </c>
      <c r="B68" s="3">
        <v>10</v>
      </c>
      <c r="C68" s="3">
        <v>3</v>
      </c>
      <c r="D68" s="3">
        <v>2022</v>
      </c>
      <c r="E68" s="4">
        <f>'Electricity '!I72+'Electricity '!O72</f>
        <v>0</v>
      </c>
      <c r="F68" s="141"/>
      <c r="G68" s="4">
        <f>'Gas Water'!M73</f>
        <v>0</v>
      </c>
      <c r="H68" s="141"/>
      <c r="I68" s="2">
        <f>'Gas Water'!L73</f>
        <v>0</v>
      </c>
      <c r="J68" s="141"/>
      <c r="K68" s="5"/>
      <c r="L68" s="5"/>
    </row>
    <row r="69" spans="1:12" x14ac:dyDescent="0.25">
      <c r="A69" s="3" t="s">
        <v>73</v>
      </c>
      <c r="B69" s="3">
        <v>11</v>
      </c>
      <c r="C69" s="3">
        <v>3</v>
      </c>
      <c r="D69" s="3">
        <v>2022</v>
      </c>
      <c r="E69" s="4">
        <f>'Electricity '!I73+'Electricity '!O73</f>
        <v>0</v>
      </c>
      <c r="F69" s="141"/>
      <c r="G69" s="4">
        <f>'Gas Water'!M74</f>
        <v>0</v>
      </c>
      <c r="H69" s="141"/>
      <c r="I69" s="2">
        <f>'Gas Water'!L74</f>
        <v>0</v>
      </c>
      <c r="J69" s="141"/>
      <c r="K69" s="5"/>
      <c r="L69" s="5"/>
    </row>
    <row r="70" spans="1:12" x14ac:dyDescent="0.25">
      <c r="A70" s="3" t="s">
        <v>73</v>
      </c>
      <c r="B70" s="3">
        <v>12</v>
      </c>
      <c r="C70" s="3">
        <v>3</v>
      </c>
      <c r="D70" s="3">
        <v>2022</v>
      </c>
      <c r="E70" s="4">
        <f>'Electricity '!I74+'Electricity '!O74</f>
        <v>0</v>
      </c>
      <c r="F70" s="141"/>
      <c r="G70" s="4">
        <f>'Gas Water'!M75</f>
        <v>0</v>
      </c>
      <c r="H70" s="141"/>
      <c r="I70" s="2">
        <f>'Gas Water'!L75</f>
        <v>0</v>
      </c>
      <c r="J70" s="141"/>
      <c r="K70" s="5"/>
      <c r="L70" s="5"/>
    </row>
    <row r="71" spans="1:12" x14ac:dyDescent="0.25">
      <c r="A71" s="3" t="s">
        <v>73</v>
      </c>
      <c r="B71" s="3">
        <v>13</v>
      </c>
      <c r="C71" s="3">
        <v>3</v>
      </c>
      <c r="D71" s="3">
        <v>2022</v>
      </c>
      <c r="E71" s="4">
        <f>'Electricity '!I75+'Electricity '!O75</f>
        <v>0</v>
      </c>
      <c r="F71" s="141"/>
      <c r="G71" s="4">
        <f>'Gas Water'!M76</f>
        <v>0</v>
      </c>
      <c r="H71" s="141"/>
      <c r="I71" s="2">
        <f>'Gas Water'!L76</f>
        <v>0</v>
      </c>
      <c r="J71" s="141"/>
      <c r="K71" s="5"/>
      <c r="L71" s="5"/>
    </row>
    <row r="72" spans="1:12" x14ac:dyDescent="0.25">
      <c r="A72" s="3" t="s">
        <v>73</v>
      </c>
      <c r="B72" s="3">
        <v>14</v>
      </c>
      <c r="C72" s="3">
        <v>3</v>
      </c>
      <c r="D72" s="3">
        <v>2022</v>
      </c>
      <c r="E72" s="4">
        <f>'Electricity '!I76+'Electricity '!O76</f>
        <v>0</v>
      </c>
      <c r="F72" s="141"/>
      <c r="G72" s="4">
        <f>'Gas Water'!M77</f>
        <v>0</v>
      </c>
      <c r="H72" s="141"/>
      <c r="I72" s="2">
        <f>'Gas Water'!L77</f>
        <v>0</v>
      </c>
      <c r="J72" s="141"/>
      <c r="K72" s="5"/>
      <c r="L72" s="5"/>
    </row>
    <row r="73" spans="1:12" x14ac:dyDescent="0.25">
      <c r="A73" s="3" t="s">
        <v>73</v>
      </c>
      <c r="B73" s="3">
        <v>15</v>
      </c>
      <c r="C73" s="3">
        <v>3</v>
      </c>
      <c r="D73" s="3">
        <v>2022</v>
      </c>
      <c r="E73" s="4">
        <f>'Electricity '!I77+'Electricity '!O77</f>
        <v>0</v>
      </c>
      <c r="F73" s="141"/>
      <c r="G73" s="4" t="str">
        <f>'Gas Water'!M78</f>
        <v/>
      </c>
      <c r="H73" s="141"/>
      <c r="I73" s="2" t="str">
        <f>'Gas Water'!L78</f>
        <v/>
      </c>
      <c r="J73" s="141"/>
      <c r="K73" s="5"/>
      <c r="L73" s="5"/>
    </row>
    <row r="74" spans="1:12" x14ac:dyDescent="0.25">
      <c r="A74" s="3" t="s">
        <v>73</v>
      </c>
      <c r="B74" s="3">
        <v>16</v>
      </c>
      <c r="C74" s="3">
        <v>3</v>
      </c>
      <c r="D74" s="3">
        <v>2022</v>
      </c>
      <c r="E74" s="4">
        <f>'Electricity '!I78+'Electricity '!O78</f>
        <v>0</v>
      </c>
      <c r="F74" s="141"/>
      <c r="G74" s="4" t="str">
        <f>'Gas Water'!M79</f>
        <v/>
      </c>
      <c r="H74" s="141"/>
      <c r="I74" s="2" t="str">
        <f>'Gas Water'!L79</f>
        <v/>
      </c>
      <c r="J74" s="141"/>
      <c r="K74" s="5"/>
      <c r="L74" s="5"/>
    </row>
    <row r="75" spans="1:12" x14ac:dyDescent="0.25">
      <c r="A75" s="3" t="s">
        <v>73</v>
      </c>
      <c r="B75" s="3">
        <v>17</v>
      </c>
      <c r="C75" s="3">
        <v>3</v>
      </c>
      <c r="D75" s="3">
        <v>2022</v>
      </c>
      <c r="E75" s="4">
        <f>'Electricity '!I79+'Electricity '!O79</f>
        <v>0</v>
      </c>
      <c r="F75" s="141"/>
      <c r="G75" s="4" t="str">
        <f>'Gas Water'!M80</f>
        <v/>
      </c>
      <c r="H75" s="141"/>
      <c r="I75" s="2" t="str">
        <f>'Gas Water'!L80</f>
        <v/>
      </c>
      <c r="J75" s="141"/>
      <c r="K75" s="5"/>
      <c r="L75" s="5"/>
    </row>
    <row r="76" spans="1:12" x14ac:dyDescent="0.25">
      <c r="A76" s="3" t="s">
        <v>73</v>
      </c>
      <c r="B76" s="3">
        <v>18</v>
      </c>
      <c r="C76" s="3">
        <v>3</v>
      </c>
      <c r="D76" s="3">
        <v>2022</v>
      </c>
      <c r="E76" s="4" t="e">
        <f>'Electricity '!I80+'Electricity '!O80</f>
        <v>#VALUE!</v>
      </c>
      <c r="F76" s="141"/>
      <c r="G76" s="4"/>
      <c r="H76" s="141"/>
      <c r="I76" s="2"/>
      <c r="J76" s="141"/>
      <c r="K76" s="5"/>
      <c r="L76" s="5"/>
    </row>
    <row r="77" spans="1:12" x14ac:dyDescent="0.25">
      <c r="A77" s="3" t="s">
        <v>73</v>
      </c>
      <c r="B77" s="3">
        <v>19</v>
      </c>
      <c r="C77" s="3">
        <v>3</v>
      </c>
      <c r="D77" s="3">
        <v>2022</v>
      </c>
      <c r="E77" s="4" t="e">
        <f>'Electricity '!I81+'Electricity '!O81</f>
        <v>#VALUE!</v>
      </c>
      <c r="F77" s="141"/>
      <c r="G77" s="4" t="str">
        <f>'Gas Water'!M82</f>
        <v/>
      </c>
      <c r="H77" s="141"/>
      <c r="I77" s="2"/>
      <c r="J77" s="141"/>
      <c r="K77" s="5"/>
      <c r="L77" s="5"/>
    </row>
    <row r="78" spans="1:12" x14ac:dyDescent="0.25">
      <c r="A78" s="3" t="s">
        <v>73</v>
      </c>
      <c r="B78" s="3">
        <v>20</v>
      </c>
      <c r="C78" s="3">
        <v>3</v>
      </c>
      <c r="D78" s="3">
        <v>2022</v>
      </c>
      <c r="E78" s="4" t="e">
        <f>'Electricity '!I82+'Electricity '!O82</f>
        <v>#VALUE!</v>
      </c>
      <c r="F78" s="141"/>
      <c r="G78" s="4" t="str">
        <f>'Gas Water'!M83</f>
        <v/>
      </c>
      <c r="H78" s="141"/>
      <c r="I78" s="2" t="str">
        <f>'Gas Water'!L83</f>
        <v/>
      </c>
      <c r="J78" s="141"/>
      <c r="K78" s="5"/>
      <c r="L78" s="5"/>
    </row>
    <row r="79" spans="1:12" x14ac:dyDescent="0.25">
      <c r="A79" s="3" t="s">
        <v>73</v>
      </c>
      <c r="B79" s="3">
        <v>21</v>
      </c>
      <c r="C79" s="3">
        <v>3</v>
      </c>
      <c r="D79" s="3">
        <v>2022</v>
      </c>
      <c r="E79" s="4" t="e">
        <f>'Electricity '!I83+'Electricity '!O83</f>
        <v>#VALUE!</v>
      </c>
      <c r="F79" s="141"/>
      <c r="G79" s="4" t="str">
        <f>'Gas Water'!M84</f>
        <v/>
      </c>
      <c r="H79" s="141"/>
      <c r="I79" s="2" t="str">
        <f>'Gas Water'!L84</f>
        <v/>
      </c>
      <c r="J79" s="141"/>
      <c r="K79" s="5"/>
      <c r="L79" s="5"/>
    </row>
    <row r="80" spans="1:12" x14ac:dyDescent="0.25">
      <c r="A80" s="3" t="s">
        <v>73</v>
      </c>
      <c r="B80" s="3">
        <v>22</v>
      </c>
      <c r="C80" s="3">
        <v>3</v>
      </c>
      <c r="D80" s="3">
        <v>2022</v>
      </c>
      <c r="E80" s="4" t="e">
        <f>'Electricity '!I84+'Electricity '!O84</f>
        <v>#VALUE!</v>
      </c>
      <c r="F80" s="141"/>
      <c r="G80" s="4" t="str">
        <f>'Gas Water'!M85</f>
        <v/>
      </c>
      <c r="H80" s="141"/>
      <c r="I80" s="2" t="str">
        <f>'Gas Water'!L85</f>
        <v/>
      </c>
      <c r="J80" s="141"/>
      <c r="K80" s="5"/>
      <c r="L80" s="5"/>
    </row>
    <row r="81" spans="1:12" x14ac:dyDescent="0.25">
      <c r="A81" s="3" t="s">
        <v>73</v>
      </c>
      <c r="B81" s="3">
        <v>23</v>
      </c>
      <c r="C81" s="3">
        <v>3</v>
      </c>
      <c r="D81" s="3">
        <v>2022</v>
      </c>
      <c r="E81" s="4" t="e">
        <f>'Electricity '!I85+'Electricity '!O85</f>
        <v>#VALUE!</v>
      </c>
      <c r="F81" s="141"/>
      <c r="G81" s="4" t="str">
        <f>'Gas Water'!M86</f>
        <v/>
      </c>
      <c r="H81" s="141"/>
      <c r="I81" s="2" t="str">
        <f>'Gas Water'!L86</f>
        <v/>
      </c>
      <c r="J81" s="141"/>
      <c r="K81" s="5"/>
      <c r="L81" s="5"/>
    </row>
    <row r="82" spans="1:12" x14ac:dyDescent="0.25">
      <c r="A82" s="3" t="s">
        <v>73</v>
      </c>
      <c r="B82" s="3">
        <v>24</v>
      </c>
      <c r="C82" s="3">
        <v>3</v>
      </c>
      <c r="D82" s="3">
        <v>2022</v>
      </c>
      <c r="E82" s="4" t="e">
        <f>'Electricity '!I86+'Electricity '!O86</f>
        <v>#VALUE!</v>
      </c>
      <c r="F82" s="141"/>
      <c r="G82" s="4" t="str">
        <f>'Gas Water'!M87</f>
        <v/>
      </c>
      <c r="H82" s="141"/>
      <c r="I82" s="2" t="str">
        <f>'Gas Water'!L87</f>
        <v/>
      </c>
      <c r="J82" s="141"/>
      <c r="K82" s="5"/>
      <c r="L82" s="5"/>
    </row>
    <row r="83" spans="1:12" x14ac:dyDescent="0.25">
      <c r="A83" s="3" t="s">
        <v>73</v>
      </c>
      <c r="B83" s="3">
        <v>25</v>
      </c>
      <c r="C83" s="3">
        <v>3</v>
      </c>
      <c r="D83" s="3">
        <v>2022</v>
      </c>
      <c r="E83" s="4" t="e">
        <f>'Electricity '!I87+'Electricity '!O87</f>
        <v>#VALUE!</v>
      </c>
      <c r="F83" s="141"/>
      <c r="G83" s="4"/>
      <c r="H83" s="141"/>
      <c r="I83" s="2"/>
      <c r="J83" s="141"/>
      <c r="K83" s="5"/>
      <c r="L83" s="5"/>
    </row>
    <row r="84" spans="1:12" x14ac:dyDescent="0.25">
      <c r="A84" s="3" t="s">
        <v>73</v>
      </c>
      <c r="B84" s="3">
        <v>26</v>
      </c>
      <c r="C84" s="3">
        <v>3</v>
      </c>
      <c r="D84" s="3">
        <v>2022</v>
      </c>
      <c r="E84" s="4" t="e">
        <f>'Electricity '!I88+'Electricity '!O88</f>
        <v>#VALUE!</v>
      </c>
      <c r="F84" s="141"/>
      <c r="G84" s="4" t="str">
        <f>'Gas Water'!M89</f>
        <v/>
      </c>
      <c r="H84" s="141"/>
      <c r="I84" s="2" t="str">
        <f>'Gas Water'!L89</f>
        <v/>
      </c>
      <c r="J84" s="141"/>
      <c r="K84" s="5"/>
      <c r="L84" s="5"/>
    </row>
    <row r="85" spans="1:12" x14ac:dyDescent="0.25">
      <c r="A85" s="3" t="s">
        <v>73</v>
      </c>
      <c r="B85" s="3">
        <v>27</v>
      </c>
      <c r="C85" s="3">
        <v>3</v>
      </c>
      <c r="D85" s="3">
        <v>2022</v>
      </c>
      <c r="E85" s="4" t="e">
        <f>'Electricity '!I89+'Electricity '!O89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28</v>
      </c>
      <c r="C86" s="3">
        <v>3</v>
      </c>
      <c r="D86" s="3">
        <v>2022</v>
      </c>
      <c r="E86" s="4" t="e">
        <f>'Electricity '!I90+'Electricity '!O90</f>
        <v>#VALUE!</v>
      </c>
      <c r="F86" s="141"/>
      <c r="G86" s="4" t="str">
        <f>'Gas Water'!M91</f>
        <v/>
      </c>
      <c r="H86" s="141"/>
      <c r="I86" s="2" t="str">
        <f>'Gas Water'!L91</f>
        <v/>
      </c>
      <c r="J86" s="141"/>
      <c r="K86" s="5"/>
      <c r="L86" s="5"/>
    </row>
    <row r="87" spans="1:12" x14ac:dyDescent="0.25">
      <c r="A87" s="3" t="s">
        <v>73</v>
      </c>
      <c r="B87" s="3">
        <v>29</v>
      </c>
      <c r="C87" s="3">
        <v>3</v>
      </c>
      <c r="D87" s="3">
        <v>2022</v>
      </c>
      <c r="E87" s="4" t="e">
        <f>'Electricity '!I91+'Electricity '!O91</f>
        <v>#VALUE!</v>
      </c>
      <c r="F87" s="141"/>
      <c r="G87" s="4" t="str">
        <f>'Gas Water'!M92</f>
        <v/>
      </c>
      <c r="H87" s="141"/>
      <c r="I87" s="2" t="str">
        <f>'Gas Water'!L92</f>
        <v/>
      </c>
      <c r="J87" s="141"/>
      <c r="K87" s="5"/>
      <c r="L87" s="5"/>
    </row>
    <row r="88" spans="1:12" x14ac:dyDescent="0.25">
      <c r="A88" s="3" t="s">
        <v>73</v>
      </c>
      <c r="B88" s="3">
        <v>30</v>
      </c>
      <c r="C88" s="3">
        <v>3</v>
      </c>
      <c r="D88" s="3">
        <v>2022</v>
      </c>
      <c r="E88" s="4" t="e">
        <f>'Electricity '!I92+'Electricity '!O92</f>
        <v>#VALUE!</v>
      </c>
      <c r="F88" s="141"/>
      <c r="G88" s="4" t="str">
        <f>'Gas Water'!M93</f>
        <v/>
      </c>
      <c r="H88" s="141"/>
      <c r="I88" s="2" t="str">
        <f>'Gas Water'!L93</f>
        <v/>
      </c>
      <c r="J88" s="141"/>
      <c r="K88" s="5"/>
      <c r="L88" s="5"/>
    </row>
    <row r="89" spans="1:12" x14ac:dyDescent="0.25">
      <c r="A89" s="3" t="s">
        <v>73</v>
      </c>
      <c r="B89" s="3">
        <v>31</v>
      </c>
      <c r="C89" s="3">
        <v>3</v>
      </c>
      <c r="D89" s="3">
        <v>2022</v>
      </c>
      <c r="E89" s="4" t="e">
        <f>'Electricity '!I93+'Electricity '!O93</f>
        <v>#VALUE!</v>
      </c>
      <c r="F89" s="141"/>
      <c r="G89" s="4" t="str">
        <f>'Gas Water'!M94</f>
        <v/>
      </c>
      <c r="H89" s="141"/>
      <c r="I89" s="2" t="str">
        <f>'Gas Water'!L94</f>
        <v/>
      </c>
      <c r="J89" s="141"/>
      <c r="K89" s="5"/>
      <c r="L89" s="5"/>
    </row>
    <row r="90" spans="1:12" x14ac:dyDescent="0.25">
      <c r="A90" s="3" t="s">
        <v>73</v>
      </c>
      <c r="B90" s="3">
        <v>1</v>
      </c>
      <c r="C90" s="3">
        <v>4</v>
      </c>
      <c r="D90" s="3">
        <v>2022</v>
      </c>
      <c r="E90" s="4" t="e">
        <f>'Electricity '!I94+'Electricity '!O94</f>
        <v>#VALUE!</v>
      </c>
      <c r="F90" s="141"/>
      <c r="G90" s="4" t="str">
        <f>'Gas Water'!M95</f>
        <v/>
      </c>
      <c r="H90" s="141"/>
      <c r="I90" s="2" t="str">
        <f>'Gas Water'!L95</f>
        <v/>
      </c>
      <c r="J90" s="141"/>
      <c r="K90" s="5"/>
      <c r="L90" s="5"/>
    </row>
    <row r="91" spans="1:12" x14ac:dyDescent="0.25">
      <c r="A91" s="3" t="s">
        <v>73</v>
      </c>
      <c r="B91" s="3">
        <v>2</v>
      </c>
      <c r="C91" s="3">
        <v>4</v>
      </c>
      <c r="D91" s="3">
        <v>2022</v>
      </c>
      <c r="E91" s="4" t="e">
        <f>'Electricity '!I95+'Electricity '!O95</f>
        <v>#VALUE!</v>
      </c>
      <c r="F91" s="141"/>
      <c r="G91" s="4" t="str">
        <f>'Gas Water'!M96</f>
        <v/>
      </c>
      <c r="H91" s="141"/>
      <c r="I91" s="2" t="str">
        <f>'Gas Water'!L96</f>
        <v/>
      </c>
      <c r="J91" s="141"/>
      <c r="K91" s="5"/>
      <c r="L91" s="5"/>
    </row>
    <row r="92" spans="1:12" x14ac:dyDescent="0.25">
      <c r="A92" s="3" t="s">
        <v>73</v>
      </c>
      <c r="B92" s="3">
        <v>3</v>
      </c>
      <c r="C92" s="3">
        <v>4</v>
      </c>
      <c r="D92" s="3">
        <v>2022</v>
      </c>
      <c r="E92" s="4" t="e">
        <f>'Electricity '!I96+'Electricity '!O96</f>
        <v>#VALUE!</v>
      </c>
      <c r="F92" s="141"/>
      <c r="G92" s="4" t="str">
        <f>'Gas Water'!M97</f>
        <v/>
      </c>
      <c r="H92" s="141"/>
      <c r="I92" s="2" t="str">
        <f>'Gas Water'!L97</f>
        <v/>
      </c>
      <c r="J92" s="141"/>
      <c r="K92" s="5"/>
      <c r="L92" s="5"/>
    </row>
    <row r="93" spans="1:12" x14ac:dyDescent="0.25">
      <c r="A93" s="3" t="s">
        <v>73</v>
      </c>
      <c r="B93" s="3">
        <v>4</v>
      </c>
      <c r="C93" s="3">
        <v>4</v>
      </c>
      <c r="D93" s="3">
        <v>2022</v>
      </c>
      <c r="E93" s="4" t="e">
        <f>'Electricity '!I97+'Electricity '!O97</f>
        <v>#VALUE!</v>
      </c>
      <c r="F93" s="141"/>
      <c r="G93" s="4" t="str">
        <f>'Gas Water'!M98</f>
        <v/>
      </c>
      <c r="H93" s="141"/>
      <c r="I93" s="2" t="str">
        <f>'Gas Water'!L98</f>
        <v/>
      </c>
      <c r="J93" s="141"/>
      <c r="K93" s="5"/>
      <c r="L93" s="5"/>
    </row>
    <row r="94" spans="1:12" x14ac:dyDescent="0.25">
      <c r="A94" s="3" t="s">
        <v>73</v>
      </c>
      <c r="B94" s="3">
        <v>5</v>
      </c>
      <c r="C94" s="3">
        <v>4</v>
      </c>
      <c r="D94" s="3">
        <v>2022</v>
      </c>
      <c r="E94" s="4" t="e">
        <f>'Electricity '!I98+'Electricity '!O98</f>
        <v>#VALUE!</v>
      </c>
      <c r="F94" s="141"/>
      <c r="G94" s="4" t="str">
        <f>'Gas Water'!M99</f>
        <v/>
      </c>
      <c r="H94" s="141"/>
      <c r="I94" s="2" t="str">
        <f>'Gas Water'!L99</f>
        <v/>
      </c>
      <c r="J94" s="141"/>
      <c r="K94" s="5"/>
      <c r="L94" s="5"/>
    </row>
    <row r="95" spans="1:12" x14ac:dyDescent="0.25">
      <c r="A95" s="3" t="s">
        <v>73</v>
      </c>
      <c r="B95" s="3">
        <v>6</v>
      </c>
      <c r="C95" s="3">
        <v>4</v>
      </c>
      <c r="D95" s="3">
        <v>2022</v>
      </c>
      <c r="E95" s="4" t="e">
        <f>'Electricity '!I99+'Electricity '!O99</f>
        <v>#VALUE!</v>
      </c>
      <c r="F95" s="141"/>
      <c r="G95" s="4" t="str">
        <f>'Gas Water'!M100</f>
        <v/>
      </c>
      <c r="H95" s="141"/>
      <c r="I95" s="2" t="str">
        <f>'Gas Water'!L100</f>
        <v/>
      </c>
      <c r="J95" s="141"/>
      <c r="K95" s="5"/>
      <c r="L95" s="5"/>
    </row>
    <row r="96" spans="1:12" x14ac:dyDescent="0.25">
      <c r="A96" s="3" t="s">
        <v>73</v>
      </c>
      <c r="B96" s="3">
        <v>7</v>
      </c>
      <c r="C96" s="3">
        <v>4</v>
      </c>
      <c r="D96" s="3">
        <v>2022</v>
      </c>
      <c r="E96" s="4" t="e">
        <f>'Electricity '!I100+'Electricity '!O100</f>
        <v>#VALUE!</v>
      </c>
      <c r="F96" s="141"/>
      <c r="G96" s="4" t="str">
        <f>'Gas Water'!M101</f>
        <v/>
      </c>
      <c r="H96" s="141"/>
      <c r="I96" s="2" t="str">
        <f>'Gas Water'!L101</f>
        <v/>
      </c>
      <c r="J96" s="141"/>
      <c r="K96" s="5"/>
      <c r="L96" s="5"/>
    </row>
    <row r="97" spans="1:12" x14ac:dyDescent="0.25">
      <c r="A97" s="3" t="s">
        <v>73</v>
      </c>
      <c r="B97" s="3">
        <v>8</v>
      </c>
      <c r="C97" s="3">
        <v>4</v>
      </c>
      <c r="D97" s="3">
        <v>2022</v>
      </c>
      <c r="E97" s="4" t="e">
        <f>'Electricity '!I101+'Electricity '!O101</f>
        <v>#VALUE!</v>
      </c>
      <c r="F97" s="141"/>
      <c r="G97" s="4" t="str">
        <f>'Gas Water'!M102</f>
        <v/>
      </c>
      <c r="H97" s="141"/>
      <c r="I97" s="2" t="str">
        <f>'Gas Water'!L102</f>
        <v/>
      </c>
      <c r="J97" s="141"/>
      <c r="K97" s="5"/>
      <c r="L97" s="5"/>
    </row>
    <row r="98" spans="1:12" x14ac:dyDescent="0.25">
      <c r="A98" s="3" t="s">
        <v>73</v>
      </c>
      <c r="B98" s="3">
        <v>9</v>
      </c>
      <c r="C98" s="3">
        <v>4</v>
      </c>
      <c r="D98" s="3">
        <v>2022</v>
      </c>
      <c r="E98" s="4" t="e">
        <f>'Electricity '!I102+'Electricity '!O102</f>
        <v>#VALUE!</v>
      </c>
      <c r="F98" s="141"/>
      <c r="G98" s="4" t="str">
        <f>'Gas Water'!M103</f>
        <v/>
      </c>
      <c r="H98" s="141"/>
      <c r="I98" s="2" t="str">
        <f>'Gas Water'!L103</f>
        <v/>
      </c>
      <c r="J98" s="141"/>
      <c r="K98" s="5"/>
      <c r="L98" s="5"/>
    </row>
    <row r="99" spans="1:12" x14ac:dyDescent="0.25">
      <c r="A99" s="3" t="s">
        <v>73</v>
      </c>
      <c r="B99" s="3">
        <v>10</v>
      </c>
      <c r="C99" s="3">
        <v>4</v>
      </c>
      <c r="D99" s="3">
        <v>2022</v>
      </c>
      <c r="E99" s="4" t="e">
        <f>'Electricity '!I103+'Electricity '!O103</f>
        <v>#VALUE!</v>
      </c>
      <c r="F99" s="141"/>
      <c r="G99" s="4" t="str">
        <f>'Gas Water'!M104</f>
        <v/>
      </c>
      <c r="H99" s="141"/>
      <c r="I99" s="2" t="str">
        <f>'Gas Water'!L104</f>
        <v/>
      </c>
      <c r="J99" s="141"/>
      <c r="K99" s="5"/>
      <c r="L99" s="5"/>
    </row>
    <row r="100" spans="1:12" x14ac:dyDescent="0.25">
      <c r="A100" s="3" t="s">
        <v>73</v>
      </c>
      <c r="B100" s="3">
        <v>11</v>
      </c>
      <c r="C100" s="3">
        <v>4</v>
      </c>
      <c r="D100" s="3">
        <v>2022</v>
      </c>
      <c r="E100" s="4" t="e">
        <f>'Electricity '!I104+'Electricity '!O104</f>
        <v>#VALUE!</v>
      </c>
      <c r="F100" s="141"/>
      <c r="G100" s="4" t="str">
        <f>'Gas Water'!M105</f>
        <v/>
      </c>
      <c r="H100" s="141"/>
      <c r="I100" s="2" t="str">
        <f>'Gas Water'!L105</f>
        <v/>
      </c>
      <c r="J100" s="141"/>
      <c r="K100" s="5"/>
      <c r="L100" s="5"/>
    </row>
    <row r="101" spans="1:12" x14ac:dyDescent="0.25">
      <c r="A101" s="3" t="s">
        <v>73</v>
      </c>
      <c r="B101" s="3">
        <v>12</v>
      </c>
      <c r="C101" s="3">
        <v>4</v>
      </c>
      <c r="D101" s="3">
        <v>2022</v>
      </c>
      <c r="E101" s="4" t="e">
        <f>'Electricity '!I105+'Electricity '!O105</f>
        <v>#VALUE!</v>
      </c>
      <c r="F101" s="141"/>
      <c r="G101" s="4" t="str">
        <f>'Gas Water'!M106</f>
        <v/>
      </c>
      <c r="H101" s="141"/>
      <c r="I101" s="2" t="str">
        <f>'Gas Water'!L106</f>
        <v/>
      </c>
      <c r="J101" s="141"/>
      <c r="K101" s="5"/>
      <c r="L101" s="5"/>
    </row>
    <row r="102" spans="1:12" x14ac:dyDescent="0.25">
      <c r="A102" s="3" t="s">
        <v>73</v>
      </c>
      <c r="B102" s="3">
        <v>13</v>
      </c>
      <c r="C102" s="3">
        <v>4</v>
      </c>
      <c r="D102" s="3">
        <v>2022</v>
      </c>
      <c r="E102" s="4" t="e">
        <f>'Electricity '!I106+'Electricity '!O106</f>
        <v>#VALUE!</v>
      </c>
      <c r="F102" s="141"/>
      <c r="G102" s="4" t="str">
        <f>'Gas Water'!M107</f>
        <v/>
      </c>
      <c r="H102" s="141"/>
      <c r="I102" s="2" t="str">
        <f>'Gas Water'!L107</f>
        <v/>
      </c>
      <c r="J102" s="141"/>
      <c r="K102" s="5"/>
      <c r="L102" s="5"/>
    </row>
    <row r="103" spans="1:12" x14ac:dyDescent="0.25">
      <c r="A103" s="3" t="s">
        <v>73</v>
      </c>
      <c r="B103" s="3">
        <v>14</v>
      </c>
      <c r="C103" s="3">
        <v>4</v>
      </c>
      <c r="D103" s="3">
        <v>2022</v>
      </c>
      <c r="E103" s="4" t="e">
        <f>'Electricity '!I107+'Electricity '!O107</f>
        <v>#VALUE!</v>
      </c>
      <c r="F103" s="141"/>
      <c r="G103" s="4" t="str">
        <f>'Gas Water'!M108</f>
        <v/>
      </c>
      <c r="H103" s="141"/>
      <c r="I103" s="2" t="str">
        <f>'Gas Water'!L108</f>
        <v/>
      </c>
      <c r="J103" s="141"/>
      <c r="K103" s="5"/>
      <c r="L103" s="5"/>
    </row>
    <row r="104" spans="1:12" x14ac:dyDescent="0.25">
      <c r="A104" s="3" t="s">
        <v>73</v>
      </c>
      <c r="B104" s="3">
        <v>15</v>
      </c>
      <c r="C104" s="3">
        <v>4</v>
      </c>
      <c r="D104" s="3">
        <v>2022</v>
      </c>
      <c r="E104" s="4" t="e">
        <f>'Electricity '!I108+'Electricity '!O108</f>
        <v>#VALUE!</v>
      </c>
      <c r="F104" s="141"/>
      <c r="G104" s="4" t="str">
        <f>'Gas Water'!M109</f>
        <v/>
      </c>
      <c r="H104" s="141"/>
      <c r="I104" s="2" t="str">
        <f>'Gas Water'!L109</f>
        <v/>
      </c>
      <c r="J104" s="141"/>
      <c r="K104" s="5"/>
      <c r="L104" s="5"/>
    </row>
    <row r="105" spans="1:12" x14ac:dyDescent="0.25">
      <c r="A105" s="3" t="s">
        <v>73</v>
      </c>
      <c r="B105" s="3">
        <v>16</v>
      </c>
      <c r="C105" s="3">
        <v>4</v>
      </c>
      <c r="D105" s="3">
        <v>2022</v>
      </c>
      <c r="E105" s="4" t="e">
        <f>'Electricity '!I109+'Electricity '!O109</f>
        <v>#VALUE!</v>
      </c>
      <c r="F105" s="141"/>
      <c r="G105" s="4" t="str">
        <f>'Gas Water'!M110</f>
        <v/>
      </c>
      <c r="H105" s="141"/>
      <c r="I105" s="2" t="str">
        <f>'Gas Water'!L110</f>
        <v/>
      </c>
      <c r="J105" s="141"/>
      <c r="K105" s="5"/>
      <c r="L105" s="5"/>
    </row>
    <row r="106" spans="1:12" x14ac:dyDescent="0.25">
      <c r="A106" s="3" t="s">
        <v>73</v>
      </c>
      <c r="B106" s="3">
        <v>17</v>
      </c>
      <c r="C106" s="3">
        <v>4</v>
      </c>
      <c r="D106" s="3">
        <v>2022</v>
      </c>
      <c r="E106" s="4" t="e">
        <f>'Electricity '!I110+'Electricity '!O110</f>
        <v>#VALUE!</v>
      </c>
      <c r="F106" s="141"/>
      <c r="G106" s="4" t="str">
        <f>'Gas Water'!M111</f>
        <v/>
      </c>
      <c r="H106" s="141"/>
      <c r="I106" s="2" t="str">
        <f>'Gas Water'!L111</f>
        <v/>
      </c>
      <c r="J106" s="141"/>
      <c r="K106" s="5"/>
      <c r="L106" s="5"/>
    </row>
    <row r="107" spans="1:12" x14ac:dyDescent="0.25">
      <c r="A107" s="3" t="s">
        <v>73</v>
      </c>
      <c r="B107" s="3">
        <v>18</v>
      </c>
      <c r="C107" s="3">
        <v>4</v>
      </c>
      <c r="D107" s="3">
        <v>2022</v>
      </c>
      <c r="E107" s="4" t="e">
        <f>'Electricity '!I111+'Electricity '!O111</f>
        <v>#VALUE!</v>
      </c>
      <c r="F107" s="141"/>
      <c r="G107" s="4" t="str">
        <f>'Gas Water'!M112</f>
        <v/>
      </c>
      <c r="H107" s="141"/>
      <c r="I107" s="2" t="str">
        <f>'Gas Water'!L112</f>
        <v/>
      </c>
      <c r="J107" s="141"/>
      <c r="K107" s="5"/>
      <c r="L107" s="5"/>
    </row>
    <row r="108" spans="1:12" x14ac:dyDescent="0.25">
      <c r="A108" s="3" t="s">
        <v>73</v>
      </c>
      <c r="B108" s="3">
        <v>19</v>
      </c>
      <c r="C108" s="3">
        <v>4</v>
      </c>
      <c r="D108" s="3">
        <v>2022</v>
      </c>
      <c r="E108" s="4" t="e">
        <f>'Electricity '!I112+'Electricity '!O112</f>
        <v>#VALUE!</v>
      </c>
      <c r="F108" s="141"/>
      <c r="G108" s="4" t="str">
        <f>'Gas Water'!M113</f>
        <v/>
      </c>
      <c r="H108" s="141"/>
      <c r="I108" s="2" t="str">
        <f>'Gas Water'!L113</f>
        <v/>
      </c>
      <c r="J108" s="141"/>
      <c r="K108" s="5"/>
      <c r="L108" s="5"/>
    </row>
    <row r="109" spans="1:12" x14ac:dyDescent="0.25">
      <c r="A109" s="3" t="s">
        <v>73</v>
      </c>
      <c r="B109" s="3">
        <v>20</v>
      </c>
      <c r="C109" s="3">
        <v>4</v>
      </c>
      <c r="D109" s="3">
        <v>2022</v>
      </c>
      <c r="E109" s="4" t="e">
        <f>'Electricity '!I113+'Electricity '!O113</f>
        <v>#VALUE!</v>
      </c>
      <c r="F109" s="141"/>
      <c r="G109" s="4" t="str">
        <f>'Gas Water'!M114</f>
        <v/>
      </c>
      <c r="H109" s="141"/>
      <c r="I109" s="2" t="str">
        <f>'Gas Water'!L114</f>
        <v/>
      </c>
      <c r="J109" s="141"/>
      <c r="K109" s="5"/>
      <c r="L109" s="5"/>
    </row>
    <row r="110" spans="1:12" x14ac:dyDescent="0.25">
      <c r="A110" s="3" t="s">
        <v>73</v>
      </c>
      <c r="B110" s="3">
        <v>21</v>
      </c>
      <c r="C110" s="3">
        <v>4</v>
      </c>
      <c r="D110" s="3">
        <v>2022</v>
      </c>
      <c r="E110" s="4" t="e">
        <f>'Electricity '!I114+'Electricity '!O114</f>
        <v>#VALUE!</v>
      </c>
      <c r="F110" s="141"/>
      <c r="G110" s="4" t="str">
        <f>'Gas Water'!M115</f>
        <v/>
      </c>
      <c r="H110" s="141"/>
      <c r="I110" s="2" t="str">
        <f>'Gas Water'!L115</f>
        <v/>
      </c>
      <c r="J110" s="141"/>
      <c r="K110" s="5"/>
      <c r="L110" s="5"/>
    </row>
    <row r="111" spans="1:12" x14ac:dyDescent="0.25">
      <c r="A111" s="3" t="s">
        <v>73</v>
      </c>
      <c r="B111" s="3">
        <v>22</v>
      </c>
      <c r="C111" s="3">
        <v>4</v>
      </c>
      <c r="D111" s="3">
        <v>2022</v>
      </c>
      <c r="E111" s="4" t="e">
        <f>'Electricity '!I115+'Electricity '!O115</f>
        <v>#VALUE!</v>
      </c>
      <c r="F111" s="141"/>
      <c r="G111" s="4" t="str">
        <f>'Gas Water'!M116</f>
        <v/>
      </c>
      <c r="H111" s="141"/>
      <c r="I111" s="2" t="str">
        <f>'Gas Water'!L116</f>
        <v/>
      </c>
      <c r="J111" s="141"/>
      <c r="K111" s="5"/>
      <c r="L111" s="5"/>
    </row>
    <row r="112" spans="1:12" x14ac:dyDescent="0.25">
      <c r="A112" s="3" t="s">
        <v>73</v>
      </c>
      <c r="B112" s="3">
        <v>23</v>
      </c>
      <c r="C112" s="3">
        <v>4</v>
      </c>
      <c r="D112" s="3">
        <v>2022</v>
      </c>
      <c r="E112" s="4" t="e">
        <f>'Electricity '!I116+'Electricity '!O116</f>
        <v>#VALUE!</v>
      </c>
      <c r="F112" s="141"/>
      <c r="G112" s="4" t="str">
        <f>'Gas Water'!M117</f>
        <v/>
      </c>
      <c r="H112" s="141"/>
      <c r="I112" s="2" t="str">
        <f>'Gas Water'!L117</f>
        <v/>
      </c>
      <c r="J112" s="141"/>
      <c r="K112" s="5"/>
      <c r="L112" s="5"/>
    </row>
    <row r="113" spans="1:12" x14ac:dyDescent="0.25">
      <c r="A113" s="3" t="s">
        <v>73</v>
      </c>
      <c r="B113" s="3">
        <v>24</v>
      </c>
      <c r="C113" s="3">
        <v>4</v>
      </c>
      <c r="D113" s="3">
        <v>2022</v>
      </c>
      <c r="E113" s="4" t="e">
        <f>'Electricity '!I117+'Electricity '!O117</f>
        <v>#VALUE!</v>
      </c>
      <c r="F113" s="141"/>
      <c r="G113" s="4" t="str">
        <f>'Gas Water'!M118</f>
        <v/>
      </c>
      <c r="H113" s="141"/>
      <c r="I113" s="2" t="str">
        <f>'Gas Water'!L118</f>
        <v/>
      </c>
      <c r="J113" s="141"/>
      <c r="K113" s="5"/>
      <c r="L113" s="5"/>
    </row>
    <row r="114" spans="1:12" x14ac:dyDescent="0.25">
      <c r="A114" s="3" t="s">
        <v>73</v>
      </c>
      <c r="B114" s="3">
        <v>25</v>
      </c>
      <c r="C114" s="3">
        <v>4</v>
      </c>
      <c r="D114" s="3">
        <v>2022</v>
      </c>
      <c r="E114" s="4" t="e">
        <f>'Electricity '!I118+'Electricity '!O118</f>
        <v>#VALUE!</v>
      </c>
      <c r="F114" s="141"/>
      <c r="G114" s="4" t="str">
        <f>'Gas Water'!M119</f>
        <v/>
      </c>
      <c r="H114" s="141"/>
      <c r="I114" s="2" t="str">
        <f>'Gas Water'!L119</f>
        <v/>
      </c>
      <c r="J114" s="141"/>
      <c r="K114" s="5"/>
      <c r="L114" s="5"/>
    </row>
    <row r="115" spans="1:12" x14ac:dyDescent="0.25">
      <c r="A115" s="3" t="s">
        <v>73</v>
      </c>
      <c r="B115" s="3">
        <v>26</v>
      </c>
      <c r="C115" s="3">
        <v>4</v>
      </c>
      <c r="D115" s="3">
        <v>2022</v>
      </c>
      <c r="E115" s="4" t="e">
        <f>'Electricity '!I119+'Electricity '!O119</f>
        <v>#VALUE!</v>
      </c>
      <c r="F115" s="141"/>
      <c r="G115" s="4" t="str">
        <f>'Gas Water'!M120</f>
        <v/>
      </c>
      <c r="H115" s="141"/>
      <c r="I115" s="2" t="str">
        <f>'Gas Water'!L120</f>
        <v/>
      </c>
      <c r="J115" s="141"/>
      <c r="K115" s="5"/>
      <c r="L115" s="5"/>
    </row>
    <row r="116" spans="1:12" x14ac:dyDescent="0.25">
      <c r="A116" s="3" t="s">
        <v>73</v>
      </c>
      <c r="B116" s="3">
        <v>27</v>
      </c>
      <c r="C116" s="3">
        <v>4</v>
      </c>
      <c r="D116" s="3">
        <v>2022</v>
      </c>
      <c r="E116" s="4" t="e">
        <f>'Electricity '!I120+'Electricity '!O120</f>
        <v>#VALUE!</v>
      </c>
      <c r="F116" s="141"/>
      <c r="G116" s="4" t="str">
        <f>'Gas Water'!M121</f>
        <v/>
      </c>
      <c r="H116" s="141"/>
      <c r="I116" s="2" t="str">
        <f>'Gas Water'!L121</f>
        <v/>
      </c>
      <c r="J116" s="141"/>
      <c r="K116" s="5"/>
      <c r="L116" s="5"/>
    </row>
    <row r="117" spans="1:12" x14ac:dyDescent="0.25">
      <c r="A117" s="3" t="s">
        <v>73</v>
      </c>
      <c r="B117" s="3">
        <v>28</v>
      </c>
      <c r="C117" s="3">
        <v>4</v>
      </c>
      <c r="D117" s="3">
        <v>2022</v>
      </c>
      <c r="E117" s="4" t="e">
        <f>'Electricity '!I121+'Electricity '!O121</f>
        <v>#VALUE!</v>
      </c>
      <c r="F117" s="141"/>
      <c r="G117" s="4" t="str">
        <f>'Gas Water'!M122</f>
        <v/>
      </c>
      <c r="H117" s="141"/>
      <c r="I117" s="2" t="str">
        <f>'Gas Water'!L122</f>
        <v/>
      </c>
      <c r="J117" s="141"/>
      <c r="K117" s="5"/>
      <c r="L117" s="5"/>
    </row>
    <row r="118" spans="1:12" x14ac:dyDescent="0.25">
      <c r="A118" s="3" t="s">
        <v>73</v>
      </c>
      <c r="B118" s="3">
        <v>29</v>
      </c>
      <c r="C118" s="3">
        <v>4</v>
      </c>
      <c r="D118" s="3">
        <v>2022</v>
      </c>
      <c r="E118" s="4" t="e">
        <f>'Electricity '!I122+'Electricity '!O122</f>
        <v>#VALUE!</v>
      </c>
      <c r="F118" s="141"/>
      <c r="G118" s="4" t="str">
        <f>'Gas Water'!M123</f>
        <v/>
      </c>
      <c r="H118" s="141"/>
      <c r="I118" s="2" t="str">
        <f>'Gas Water'!L123</f>
        <v/>
      </c>
      <c r="J118" s="141"/>
      <c r="K118" s="5"/>
      <c r="L118" s="5"/>
    </row>
    <row r="119" spans="1:12" x14ac:dyDescent="0.25">
      <c r="A119" s="3" t="s">
        <v>73</v>
      </c>
      <c r="B119" s="3">
        <v>30</v>
      </c>
      <c r="C119" s="3">
        <v>4</v>
      </c>
      <c r="D119" s="3">
        <v>2022</v>
      </c>
      <c r="E119" s="4" t="e">
        <f>'Electricity '!I123+'Electricity '!O123</f>
        <v>#VALUE!</v>
      </c>
      <c r="F119" s="141"/>
      <c r="G119" s="4" t="str">
        <f>'Gas Water'!M124</f>
        <v/>
      </c>
      <c r="H119" s="141"/>
      <c r="I119" s="2" t="str">
        <f>'Gas Water'!L124</f>
        <v/>
      </c>
      <c r="J119" s="141"/>
      <c r="K119" s="5"/>
      <c r="L119" s="5"/>
    </row>
    <row r="120" spans="1:12" x14ac:dyDescent="0.25">
      <c r="A120" s="3" t="s">
        <v>73</v>
      </c>
      <c r="B120" s="3">
        <v>1</v>
      </c>
      <c r="C120" s="3">
        <v>5</v>
      </c>
      <c r="D120" s="3">
        <v>2022</v>
      </c>
      <c r="E120" s="4" t="e">
        <f>'Electricity '!I124+'Electricity '!O124</f>
        <v>#VALUE!</v>
      </c>
      <c r="F120" s="141"/>
      <c r="G120" s="4" t="str">
        <f>'Gas Water'!M125</f>
        <v/>
      </c>
      <c r="H120" s="141"/>
      <c r="I120" s="2" t="str">
        <f>'Gas Water'!L125</f>
        <v/>
      </c>
      <c r="J120" s="141"/>
      <c r="K120" s="5"/>
      <c r="L120" s="5"/>
    </row>
    <row r="121" spans="1:12" x14ac:dyDescent="0.25">
      <c r="A121" s="3" t="s">
        <v>73</v>
      </c>
      <c r="B121" s="3">
        <v>2</v>
      </c>
      <c r="C121" s="3">
        <v>5</v>
      </c>
      <c r="D121" s="3">
        <v>2022</v>
      </c>
      <c r="E121" s="4" t="e">
        <f>'Electricity '!I125+'Electricity '!O125</f>
        <v>#VALUE!</v>
      </c>
      <c r="F121" s="141"/>
      <c r="G121" s="4" t="str">
        <f>'Gas Water'!M126</f>
        <v/>
      </c>
      <c r="H121" s="141"/>
      <c r="I121" s="2" t="str">
        <f>'Gas Water'!L126</f>
        <v/>
      </c>
      <c r="J121" s="141"/>
      <c r="K121" s="5"/>
      <c r="L121" s="5"/>
    </row>
    <row r="122" spans="1:12" x14ac:dyDescent="0.25">
      <c r="A122" s="3" t="s">
        <v>73</v>
      </c>
      <c r="B122" s="3">
        <v>3</v>
      </c>
      <c r="C122" s="3">
        <v>5</v>
      </c>
      <c r="D122" s="3">
        <v>2022</v>
      </c>
      <c r="E122" s="4" t="e">
        <f>'Electricity '!I126+'Electricity '!O126</f>
        <v>#VALUE!</v>
      </c>
      <c r="F122" s="141"/>
      <c r="G122" s="4" t="str">
        <f>'Gas Water'!M127</f>
        <v/>
      </c>
      <c r="H122" s="141"/>
      <c r="I122" s="2" t="str">
        <f>'Gas Water'!L127</f>
        <v/>
      </c>
      <c r="J122" s="141"/>
      <c r="K122" s="5"/>
      <c r="L122" s="5"/>
    </row>
    <row r="123" spans="1:12" x14ac:dyDescent="0.25">
      <c r="A123" s="3" t="s">
        <v>73</v>
      </c>
      <c r="B123" s="3">
        <v>4</v>
      </c>
      <c r="C123" s="3">
        <v>5</v>
      </c>
      <c r="D123" s="3">
        <v>2022</v>
      </c>
      <c r="E123" s="4" t="e">
        <f>'Electricity '!I127+'Electricity '!O127</f>
        <v>#VALUE!</v>
      </c>
      <c r="F123" s="141"/>
      <c r="G123" s="4" t="str">
        <f>'Gas Water'!M128</f>
        <v/>
      </c>
      <c r="H123" s="141"/>
      <c r="I123" s="2" t="str">
        <f>'Gas Water'!L128</f>
        <v/>
      </c>
      <c r="J123" s="141"/>
      <c r="K123" s="5"/>
      <c r="L123" s="5"/>
    </row>
    <row r="124" spans="1:12" x14ac:dyDescent="0.25">
      <c r="A124" s="3" t="s">
        <v>73</v>
      </c>
      <c r="B124" s="3">
        <v>5</v>
      </c>
      <c r="C124" s="3">
        <v>5</v>
      </c>
      <c r="D124" s="3">
        <v>2022</v>
      </c>
      <c r="E124" s="4" t="e">
        <f>'Electricity '!I128+'Electricity '!O128</f>
        <v>#VALUE!</v>
      </c>
      <c r="F124" s="141"/>
      <c r="G124" s="4" t="str">
        <f>'Gas Water'!M129</f>
        <v/>
      </c>
      <c r="H124" s="141"/>
      <c r="I124" s="2" t="str">
        <f>'Gas Water'!L129</f>
        <v/>
      </c>
      <c r="J124" s="141"/>
      <c r="K124" s="5"/>
      <c r="L124" s="5"/>
    </row>
    <row r="125" spans="1:12" x14ac:dyDescent="0.25">
      <c r="A125" s="3" t="s">
        <v>73</v>
      </c>
      <c r="B125" s="3">
        <v>6</v>
      </c>
      <c r="C125" s="3">
        <v>5</v>
      </c>
      <c r="D125" s="3">
        <v>2022</v>
      </c>
      <c r="E125" s="4" t="e">
        <f>'Electricity '!I129+'Electricity '!O129</f>
        <v>#VALUE!</v>
      </c>
      <c r="F125" s="141"/>
      <c r="G125" s="4" t="str">
        <f>'Gas Water'!M130</f>
        <v/>
      </c>
      <c r="H125" s="141"/>
      <c r="I125" s="2" t="str">
        <f>'Gas Water'!L130</f>
        <v/>
      </c>
      <c r="J125" s="141"/>
      <c r="K125" s="5"/>
      <c r="L125" s="5"/>
    </row>
    <row r="126" spans="1:12" x14ac:dyDescent="0.25">
      <c r="A126" s="3" t="s">
        <v>73</v>
      </c>
      <c r="B126" s="3">
        <v>7</v>
      </c>
      <c r="C126" s="3">
        <v>5</v>
      </c>
      <c r="D126" s="3">
        <v>2022</v>
      </c>
      <c r="E126" s="4" t="e">
        <f>'Electricity '!I130+'Electricity '!O130</f>
        <v>#VALUE!</v>
      </c>
      <c r="F126" s="141"/>
      <c r="G126" s="4" t="str">
        <f>'Gas Water'!M131</f>
        <v/>
      </c>
      <c r="H126" s="141"/>
      <c r="I126" s="2" t="str">
        <f>'Gas Water'!L131</f>
        <v/>
      </c>
      <c r="J126" s="141"/>
      <c r="K126" s="5"/>
      <c r="L126" s="5"/>
    </row>
    <row r="127" spans="1:12" x14ac:dyDescent="0.25">
      <c r="A127" s="3" t="s">
        <v>73</v>
      </c>
      <c r="B127" s="3">
        <v>8</v>
      </c>
      <c r="C127" s="3">
        <v>5</v>
      </c>
      <c r="D127" s="3">
        <v>2022</v>
      </c>
      <c r="E127" s="4" t="e">
        <f>'Electricity '!I131+'Electricity '!O131</f>
        <v>#VALUE!</v>
      </c>
      <c r="F127" s="141"/>
      <c r="G127" s="4" t="str">
        <f>'Gas Water'!M132</f>
        <v/>
      </c>
      <c r="H127" s="141"/>
      <c r="I127" s="2" t="str">
        <f>'Gas Water'!L132</f>
        <v/>
      </c>
      <c r="J127" s="141"/>
      <c r="K127" s="5"/>
      <c r="L127" s="5"/>
    </row>
    <row r="128" spans="1:12" x14ac:dyDescent="0.25">
      <c r="A128" s="3" t="s">
        <v>73</v>
      </c>
      <c r="B128" s="3">
        <v>9</v>
      </c>
      <c r="C128" s="3">
        <v>5</v>
      </c>
      <c r="D128" s="3">
        <v>2022</v>
      </c>
      <c r="E128" s="4" t="e">
        <f>'Electricity '!I132+'Electricity '!O132</f>
        <v>#VALUE!</v>
      </c>
      <c r="F128" s="141"/>
      <c r="G128" s="4" t="str">
        <f>'Gas Water'!M133</f>
        <v/>
      </c>
      <c r="H128" s="141"/>
      <c r="I128" s="2" t="str">
        <f>'Gas Water'!L133</f>
        <v/>
      </c>
      <c r="J128" s="141"/>
      <c r="K128" s="5"/>
      <c r="L128" s="5"/>
    </row>
    <row r="129" spans="1:12" x14ac:dyDescent="0.25">
      <c r="A129" s="3" t="s">
        <v>73</v>
      </c>
      <c r="B129" s="3">
        <v>10</v>
      </c>
      <c r="C129" s="3">
        <v>5</v>
      </c>
      <c r="D129" s="3">
        <v>2022</v>
      </c>
      <c r="E129" s="4" t="e">
        <f>'Electricity '!I133+'Electricity '!O133</f>
        <v>#VALUE!</v>
      </c>
      <c r="F129" s="141"/>
      <c r="G129" s="4" t="str">
        <f>'Gas Water'!M134</f>
        <v/>
      </c>
      <c r="H129" s="141"/>
      <c r="I129" s="2" t="str">
        <f>'Gas Water'!L134</f>
        <v/>
      </c>
      <c r="J129" s="141"/>
      <c r="K129" s="5"/>
      <c r="L129" s="5"/>
    </row>
    <row r="130" spans="1:12" x14ac:dyDescent="0.25">
      <c r="A130" s="3" t="s">
        <v>73</v>
      </c>
      <c r="B130" s="3">
        <v>11</v>
      </c>
      <c r="C130" s="3">
        <v>5</v>
      </c>
      <c r="D130" s="3">
        <v>2022</v>
      </c>
      <c r="E130" s="4" t="e">
        <f>'Electricity '!I134+'Electricity '!O134</f>
        <v>#VALUE!</v>
      </c>
      <c r="F130" s="141"/>
      <c r="G130" s="4" t="str">
        <f>'Gas Water'!M135</f>
        <v/>
      </c>
      <c r="H130" s="141"/>
      <c r="I130" s="2" t="str">
        <f>'Gas Water'!L135</f>
        <v/>
      </c>
      <c r="J130" s="141"/>
      <c r="K130" s="5"/>
      <c r="L130" s="5"/>
    </row>
    <row r="131" spans="1:12" x14ac:dyDescent="0.25">
      <c r="A131" s="3" t="s">
        <v>73</v>
      </c>
      <c r="B131" s="3">
        <v>12</v>
      </c>
      <c r="C131" s="3">
        <v>5</v>
      </c>
      <c r="D131" s="3">
        <v>2022</v>
      </c>
      <c r="E131" s="4" t="e">
        <f>'Electricity '!I135+'Electricity '!O135</f>
        <v>#VALUE!</v>
      </c>
      <c r="F131" s="141"/>
      <c r="G131" s="4" t="str">
        <f>'Gas Water'!M136</f>
        <v/>
      </c>
      <c r="H131" s="141"/>
      <c r="I131" s="2" t="str">
        <f>'Gas Water'!L136</f>
        <v/>
      </c>
      <c r="J131" s="141"/>
      <c r="K131" s="5"/>
      <c r="L131" s="5"/>
    </row>
    <row r="132" spans="1:12" x14ac:dyDescent="0.25">
      <c r="A132" s="3" t="s">
        <v>73</v>
      </c>
      <c r="B132" s="3">
        <v>13</v>
      </c>
      <c r="C132" s="3">
        <v>5</v>
      </c>
      <c r="D132" s="3">
        <v>2022</v>
      </c>
      <c r="E132" s="4" t="e">
        <f>'Electricity '!I136+'Electricity '!O136</f>
        <v>#VALUE!</v>
      </c>
      <c r="F132" s="141"/>
      <c r="G132" s="4" t="str">
        <f>'Gas Water'!M137</f>
        <v/>
      </c>
      <c r="H132" s="141"/>
      <c r="I132" s="2" t="str">
        <f>'Gas Water'!L137</f>
        <v/>
      </c>
      <c r="J132" s="141"/>
      <c r="K132" s="5"/>
      <c r="L132" s="5"/>
    </row>
    <row r="133" spans="1:12" x14ac:dyDescent="0.25">
      <c r="A133" s="3" t="s">
        <v>73</v>
      </c>
      <c r="B133" s="3">
        <v>14</v>
      </c>
      <c r="C133" s="3">
        <v>5</v>
      </c>
      <c r="D133" s="3">
        <v>2022</v>
      </c>
      <c r="E133" s="4" t="e">
        <f>'Electricity '!I137+'Electricity '!O137</f>
        <v>#VALUE!</v>
      </c>
      <c r="F133" s="141"/>
      <c r="G133" s="4" t="str">
        <f>'Gas Water'!M138</f>
        <v/>
      </c>
      <c r="H133" s="141"/>
      <c r="I133" s="2" t="str">
        <f>'Gas Water'!L138</f>
        <v/>
      </c>
      <c r="J133" s="141"/>
      <c r="K133" s="5"/>
      <c r="L133" s="5"/>
    </row>
    <row r="134" spans="1:12" x14ac:dyDescent="0.25">
      <c r="A134" s="3" t="s">
        <v>73</v>
      </c>
      <c r="B134" s="3">
        <v>15</v>
      </c>
      <c r="C134" s="3">
        <v>5</v>
      </c>
      <c r="D134" s="3">
        <v>2022</v>
      </c>
      <c r="E134" s="4" t="e">
        <f>'Electricity '!I138+'Electricity '!O138</f>
        <v>#VALUE!</v>
      </c>
      <c r="F134" s="141"/>
      <c r="G134" s="4" t="str">
        <f>'Gas Water'!M139</f>
        <v/>
      </c>
      <c r="H134" s="141"/>
      <c r="I134" s="2" t="str">
        <f>'Gas Water'!L139</f>
        <v/>
      </c>
      <c r="J134" s="141"/>
      <c r="K134" s="5"/>
      <c r="L134" s="5"/>
    </row>
    <row r="135" spans="1:12" x14ac:dyDescent="0.25">
      <c r="A135" s="3" t="s">
        <v>73</v>
      </c>
      <c r="B135" s="3">
        <v>16</v>
      </c>
      <c r="C135" s="3">
        <v>5</v>
      </c>
      <c r="D135" s="3">
        <v>2022</v>
      </c>
      <c r="E135" s="4" t="e">
        <f>'Electricity '!I139+'Electricity '!O139</f>
        <v>#VALUE!</v>
      </c>
      <c r="F135" s="141"/>
      <c r="G135" s="4" t="str">
        <f>'Gas Water'!M140</f>
        <v/>
      </c>
      <c r="H135" s="141"/>
      <c r="I135" s="2" t="str">
        <f>'Gas Water'!L140</f>
        <v/>
      </c>
      <c r="J135" s="141"/>
      <c r="K135" s="5"/>
      <c r="L135" s="5"/>
    </row>
    <row r="136" spans="1:12" x14ac:dyDescent="0.25">
      <c r="A136" s="3" t="s">
        <v>73</v>
      </c>
      <c r="B136" s="3">
        <v>17</v>
      </c>
      <c r="C136" s="3">
        <v>5</v>
      </c>
      <c r="D136" s="3">
        <v>2022</v>
      </c>
      <c r="E136" s="4" t="e">
        <f>'Electricity '!I140+'Electricity '!O140</f>
        <v>#VALUE!</v>
      </c>
      <c r="F136" s="141"/>
      <c r="G136" s="4" t="str">
        <f>'Gas Water'!M141</f>
        <v/>
      </c>
      <c r="H136" s="141"/>
      <c r="I136" s="2" t="str">
        <f>'Gas Water'!L141</f>
        <v/>
      </c>
      <c r="J136" s="141"/>
      <c r="K136" s="5"/>
      <c r="L136" s="5"/>
    </row>
    <row r="137" spans="1:12" x14ac:dyDescent="0.25">
      <c r="A137" s="3" t="s">
        <v>73</v>
      </c>
      <c r="B137" s="3">
        <v>18</v>
      </c>
      <c r="C137" s="3">
        <v>5</v>
      </c>
      <c r="D137" s="3">
        <v>2022</v>
      </c>
      <c r="E137" s="4" t="e">
        <f>'Electricity '!I141+'Electricity '!O141</f>
        <v>#VALUE!</v>
      </c>
      <c r="F137" s="141"/>
      <c r="G137" s="4" t="str">
        <f>'Gas Water'!M142</f>
        <v/>
      </c>
      <c r="H137" s="141"/>
      <c r="I137" s="2" t="str">
        <f>'Gas Water'!L142</f>
        <v/>
      </c>
      <c r="J137" s="141"/>
      <c r="K137" s="5"/>
      <c r="L137" s="5"/>
    </row>
    <row r="138" spans="1:12" x14ac:dyDescent="0.25">
      <c r="A138" s="3" t="s">
        <v>73</v>
      </c>
      <c r="B138" s="3">
        <v>19</v>
      </c>
      <c r="C138" s="3">
        <v>5</v>
      </c>
      <c r="D138" s="3">
        <v>2022</v>
      </c>
      <c r="E138" s="4" t="e">
        <f>'Electricity '!I142+'Electricity '!O142</f>
        <v>#VALUE!</v>
      </c>
      <c r="F138" s="141"/>
      <c r="G138" s="4" t="str">
        <f>'Gas Water'!M143</f>
        <v/>
      </c>
      <c r="H138" s="141"/>
      <c r="I138" s="2" t="str">
        <f>'Gas Water'!L143</f>
        <v/>
      </c>
      <c r="J138" s="141"/>
      <c r="K138" s="5"/>
      <c r="L138" s="5"/>
    </row>
    <row r="139" spans="1:12" x14ac:dyDescent="0.25">
      <c r="A139" s="3" t="s">
        <v>73</v>
      </c>
      <c r="B139" s="3">
        <v>20</v>
      </c>
      <c r="C139" s="3">
        <v>5</v>
      </c>
      <c r="D139" s="3">
        <v>2022</v>
      </c>
      <c r="E139" s="4" t="e">
        <f>'Electricity '!I143+'Electricity '!O143</f>
        <v>#VALUE!</v>
      </c>
      <c r="F139" s="141"/>
      <c r="G139" s="4" t="str">
        <f>'Gas Water'!M144</f>
        <v/>
      </c>
      <c r="H139" s="141"/>
      <c r="I139" s="2" t="str">
        <f>'Gas Water'!L144</f>
        <v/>
      </c>
      <c r="J139" s="141"/>
      <c r="K139" s="5"/>
      <c r="L139" s="5"/>
    </row>
    <row r="140" spans="1:12" x14ac:dyDescent="0.25">
      <c r="A140" s="3" t="s">
        <v>73</v>
      </c>
      <c r="B140" s="3">
        <v>21</v>
      </c>
      <c r="C140" s="3">
        <v>5</v>
      </c>
      <c r="D140" s="3">
        <v>2022</v>
      </c>
      <c r="E140" s="4" t="e">
        <f>'Electricity '!I144+'Electricity '!O144</f>
        <v>#VALUE!</v>
      </c>
      <c r="F140" s="141"/>
      <c r="G140" s="4" t="str">
        <f>'Gas Water'!M145</f>
        <v/>
      </c>
      <c r="H140" s="141"/>
      <c r="I140" s="2" t="str">
        <f>'Gas Water'!L145</f>
        <v/>
      </c>
      <c r="J140" s="141"/>
      <c r="K140" s="5"/>
      <c r="L140" s="5"/>
    </row>
    <row r="141" spans="1:12" x14ac:dyDescent="0.25">
      <c r="A141" s="3" t="s">
        <v>73</v>
      </c>
      <c r="B141" s="3">
        <v>22</v>
      </c>
      <c r="C141" s="3">
        <v>5</v>
      </c>
      <c r="D141" s="3">
        <v>2022</v>
      </c>
      <c r="E141" s="4" t="e">
        <f>'Electricity '!I145+'Electricity '!O145</f>
        <v>#VALUE!</v>
      </c>
      <c r="F141" s="141"/>
      <c r="G141" s="4" t="str">
        <f>'Gas Water'!M146</f>
        <v/>
      </c>
      <c r="H141" s="141"/>
      <c r="I141" s="2" t="str">
        <f>'Gas Water'!L146</f>
        <v/>
      </c>
      <c r="J141" s="141"/>
      <c r="K141" s="5"/>
      <c r="L141" s="5"/>
    </row>
    <row r="142" spans="1:12" x14ac:dyDescent="0.25">
      <c r="A142" s="3" t="s">
        <v>73</v>
      </c>
      <c r="B142" s="3">
        <v>23</v>
      </c>
      <c r="C142" s="3">
        <v>5</v>
      </c>
      <c r="D142" s="3">
        <v>2022</v>
      </c>
      <c r="E142" s="4" t="e">
        <f>'Electricity '!I146+'Electricity '!O146</f>
        <v>#VALUE!</v>
      </c>
      <c r="F142" s="141"/>
      <c r="G142" s="4" t="str">
        <f>'Gas Water'!M147</f>
        <v/>
      </c>
      <c r="H142" s="141"/>
      <c r="I142" s="2" t="str">
        <f>'Gas Water'!L147</f>
        <v/>
      </c>
      <c r="J142" s="141"/>
      <c r="K142" s="5"/>
      <c r="L142" s="5"/>
    </row>
    <row r="143" spans="1:12" x14ac:dyDescent="0.25">
      <c r="A143" s="3" t="s">
        <v>73</v>
      </c>
      <c r="B143" s="3">
        <v>24</v>
      </c>
      <c r="C143" s="3">
        <v>5</v>
      </c>
      <c r="D143" s="3">
        <v>2022</v>
      </c>
      <c r="E143" s="4" t="e">
        <f>'Electricity '!I147+'Electricity '!O147</f>
        <v>#VALUE!</v>
      </c>
      <c r="F143" s="141"/>
      <c r="G143" s="4" t="str">
        <f>'Gas Water'!M148</f>
        <v/>
      </c>
      <c r="H143" s="141"/>
      <c r="I143" s="2" t="str">
        <f>'Gas Water'!L148</f>
        <v/>
      </c>
      <c r="J143" s="141"/>
      <c r="K143" s="5"/>
      <c r="L143" s="5"/>
    </row>
    <row r="144" spans="1:12" x14ac:dyDescent="0.25">
      <c r="A144" s="3" t="s">
        <v>73</v>
      </c>
      <c r="B144" s="3">
        <v>25</v>
      </c>
      <c r="C144" s="3">
        <v>5</v>
      </c>
      <c r="D144" s="3">
        <v>2022</v>
      </c>
      <c r="E144" s="4" t="e">
        <f>'Electricity '!I148+'Electricity '!O148</f>
        <v>#VALUE!</v>
      </c>
      <c r="F144" s="141"/>
      <c r="G144" s="4" t="str">
        <f>'Gas Water'!M149</f>
        <v/>
      </c>
      <c r="H144" s="141"/>
      <c r="I144" s="2" t="str">
        <f>'Gas Water'!L149</f>
        <v/>
      </c>
      <c r="J144" s="141"/>
      <c r="K144" s="5"/>
      <c r="L144" s="5"/>
    </row>
    <row r="145" spans="1:12" x14ac:dyDescent="0.25">
      <c r="A145" s="3" t="s">
        <v>73</v>
      </c>
      <c r="B145" s="3">
        <v>26</v>
      </c>
      <c r="C145" s="3">
        <v>5</v>
      </c>
      <c r="D145" s="3">
        <v>2022</v>
      </c>
      <c r="E145" s="4" t="e">
        <f>'Electricity '!I149+'Electricity '!O149</f>
        <v>#VALUE!</v>
      </c>
      <c r="F145" s="141"/>
      <c r="G145" s="4" t="str">
        <f>'Gas Water'!M150</f>
        <v/>
      </c>
      <c r="H145" s="141"/>
      <c r="I145" s="2" t="str">
        <f>'Gas Water'!L150</f>
        <v/>
      </c>
      <c r="J145" s="141"/>
      <c r="K145" s="5"/>
      <c r="L145" s="5"/>
    </row>
    <row r="146" spans="1:12" x14ac:dyDescent="0.25">
      <c r="A146" s="3" t="s">
        <v>73</v>
      </c>
      <c r="B146" s="3">
        <v>27</v>
      </c>
      <c r="C146" s="3">
        <v>5</v>
      </c>
      <c r="D146" s="3">
        <v>2022</v>
      </c>
      <c r="E146" s="4" t="e">
        <f>'Electricity '!I150+'Electricity '!O150</f>
        <v>#VALUE!</v>
      </c>
      <c r="F146" s="141"/>
      <c r="G146" s="4" t="str">
        <f>'Gas Water'!M151</f>
        <v/>
      </c>
      <c r="H146" s="141"/>
      <c r="I146" s="2" t="str">
        <f>'Gas Water'!L151</f>
        <v/>
      </c>
      <c r="J146" s="141"/>
      <c r="K146" s="5"/>
      <c r="L146" s="5"/>
    </row>
    <row r="147" spans="1:12" x14ac:dyDescent="0.25">
      <c r="A147" s="3" t="s">
        <v>73</v>
      </c>
      <c r="B147" s="3">
        <v>28</v>
      </c>
      <c r="C147" s="3">
        <v>5</v>
      </c>
      <c r="D147" s="3">
        <v>2022</v>
      </c>
      <c r="E147" s="4" t="e">
        <f>'Electricity '!I151+'Electricity '!O151</f>
        <v>#VALUE!</v>
      </c>
      <c r="F147" s="141"/>
      <c r="G147" s="4" t="str">
        <f>'Gas Water'!M152</f>
        <v/>
      </c>
      <c r="H147" s="141"/>
      <c r="I147" s="2" t="str">
        <f>'Gas Water'!L152</f>
        <v/>
      </c>
      <c r="J147" s="141"/>
      <c r="K147" s="5"/>
      <c r="L147" s="5"/>
    </row>
    <row r="148" spans="1:12" x14ac:dyDescent="0.25">
      <c r="A148" s="3" t="s">
        <v>73</v>
      </c>
      <c r="B148" s="3">
        <v>29</v>
      </c>
      <c r="C148" s="3">
        <v>5</v>
      </c>
      <c r="D148" s="3">
        <v>2022</v>
      </c>
      <c r="E148" s="4" t="e">
        <f>'Electricity '!I152+'Electricity '!O152</f>
        <v>#VALUE!</v>
      </c>
      <c r="F148" s="141"/>
      <c r="G148" s="4" t="str">
        <f>'Gas Water'!M153</f>
        <v/>
      </c>
      <c r="H148" s="141"/>
      <c r="I148" s="2" t="str">
        <f>'Gas Water'!L153</f>
        <v/>
      </c>
      <c r="J148" s="141"/>
      <c r="K148" s="5"/>
      <c r="L148" s="5"/>
    </row>
    <row r="149" spans="1:12" x14ac:dyDescent="0.25">
      <c r="A149" s="3" t="s">
        <v>73</v>
      </c>
      <c r="B149" s="3">
        <v>30</v>
      </c>
      <c r="C149" s="3">
        <v>5</v>
      </c>
      <c r="D149" s="3">
        <v>2022</v>
      </c>
      <c r="E149" s="4" t="e">
        <f>'Electricity '!I153+'Electricity '!O153</f>
        <v>#VALUE!</v>
      </c>
      <c r="F149" s="141"/>
      <c r="G149" s="4" t="str">
        <f>'Gas Water'!M154</f>
        <v/>
      </c>
      <c r="H149" s="141"/>
      <c r="I149" s="2" t="str">
        <f>'Gas Water'!L154</f>
        <v/>
      </c>
      <c r="J149" s="141"/>
      <c r="K149" s="5"/>
      <c r="L149" s="5"/>
    </row>
    <row r="150" spans="1:12" x14ac:dyDescent="0.25">
      <c r="A150" s="3" t="s">
        <v>73</v>
      </c>
      <c r="B150" s="3">
        <v>31</v>
      </c>
      <c r="C150" s="3">
        <v>5</v>
      </c>
      <c r="D150" s="3">
        <v>2022</v>
      </c>
      <c r="E150" s="4" t="e">
        <f>'Electricity '!I154+'Electricity '!O154</f>
        <v>#VALUE!</v>
      </c>
      <c r="F150" s="141"/>
      <c r="G150" s="4" t="str">
        <f>'Gas Water'!M155</f>
        <v/>
      </c>
      <c r="H150" s="141"/>
      <c r="I150" s="2" t="str">
        <f>'Gas Water'!L155</f>
        <v/>
      </c>
      <c r="J150" s="141"/>
      <c r="K150" s="5"/>
      <c r="L150" s="5"/>
    </row>
    <row r="151" spans="1:12" x14ac:dyDescent="0.25">
      <c r="A151" s="3" t="s">
        <v>73</v>
      </c>
      <c r="B151" s="3">
        <v>1</v>
      </c>
      <c r="C151" s="3">
        <v>6</v>
      </c>
      <c r="D151" s="3">
        <v>2022</v>
      </c>
      <c r="E151" s="4" t="e">
        <f>'Electricity '!I155+'Electricity '!O155</f>
        <v>#VALUE!</v>
      </c>
      <c r="F151" s="141"/>
      <c r="G151" s="4" t="str">
        <f>'Gas Water'!M156</f>
        <v/>
      </c>
      <c r="H151" s="141"/>
      <c r="I151" s="2" t="str">
        <f>'Gas Water'!L156</f>
        <v/>
      </c>
      <c r="J151" s="141"/>
      <c r="K151" s="5"/>
      <c r="L151" s="5"/>
    </row>
    <row r="152" spans="1:12" x14ac:dyDescent="0.25">
      <c r="A152" s="3" t="s">
        <v>73</v>
      </c>
      <c r="B152" s="3">
        <v>2</v>
      </c>
      <c r="C152" s="3">
        <v>6</v>
      </c>
      <c r="D152" s="3">
        <v>2022</v>
      </c>
      <c r="E152" s="4" t="e">
        <f>'Electricity '!I156+'Electricity '!O156</f>
        <v>#VALUE!</v>
      </c>
      <c r="F152" s="141"/>
      <c r="G152" s="4" t="str">
        <f>'Gas Water'!M157</f>
        <v/>
      </c>
      <c r="H152" s="141"/>
      <c r="I152" s="2" t="str">
        <f>'Gas Water'!L157</f>
        <v/>
      </c>
      <c r="J152" s="141"/>
      <c r="K152" s="5"/>
      <c r="L152" s="5"/>
    </row>
    <row r="153" spans="1:12" x14ac:dyDescent="0.25">
      <c r="A153" s="3" t="s">
        <v>73</v>
      </c>
      <c r="B153" s="3">
        <v>3</v>
      </c>
      <c r="C153" s="3">
        <v>6</v>
      </c>
      <c r="D153" s="3">
        <v>2022</v>
      </c>
      <c r="E153" s="4" t="e">
        <f>'Electricity '!I157+'Electricity '!O157</f>
        <v>#VALUE!</v>
      </c>
      <c r="F153" s="141"/>
      <c r="G153" s="4" t="str">
        <f>'Gas Water'!M158</f>
        <v/>
      </c>
      <c r="H153" s="141"/>
      <c r="I153" s="2" t="str">
        <f>'Gas Water'!L158</f>
        <v/>
      </c>
      <c r="J153" s="141"/>
      <c r="K153" s="5"/>
      <c r="L153" s="5"/>
    </row>
    <row r="154" spans="1:12" x14ac:dyDescent="0.25">
      <c r="A154" s="3" t="s">
        <v>73</v>
      </c>
      <c r="B154" s="3">
        <v>4</v>
      </c>
      <c r="C154" s="3">
        <v>6</v>
      </c>
      <c r="D154" s="3">
        <v>2022</v>
      </c>
      <c r="E154" s="4" t="e">
        <f>'Electricity '!I158+'Electricity '!O158</f>
        <v>#VALUE!</v>
      </c>
      <c r="F154" s="141"/>
      <c r="G154" s="4" t="str">
        <f>'Gas Water'!M159</f>
        <v/>
      </c>
      <c r="H154" s="141"/>
      <c r="I154" s="2" t="str">
        <f>'Gas Water'!L159</f>
        <v/>
      </c>
      <c r="J154" s="141"/>
      <c r="K154" s="5"/>
      <c r="L154" s="5"/>
    </row>
    <row r="155" spans="1:12" x14ac:dyDescent="0.25">
      <c r="A155" s="3" t="s">
        <v>73</v>
      </c>
      <c r="B155" s="3">
        <v>5</v>
      </c>
      <c r="C155" s="3">
        <v>6</v>
      </c>
      <c r="D155" s="3">
        <v>2022</v>
      </c>
      <c r="E155" s="4" t="e">
        <f>'Electricity '!I159+'Electricity '!O159</f>
        <v>#VALUE!</v>
      </c>
      <c r="F155" s="141"/>
      <c r="G155" s="4" t="str">
        <f>'Gas Water'!M160</f>
        <v/>
      </c>
      <c r="H155" s="141"/>
      <c r="I155" s="2" t="str">
        <f>'Gas Water'!L160</f>
        <v/>
      </c>
      <c r="J155" s="141"/>
      <c r="K155" s="5"/>
      <c r="L155" s="5"/>
    </row>
    <row r="156" spans="1:12" x14ac:dyDescent="0.25">
      <c r="A156" s="3" t="s">
        <v>73</v>
      </c>
      <c r="B156" s="3">
        <v>6</v>
      </c>
      <c r="C156" s="3">
        <v>6</v>
      </c>
      <c r="D156" s="3">
        <v>2022</v>
      </c>
      <c r="E156" s="4" t="e">
        <f>'Electricity '!I160+'Electricity '!O160</f>
        <v>#VALUE!</v>
      </c>
      <c r="F156" s="141"/>
      <c r="G156" s="4" t="str">
        <f>'Gas Water'!M161</f>
        <v/>
      </c>
      <c r="H156" s="141"/>
      <c r="I156" s="2" t="str">
        <f>'Gas Water'!L161</f>
        <v/>
      </c>
      <c r="J156" s="141"/>
      <c r="K156" s="5"/>
      <c r="L156" s="5"/>
    </row>
    <row r="157" spans="1:12" x14ac:dyDescent="0.25">
      <c r="A157" s="3" t="s">
        <v>73</v>
      </c>
      <c r="B157" s="3">
        <v>7</v>
      </c>
      <c r="C157" s="3">
        <v>6</v>
      </c>
      <c r="D157" s="3">
        <v>2022</v>
      </c>
      <c r="E157" s="4" t="e">
        <f>'Electricity '!I161+'Electricity '!O161</f>
        <v>#VALUE!</v>
      </c>
      <c r="F157" s="141"/>
      <c r="G157" s="4" t="str">
        <f>'Gas Water'!M162</f>
        <v/>
      </c>
      <c r="H157" s="141"/>
      <c r="I157" s="2" t="str">
        <f>'Gas Water'!L162</f>
        <v/>
      </c>
      <c r="J157" s="141"/>
      <c r="K157" s="5"/>
      <c r="L157" s="5"/>
    </row>
    <row r="158" spans="1:12" x14ac:dyDescent="0.25">
      <c r="A158" s="3" t="s">
        <v>73</v>
      </c>
      <c r="B158" s="3">
        <v>8</v>
      </c>
      <c r="C158" s="3">
        <v>6</v>
      </c>
      <c r="D158" s="3">
        <v>2022</v>
      </c>
      <c r="E158" s="4" t="e">
        <f>'Electricity '!I162+'Electricity '!O162</f>
        <v>#VALUE!</v>
      </c>
      <c r="F158" s="141"/>
      <c r="G158" s="4" t="str">
        <f>'Gas Water'!M163</f>
        <v/>
      </c>
      <c r="H158" s="141"/>
      <c r="I158" s="2" t="str">
        <f>'Gas Water'!L163</f>
        <v/>
      </c>
      <c r="J158" s="141"/>
      <c r="K158" s="5"/>
      <c r="L158" s="5"/>
    </row>
    <row r="159" spans="1:12" x14ac:dyDescent="0.25">
      <c r="A159" s="3" t="s">
        <v>73</v>
      </c>
      <c r="B159" s="3">
        <v>9</v>
      </c>
      <c r="C159" s="3">
        <v>6</v>
      </c>
      <c r="D159" s="3">
        <v>2022</v>
      </c>
      <c r="E159" s="4" t="e">
        <f>'Electricity '!I163+'Electricity '!O163</f>
        <v>#VALUE!</v>
      </c>
      <c r="F159" s="141"/>
      <c r="G159" s="4" t="str">
        <f>'Gas Water'!M164</f>
        <v/>
      </c>
      <c r="H159" s="141"/>
      <c r="I159" s="2" t="str">
        <f>'Gas Water'!L164</f>
        <v/>
      </c>
      <c r="J159" s="141"/>
      <c r="K159" s="5"/>
      <c r="L159" s="5"/>
    </row>
    <row r="160" spans="1:12" x14ac:dyDescent="0.25">
      <c r="A160" s="3" t="s">
        <v>73</v>
      </c>
      <c r="B160" s="3">
        <v>10</v>
      </c>
      <c r="C160" s="3">
        <v>6</v>
      </c>
      <c r="D160" s="3">
        <v>2022</v>
      </c>
      <c r="E160" s="4" t="e">
        <f>'Electricity '!I164+'Electricity '!O164</f>
        <v>#VALUE!</v>
      </c>
      <c r="F160" s="141"/>
      <c r="G160" s="4" t="str">
        <f>'Gas Water'!M165</f>
        <v/>
      </c>
      <c r="H160" s="141"/>
      <c r="I160" s="2" t="str">
        <f>'Gas Water'!L165</f>
        <v/>
      </c>
      <c r="J160" s="141"/>
      <c r="K160" s="5"/>
      <c r="L160" s="5"/>
    </row>
    <row r="161" spans="1:12" x14ac:dyDescent="0.25">
      <c r="A161" s="3" t="s">
        <v>73</v>
      </c>
      <c r="B161" s="3">
        <v>11</v>
      </c>
      <c r="C161" s="3">
        <v>6</v>
      </c>
      <c r="D161" s="3">
        <v>2022</v>
      </c>
      <c r="E161" s="4" t="e">
        <f>'Electricity '!I165+'Electricity '!O165</f>
        <v>#VALUE!</v>
      </c>
      <c r="F161" s="141"/>
      <c r="G161" s="4" t="str">
        <f>'Gas Water'!M166</f>
        <v/>
      </c>
      <c r="H161" s="141"/>
      <c r="I161" s="2" t="str">
        <f>'Gas Water'!L166</f>
        <v/>
      </c>
      <c r="J161" s="141"/>
      <c r="K161" s="5"/>
      <c r="L161" s="5"/>
    </row>
    <row r="162" spans="1:12" x14ac:dyDescent="0.25">
      <c r="A162" s="3" t="s">
        <v>73</v>
      </c>
      <c r="B162" s="3">
        <v>12</v>
      </c>
      <c r="C162" s="3">
        <v>6</v>
      </c>
      <c r="D162" s="3">
        <v>2022</v>
      </c>
      <c r="E162" s="4" t="e">
        <f>'Electricity '!I166+'Electricity '!O166</f>
        <v>#VALUE!</v>
      </c>
      <c r="F162" s="141"/>
      <c r="G162" s="4" t="str">
        <f>'Gas Water'!M167</f>
        <v/>
      </c>
      <c r="H162" s="141"/>
      <c r="I162" s="2" t="str">
        <f>'Gas Water'!L167</f>
        <v/>
      </c>
      <c r="J162" s="141"/>
      <c r="K162" s="5"/>
      <c r="L162" s="5"/>
    </row>
    <row r="163" spans="1:12" x14ac:dyDescent="0.25">
      <c r="A163" s="3" t="s">
        <v>73</v>
      </c>
      <c r="B163" s="3">
        <v>13</v>
      </c>
      <c r="C163" s="3">
        <v>6</v>
      </c>
      <c r="D163" s="3">
        <v>2022</v>
      </c>
      <c r="E163" s="4" t="e">
        <f>'Electricity '!I167+'Electricity '!O167</f>
        <v>#VALUE!</v>
      </c>
      <c r="F163" s="141"/>
      <c r="G163" s="4" t="str">
        <f>'Gas Water'!M168</f>
        <v/>
      </c>
      <c r="H163" s="141"/>
      <c r="I163" s="2" t="str">
        <f>'Gas Water'!L168</f>
        <v/>
      </c>
      <c r="J163" s="141"/>
      <c r="K163" s="5"/>
      <c r="L163" s="5"/>
    </row>
    <row r="164" spans="1:12" x14ac:dyDescent="0.25">
      <c r="A164" s="3" t="s">
        <v>73</v>
      </c>
      <c r="B164" s="3">
        <v>14</v>
      </c>
      <c r="C164" s="3">
        <v>6</v>
      </c>
      <c r="D164" s="3">
        <v>2022</v>
      </c>
      <c r="E164" s="4" t="e">
        <f>'Electricity '!I168+'Electricity '!O168</f>
        <v>#VALUE!</v>
      </c>
      <c r="F164" s="141"/>
      <c r="G164" s="4" t="str">
        <f>'Gas Water'!M169</f>
        <v/>
      </c>
      <c r="H164" s="141"/>
      <c r="I164" s="2" t="str">
        <f>'Gas Water'!L169</f>
        <v/>
      </c>
      <c r="J164" s="141"/>
      <c r="K164" s="5"/>
      <c r="L164" s="5"/>
    </row>
    <row r="165" spans="1:12" x14ac:dyDescent="0.25">
      <c r="A165" s="3" t="s">
        <v>73</v>
      </c>
      <c r="B165" s="3">
        <v>15</v>
      </c>
      <c r="C165" s="3">
        <v>6</v>
      </c>
      <c r="D165" s="3">
        <v>2022</v>
      </c>
      <c r="E165" s="4" t="e">
        <f>'Electricity '!I169+'Electricity '!O169</f>
        <v>#VALUE!</v>
      </c>
      <c r="F165" s="141"/>
      <c r="G165" s="4" t="str">
        <f>'Gas Water'!M170</f>
        <v/>
      </c>
      <c r="H165" s="141"/>
      <c r="I165" s="2" t="str">
        <f>'Gas Water'!L170</f>
        <v/>
      </c>
      <c r="J165" s="141"/>
      <c r="K165" s="5"/>
      <c r="L165" s="5"/>
    </row>
    <row r="166" spans="1:12" x14ac:dyDescent="0.25">
      <c r="A166" s="3" t="s">
        <v>73</v>
      </c>
      <c r="B166" s="3">
        <v>16</v>
      </c>
      <c r="C166" s="3">
        <v>6</v>
      </c>
      <c r="D166" s="3">
        <v>2022</v>
      </c>
      <c r="E166" s="4" t="e">
        <f>'Electricity '!I170+'Electricity '!O170</f>
        <v>#VALUE!</v>
      </c>
      <c r="F166" s="141"/>
      <c r="G166" s="4" t="str">
        <f>'Gas Water'!M171</f>
        <v/>
      </c>
      <c r="H166" s="141"/>
      <c r="I166" s="2" t="str">
        <f>'Gas Water'!L171</f>
        <v/>
      </c>
      <c r="J166" s="141"/>
      <c r="K166" s="5"/>
      <c r="L166" s="5"/>
    </row>
    <row r="167" spans="1:12" x14ac:dyDescent="0.25">
      <c r="A167" s="3" t="s">
        <v>73</v>
      </c>
      <c r="B167" s="3">
        <v>17</v>
      </c>
      <c r="C167" s="3">
        <v>6</v>
      </c>
      <c r="D167" s="3">
        <v>2022</v>
      </c>
      <c r="E167" s="4" t="e">
        <f>'Electricity '!I171+'Electricity '!O171</f>
        <v>#VALUE!</v>
      </c>
      <c r="F167" s="141"/>
      <c r="G167" s="4" t="str">
        <f>'Gas Water'!M172</f>
        <v/>
      </c>
      <c r="H167" s="141"/>
      <c r="I167" s="2" t="str">
        <f>'Gas Water'!L172</f>
        <v/>
      </c>
      <c r="J167" s="141"/>
      <c r="K167" s="5"/>
      <c r="L167" s="5"/>
    </row>
    <row r="168" spans="1:12" x14ac:dyDescent="0.25">
      <c r="A168" s="3" t="s">
        <v>73</v>
      </c>
      <c r="B168" s="3">
        <v>18</v>
      </c>
      <c r="C168" s="3">
        <v>6</v>
      </c>
      <c r="D168" s="3">
        <v>2022</v>
      </c>
      <c r="E168" s="4" t="e">
        <f>'Electricity '!I172+'Electricity '!O172</f>
        <v>#VALUE!</v>
      </c>
      <c r="F168" s="141"/>
      <c r="G168" s="4" t="str">
        <f>'Gas Water'!M173</f>
        <v/>
      </c>
      <c r="H168" s="141"/>
      <c r="I168" s="2" t="str">
        <f>'Gas Water'!L173</f>
        <v/>
      </c>
      <c r="J168" s="141"/>
      <c r="K168" s="5"/>
      <c r="L168" s="5"/>
    </row>
    <row r="169" spans="1:12" x14ac:dyDescent="0.25">
      <c r="A169" s="3" t="s">
        <v>73</v>
      </c>
      <c r="B169" s="3">
        <v>19</v>
      </c>
      <c r="C169" s="3">
        <v>6</v>
      </c>
      <c r="D169" s="3">
        <v>2022</v>
      </c>
      <c r="E169" s="4" t="e">
        <f>'Electricity '!I173+'Electricity '!O173</f>
        <v>#VALUE!</v>
      </c>
      <c r="F169" s="141"/>
      <c r="G169" s="4" t="str">
        <f>'Gas Water'!M174</f>
        <v/>
      </c>
      <c r="H169" s="141"/>
      <c r="I169" s="2" t="str">
        <f>'Gas Water'!L174</f>
        <v/>
      </c>
      <c r="J169" s="141"/>
      <c r="K169" s="5"/>
      <c r="L169" s="5"/>
    </row>
    <row r="170" spans="1:12" x14ac:dyDescent="0.25">
      <c r="A170" s="3" t="s">
        <v>73</v>
      </c>
      <c r="B170" s="3">
        <v>20</v>
      </c>
      <c r="C170" s="3">
        <v>6</v>
      </c>
      <c r="D170" s="3">
        <v>2022</v>
      </c>
      <c r="E170" s="4" t="e">
        <f>'Electricity '!I174+'Electricity '!O174</f>
        <v>#VALUE!</v>
      </c>
      <c r="F170" s="141"/>
      <c r="G170" s="4" t="str">
        <f>'Gas Water'!M175</f>
        <v/>
      </c>
      <c r="H170" s="141"/>
      <c r="I170" s="2" t="str">
        <f>'Gas Water'!L175</f>
        <v/>
      </c>
      <c r="J170" s="141"/>
      <c r="K170" s="5"/>
      <c r="L170" s="5"/>
    </row>
    <row r="171" spans="1:12" x14ac:dyDescent="0.25">
      <c r="A171" s="3" t="s">
        <v>73</v>
      </c>
      <c r="B171" s="3">
        <v>21</v>
      </c>
      <c r="C171" s="3">
        <v>6</v>
      </c>
      <c r="D171" s="3">
        <v>2022</v>
      </c>
      <c r="E171" s="4" t="e">
        <f>'Electricity '!I175+'Electricity '!O175</f>
        <v>#VALUE!</v>
      </c>
      <c r="F171" s="141"/>
      <c r="G171" s="4" t="str">
        <f>'Gas Water'!M176</f>
        <v/>
      </c>
      <c r="H171" s="141"/>
      <c r="I171" s="2" t="str">
        <f>'Gas Water'!L176</f>
        <v/>
      </c>
      <c r="J171" s="141"/>
      <c r="K171" s="5"/>
      <c r="L171" s="5"/>
    </row>
    <row r="172" spans="1:12" x14ac:dyDescent="0.25">
      <c r="A172" s="3" t="s">
        <v>73</v>
      </c>
      <c r="B172" s="3">
        <v>22</v>
      </c>
      <c r="C172" s="3">
        <v>6</v>
      </c>
      <c r="D172" s="3">
        <v>2022</v>
      </c>
      <c r="E172" s="4" t="e">
        <f>'Electricity '!I176+'Electricity '!O176</f>
        <v>#VALUE!</v>
      </c>
      <c r="F172" s="141"/>
      <c r="G172" s="4" t="str">
        <f>'Gas Water'!M177</f>
        <v/>
      </c>
      <c r="H172" s="141"/>
      <c r="I172" s="2" t="str">
        <f>'Gas Water'!L177</f>
        <v/>
      </c>
      <c r="J172" s="141"/>
      <c r="K172" s="5"/>
      <c r="L172" s="5"/>
    </row>
    <row r="173" spans="1:12" x14ac:dyDescent="0.25">
      <c r="A173" s="3" t="s">
        <v>73</v>
      </c>
      <c r="B173" s="3">
        <v>23</v>
      </c>
      <c r="C173" s="3">
        <v>6</v>
      </c>
      <c r="D173" s="3">
        <v>2022</v>
      </c>
      <c r="E173" s="4" t="e">
        <f>'Electricity '!I177+'Electricity '!O177</f>
        <v>#VALUE!</v>
      </c>
      <c r="F173" s="141"/>
      <c r="G173" s="4" t="str">
        <f>'Gas Water'!M178</f>
        <v/>
      </c>
      <c r="H173" s="141"/>
      <c r="I173" s="2" t="str">
        <f>'Gas Water'!L178</f>
        <v/>
      </c>
      <c r="J173" s="141"/>
      <c r="K173" s="5"/>
      <c r="L173" s="5"/>
    </row>
    <row r="174" spans="1:12" x14ac:dyDescent="0.25">
      <c r="A174" s="3" t="s">
        <v>73</v>
      </c>
      <c r="B174" s="3">
        <v>24</v>
      </c>
      <c r="C174" s="3">
        <v>6</v>
      </c>
      <c r="D174" s="3">
        <v>2022</v>
      </c>
      <c r="E174" s="4" t="e">
        <f>'Electricity '!I178+'Electricity '!O178</f>
        <v>#VALUE!</v>
      </c>
      <c r="F174" s="141"/>
      <c r="G174" s="4" t="str">
        <f>'Gas Water'!M179</f>
        <v/>
      </c>
      <c r="H174" s="141"/>
      <c r="I174" s="2" t="str">
        <f>'Gas Water'!L179</f>
        <v/>
      </c>
      <c r="J174" s="141"/>
      <c r="K174" s="5"/>
      <c r="L174" s="5"/>
    </row>
    <row r="175" spans="1:12" x14ac:dyDescent="0.25">
      <c r="A175" s="3" t="s">
        <v>73</v>
      </c>
      <c r="B175" s="3">
        <v>25</v>
      </c>
      <c r="C175" s="3">
        <v>6</v>
      </c>
      <c r="D175" s="3">
        <v>2022</v>
      </c>
      <c r="E175" s="4" t="e">
        <f>'Electricity '!I179+'Electricity '!O179</f>
        <v>#VALUE!</v>
      </c>
      <c r="F175" s="141"/>
      <c r="G175" s="4" t="str">
        <f>'Gas Water'!M180</f>
        <v/>
      </c>
      <c r="H175" s="141"/>
      <c r="I175" s="2" t="str">
        <f>'Gas Water'!L180</f>
        <v/>
      </c>
      <c r="J175" s="141"/>
      <c r="K175" s="5"/>
      <c r="L175" s="5"/>
    </row>
    <row r="176" spans="1:12" x14ac:dyDescent="0.25">
      <c r="A176" s="3" t="s">
        <v>73</v>
      </c>
      <c r="B176" s="3">
        <v>26</v>
      </c>
      <c r="C176" s="3">
        <v>6</v>
      </c>
      <c r="D176" s="3">
        <v>2022</v>
      </c>
      <c r="E176" s="4" t="e">
        <f>'Electricity '!I180+'Electricity '!O180</f>
        <v>#VALUE!</v>
      </c>
      <c r="F176" s="141"/>
      <c r="G176" s="4" t="str">
        <f>'Gas Water'!M181</f>
        <v/>
      </c>
      <c r="H176" s="141"/>
      <c r="I176" s="2" t="str">
        <f>'Gas Water'!L181</f>
        <v/>
      </c>
      <c r="J176" s="141"/>
      <c r="K176" s="5"/>
      <c r="L176" s="5"/>
    </row>
    <row r="177" spans="1:12" x14ac:dyDescent="0.25">
      <c r="A177" s="3" t="s">
        <v>73</v>
      </c>
      <c r="B177" s="3">
        <v>27</v>
      </c>
      <c r="C177" s="3">
        <v>6</v>
      </c>
      <c r="D177" s="3">
        <v>2022</v>
      </c>
      <c r="E177" s="4" t="e">
        <f>'Electricity '!I181+'Electricity '!O181</f>
        <v>#VALUE!</v>
      </c>
      <c r="F177" s="141"/>
      <c r="G177" s="4" t="str">
        <f>'Gas Water'!M182</f>
        <v/>
      </c>
      <c r="H177" s="141"/>
      <c r="I177" s="2" t="str">
        <f>'Gas Water'!L182</f>
        <v/>
      </c>
      <c r="J177" s="141"/>
      <c r="K177" s="5"/>
      <c r="L177" s="5"/>
    </row>
    <row r="178" spans="1:12" x14ac:dyDescent="0.25">
      <c r="A178" s="3" t="s">
        <v>73</v>
      </c>
      <c r="B178" s="3">
        <v>28</v>
      </c>
      <c r="C178" s="3">
        <v>6</v>
      </c>
      <c r="D178" s="3">
        <v>2022</v>
      </c>
      <c r="E178" s="4" t="e">
        <f>'Electricity '!I182+'Electricity '!O182</f>
        <v>#VALUE!</v>
      </c>
      <c r="F178" s="141"/>
      <c r="G178" s="4" t="str">
        <f>'Gas Water'!M183</f>
        <v/>
      </c>
      <c r="H178" s="141"/>
      <c r="I178" s="2" t="str">
        <f>'Gas Water'!L183</f>
        <v/>
      </c>
      <c r="J178" s="141"/>
      <c r="K178" s="5"/>
      <c r="L178" s="5"/>
    </row>
    <row r="179" spans="1:12" x14ac:dyDescent="0.25">
      <c r="A179" s="3" t="s">
        <v>73</v>
      </c>
      <c r="B179" s="3">
        <v>29</v>
      </c>
      <c r="C179" s="3">
        <v>6</v>
      </c>
      <c r="D179" s="3">
        <v>2022</v>
      </c>
      <c r="E179" s="4" t="e">
        <f>'Electricity '!I183+'Electricity '!O183</f>
        <v>#VALUE!</v>
      </c>
      <c r="F179" s="141"/>
      <c r="G179" s="4" t="str">
        <f>'Gas Water'!M184</f>
        <v/>
      </c>
      <c r="H179" s="141"/>
      <c r="I179" s="2" t="str">
        <f>'Gas Water'!L184</f>
        <v/>
      </c>
      <c r="J179" s="141"/>
      <c r="K179" s="5"/>
      <c r="L179" s="5"/>
    </row>
    <row r="180" spans="1:12" x14ac:dyDescent="0.25">
      <c r="A180" s="3" t="s">
        <v>73</v>
      </c>
      <c r="B180" s="3">
        <v>30</v>
      </c>
      <c r="C180" s="3">
        <v>6</v>
      </c>
      <c r="D180" s="3">
        <v>2022</v>
      </c>
      <c r="E180" s="4" t="e">
        <f>'Electricity '!I184+'Electricity '!O184</f>
        <v>#VALUE!</v>
      </c>
      <c r="F180" s="141"/>
      <c r="G180" s="4" t="str">
        <f>'Gas Water'!M185</f>
        <v/>
      </c>
      <c r="H180" s="141"/>
      <c r="I180" s="2" t="str">
        <f>'Gas Water'!L185</f>
        <v/>
      </c>
      <c r="J180" s="141"/>
      <c r="K180" s="5"/>
      <c r="L180" s="5"/>
    </row>
    <row r="181" spans="1:12" x14ac:dyDescent="0.25">
      <c r="A181" s="3" t="s">
        <v>73</v>
      </c>
      <c r="B181" s="3">
        <v>1</v>
      </c>
      <c r="C181" s="3">
        <v>7</v>
      </c>
      <c r="D181" s="3">
        <v>2022</v>
      </c>
      <c r="E181" s="4" t="e">
        <f>'Electricity '!I185+'Electricity '!O185</f>
        <v>#VALUE!</v>
      </c>
      <c r="F181" s="141"/>
      <c r="G181" s="4" t="str">
        <f>'Gas Water'!M186</f>
        <v/>
      </c>
      <c r="H181" s="141"/>
      <c r="I181" s="2" t="str">
        <f>'Gas Water'!L186</f>
        <v/>
      </c>
      <c r="J181" s="141"/>
      <c r="K181" s="5"/>
      <c r="L181" s="5"/>
    </row>
    <row r="182" spans="1:12" x14ac:dyDescent="0.25">
      <c r="A182" s="3" t="s">
        <v>73</v>
      </c>
      <c r="B182" s="3">
        <v>2</v>
      </c>
      <c r="C182" s="3">
        <v>7</v>
      </c>
      <c r="D182" s="3">
        <v>2022</v>
      </c>
      <c r="E182" s="4" t="e">
        <f>'Electricity '!I186+'Electricity '!O186</f>
        <v>#VALUE!</v>
      </c>
      <c r="F182" s="141"/>
      <c r="G182" s="4" t="str">
        <f>'Gas Water'!M187</f>
        <v/>
      </c>
      <c r="H182" s="141"/>
      <c r="I182" s="2" t="str">
        <f>'Gas Water'!L187</f>
        <v/>
      </c>
      <c r="J182" s="141"/>
      <c r="K182" s="5"/>
      <c r="L182" s="5"/>
    </row>
    <row r="183" spans="1:12" x14ac:dyDescent="0.25">
      <c r="A183" s="3" t="s">
        <v>73</v>
      </c>
      <c r="B183" s="3">
        <v>3</v>
      </c>
      <c r="C183" s="3">
        <v>7</v>
      </c>
      <c r="D183" s="3">
        <v>2022</v>
      </c>
      <c r="E183" s="4" t="e">
        <f>'Electricity '!I187+'Electricity '!O187</f>
        <v>#VALUE!</v>
      </c>
      <c r="F183" s="141"/>
      <c r="G183" s="4" t="str">
        <f>'Gas Water'!M188</f>
        <v/>
      </c>
      <c r="H183" s="141"/>
      <c r="I183" s="2" t="str">
        <f>'Gas Water'!L188</f>
        <v/>
      </c>
      <c r="J183" s="141"/>
      <c r="K183" s="5"/>
      <c r="L183" s="5"/>
    </row>
    <row r="184" spans="1:12" x14ac:dyDescent="0.25">
      <c r="A184" s="3" t="s">
        <v>73</v>
      </c>
      <c r="B184" s="3">
        <v>4</v>
      </c>
      <c r="C184" s="3">
        <v>7</v>
      </c>
      <c r="D184" s="3">
        <v>2022</v>
      </c>
      <c r="E184" s="4" t="e">
        <f>'Electricity '!I188+'Electricity '!O188</f>
        <v>#VALUE!</v>
      </c>
      <c r="F184" s="141"/>
      <c r="G184" s="4" t="str">
        <f>'Gas Water'!M189</f>
        <v/>
      </c>
      <c r="H184" s="141"/>
      <c r="I184" s="2" t="str">
        <f>'Gas Water'!L189</f>
        <v/>
      </c>
      <c r="J184" s="141"/>
      <c r="K184" s="5"/>
      <c r="L184" s="5"/>
    </row>
    <row r="185" spans="1:12" x14ac:dyDescent="0.25">
      <c r="A185" s="3" t="s">
        <v>73</v>
      </c>
      <c r="B185" s="3">
        <v>5</v>
      </c>
      <c r="C185" s="3">
        <v>7</v>
      </c>
      <c r="D185" s="3">
        <v>2022</v>
      </c>
      <c r="E185" s="4" t="e">
        <f>'Electricity '!I189+'Electricity '!O189</f>
        <v>#VALUE!</v>
      </c>
      <c r="F185" s="141"/>
      <c r="G185" s="4" t="str">
        <f>'Gas Water'!M190</f>
        <v/>
      </c>
      <c r="H185" s="141"/>
      <c r="I185" s="2" t="str">
        <f>'Gas Water'!L190</f>
        <v/>
      </c>
      <c r="J185" s="141"/>
      <c r="K185" s="5"/>
      <c r="L185" s="5"/>
    </row>
    <row r="186" spans="1:12" x14ac:dyDescent="0.25">
      <c r="A186" s="3" t="s">
        <v>73</v>
      </c>
      <c r="B186" s="3">
        <v>6</v>
      </c>
      <c r="C186" s="3">
        <v>7</v>
      </c>
      <c r="D186" s="3">
        <v>2022</v>
      </c>
      <c r="E186" s="4" t="e">
        <f>'Electricity '!I190+'Electricity '!O190</f>
        <v>#VALUE!</v>
      </c>
      <c r="F186" s="141"/>
      <c r="G186" s="4" t="str">
        <f>'Gas Water'!M191</f>
        <v/>
      </c>
      <c r="H186" s="141"/>
      <c r="I186" s="2" t="str">
        <f>'Gas Water'!L191</f>
        <v/>
      </c>
      <c r="J186" s="141"/>
      <c r="K186" s="5"/>
      <c r="L186" s="5"/>
    </row>
    <row r="187" spans="1:12" x14ac:dyDescent="0.25">
      <c r="A187" s="3" t="s">
        <v>73</v>
      </c>
      <c r="B187" s="3">
        <v>7</v>
      </c>
      <c r="C187" s="3">
        <v>7</v>
      </c>
      <c r="D187" s="3">
        <v>2022</v>
      </c>
      <c r="E187" s="4" t="e">
        <f>'Electricity '!I191+'Electricity '!O191</f>
        <v>#VALUE!</v>
      </c>
      <c r="F187" s="141"/>
      <c r="G187" s="4" t="str">
        <f>'Gas Water'!M192</f>
        <v/>
      </c>
      <c r="H187" s="141"/>
      <c r="I187" s="2" t="str">
        <f>'Gas Water'!L192</f>
        <v/>
      </c>
      <c r="J187" s="141"/>
      <c r="K187" s="5"/>
      <c r="L187" s="5"/>
    </row>
    <row r="188" spans="1:12" x14ac:dyDescent="0.25">
      <c r="A188" s="3" t="s">
        <v>73</v>
      </c>
      <c r="B188" s="3">
        <v>8</v>
      </c>
      <c r="C188" s="3">
        <v>7</v>
      </c>
      <c r="D188" s="3">
        <v>2022</v>
      </c>
      <c r="E188" s="4" t="e">
        <f>'Electricity '!I192+'Electricity '!O192</f>
        <v>#VALUE!</v>
      </c>
      <c r="F188" s="141"/>
      <c r="G188" s="4" t="str">
        <f>'Gas Water'!M193</f>
        <v/>
      </c>
      <c r="H188" s="141"/>
      <c r="I188" s="2" t="str">
        <f>'Gas Water'!L193</f>
        <v/>
      </c>
      <c r="J188" s="141"/>
      <c r="K188" s="5"/>
      <c r="L188" s="5"/>
    </row>
    <row r="189" spans="1:12" x14ac:dyDescent="0.25">
      <c r="A189" s="3" t="s">
        <v>73</v>
      </c>
      <c r="B189" s="3">
        <v>9</v>
      </c>
      <c r="C189" s="3">
        <v>7</v>
      </c>
      <c r="D189" s="3">
        <v>2022</v>
      </c>
      <c r="E189" s="4" t="e">
        <f>'Electricity '!I193+'Electricity '!O193</f>
        <v>#VALUE!</v>
      </c>
      <c r="F189" s="141"/>
      <c r="G189" s="4" t="str">
        <f>'Gas Water'!M194</f>
        <v/>
      </c>
      <c r="H189" s="141"/>
      <c r="I189" s="2" t="str">
        <f>'Gas Water'!L194</f>
        <v/>
      </c>
      <c r="J189" s="141"/>
      <c r="K189" s="5"/>
      <c r="L189" s="5"/>
    </row>
    <row r="190" spans="1:12" x14ac:dyDescent="0.25">
      <c r="A190" s="3" t="s">
        <v>73</v>
      </c>
      <c r="B190" s="3">
        <v>10</v>
      </c>
      <c r="C190" s="3">
        <v>7</v>
      </c>
      <c r="D190" s="3">
        <v>2022</v>
      </c>
      <c r="E190" s="4" t="e">
        <f>'Electricity '!I194+'Electricity '!O194</f>
        <v>#VALUE!</v>
      </c>
      <c r="F190" s="141"/>
      <c r="G190" s="4" t="str">
        <f>'Gas Water'!M195</f>
        <v/>
      </c>
      <c r="H190" s="141"/>
      <c r="I190" s="2" t="str">
        <f>'Gas Water'!L195</f>
        <v/>
      </c>
      <c r="J190" s="141"/>
      <c r="K190" s="5"/>
      <c r="L190" s="5"/>
    </row>
    <row r="191" spans="1:12" x14ac:dyDescent="0.25">
      <c r="A191" s="3" t="s">
        <v>73</v>
      </c>
      <c r="B191" s="3">
        <v>11</v>
      </c>
      <c r="C191" s="3">
        <v>7</v>
      </c>
      <c r="D191" s="3">
        <v>2022</v>
      </c>
      <c r="E191" s="4" t="e">
        <f>'Electricity '!I195+'Electricity '!O195</f>
        <v>#VALUE!</v>
      </c>
      <c r="F191" s="141"/>
      <c r="G191" s="4" t="str">
        <f>'Gas Water'!M196</f>
        <v/>
      </c>
      <c r="H191" s="141"/>
      <c r="I191" s="2" t="str">
        <f>'Gas Water'!L196</f>
        <v/>
      </c>
      <c r="J191" s="141"/>
      <c r="K191" s="5"/>
      <c r="L191" s="5"/>
    </row>
    <row r="192" spans="1:12" x14ac:dyDescent="0.25">
      <c r="A192" s="3" t="s">
        <v>73</v>
      </c>
      <c r="B192" s="3">
        <v>12</v>
      </c>
      <c r="C192" s="3">
        <v>7</v>
      </c>
      <c r="D192" s="3">
        <v>2022</v>
      </c>
      <c r="E192" s="4" t="e">
        <f>'Electricity '!I196+'Electricity '!O196</f>
        <v>#VALUE!</v>
      </c>
      <c r="F192" s="141"/>
      <c r="G192" s="4" t="str">
        <f>'Gas Water'!M197</f>
        <v/>
      </c>
      <c r="H192" s="141"/>
      <c r="I192" s="2" t="str">
        <f>'Gas Water'!L197</f>
        <v/>
      </c>
      <c r="J192" s="141"/>
      <c r="K192" s="5"/>
      <c r="L192" s="5"/>
    </row>
    <row r="193" spans="1:12" x14ac:dyDescent="0.25">
      <c r="A193" s="3" t="s">
        <v>73</v>
      </c>
      <c r="B193" s="3">
        <v>13</v>
      </c>
      <c r="C193" s="3">
        <v>7</v>
      </c>
      <c r="D193" s="3">
        <v>2022</v>
      </c>
      <c r="E193" s="4" t="e">
        <f>'Electricity '!I197+'Electricity '!O197</f>
        <v>#VALUE!</v>
      </c>
      <c r="F193" s="141"/>
      <c r="G193" s="4" t="str">
        <f>'Gas Water'!M198</f>
        <v/>
      </c>
      <c r="H193" s="141"/>
      <c r="I193" s="2" t="str">
        <f>'Gas Water'!L198</f>
        <v/>
      </c>
      <c r="J193" s="141"/>
      <c r="K193" s="5"/>
      <c r="L193" s="5"/>
    </row>
    <row r="194" spans="1:12" x14ac:dyDescent="0.25">
      <c r="A194" s="3" t="s">
        <v>73</v>
      </c>
      <c r="B194" s="3">
        <v>14</v>
      </c>
      <c r="C194" s="3">
        <v>7</v>
      </c>
      <c r="D194" s="3">
        <v>2022</v>
      </c>
      <c r="E194" s="4" t="e">
        <f>'Electricity '!I198+'Electricity '!O198</f>
        <v>#VALUE!</v>
      </c>
      <c r="F194" s="141"/>
      <c r="G194" s="4" t="str">
        <f>'Gas Water'!M199</f>
        <v/>
      </c>
      <c r="H194" s="141"/>
      <c r="I194" s="2" t="str">
        <f>'Gas Water'!L199</f>
        <v/>
      </c>
      <c r="J194" s="141"/>
      <c r="K194" s="5"/>
      <c r="L194" s="5"/>
    </row>
    <row r="195" spans="1:12" x14ac:dyDescent="0.25">
      <c r="A195" s="3" t="s">
        <v>73</v>
      </c>
      <c r="B195" s="3">
        <v>15</v>
      </c>
      <c r="C195" s="3">
        <v>7</v>
      </c>
      <c r="D195" s="3">
        <v>2022</v>
      </c>
      <c r="E195" s="4" t="e">
        <f>'Electricity '!I199+'Electricity '!O199</f>
        <v>#VALUE!</v>
      </c>
      <c r="F195" s="141"/>
      <c r="G195" s="4" t="str">
        <f>'Gas Water'!M200</f>
        <v/>
      </c>
      <c r="H195" s="141"/>
      <c r="I195" s="2" t="str">
        <f>'Gas Water'!L200</f>
        <v/>
      </c>
      <c r="J195" s="141"/>
      <c r="K195" s="5"/>
      <c r="L195" s="5"/>
    </row>
    <row r="196" spans="1:12" x14ac:dyDescent="0.25">
      <c r="A196" s="3" t="s">
        <v>73</v>
      </c>
      <c r="B196" s="3">
        <v>16</v>
      </c>
      <c r="C196" s="3">
        <v>7</v>
      </c>
      <c r="D196" s="3">
        <v>2022</v>
      </c>
      <c r="E196" s="4" t="e">
        <f>'Electricity '!I200+'Electricity '!O200</f>
        <v>#VALUE!</v>
      </c>
      <c r="F196" s="141"/>
      <c r="G196" s="4" t="str">
        <f>'Gas Water'!M201</f>
        <v/>
      </c>
      <c r="H196" s="141"/>
      <c r="I196" s="2" t="str">
        <f>'Gas Water'!L201</f>
        <v/>
      </c>
      <c r="J196" s="141"/>
      <c r="K196" s="5"/>
      <c r="L196" s="5"/>
    </row>
    <row r="197" spans="1:12" x14ac:dyDescent="0.25">
      <c r="A197" s="3" t="s">
        <v>73</v>
      </c>
      <c r="B197" s="3">
        <v>17</v>
      </c>
      <c r="C197" s="3">
        <v>7</v>
      </c>
      <c r="D197" s="3">
        <v>2022</v>
      </c>
      <c r="E197" s="4" t="e">
        <f>'Electricity '!I201+'Electricity '!O201</f>
        <v>#VALUE!</v>
      </c>
      <c r="F197" s="141"/>
      <c r="G197" s="4" t="str">
        <f>'Gas Water'!M202</f>
        <v/>
      </c>
      <c r="H197" s="141"/>
      <c r="I197" s="2" t="str">
        <f>'Gas Water'!L202</f>
        <v/>
      </c>
      <c r="J197" s="141"/>
      <c r="K197" s="5"/>
      <c r="L197" s="5"/>
    </row>
    <row r="198" spans="1:12" x14ac:dyDescent="0.25">
      <c r="A198" s="3" t="s">
        <v>73</v>
      </c>
      <c r="B198" s="3">
        <v>18</v>
      </c>
      <c r="C198" s="3">
        <v>7</v>
      </c>
      <c r="D198" s="3">
        <v>2022</v>
      </c>
      <c r="E198" s="4" t="e">
        <f>'Electricity '!I202+'Electricity '!O202</f>
        <v>#VALUE!</v>
      </c>
      <c r="F198" s="141"/>
      <c r="G198" s="4" t="str">
        <f>'Gas Water'!M203</f>
        <v/>
      </c>
      <c r="H198" s="141"/>
      <c r="I198" s="2" t="str">
        <f>'Gas Water'!L203</f>
        <v/>
      </c>
      <c r="J198" s="141"/>
      <c r="K198" s="5"/>
      <c r="L198" s="5"/>
    </row>
    <row r="199" spans="1:12" x14ac:dyDescent="0.25">
      <c r="A199" s="3" t="s">
        <v>73</v>
      </c>
      <c r="B199" s="3">
        <v>19</v>
      </c>
      <c r="C199" s="3">
        <v>7</v>
      </c>
      <c r="D199" s="3">
        <v>2022</v>
      </c>
      <c r="E199" s="4" t="e">
        <f>'Electricity '!I203+'Electricity '!O203</f>
        <v>#VALUE!</v>
      </c>
      <c r="F199" s="141"/>
      <c r="G199" s="4" t="str">
        <f>'Gas Water'!M204</f>
        <v/>
      </c>
      <c r="H199" s="141"/>
      <c r="I199" s="2" t="str">
        <f>'Gas Water'!L204</f>
        <v/>
      </c>
      <c r="J199" s="141"/>
      <c r="K199" s="5"/>
      <c r="L199" s="5"/>
    </row>
    <row r="200" spans="1:12" x14ac:dyDescent="0.25">
      <c r="A200" s="3" t="s">
        <v>73</v>
      </c>
      <c r="B200" s="3">
        <v>20</v>
      </c>
      <c r="C200" s="3">
        <v>7</v>
      </c>
      <c r="D200" s="3">
        <v>2022</v>
      </c>
      <c r="E200" s="4" t="e">
        <f>'Electricity '!I204+'Electricity '!O204</f>
        <v>#VALUE!</v>
      </c>
      <c r="F200" s="141"/>
      <c r="G200" s="4" t="str">
        <f>'Gas Water'!M205</f>
        <v/>
      </c>
      <c r="H200" s="141"/>
      <c r="I200" s="2" t="str">
        <f>'Gas Water'!L205</f>
        <v/>
      </c>
      <c r="J200" s="141"/>
      <c r="K200" s="5"/>
      <c r="L200" s="5"/>
    </row>
    <row r="201" spans="1:12" x14ac:dyDescent="0.25">
      <c r="A201" s="3" t="s">
        <v>73</v>
      </c>
      <c r="B201" s="3">
        <v>21</v>
      </c>
      <c r="C201" s="3">
        <v>7</v>
      </c>
      <c r="D201" s="3">
        <v>2022</v>
      </c>
      <c r="E201" s="4" t="e">
        <f>'Electricity '!I205+'Electricity '!O205</f>
        <v>#VALUE!</v>
      </c>
      <c r="F201" s="141"/>
      <c r="G201" s="4" t="str">
        <f>'Gas Water'!M206</f>
        <v/>
      </c>
      <c r="H201" s="141"/>
      <c r="I201" s="2" t="str">
        <f>'Gas Water'!L206</f>
        <v/>
      </c>
      <c r="J201" s="141"/>
      <c r="K201" s="5"/>
      <c r="L201" s="5"/>
    </row>
    <row r="202" spans="1:12" x14ac:dyDescent="0.25">
      <c r="A202" s="3" t="s">
        <v>73</v>
      </c>
      <c r="B202" s="3">
        <v>22</v>
      </c>
      <c r="C202" s="3">
        <v>7</v>
      </c>
      <c r="D202" s="3">
        <v>2022</v>
      </c>
      <c r="E202" s="4" t="e">
        <f>'Electricity '!I206+'Electricity '!O206</f>
        <v>#VALUE!</v>
      </c>
      <c r="F202" s="141"/>
      <c r="G202" s="4" t="str">
        <f>'Gas Water'!M207</f>
        <v/>
      </c>
      <c r="H202" s="141"/>
      <c r="I202" s="2" t="str">
        <f>'Gas Water'!L207</f>
        <v/>
      </c>
      <c r="J202" s="141"/>
      <c r="K202" s="5"/>
      <c r="L202" s="5"/>
    </row>
    <row r="203" spans="1:12" x14ac:dyDescent="0.25">
      <c r="A203" s="3" t="s">
        <v>73</v>
      </c>
      <c r="B203" s="3">
        <v>23</v>
      </c>
      <c r="C203" s="3">
        <v>7</v>
      </c>
      <c r="D203" s="3">
        <v>2022</v>
      </c>
      <c r="E203" s="4" t="e">
        <f>'Electricity '!I207+'Electricity '!O207</f>
        <v>#VALUE!</v>
      </c>
      <c r="F203" s="141"/>
      <c r="G203" s="4" t="str">
        <f>'Gas Water'!M208</f>
        <v/>
      </c>
      <c r="H203" s="141"/>
      <c r="I203" s="2" t="str">
        <f>'Gas Water'!L208</f>
        <v/>
      </c>
      <c r="J203" s="141"/>
      <c r="K203" s="5"/>
      <c r="L203" s="5"/>
    </row>
    <row r="204" spans="1:12" x14ac:dyDescent="0.25">
      <c r="A204" s="3" t="s">
        <v>73</v>
      </c>
      <c r="B204" s="3">
        <v>24</v>
      </c>
      <c r="C204" s="3">
        <v>7</v>
      </c>
      <c r="D204" s="3">
        <v>2022</v>
      </c>
      <c r="E204" s="4" t="e">
        <f>'Electricity '!I208+'Electricity '!O208</f>
        <v>#VALUE!</v>
      </c>
      <c r="F204" s="141"/>
      <c r="G204" s="4" t="str">
        <f>'Gas Water'!M209</f>
        <v/>
      </c>
      <c r="H204" s="141"/>
      <c r="I204" s="2" t="str">
        <f>'Gas Water'!L209</f>
        <v/>
      </c>
      <c r="J204" s="141"/>
      <c r="K204" s="5"/>
      <c r="L204" s="5"/>
    </row>
    <row r="205" spans="1:12" x14ac:dyDescent="0.25">
      <c r="A205" s="3" t="s">
        <v>73</v>
      </c>
      <c r="B205" s="3">
        <v>25</v>
      </c>
      <c r="C205" s="3">
        <v>7</v>
      </c>
      <c r="D205" s="3">
        <v>2022</v>
      </c>
      <c r="E205" s="4" t="e">
        <f>'Electricity '!I209+'Electricity '!O209</f>
        <v>#VALUE!</v>
      </c>
      <c r="F205" s="141"/>
      <c r="G205" s="4" t="str">
        <f>'Gas Water'!M210</f>
        <v/>
      </c>
      <c r="H205" s="141"/>
      <c r="I205" s="2" t="str">
        <f>'Gas Water'!L210</f>
        <v/>
      </c>
      <c r="J205" s="141"/>
      <c r="K205" s="5"/>
      <c r="L205" s="5"/>
    </row>
    <row r="206" spans="1:12" x14ac:dyDescent="0.25">
      <c r="A206" s="3" t="s">
        <v>73</v>
      </c>
      <c r="B206" s="3">
        <v>26</v>
      </c>
      <c r="C206" s="3">
        <v>7</v>
      </c>
      <c r="D206" s="3">
        <v>2022</v>
      </c>
      <c r="E206" s="4" t="e">
        <f>'Electricity '!I210+'Electricity '!O210</f>
        <v>#VALUE!</v>
      </c>
      <c r="F206" s="141"/>
      <c r="G206" s="4" t="str">
        <f>'Gas Water'!M211</f>
        <v/>
      </c>
      <c r="H206" s="141"/>
      <c r="I206" s="2" t="str">
        <f>'Gas Water'!L211</f>
        <v/>
      </c>
      <c r="J206" s="141"/>
      <c r="K206" s="5"/>
      <c r="L206" s="5"/>
    </row>
    <row r="207" spans="1:12" x14ac:dyDescent="0.25">
      <c r="A207" s="3" t="s">
        <v>73</v>
      </c>
      <c r="B207" s="3">
        <v>27</v>
      </c>
      <c r="C207" s="3">
        <v>7</v>
      </c>
      <c r="D207" s="3">
        <v>2022</v>
      </c>
      <c r="E207" s="4" t="e">
        <f>'Electricity '!I211+'Electricity '!O211</f>
        <v>#VALUE!</v>
      </c>
      <c r="F207" s="141"/>
      <c r="G207" s="4" t="str">
        <f>'Gas Water'!M212</f>
        <v/>
      </c>
      <c r="H207" s="141"/>
      <c r="I207" s="2" t="str">
        <f>'Gas Water'!L212</f>
        <v/>
      </c>
      <c r="J207" s="141"/>
      <c r="K207" s="5"/>
      <c r="L207" s="5"/>
    </row>
    <row r="208" spans="1:12" x14ac:dyDescent="0.25">
      <c r="A208" s="3" t="s">
        <v>73</v>
      </c>
      <c r="B208" s="3">
        <v>28</v>
      </c>
      <c r="C208" s="3">
        <v>7</v>
      </c>
      <c r="D208" s="3">
        <v>2022</v>
      </c>
      <c r="E208" s="4" t="e">
        <f>'Electricity '!I212+'Electricity '!O212</f>
        <v>#VALUE!</v>
      </c>
      <c r="F208" s="141"/>
      <c r="G208" s="4" t="str">
        <f>'Gas Water'!M213</f>
        <v/>
      </c>
      <c r="H208" s="141"/>
      <c r="I208" s="2" t="str">
        <f>'Gas Water'!L213</f>
        <v/>
      </c>
      <c r="J208" s="141"/>
      <c r="K208" s="5"/>
      <c r="L208" s="5"/>
    </row>
    <row r="209" spans="1:12" x14ac:dyDescent="0.25">
      <c r="A209" s="3" t="s">
        <v>73</v>
      </c>
      <c r="B209" s="3">
        <v>29</v>
      </c>
      <c r="C209" s="3">
        <v>7</v>
      </c>
      <c r="D209" s="3">
        <v>2022</v>
      </c>
      <c r="E209" s="4" t="e">
        <f>'Electricity '!I213+'Electricity '!O213</f>
        <v>#VALUE!</v>
      </c>
      <c r="F209" s="141"/>
      <c r="G209" s="4" t="str">
        <f>'Gas Water'!M214</f>
        <v/>
      </c>
      <c r="H209" s="141"/>
      <c r="I209" s="2" t="str">
        <f>'Gas Water'!L214</f>
        <v/>
      </c>
      <c r="J209" s="141"/>
      <c r="K209" s="5"/>
      <c r="L209" s="5"/>
    </row>
    <row r="210" spans="1:12" x14ac:dyDescent="0.25">
      <c r="A210" s="3" t="s">
        <v>73</v>
      </c>
      <c r="B210" s="3">
        <v>30</v>
      </c>
      <c r="C210" s="3">
        <v>7</v>
      </c>
      <c r="D210" s="3">
        <v>2022</v>
      </c>
      <c r="E210" s="4" t="e">
        <f>'Electricity '!I214+'Electricity '!O214</f>
        <v>#VALUE!</v>
      </c>
      <c r="F210" s="141"/>
      <c r="G210" s="4" t="str">
        <f>'Gas Water'!M215</f>
        <v/>
      </c>
      <c r="H210" s="141"/>
      <c r="I210" s="2" t="str">
        <f>'Gas Water'!L215</f>
        <v/>
      </c>
      <c r="J210" s="141"/>
      <c r="K210" s="5"/>
      <c r="L210" s="5"/>
    </row>
    <row r="211" spans="1:12" x14ac:dyDescent="0.25">
      <c r="A211" s="3" t="s">
        <v>73</v>
      </c>
      <c r="B211" s="3">
        <v>31</v>
      </c>
      <c r="C211" s="3">
        <v>7</v>
      </c>
      <c r="D211" s="3">
        <v>2022</v>
      </c>
      <c r="E211" s="4" t="e">
        <f>'Electricity '!I215+'Electricity '!O215</f>
        <v>#VALUE!</v>
      </c>
      <c r="F211" s="141"/>
      <c r="G211" s="4" t="str">
        <f>'Gas Water'!M216</f>
        <v/>
      </c>
      <c r="H211" s="141"/>
      <c r="I211" s="2" t="str">
        <f>'Gas Water'!L216</f>
        <v/>
      </c>
      <c r="J211" s="141"/>
      <c r="K211" s="5"/>
      <c r="L211" s="5"/>
    </row>
    <row r="212" spans="1:12" x14ac:dyDescent="0.25">
      <c r="A212" s="3" t="s">
        <v>73</v>
      </c>
      <c r="B212" s="3">
        <v>1</v>
      </c>
      <c r="C212" s="3">
        <v>8</v>
      </c>
      <c r="D212" s="3">
        <v>2022</v>
      </c>
      <c r="E212" s="4" t="e">
        <f>'Electricity '!I216+'Electricity '!O216</f>
        <v>#VALUE!</v>
      </c>
      <c r="F212" s="141"/>
      <c r="G212" s="4" t="str">
        <f>'Gas Water'!M217</f>
        <v/>
      </c>
      <c r="H212" s="141"/>
      <c r="I212" s="2" t="str">
        <f>'Gas Water'!L217</f>
        <v/>
      </c>
      <c r="J212" s="141"/>
      <c r="K212" s="5"/>
      <c r="L212" s="5"/>
    </row>
    <row r="213" spans="1:12" x14ac:dyDescent="0.25">
      <c r="A213" s="3" t="s">
        <v>73</v>
      </c>
      <c r="B213" s="3">
        <v>2</v>
      </c>
      <c r="C213" s="3">
        <v>8</v>
      </c>
      <c r="D213" s="3">
        <v>2022</v>
      </c>
      <c r="E213" s="4" t="e">
        <f>'Electricity '!I217+'Electricity '!O217</f>
        <v>#VALUE!</v>
      </c>
      <c r="F213" s="141"/>
      <c r="G213" s="4" t="str">
        <f>'Gas Water'!M218</f>
        <v/>
      </c>
      <c r="H213" s="141"/>
      <c r="I213" s="2" t="str">
        <f>'Gas Water'!L218</f>
        <v/>
      </c>
      <c r="J213" s="141"/>
      <c r="K213" s="5"/>
      <c r="L213" s="5"/>
    </row>
    <row r="214" spans="1:12" x14ac:dyDescent="0.25">
      <c r="A214" s="3" t="s">
        <v>73</v>
      </c>
      <c r="B214" s="3">
        <v>3</v>
      </c>
      <c r="C214" s="3">
        <v>8</v>
      </c>
      <c r="D214" s="3">
        <v>2022</v>
      </c>
      <c r="E214" s="4" t="e">
        <f>'Electricity '!I218+'Electricity '!O218</f>
        <v>#VALUE!</v>
      </c>
      <c r="F214" s="141"/>
      <c r="G214" s="4" t="str">
        <f>'Gas Water'!M219</f>
        <v/>
      </c>
      <c r="H214" s="141"/>
      <c r="I214" s="2" t="str">
        <f>'Gas Water'!L219</f>
        <v/>
      </c>
      <c r="J214" s="141"/>
      <c r="K214" s="5"/>
      <c r="L214" s="5"/>
    </row>
    <row r="215" spans="1:12" x14ac:dyDescent="0.25">
      <c r="A215" s="3" t="s">
        <v>73</v>
      </c>
      <c r="B215" s="3">
        <v>4</v>
      </c>
      <c r="C215" s="3">
        <v>8</v>
      </c>
      <c r="D215" s="3">
        <v>2022</v>
      </c>
      <c r="E215" s="4" t="e">
        <f>'Electricity '!I219+'Electricity '!O219</f>
        <v>#VALUE!</v>
      </c>
      <c r="F215" s="141"/>
      <c r="G215" s="4" t="str">
        <f>'Gas Water'!M220</f>
        <v/>
      </c>
      <c r="H215" s="141"/>
      <c r="I215" s="2" t="str">
        <f>'Gas Water'!L220</f>
        <v/>
      </c>
      <c r="J215" s="141"/>
      <c r="K215" s="5"/>
      <c r="L215" s="5"/>
    </row>
    <row r="216" spans="1:12" x14ac:dyDescent="0.25">
      <c r="A216" s="3" t="s">
        <v>73</v>
      </c>
      <c r="B216" s="3">
        <v>5</v>
      </c>
      <c r="C216" s="3">
        <v>8</v>
      </c>
      <c r="D216" s="3">
        <v>2022</v>
      </c>
      <c r="E216" s="4" t="e">
        <f>'Electricity '!I220+'Electricity '!O220</f>
        <v>#VALUE!</v>
      </c>
      <c r="F216" s="141"/>
      <c r="G216" s="4" t="str">
        <f>'Gas Water'!M221</f>
        <v/>
      </c>
      <c r="H216" s="141"/>
      <c r="I216" s="2" t="str">
        <f>'Gas Water'!L221</f>
        <v/>
      </c>
      <c r="J216" s="141"/>
      <c r="K216" s="5"/>
      <c r="L216" s="5"/>
    </row>
    <row r="217" spans="1:12" x14ac:dyDescent="0.25">
      <c r="A217" s="3" t="s">
        <v>73</v>
      </c>
      <c r="B217" s="3">
        <v>6</v>
      </c>
      <c r="C217" s="3">
        <v>8</v>
      </c>
      <c r="D217" s="3">
        <v>2022</v>
      </c>
      <c r="E217" s="4" t="e">
        <f>'Electricity '!I221+'Electricity '!O221</f>
        <v>#VALUE!</v>
      </c>
      <c r="F217" s="141"/>
      <c r="G217" s="4" t="str">
        <f>'Gas Water'!M222</f>
        <v/>
      </c>
      <c r="H217" s="141"/>
      <c r="I217" s="2" t="str">
        <f>'Gas Water'!L222</f>
        <v/>
      </c>
      <c r="J217" s="141"/>
      <c r="K217" s="5"/>
      <c r="L217" s="5"/>
    </row>
    <row r="218" spans="1:12" x14ac:dyDescent="0.25">
      <c r="A218" s="3" t="s">
        <v>73</v>
      </c>
      <c r="B218" s="3">
        <v>7</v>
      </c>
      <c r="C218" s="3">
        <v>8</v>
      </c>
      <c r="D218" s="3">
        <v>2022</v>
      </c>
      <c r="E218" s="4" t="e">
        <f>'Electricity '!I222+'Electricity '!O222</f>
        <v>#VALUE!</v>
      </c>
      <c r="F218" s="141"/>
      <c r="G218" s="4" t="str">
        <f>'Gas Water'!M223</f>
        <v/>
      </c>
      <c r="H218" s="141"/>
      <c r="I218" s="2" t="str">
        <f>'Gas Water'!L223</f>
        <v/>
      </c>
      <c r="J218" s="141"/>
      <c r="K218" s="5"/>
      <c r="L218" s="5"/>
    </row>
    <row r="219" spans="1:12" x14ac:dyDescent="0.25">
      <c r="A219" s="3" t="s">
        <v>73</v>
      </c>
      <c r="B219" s="3">
        <v>8</v>
      </c>
      <c r="C219" s="3">
        <v>8</v>
      </c>
      <c r="D219" s="3">
        <v>2022</v>
      </c>
      <c r="E219" s="4" t="e">
        <f>'Electricity '!I223+'Electricity '!O223</f>
        <v>#VALUE!</v>
      </c>
      <c r="F219" s="141"/>
      <c r="G219" s="4" t="str">
        <f>'Gas Water'!M224</f>
        <v/>
      </c>
      <c r="H219" s="141"/>
      <c r="I219" s="2" t="str">
        <f>'Gas Water'!L224</f>
        <v/>
      </c>
      <c r="J219" s="141"/>
      <c r="K219" s="5"/>
      <c r="L219" s="5"/>
    </row>
    <row r="220" spans="1:12" x14ac:dyDescent="0.25">
      <c r="A220" s="3" t="s">
        <v>73</v>
      </c>
      <c r="B220" s="3">
        <v>9</v>
      </c>
      <c r="C220" s="3">
        <v>8</v>
      </c>
      <c r="D220" s="3">
        <v>2022</v>
      </c>
      <c r="E220" s="4" t="e">
        <f>'Electricity '!I224+'Electricity '!O224</f>
        <v>#VALUE!</v>
      </c>
      <c r="F220" s="141"/>
      <c r="G220" s="4" t="str">
        <f>'Gas Water'!M225</f>
        <v/>
      </c>
      <c r="H220" s="141"/>
      <c r="I220" s="2" t="str">
        <f>'Gas Water'!L225</f>
        <v/>
      </c>
      <c r="J220" s="141"/>
      <c r="K220" s="5"/>
      <c r="L220" s="5"/>
    </row>
    <row r="221" spans="1:12" x14ac:dyDescent="0.25">
      <c r="A221" s="3" t="s">
        <v>73</v>
      </c>
      <c r="B221" s="3">
        <v>10</v>
      </c>
      <c r="C221" s="3">
        <v>8</v>
      </c>
      <c r="D221" s="3">
        <v>2022</v>
      </c>
      <c r="E221" s="4" t="e">
        <f>'Electricity '!I225+'Electricity '!O225</f>
        <v>#VALUE!</v>
      </c>
      <c r="F221" s="141"/>
      <c r="G221" s="4" t="str">
        <f>'Gas Water'!M226</f>
        <v/>
      </c>
      <c r="H221" s="141"/>
      <c r="I221" s="2" t="str">
        <f>'Gas Water'!L226</f>
        <v/>
      </c>
      <c r="J221" s="141"/>
      <c r="K221" s="5"/>
      <c r="L221" s="5"/>
    </row>
    <row r="222" spans="1:12" x14ac:dyDescent="0.25">
      <c r="A222" s="3" t="s">
        <v>73</v>
      </c>
      <c r="B222" s="3">
        <v>11</v>
      </c>
      <c r="C222" s="3">
        <v>8</v>
      </c>
      <c r="D222" s="3">
        <v>2022</v>
      </c>
      <c r="E222" s="4" t="e">
        <f>'Electricity '!I226+'Electricity '!O226</f>
        <v>#VALUE!</v>
      </c>
      <c r="F222" s="141"/>
      <c r="G222" s="4" t="str">
        <f>'Gas Water'!M227</f>
        <v/>
      </c>
      <c r="H222" s="141"/>
      <c r="I222" s="2" t="str">
        <f>'Gas Water'!L227</f>
        <v/>
      </c>
      <c r="J222" s="141"/>
      <c r="K222" s="5"/>
      <c r="L222" s="5"/>
    </row>
    <row r="223" spans="1:12" x14ac:dyDescent="0.25">
      <c r="A223" s="3" t="s">
        <v>73</v>
      </c>
      <c r="B223" s="3">
        <v>12</v>
      </c>
      <c r="C223" s="3">
        <v>8</v>
      </c>
      <c r="D223" s="3">
        <v>2022</v>
      </c>
      <c r="E223" s="4" t="e">
        <f>'Electricity '!I227+'Electricity '!O227</f>
        <v>#VALUE!</v>
      </c>
      <c r="F223" s="141"/>
      <c r="G223" s="4" t="str">
        <f>'Gas Water'!M228</f>
        <v/>
      </c>
      <c r="H223" s="141"/>
      <c r="I223" s="2" t="str">
        <f>'Gas Water'!L228</f>
        <v/>
      </c>
      <c r="J223" s="141"/>
      <c r="K223" s="5"/>
      <c r="L223" s="5"/>
    </row>
    <row r="224" spans="1:12" x14ac:dyDescent="0.25">
      <c r="A224" s="3" t="s">
        <v>73</v>
      </c>
      <c r="B224" s="3">
        <v>13</v>
      </c>
      <c r="C224" s="3">
        <v>8</v>
      </c>
      <c r="D224" s="3">
        <v>2022</v>
      </c>
      <c r="E224" s="4" t="e">
        <f>'Electricity '!I228+'Electricity '!O228</f>
        <v>#VALUE!</v>
      </c>
      <c r="F224" s="141"/>
      <c r="G224" s="4" t="str">
        <f>'Gas Water'!M229</f>
        <v/>
      </c>
      <c r="H224" s="141"/>
      <c r="I224" s="2" t="str">
        <f>'Gas Water'!L229</f>
        <v/>
      </c>
      <c r="J224" s="141"/>
      <c r="K224" s="5"/>
      <c r="L224" s="5"/>
    </row>
    <row r="225" spans="1:12" x14ac:dyDescent="0.25">
      <c r="A225" s="3" t="s">
        <v>73</v>
      </c>
      <c r="B225" s="3">
        <v>14</v>
      </c>
      <c r="C225" s="3">
        <v>8</v>
      </c>
      <c r="D225" s="3">
        <v>2022</v>
      </c>
      <c r="E225" s="4" t="e">
        <f>'Electricity '!I229+'Electricity '!O229</f>
        <v>#VALUE!</v>
      </c>
      <c r="F225" s="141"/>
      <c r="G225" s="4" t="str">
        <f>'Gas Water'!M230</f>
        <v/>
      </c>
      <c r="H225" s="141"/>
      <c r="I225" s="2" t="str">
        <f>'Gas Water'!L230</f>
        <v/>
      </c>
      <c r="J225" s="141"/>
      <c r="K225" s="5"/>
      <c r="L225" s="5"/>
    </row>
    <row r="226" spans="1:12" x14ac:dyDescent="0.25">
      <c r="A226" s="3" t="s">
        <v>73</v>
      </c>
      <c r="B226" s="3">
        <v>15</v>
      </c>
      <c r="C226" s="3">
        <v>8</v>
      </c>
      <c r="D226" s="3">
        <v>2022</v>
      </c>
      <c r="E226" s="4" t="e">
        <f>'Electricity '!I230+'Electricity '!O230</f>
        <v>#VALUE!</v>
      </c>
      <c r="F226" s="141"/>
      <c r="G226" s="4" t="str">
        <f>'Gas Water'!M231</f>
        <v/>
      </c>
      <c r="H226" s="141"/>
      <c r="I226" s="2" t="str">
        <f>'Gas Water'!L231</f>
        <v/>
      </c>
      <c r="J226" s="141"/>
      <c r="K226" s="5"/>
      <c r="L226" s="5"/>
    </row>
    <row r="227" spans="1:12" x14ac:dyDescent="0.25">
      <c r="A227" s="3" t="s">
        <v>73</v>
      </c>
      <c r="B227" s="3">
        <v>16</v>
      </c>
      <c r="C227" s="3">
        <v>8</v>
      </c>
      <c r="D227" s="3">
        <v>2022</v>
      </c>
      <c r="E227" s="4" t="e">
        <f>'Electricity '!I231+'Electricity '!O231</f>
        <v>#VALUE!</v>
      </c>
      <c r="F227" s="141"/>
      <c r="G227" s="4" t="str">
        <f>'Gas Water'!M232</f>
        <v/>
      </c>
      <c r="H227" s="141"/>
      <c r="I227" s="2" t="str">
        <f>'Gas Water'!L232</f>
        <v/>
      </c>
      <c r="J227" s="141"/>
      <c r="K227" s="5"/>
      <c r="L227" s="5"/>
    </row>
    <row r="228" spans="1:12" x14ac:dyDescent="0.25">
      <c r="A228" s="3" t="s">
        <v>73</v>
      </c>
      <c r="B228" s="3">
        <v>17</v>
      </c>
      <c r="C228" s="3">
        <v>8</v>
      </c>
      <c r="D228" s="3">
        <v>2022</v>
      </c>
      <c r="E228" s="4" t="e">
        <f>'Electricity '!I232+'Electricity '!O232</f>
        <v>#VALUE!</v>
      </c>
      <c r="F228" s="141"/>
      <c r="G228" s="4" t="str">
        <f>'Gas Water'!M233</f>
        <v/>
      </c>
      <c r="H228" s="141"/>
      <c r="I228" s="2" t="str">
        <f>'Gas Water'!L233</f>
        <v/>
      </c>
      <c r="J228" s="141"/>
      <c r="K228" s="5"/>
      <c r="L228" s="5"/>
    </row>
    <row r="229" spans="1:12" x14ac:dyDescent="0.25">
      <c r="A229" s="3" t="s">
        <v>73</v>
      </c>
      <c r="B229" s="3">
        <v>18</v>
      </c>
      <c r="C229" s="3">
        <v>8</v>
      </c>
      <c r="D229" s="3">
        <v>2022</v>
      </c>
      <c r="E229" s="4" t="e">
        <f>'Electricity '!I233+'Electricity '!O233</f>
        <v>#VALUE!</v>
      </c>
      <c r="F229" s="141"/>
      <c r="G229" s="4" t="str">
        <f>'Gas Water'!M234</f>
        <v/>
      </c>
      <c r="H229" s="141"/>
      <c r="I229" s="2" t="str">
        <f>'Gas Water'!L234</f>
        <v/>
      </c>
      <c r="J229" s="141"/>
      <c r="K229" s="5"/>
      <c r="L229" s="5"/>
    </row>
    <row r="230" spans="1:12" x14ac:dyDescent="0.25">
      <c r="A230" s="3" t="s">
        <v>73</v>
      </c>
      <c r="B230" s="3">
        <v>19</v>
      </c>
      <c r="C230" s="3">
        <v>8</v>
      </c>
      <c r="D230" s="3">
        <v>2022</v>
      </c>
      <c r="E230" s="4" t="e">
        <f>'Electricity '!I234+'Electricity '!O234</f>
        <v>#VALUE!</v>
      </c>
      <c r="F230" s="141"/>
      <c r="G230" s="4" t="str">
        <f>'Gas Water'!M235</f>
        <v/>
      </c>
      <c r="H230" s="141"/>
      <c r="I230" s="2" t="str">
        <f>'Gas Water'!L235</f>
        <v/>
      </c>
      <c r="J230" s="141"/>
      <c r="K230" s="5"/>
      <c r="L230" s="5"/>
    </row>
    <row r="231" spans="1:12" x14ac:dyDescent="0.25">
      <c r="A231" s="3" t="s">
        <v>73</v>
      </c>
      <c r="B231" s="3">
        <v>20</v>
      </c>
      <c r="C231" s="3">
        <v>8</v>
      </c>
      <c r="D231" s="3">
        <v>2022</v>
      </c>
      <c r="E231" s="4" t="e">
        <f>'Electricity '!I235+'Electricity '!O235</f>
        <v>#VALUE!</v>
      </c>
      <c r="F231" s="141"/>
      <c r="G231" s="4" t="str">
        <f>'Gas Water'!M236</f>
        <v/>
      </c>
      <c r="H231" s="141"/>
      <c r="I231" s="2" t="str">
        <f>'Gas Water'!L236</f>
        <v/>
      </c>
      <c r="J231" s="141"/>
      <c r="K231" s="5"/>
      <c r="L231" s="5"/>
    </row>
    <row r="232" spans="1:12" x14ac:dyDescent="0.25">
      <c r="A232" s="3" t="s">
        <v>73</v>
      </c>
      <c r="B232" s="3">
        <v>21</v>
      </c>
      <c r="C232" s="3">
        <v>8</v>
      </c>
      <c r="D232" s="3">
        <v>2022</v>
      </c>
      <c r="E232" s="4" t="e">
        <f>'Electricity '!I236+'Electricity '!O236</f>
        <v>#VALUE!</v>
      </c>
      <c r="F232" s="141"/>
      <c r="G232" s="4" t="str">
        <f>'Gas Water'!M237</f>
        <v/>
      </c>
      <c r="H232" s="141"/>
      <c r="I232" s="2" t="str">
        <f>'Gas Water'!L237</f>
        <v/>
      </c>
      <c r="J232" s="141"/>
      <c r="K232" s="5"/>
      <c r="L232" s="5"/>
    </row>
    <row r="233" spans="1:12" x14ac:dyDescent="0.25">
      <c r="A233" s="3" t="s">
        <v>73</v>
      </c>
      <c r="B233" s="3">
        <v>22</v>
      </c>
      <c r="C233" s="3">
        <v>8</v>
      </c>
      <c r="D233" s="3">
        <v>2022</v>
      </c>
      <c r="E233" s="4" t="e">
        <f>'Electricity '!I237+'Electricity '!O237</f>
        <v>#VALUE!</v>
      </c>
      <c r="F233" s="141"/>
      <c r="G233" s="4" t="str">
        <f>'Gas Water'!M238</f>
        <v/>
      </c>
      <c r="H233" s="141"/>
      <c r="I233" s="2" t="str">
        <f>'Gas Water'!L238</f>
        <v/>
      </c>
      <c r="J233" s="141"/>
      <c r="K233" s="5"/>
      <c r="L233" s="5"/>
    </row>
    <row r="234" spans="1:12" x14ac:dyDescent="0.25">
      <c r="A234" s="3" t="s">
        <v>73</v>
      </c>
      <c r="B234" s="3">
        <v>23</v>
      </c>
      <c r="C234" s="3">
        <v>8</v>
      </c>
      <c r="D234" s="3">
        <v>2022</v>
      </c>
      <c r="E234" s="4" t="e">
        <f>'Electricity '!I238+'Electricity '!O238</f>
        <v>#VALUE!</v>
      </c>
      <c r="F234" s="141"/>
      <c r="G234" s="4" t="str">
        <f>'Gas Water'!M239</f>
        <v/>
      </c>
      <c r="H234" s="141"/>
      <c r="I234" s="2" t="str">
        <f>'Gas Water'!L239</f>
        <v/>
      </c>
      <c r="J234" s="141"/>
      <c r="K234" s="5"/>
      <c r="L234" s="5"/>
    </row>
    <row r="235" spans="1:12" x14ac:dyDescent="0.25">
      <c r="A235" s="3" t="s">
        <v>73</v>
      </c>
      <c r="B235" s="3">
        <v>24</v>
      </c>
      <c r="C235" s="3">
        <v>8</v>
      </c>
      <c r="D235" s="3">
        <v>2022</v>
      </c>
      <c r="E235" s="4" t="e">
        <f>'Electricity '!I239+'Electricity '!O239</f>
        <v>#VALUE!</v>
      </c>
      <c r="F235" s="141"/>
      <c r="G235" s="4" t="str">
        <f>'Gas Water'!M240</f>
        <v/>
      </c>
      <c r="H235" s="141"/>
      <c r="I235" s="2" t="str">
        <f>'Gas Water'!L240</f>
        <v/>
      </c>
      <c r="J235" s="141"/>
      <c r="K235" s="5"/>
      <c r="L235" s="5"/>
    </row>
    <row r="236" spans="1:12" x14ac:dyDescent="0.25">
      <c r="A236" s="3" t="s">
        <v>73</v>
      </c>
      <c r="B236" s="3">
        <v>25</v>
      </c>
      <c r="C236" s="3">
        <v>8</v>
      </c>
      <c r="D236" s="3">
        <v>2022</v>
      </c>
      <c r="E236" s="4" t="e">
        <f>'Electricity '!I240+'Electricity '!O240</f>
        <v>#VALUE!</v>
      </c>
      <c r="F236" s="141"/>
      <c r="G236" s="4" t="str">
        <f>'Gas Water'!M241</f>
        <v/>
      </c>
      <c r="H236" s="141"/>
      <c r="I236" s="2" t="str">
        <f>'Gas Water'!L241</f>
        <v/>
      </c>
      <c r="J236" s="141"/>
      <c r="K236" s="5"/>
      <c r="L236" s="5"/>
    </row>
    <row r="237" spans="1:12" x14ac:dyDescent="0.25">
      <c r="A237" s="3" t="s">
        <v>73</v>
      </c>
      <c r="B237" s="3">
        <v>26</v>
      </c>
      <c r="C237" s="3">
        <v>8</v>
      </c>
      <c r="D237" s="3">
        <v>2022</v>
      </c>
      <c r="E237" s="4" t="e">
        <f>'Electricity '!I241+'Electricity '!O241</f>
        <v>#VALUE!</v>
      </c>
      <c r="F237" s="141"/>
      <c r="G237" s="4" t="str">
        <f>'Gas Water'!M242</f>
        <v/>
      </c>
      <c r="H237" s="141"/>
      <c r="I237" s="2" t="str">
        <f>'Gas Water'!L242</f>
        <v/>
      </c>
      <c r="J237" s="141"/>
      <c r="K237" s="5"/>
      <c r="L237" s="5"/>
    </row>
    <row r="238" spans="1:12" x14ac:dyDescent="0.25">
      <c r="A238" s="3" t="s">
        <v>73</v>
      </c>
      <c r="B238" s="3">
        <v>27</v>
      </c>
      <c r="C238" s="3">
        <v>8</v>
      </c>
      <c r="D238" s="3">
        <v>2022</v>
      </c>
      <c r="E238" s="4" t="e">
        <f>'Electricity '!I242+'Electricity '!O242</f>
        <v>#VALUE!</v>
      </c>
      <c r="F238" s="141"/>
      <c r="G238" s="4" t="str">
        <f>'Gas Water'!M243</f>
        <v/>
      </c>
      <c r="H238" s="141"/>
      <c r="I238" s="2" t="str">
        <f>'Gas Water'!L243</f>
        <v/>
      </c>
      <c r="J238" s="141"/>
      <c r="K238" s="5"/>
      <c r="L238" s="5"/>
    </row>
    <row r="239" spans="1:12" x14ac:dyDescent="0.25">
      <c r="A239" s="3" t="s">
        <v>73</v>
      </c>
      <c r="B239" s="3">
        <v>28</v>
      </c>
      <c r="C239" s="3">
        <v>8</v>
      </c>
      <c r="D239" s="3">
        <v>2022</v>
      </c>
      <c r="E239" s="4" t="e">
        <f>'Electricity '!I243+'Electricity '!O243</f>
        <v>#VALUE!</v>
      </c>
      <c r="F239" s="141"/>
      <c r="G239" s="4" t="str">
        <f>'Gas Water'!M244</f>
        <v/>
      </c>
      <c r="H239" s="141"/>
      <c r="I239" s="2" t="str">
        <f>'Gas Water'!L244</f>
        <v/>
      </c>
      <c r="J239" s="141"/>
      <c r="K239" s="5"/>
      <c r="L239" s="5"/>
    </row>
    <row r="240" spans="1:12" x14ac:dyDescent="0.25">
      <c r="A240" s="3" t="s">
        <v>73</v>
      </c>
      <c r="B240" s="3">
        <v>29</v>
      </c>
      <c r="C240" s="3">
        <v>8</v>
      </c>
      <c r="D240" s="3">
        <v>2022</v>
      </c>
      <c r="E240" s="4" t="e">
        <f>'Electricity '!I244+'Electricity '!O244</f>
        <v>#VALUE!</v>
      </c>
      <c r="F240" s="141"/>
      <c r="G240" s="4" t="str">
        <f>'Gas Water'!M245</f>
        <v/>
      </c>
      <c r="H240" s="141"/>
      <c r="I240" s="2" t="str">
        <f>'Gas Water'!L245</f>
        <v/>
      </c>
      <c r="J240" s="141"/>
      <c r="K240" s="5"/>
      <c r="L240" s="5"/>
    </row>
    <row r="241" spans="1:12" x14ac:dyDescent="0.25">
      <c r="A241" s="3" t="s">
        <v>73</v>
      </c>
      <c r="B241" s="3">
        <v>30</v>
      </c>
      <c r="C241" s="3">
        <v>8</v>
      </c>
      <c r="D241" s="3">
        <v>2022</v>
      </c>
      <c r="E241" s="4" t="e">
        <f>'Electricity '!I245+'Electricity '!O245</f>
        <v>#VALUE!</v>
      </c>
      <c r="F241" s="141"/>
      <c r="G241" s="4" t="str">
        <f>'Gas Water'!M246</f>
        <v/>
      </c>
      <c r="H241" s="141"/>
      <c r="I241" s="2" t="str">
        <f>'Gas Water'!L246</f>
        <v/>
      </c>
      <c r="J241" s="141"/>
      <c r="K241" s="5"/>
      <c r="L241" s="5"/>
    </row>
    <row r="242" spans="1:12" x14ac:dyDescent="0.25">
      <c r="A242" s="3" t="s">
        <v>73</v>
      </c>
      <c r="B242" s="3">
        <v>31</v>
      </c>
      <c r="C242" s="3">
        <v>8</v>
      </c>
      <c r="D242" s="3">
        <v>2022</v>
      </c>
      <c r="E242" s="4" t="e">
        <f>'Electricity '!I246+'Electricity '!O246</f>
        <v>#VALUE!</v>
      </c>
      <c r="F242" s="141"/>
      <c r="G242" s="4" t="str">
        <f>'Gas Water'!M247</f>
        <v/>
      </c>
      <c r="H242" s="141"/>
      <c r="I242" s="2" t="str">
        <f>'Gas Water'!L247</f>
        <v/>
      </c>
      <c r="J242" s="141"/>
      <c r="K242" s="5"/>
      <c r="L242" s="5"/>
    </row>
    <row r="243" spans="1:12" x14ac:dyDescent="0.25">
      <c r="A243" s="3" t="s">
        <v>73</v>
      </c>
      <c r="B243" s="3">
        <v>1</v>
      </c>
      <c r="C243" s="3">
        <v>9</v>
      </c>
      <c r="D243" s="3">
        <v>2022</v>
      </c>
      <c r="E243" s="4" t="e">
        <f>'Electricity '!I247+'Electricity '!O247</f>
        <v>#VALUE!</v>
      </c>
      <c r="F243" s="141"/>
      <c r="G243" s="4" t="str">
        <f>'Gas Water'!M248</f>
        <v/>
      </c>
      <c r="H243" s="141"/>
      <c r="I243" s="2" t="str">
        <f>'Gas Water'!L248</f>
        <v/>
      </c>
      <c r="J243" s="141"/>
      <c r="K243" s="5"/>
      <c r="L243" s="5"/>
    </row>
    <row r="244" spans="1:12" x14ac:dyDescent="0.25">
      <c r="A244" s="3" t="s">
        <v>73</v>
      </c>
      <c r="B244" s="3">
        <v>2</v>
      </c>
      <c r="C244" s="3">
        <v>9</v>
      </c>
      <c r="D244" s="3">
        <v>2022</v>
      </c>
      <c r="E244" s="4" t="e">
        <f>'Electricity '!I248+'Electricity '!O248</f>
        <v>#VALUE!</v>
      </c>
      <c r="F244" s="141"/>
      <c r="G244" s="4" t="str">
        <f>'Gas Water'!M249</f>
        <v/>
      </c>
      <c r="H244" s="141"/>
      <c r="I244" s="2" t="str">
        <f>'Gas Water'!L249</f>
        <v/>
      </c>
      <c r="J244" s="141"/>
      <c r="K244" s="5"/>
      <c r="L244" s="5"/>
    </row>
    <row r="245" spans="1:12" x14ac:dyDescent="0.25">
      <c r="A245" s="3" t="s">
        <v>73</v>
      </c>
      <c r="B245" s="3">
        <v>3</v>
      </c>
      <c r="C245" s="3">
        <v>9</v>
      </c>
      <c r="D245" s="3">
        <v>2022</v>
      </c>
      <c r="E245" s="4" t="e">
        <f>'Electricity '!I249+'Electricity '!O249</f>
        <v>#VALUE!</v>
      </c>
      <c r="F245" s="141"/>
      <c r="G245" s="4" t="str">
        <f>'Gas Water'!M250</f>
        <v/>
      </c>
      <c r="H245" s="141"/>
      <c r="I245" s="2" t="str">
        <f>'Gas Water'!L250</f>
        <v/>
      </c>
      <c r="J245" s="141"/>
      <c r="K245" s="5"/>
      <c r="L245" s="5"/>
    </row>
    <row r="246" spans="1:12" x14ac:dyDescent="0.25">
      <c r="A246" s="3" t="s">
        <v>73</v>
      </c>
      <c r="B246" s="3">
        <v>4</v>
      </c>
      <c r="C246" s="3">
        <v>9</v>
      </c>
      <c r="D246" s="3">
        <v>2022</v>
      </c>
      <c r="E246" s="4" t="e">
        <f>'Electricity '!I250+'Electricity '!O250</f>
        <v>#VALUE!</v>
      </c>
      <c r="F246" s="141"/>
      <c r="G246" s="4" t="str">
        <f>'Gas Water'!M251</f>
        <v/>
      </c>
      <c r="H246" s="141"/>
      <c r="I246" s="2" t="str">
        <f>'Gas Water'!L251</f>
        <v/>
      </c>
      <c r="J246" s="141"/>
      <c r="K246" s="5"/>
      <c r="L246" s="5"/>
    </row>
    <row r="247" spans="1:12" x14ac:dyDescent="0.25">
      <c r="A247" s="3" t="s">
        <v>73</v>
      </c>
      <c r="B247" s="3">
        <v>5</v>
      </c>
      <c r="C247" s="3">
        <v>9</v>
      </c>
      <c r="D247" s="3">
        <v>2022</v>
      </c>
      <c r="E247" s="4" t="e">
        <f>'Electricity '!I251+'Electricity '!O251</f>
        <v>#VALUE!</v>
      </c>
      <c r="F247" s="141"/>
      <c r="G247" s="4" t="str">
        <f>'Gas Water'!M252</f>
        <v/>
      </c>
      <c r="H247" s="141"/>
      <c r="I247" s="2" t="str">
        <f>'Gas Water'!L252</f>
        <v/>
      </c>
      <c r="J247" s="141"/>
      <c r="K247" s="5"/>
      <c r="L247" s="5"/>
    </row>
    <row r="248" spans="1:12" x14ac:dyDescent="0.25">
      <c r="A248" s="3" t="s">
        <v>73</v>
      </c>
      <c r="B248" s="3">
        <v>6</v>
      </c>
      <c r="C248" s="3">
        <v>9</v>
      </c>
      <c r="D248" s="3">
        <v>2022</v>
      </c>
      <c r="E248" s="4" t="e">
        <f>'Electricity '!I252+'Electricity '!O252</f>
        <v>#VALUE!</v>
      </c>
      <c r="F248" s="141"/>
      <c r="G248" s="4" t="str">
        <f>'Gas Water'!M253</f>
        <v/>
      </c>
      <c r="H248" s="141"/>
      <c r="I248" s="2" t="str">
        <f>'Gas Water'!L253</f>
        <v/>
      </c>
      <c r="J248" s="141"/>
      <c r="K248" s="5"/>
      <c r="L248" s="5"/>
    </row>
    <row r="249" spans="1:12" x14ac:dyDescent="0.25">
      <c r="A249" s="3" t="s">
        <v>73</v>
      </c>
      <c r="B249" s="3">
        <v>7</v>
      </c>
      <c r="C249" s="3">
        <v>9</v>
      </c>
      <c r="D249" s="3">
        <v>2022</v>
      </c>
      <c r="E249" s="4" t="e">
        <f>'Electricity '!I253+'Electricity '!O253</f>
        <v>#VALUE!</v>
      </c>
      <c r="F249" s="141"/>
      <c r="G249" s="4" t="str">
        <f>'Gas Water'!M254</f>
        <v/>
      </c>
      <c r="H249" s="141"/>
      <c r="I249" s="2" t="str">
        <f>'Gas Water'!L254</f>
        <v/>
      </c>
      <c r="J249" s="141"/>
      <c r="K249" s="5"/>
      <c r="L249" s="5"/>
    </row>
    <row r="250" spans="1:12" x14ac:dyDescent="0.25">
      <c r="A250" s="3" t="s">
        <v>73</v>
      </c>
      <c r="B250" s="3">
        <v>8</v>
      </c>
      <c r="C250" s="3">
        <v>9</v>
      </c>
      <c r="D250" s="3">
        <v>2022</v>
      </c>
      <c r="E250" s="4" t="e">
        <f>'Electricity '!I254+'Electricity '!O254</f>
        <v>#VALUE!</v>
      </c>
      <c r="F250" s="141"/>
      <c r="G250" s="4" t="str">
        <f>'Gas Water'!M255</f>
        <v/>
      </c>
      <c r="H250" s="141"/>
      <c r="I250" s="2" t="str">
        <f>'Gas Water'!L255</f>
        <v/>
      </c>
      <c r="J250" s="141"/>
      <c r="K250" s="5"/>
      <c r="L250" s="5"/>
    </row>
    <row r="251" spans="1:12" x14ac:dyDescent="0.25">
      <c r="A251" s="3" t="s">
        <v>73</v>
      </c>
      <c r="B251" s="3">
        <v>9</v>
      </c>
      <c r="C251" s="3">
        <v>9</v>
      </c>
      <c r="D251" s="3">
        <v>2022</v>
      </c>
      <c r="E251" s="4" t="e">
        <f>'Electricity '!I255+'Electricity '!O255</f>
        <v>#VALUE!</v>
      </c>
      <c r="F251" s="141"/>
      <c r="G251" s="4" t="str">
        <f>'Gas Water'!M256</f>
        <v/>
      </c>
      <c r="H251" s="141"/>
      <c r="I251" s="2" t="str">
        <f>'Gas Water'!L256</f>
        <v/>
      </c>
      <c r="J251" s="141"/>
      <c r="K251" s="5"/>
      <c r="L251" s="5"/>
    </row>
    <row r="252" spans="1:12" x14ac:dyDescent="0.25">
      <c r="A252" s="3" t="s">
        <v>73</v>
      </c>
      <c r="B252" s="3">
        <v>10</v>
      </c>
      <c r="C252" s="3">
        <v>9</v>
      </c>
      <c r="D252" s="3">
        <v>2022</v>
      </c>
      <c r="E252" s="4" t="e">
        <f>'Electricity '!I256+'Electricity '!O256</f>
        <v>#VALUE!</v>
      </c>
      <c r="F252" s="141"/>
      <c r="G252" s="4" t="str">
        <f>'Gas Water'!M257</f>
        <v/>
      </c>
      <c r="H252" s="141"/>
      <c r="I252" s="2" t="str">
        <f>'Gas Water'!L257</f>
        <v/>
      </c>
      <c r="J252" s="141"/>
      <c r="K252" s="5"/>
      <c r="L252" s="5"/>
    </row>
    <row r="253" spans="1:12" x14ac:dyDescent="0.25">
      <c r="A253" s="3" t="s">
        <v>73</v>
      </c>
      <c r="B253" s="3">
        <v>11</v>
      </c>
      <c r="C253" s="3">
        <v>9</v>
      </c>
      <c r="D253" s="3">
        <v>2022</v>
      </c>
      <c r="E253" s="4" t="e">
        <f>'Electricity '!I257+'Electricity '!O257</f>
        <v>#VALUE!</v>
      </c>
      <c r="F253" s="141"/>
      <c r="G253" s="4" t="str">
        <f>'Gas Water'!M258</f>
        <v/>
      </c>
      <c r="H253" s="141"/>
      <c r="I253" s="2" t="str">
        <f>'Gas Water'!L258</f>
        <v/>
      </c>
      <c r="J253" s="141"/>
      <c r="K253" s="5"/>
      <c r="L253" s="5"/>
    </row>
    <row r="254" spans="1:12" x14ac:dyDescent="0.25">
      <c r="A254" s="3" t="s">
        <v>73</v>
      </c>
      <c r="B254" s="3">
        <v>12</v>
      </c>
      <c r="C254" s="3">
        <v>9</v>
      </c>
      <c r="D254" s="3">
        <v>2022</v>
      </c>
      <c r="E254" s="4" t="e">
        <f>'Electricity '!I258+'Electricity '!O258</f>
        <v>#VALUE!</v>
      </c>
      <c r="F254" s="141"/>
      <c r="G254" s="4" t="str">
        <f>'Gas Water'!M259</f>
        <v/>
      </c>
      <c r="H254" s="141"/>
      <c r="I254" s="2" t="str">
        <f>'Gas Water'!L259</f>
        <v/>
      </c>
      <c r="J254" s="141"/>
      <c r="K254" s="5"/>
      <c r="L254" s="5"/>
    </row>
    <row r="255" spans="1:12" x14ac:dyDescent="0.25">
      <c r="A255" s="3" t="s">
        <v>73</v>
      </c>
      <c r="B255" s="3">
        <v>13</v>
      </c>
      <c r="C255" s="3">
        <v>9</v>
      </c>
      <c r="D255" s="3">
        <v>2022</v>
      </c>
      <c r="E255" s="4" t="e">
        <f>'Electricity '!I259+'Electricity '!O259</f>
        <v>#VALUE!</v>
      </c>
      <c r="F255" s="141"/>
      <c r="G255" s="4" t="str">
        <f>'Gas Water'!M260</f>
        <v/>
      </c>
      <c r="H255" s="141"/>
      <c r="I255" s="2" t="str">
        <f>'Gas Water'!L260</f>
        <v/>
      </c>
      <c r="J255" s="141"/>
      <c r="K255" s="5"/>
      <c r="L255" s="5"/>
    </row>
    <row r="256" spans="1:12" x14ac:dyDescent="0.25">
      <c r="A256" s="3" t="s">
        <v>73</v>
      </c>
      <c r="B256" s="3">
        <v>14</v>
      </c>
      <c r="C256" s="3">
        <v>9</v>
      </c>
      <c r="D256" s="3">
        <v>2022</v>
      </c>
      <c r="E256" s="4" t="e">
        <f>'Electricity '!I260+'Electricity '!O260</f>
        <v>#VALUE!</v>
      </c>
      <c r="F256" s="141"/>
      <c r="G256" s="4" t="str">
        <f>'Gas Water'!M261</f>
        <v/>
      </c>
      <c r="H256" s="141"/>
      <c r="I256" s="2" t="str">
        <f>'Gas Water'!L261</f>
        <v/>
      </c>
      <c r="J256" s="141"/>
      <c r="K256" s="5"/>
      <c r="L256" s="5"/>
    </row>
    <row r="257" spans="1:12" x14ac:dyDescent="0.25">
      <c r="A257" s="3" t="s">
        <v>73</v>
      </c>
      <c r="B257" s="3">
        <v>15</v>
      </c>
      <c r="C257" s="3">
        <v>9</v>
      </c>
      <c r="D257" s="3">
        <v>2022</v>
      </c>
      <c r="E257" s="4" t="e">
        <f>'Electricity '!I261+'Electricity '!O261</f>
        <v>#VALUE!</v>
      </c>
      <c r="F257" s="141"/>
      <c r="G257" s="4" t="str">
        <f>'Gas Water'!M262</f>
        <v/>
      </c>
      <c r="H257" s="141"/>
      <c r="I257" s="2" t="str">
        <f>'Gas Water'!L262</f>
        <v/>
      </c>
      <c r="J257" s="141"/>
      <c r="K257" s="5"/>
      <c r="L257" s="5"/>
    </row>
    <row r="258" spans="1:12" x14ac:dyDescent="0.25">
      <c r="A258" s="3" t="s">
        <v>73</v>
      </c>
      <c r="B258" s="3">
        <v>16</v>
      </c>
      <c r="C258" s="3">
        <v>9</v>
      </c>
      <c r="D258" s="3">
        <v>2022</v>
      </c>
      <c r="E258" s="4" t="e">
        <f>'Electricity '!I262+'Electricity '!O262</f>
        <v>#VALUE!</v>
      </c>
      <c r="F258" s="141"/>
      <c r="G258" s="4" t="str">
        <f>'Gas Water'!M263</f>
        <v/>
      </c>
      <c r="H258" s="141"/>
      <c r="I258" s="2" t="str">
        <f>'Gas Water'!L263</f>
        <v/>
      </c>
      <c r="J258" s="141"/>
      <c r="K258" s="5"/>
      <c r="L258" s="5"/>
    </row>
    <row r="259" spans="1:12" x14ac:dyDescent="0.25">
      <c r="A259" s="3" t="s">
        <v>73</v>
      </c>
      <c r="B259" s="3">
        <v>17</v>
      </c>
      <c r="C259" s="3">
        <v>9</v>
      </c>
      <c r="D259" s="3">
        <v>2022</v>
      </c>
      <c r="E259" s="4" t="e">
        <f>'Electricity '!I263+'Electricity '!O263</f>
        <v>#VALUE!</v>
      </c>
      <c r="F259" s="141"/>
      <c r="G259" s="4" t="str">
        <f>'Gas Water'!M264</f>
        <v/>
      </c>
      <c r="H259" s="141"/>
      <c r="I259" s="2" t="str">
        <f>'Gas Water'!L264</f>
        <v/>
      </c>
      <c r="J259" s="141"/>
      <c r="K259" s="5"/>
      <c r="L259" s="5"/>
    </row>
    <row r="260" spans="1:12" x14ac:dyDescent="0.25">
      <c r="A260" s="3" t="s">
        <v>73</v>
      </c>
      <c r="B260" s="3">
        <v>18</v>
      </c>
      <c r="C260" s="3">
        <v>9</v>
      </c>
      <c r="D260" s="3">
        <v>2022</v>
      </c>
      <c r="E260" s="4" t="e">
        <f>'Electricity '!I264+'Electricity '!O264</f>
        <v>#VALUE!</v>
      </c>
      <c r="F260" s="141"/>
      <c r="G260" s="4" t="str">
        <f>'Gas Water'!M265</f>
        <v/>
      </c>
      <c r="H260" s="141"/>
      <c r="I260" s="2" t="str">
        <f>'Gas Water'!L265</f>
        <v/>
      </c>
      <c r="J260" s="141"/>
      <c r="K260" s="5"/>
      <c r="L260" s="5"/>
    </row>
    <row r="261" spans="1:12" x14ac:dyDescent="0.25">
      <c r="A261" s="3" t="s">
        <v>73</v>
      </c>
      <c r="B261" s="3">
        <v>19</v>
      </c>
      <c r="C261" s="3">
        <v>9</v>
      </c>
      <c r="D261" s="3">
        <v>2022</v>
      </c>
      <c r="E261" s="4" t="e">
        <f>'Electricity '!I265+'Electricity '!O265</f>
        <v>#VALUE!</v>
      </c>
      <c r="F261" s="141"/>
      <c r="G261" s="4" t="str">
        <f>'Gas Water'!M266</f>
        <v/>
      </c>
      <c r="H261" s="141"/>
      <c r="I261" s="2" t="str">
        <f>'Gas Water'!L266</f>
        <v/>
      </c>
      <c r="J261" s="141"/>
      <c r="K261" s="5"/>
      <c r="L261" s="5"/>
    </row>
    <row r="262" spans="1:12" x14ac:dyDescent="0.25">
      <c r="A262" s="3" t="s">
        <v>73</v>
      </c>
      <c r="B262" s="3">
        <v>20</v>
      </c>
      <c r="C262" s="3">
        <v>9</v>
      </c>
      <c r="D262" s="3">
        <v>2022</v>
      </c>
      <c r="E262" s="4" t="e">
        <f>'Electricity '!I266+'Electricity '!O266</f>
        <v>#VALUE!</v>
      </c>
      <c r="F262" s="141"/>
      <c r="G262" s="4" t="str">
        <f>'Gas Water'!M267</f>
        <v/>
      </c>
      <c r="H262" s="141"/>
      <c r="I262" s="2" t="str">
        <f>'Gas Water'!L267</f>
        <v/>
      </c>
      <c r="J262" s="141"/>
      <c r="K262" s="5"/>
      <c r="L262" s="5"/>
    </row>
    <row r="263" spans="1:12" x14ac:dyDescent="0.25">
      <c r="A263" s="3" t="s">
        <v>73</v>
      </c>
      <c r="B263" s="3">
        <v>21</v>
      </c>
      <c r="C263" s="3">
        <v>9</v>
      </c>
      <c r="D263" s="3">
        <v>2022</v>
      </c>
      <c r="E263" s="4" t="e">
        <f>'Electricity '!I267+'Electricity '!O267</f>
        <v>#VALUE!</v>
      </c>
      <c r="F263" s="141"/>
      <c r="G263" s="4" t="str">
        <f>'Gas Water'!M268</f>
        <v/>
      </c>
      <c r="H263" s="141"/>
      <c r="I263" s="2" t="str">
        <f>'Gas Water'!L268</f>
        <v/>
      </c>
      <c r="J263" s="141"/>
      <c r="K263" s="5"/>
      <c r="L263" s="5"/>
    </row>
    <row r="264" spans="1:12" x14ac:dyDescent="0.25">
      <c r="A264" s="3" t="s">
        <v>73</v>
      </c>
      <c r="B264" s="3">
        <v>22</v>
      </c>
      <c r="C264" s="3">
        <v>9</v>
      </c>
      <c r="D264" s="3">
        <v>2022</v>
      </c>
      <c r="E264" s="4" t="e">
        <f>'Electricity '!I268+'Electricity '!O268</f>
        <v>#VALUE!</v>
      </c>
      <c r="F264" s="141"/>
      <c r="G264" s="4" t="str">
        <f>'Gas Water'!M269</f>
        <v/>
      </c>
      <c r="H264" s="141"/>
      <c r="I264" s="2" t="str">
        <f>'Gas Water'!L269</f>
        <v/>
      </c>
      <c r="J264" s="141"/>
      <c r="K264" s="5"/>
      <c r="L264" s="5"/>
    </row>
    <row r="265" spans="1:12" x14ac:dyDescent="0.25">
      <c r="A265" s="3" t="s">
        <v>73</v>
      </c>
      <c r="B265" s="3">
        <v>23</v>
      </c>
      <c r="C265" s="3">
        <v>9</v>
      </c>
      <c r="D265" s="3">
        <v>2022</v>
      </c>
      <c r="E265" s="4" t="e">
        <f>'Electricity '!I269+'Electricity '!O269</f>
        <v>#VALUE!</v>
      </c>
      <c r="F265" s="141"/>
      <c r="G265" s="4" t="str">
        <f>'Gas Water'!M270</f>
        <v/>
      </c>
      <c r="H265" s="141"/>
      <c r="I265" s="2" t="str">
        <f>'Gas Water'!L270</f>
        <v/>
      </c>
      <c r="J265" s="141"/>
      <c r="K265" s="5"/>
      <c r="L265" s="5"/>
    </row>
    <row r="266" spans="1:12" x14ac:dyDescent="0.25">
      <c r="A266" s="3" t="s">
        <v>73</v>
      </c>
      <c r="B266" s="3">
        <v>24</v>
      </c>
      <c r="C266" s="3">
        <v>9</v>
      </c>
      <c r="D266" s="3">
        <v>2022</v>
      </c>
      <c r="E266" s="4" t="e">
        <f>'Electricity '!I270+'Electricity '!O270</f>
        <v>#VALUE!</v>
      </c>
      <c r="F266" s="141"/>
      <c r="G266" s="4" t="str">
        <f>'Gas Water'!M271</f>
        <v/>
      </c>
      <c r="H266" s="141"/>
      <c r="I266" s="2" t="str">
        <f>'Gas Water'!L271</f>
        <v/>
      </c>
      <c r="J266" s="141"/>
      <c r="K266" s="5"/>
      <c r="L266" s="5"/>
    </row>
    <row r="267" spans="1:12" x14ac:dyDescent="0.25">
      <c r="A267" s="3" t="s">
        <v>73</v>
      </c>
      <c r="B267" s="3">
        <v>25</v>
      </c>
      <c r="C267" s="3">
        <v>9</v>
      </c>
      <c r="D267" s="3">
        <v>2022</v>
      </c>
      <c r="E267" s="4" t="e">
        <f>'Electricity '!I271+'Electricity '!O271</f>
        <v>#VALUE!</v>
      </c>
      <c r="F267" s="141"/>
      <c r="G267" s="4" t="str">
        <f>'Gas Water'!M272</f>
        <v/>
      </c>
      <c r="H267" s="141"/>
      <c r="I267" s="2" t="str">
        <f>'Gas Water'!L272</f>
        <v/>
      </c>
      <c r="J267" s="141"/>
      <c r="K267" s="5"/>
      <c r="L267" s="5"/>
    </row>
    <row r="268" spans="1:12" x14ac:dyDescent="0.25">
      <c r="A268" s="3" t="s">
        <v>73</v>
      </c>
      <c r="B268" s="3">
        <v>26</v>
      </c>
      <c r="C268" s="3">
        <v>9</v>
      </c>
      <c r="D268" s="3">
        <v>2022</v>
      </c>
      <c r="E268" s="4" t="e">
        <f>'Electricity '!I272+'Electricity '!O272</f>
        <v>#VALUE!</v>
      </c>
      <c r="F268" s="141"/>
      <c r="G268" s="4" t="str">
        <f>'Gas Water'!M273</f>
        <v/>
      </c>
      <c r="H268" s="141"/>
      <c r="I268" s="2" t="str">
        <f>'Gas Water'!L273</f>
        <v/>
      </c>
      <c r="J268" s="141"/>
      <c r="K268" s="5"/>
      <c r="L268" s="5"/>
    </row>
    <row r="269" spans="1:12" x14ac:dyDescent="0.25">
      <c r="A269" s="3" t="s">
        <v>73</v>
      </c>
      <c r="B269" s="3">
        <v>27</v>
      </c>
      <c r="C269" s="3">
        <v>9</v>
      </c>
      <c r="D269" s="3">
        <v>2022</v>
      </c>
      <c r="E269" s="4" t="e">
        <f>'Electricity '!I273+'Electricity '!O273</f>
        <v>#VALUE!</v>
      </c>
      <c r="F269" s="141"/>
      <c r="G269" s="4" t="str">
        <f>'Gas Water'!M274</f>
        <v/>
      </c>
      <c r="H269" s="141"/>
      <c r="I269" s="2" t="str">
        <f>'Gas Water'!L274</f>
        <v/>
      </c>
      <c r="J269" s="141"/>
      <c r="K269" s="5"/>
      <c r="L269" s="5"/>
    </row>
    <row r="270" spans="1:12" x14ac:dyDescent="0.25">
      <c r="A270" s="3" t="s">
        <v>73</v>
      </c>
      <c r="B270" s="3">
        <v>28</v>
      </c>
      <c r="C270" s="3">
        <v>9</v>
      </c>
      <c r="D270" s="3">
        <v>2022</v>
      </c>
      <c r="E270" s="4" t="e">
        <f>'Electricity '!I274+'Electricity '!O274</f>
        <v>#VALUE!</v>
      </c>
      <c r="F270" s="141"/>
      <c r="G270" s="4" t="str">
        <f>'Gas Water'!M275</f>
        <v/>
      </c>
      <c r="H270" s="141"/>
      <c r="I270" s="2" t="str">
        <f>'Gas Water'!L275</f>
        <v/>
      </c>
      <c r="J270" s="141"/>
      <c r="K270" s="5"/>
      <c r="L270" s="5"/>
    </row>
    <row r="271" spans="1:12" x14ac:dyDescent="0.25">
      <c r="A271" s="3" t="s">
        <v>73</v>
      </c>
      <c r="B271" s="3">
        <v>29</v>
      </c>
      <c r="C271" s="3">
        <v>9</v>
      </c>
      <c r="D271" s="3">
        <v>2022</v>
      </c>
      <c r="E271" s="4" t="e">
        <f>'Electricity '!I275+'Electricity '!O275</f>
        <v>#VALUE!</v>
      </c>
      <c r="F271" s="141"/>
      <c r="G271" s="4" t="str">
        <f>'Gas Water'!M276</f>
        <v/>
      </c>
      <c r="H271" s="141"/>
      <c r="I271" s="2" t="str">
        <f>'Gas Water'!L276</f>
        <v/>
      </c>
      <c r="J271" s="141"/>
      <c r="K271" s="5"/>
      <c r="L271" s="5"/>
    </row>
    <row r="272" spans="1:12" x14ac:dyDescent="0.25">
      <c r="A272" s="3" t="s">
        <v>73</v>
      </c>
      <c r="B272" s="3">
        <v>30</v>
      </c>
      <c r="C272" s="3">
        <v>9</v>
      </c>
      <c r="D272" s="3">
        <v>2022</v>
      </c>
      <c r="E272" s="4" t="e">
        <f>'Electricity '!I276+'Electricity '!O276</f>
        <v>#VALUE!</v>
      </c>
      <c r="F272" s="141"/>
      <c r="G272" s="4" t="str">
        <f>'Gas Water'!M277</f>
        <v/>
      </c>
      <c r="H272" s="141"/>
      <c r="I272" s="2" t="str">
        <f>'Gas Water'!L277</f>
        <v/>
      </c>
      <c r="J272" s="141"/>
      <c r="K272" s="5"/>
      <c r="L272" s="5"/>
    </row>
    <row r="273" spans="1:12" x14ac:dyDescent="0.25">
      <c r="A273" s="3" t="s">
        <v>73</v>
      </c>
      <c r="B273" s="3">
        <v>1</v>
      </c>
      <c r="C273" s="3">
        <v>10</v>
      </c>
      <c r="D273" s="3">
        <v>2022</v>
      </c>
      <c r="E273" s="4" t="e">
        <f>'Electricity '!I277+'Electricity '!O277</f>
        <v>#VALUE!</v>
      </c>
      <c r="F273" s="141"/>
      <c r="G273" s="4" t="str">
        <f>'Gas Water'!M278</f>
        <v/>
      </c>
      <c r="H273" s="141"/>
      <c r="I273" s="2" t="str">
        <f>'Gas Water'!L278</f>
        <v/>
      </c>
      <c r="J273" s="141"/>
      <c r="K273" s="5"/>
      <c r="L273" s="5"/>
    </row>
    <row r="274" spans="1:12" x14ac:dyDescent="0.25">
      <c r="A274" s="3" t="s">
        <v>73</v>
      </c>
      <c r="B274" s="3">
        <v>2</v>
      </c>
      <c r="C274" s="3">
        <v>10</v>
      </c>
      <c r="D274" s="3">
        <v>2022</v>
      </c>
      <c r="E274" s="4" t="e">
        <f>'Electricity '!I278+'Electricity '!O278</f>
        <v>#VALUE!</v>
      </c>
      <c r="F274" s="141"/>
      <c r="G274" s="4" t="str">
        <f>'Gas Water'!M279</f>
        <v/>
      </c>
      <c r="H274" s="141"/>
      <c r="I274" s="2" t="str">
        <f>'Gas Water'!L279</f>
        <v/>
      </c>
      <c r="J274" s="141"/>
      <c r="K274" s="5"/>
      <c r="L274" s="5"/>
    </row>
    <row r="275" spans="1:12" x14ac:dyDescent="0.25">
      <c r="A275" s="3" t="s">
        <v>73</v>
      </c>
      <c r="B275" s="3">
        <v>3</v>
      </c>
      <c r="C275" s="3">
        <v>10</v>
      </c>
      <c r="D275" s="3">
        <v>2022</v>
      </c>
      <c r="E275" s="4" t="e">
        <f>'Electricity '!I279+'Electricity '!O279</f>
        <v>#VALUE!</v>
      </c>
      <c r="F275" s="141"/>
      <c r="G275" s="4" t="str">
        <f>'Gas Water'!M280</f>
        <v/>
      </c>
      <c r="H275" s="141"/>
      <c r="I275" s="2" t="str">
        <f>'Gas Water'!L280</f>
        <v/>
      </c>
      <c r="J275" s="141"/>
      <c r="K275" s="5"/>
      <c r="L275" s="5"/>
    </row>
    <row r="276" spans="1:12" x14ac:dyDescent="0.25">
      <c r="A276" s="3" t="s">
        <v>73</v>
      </c>
      <c r="B276" s="3">
        <v>4</v>
      </c>
      <c r="C276" s="3">
        <v>10</v>
      </c>
      <c r="D276" s="3">
        <v>2022</v>
      </c>
      <c r="E276" s="4" t="e">
        <f>'Electricity '!I280+'Electricity '!O280</f>
        <v>#VALUE!</v>
      </c>
      <c r="F276" s="141"/>
      <c r="G276" s="4" t="str">
        <f>'Gas Water'!M281</f>
        <v/>
      </c>
      <c r="H276" s="141"/>
      <c r="I276" s="2" t="str">
        <f>'Gas Water'!L281</f>
        <v/>
      </c>
      <c r="J276" s="141"/>
      <c r="K276" s="5"/>
      <c r="L276" s="5"/>
    </row>
    <row r="277" spans="1:12" x14ac:dyDescent="0.25">
      <c r="A277" s="3" t="s">
        <v>73</v>
      </c>
      <c r="B277" s="3">
        <v>5</v>
      </c>
      <c r="C277" s="3">
        <v>10</v>
      </c>
      <c r="D277" s="3">
        <v>2022</v>
      </c>
      <c r="E277" s="4" t="e">
        <f>'Electricity '!I281+'Electricity '!O281</f>
        <v>#VALUE!</v>
      </c>
      <c r="F277" s="141"/>
      <c r="G277" s="4" t="str">
        <f>'Gas Water'!M282</f>
        <v/>
      </c>
      <c r="H277" s="141"/>
      <c r="I277" s="2" t="str">
        <f>'Gas Water'!L282</f>
        <v/>
      </c>
      <c r="J277" s="141"/>
      <c r="K277" s="5"/>
      <c r="L277" s="5"/>
    </row>
    <row r="278" spans="1:12" x14ac:dyDescent="0.25">
      <c r="A278" s="3" t="s">
        <v>73</v>
      </c>
      <c r="B278" s="3">
        <v>6</v>
      </c>
      <c r="C278" s="3">
        <v>10</v>
      </c>
      <c r="D278" s="3">
        <v>2022</v>
      </c>
      <c r="E278" s="4" t="e">
        <f>'Electricity '!I282+'Electricity '!O282</f>
        <v>#VALUE!</v>
      </c>
      <c r="F278" s="141"/>
      <c r="G278" s="4" t="str">
        <f>'Gas Water'!M283</f>
        <v/>
      </c>
      <c r="H278" s="141"/>
      <c r="I278" s="2" t="str">
        <f>'Gas Water'!L283</f>
        <v/>
      </c>
      <c r="J278" s="141"/>
      <c r="K278" s="5"/>
      <c r="L278" s="5"/>
    </row>
    <row r="279" spans="1:12" x14ac:dyDescent="0.25">
      <c r="A279" s="3" t="s">
        <v>73</v>
      </c>
      <c r="B279" s="3">
        <v>7</v>
      </c>
      <c r="C279" s="3">
        <v>10</v>
      </c>
      <c r="D279" s="3">
        <v>2022</v>
      </c>
      <c r="E279" s="4" t="e">
        <f>'Electricity '!I283+'Electricity '!O283</f>
        <v>#VALUE!</v>
      </c>
      <c r="F279" s="141"/>
      <c r="G279" s="4" t="str">
        <f>'Gas Water'!M284</f>
        <v/>
      </c>
      <c r="H279" s="141"/>
      <c r="I279" s="2" t="str">
        <f>'Gas Water'!L284</f>
        <v/>
      </c>
      <c r="J279" s="141"/>
      <c r="K279" s="5"/>
      <c r="L279" s="5"/>
    </row>
    <row r="280" spans="1:12" x14ac:dyDescent="0.25">
      <c r="A280" s="3" t="s">
        <v>73</v>
      </c>
      <c r="B280" s="3">
        <v>8</v>
      </c>
      <c r="C280" s="3">
        <v>10</v>
      </c>
      <c r="D280" s="3">
        <v>2022</v>
      </c>
      <c r="E280" s="4" t="e">
        <f>'Electricity '!I284+'Electricity '!O284</f>
        <v>#VALUE!</v>
      </c>
      <c r="F280" s="141"/>
      <c r="G280" s="4" t="str">
        <f>'Gas Water'!M285</f>
        <v/>
      </c>
      <c r="H280" s="141"/>
      <c r="I280" s="2" t="str">
        <f>'Gas Water'!L285</f>
        <v/>
      </c>
      <c r="J280" s="141"/>
      <c r="K280" s="5"/>
      <c r="L280" s="5"/>
    </row>
    <row r="281" spans="1:12" x14ac:dyDescent="0.25">
      <c r="A281" s="3" t="s">
        <v>73</v>
      </c>
      <c r="B281" s="3">
        <v>9</v>
      </c>
      <c r="C281" s="3">
        <v>10</v>
      </c>
      <c r="D281" s="3">
        <v>2022</v>
      </c>
      <c r="E281" s="4" t="e">
        <f>'Electricity '!I285+'Electricity '!O285</f>
        <v>#VALUE!</v>
      </c>
      <c r="F281" s="141"/>
      <c r="G281" s="4" t="str">
        <f>'Gas Water'!M286</f>
        <v/>
      </c>
      <c r="H281" s="141"/>
      <c r="I281" s="2" t="str">
        <f>'Gas Water'!L286</f>
        <v/>
      </c>
      <c r="J281" s="141"/>
      <c r="K281" s="5"/>
      <c r="L281" s="5"/>
    </row>
    <row r="282" spans="1:12" x14ac:dyDescent="0.25">
      <c r="A282" s="3" t="s">
        <v>73</v>
      </c>
      <c r="B282" s="3">
        <v>10</v>
      </c>
      <c r="C282" s="3">
        <v>10</v>
      </c>
      <c r="D282" s="3">
        <v>2022</v>
      </c>
      <c r="E282" s="4" t="e">
        <f>'Electricity '!I286+'Electricity '!O286</f>
        <v>#VALUE!</v>
      </c>
      <c r="F282" s="141"/>
      <c r="G282" s="4" t="str">
        <f>'Gas Water'!M287</f>
        <v/>
      </c>
      <c r="H282" s="141"/>
      <c r="I282" s="2" t="str">
        <f>'Gas Water'!L287</f>
        <v/>
      </c>
      <c r="J282" s="141"/>
      <c r="K282" s="5"/>
      <c r="L282" s="5"/>
    </row>
    <row r="283" spans="1:12" x14ac:dyDescent="0.25">
      <c r="A283" s="3" t="s">
        <v>73</v>
      </c>
      <c r="B283" s="3">
        <v>11</v>
      </c>
      <c r="C283" s="3">
        <v>10</v>
      </c>
      <c r="D283" s="3">
        <v>2022</v>
      </c>
      <c r="E283" s="4" t="e">
        <f>'Electricity '!I287+'Electricity '!O287</f>
        <v>#VALUE!</v>
      </c>
      <c r="F283" s="141"/>
      <c r="G283" s="4" t="str">
        <f>'Gas Water'!M288</f>
        <v/>
      </c>
      <c r="H283" s="141"/>
      <c r="I283" s="2" t="str">
        <f>'Gas Water'!L288</f>
        <v/>
      </c>
      <c r="J283" s="141"/>
      <c r="K283" s="5"/>
      <c r="L283" s="5"/>
    </row>
    <row r="284" spans="1:12" x14ac:dyDescent="0.25">
      <c r="A284" s="3" t="s">
        <v>73</v>
      </c>
      <c r="B284" s="3">
        <v>12</v>
      </c>
      <c r="C284" s="3">
        <v>10</v>
      </c>
      <c r="D284" s="3">
        <v>2022</v>
      </c>
      <c r="E284" s="4" t="e">
        <f>'Electricity '!I288+'Electricity '!O288</f>
        <v>#VALUE!</v>
      </c>
      <c r="F284" s="141"/>
      <c r="G284" s="4" t="str">
        <f>'Gas Water'!M289</f>
        <v/>
      </c>
      <c r="H284" s="141"/>
      <c r="I284" s="2" t="str">
        <f>'Gas Water'!L289</f>
        <v/>
      </c>
      <c r="J284" s="141"/>
      <c r="K284" s="5"/>
      <c r="L284" s="5"/>
    </row>
    <row r="285" spans="1:12" x14ac:dyDescent="0.25">
      <c r="A285" s="3" t="s">
        <v>73</v>
      </c>
      <c r="B285" s="3">
        <v>13</v>
      </c>
      <c r="C285" s="3">
        <v>10</v>
      </c>
      <c r="D285" s="3">
        <v>2022</v>
      </c>
      <c r="E285" s="4" t="e">
        <f>'Electricity '!I289+'Electricity '!O289</f>
        <v>#VALUE!</v>
      </c>
      <c r="F285" s="141"/>
      <c r="G285" s="4" t="str">
        <f>'Gas Water'!M290</f>
        <v/>
      </c>
      <c r="H285" s="141"/>
      <c r="I285" s="2" t="str">
        <f>'Gas Water'!L290</f>
        <v/>
      </c>
      <c r="J285" s="141"/>
      <c r="K285" s="5"/>
      <c r="L285" s="5"/>
    </row>
    <row r="286" spans="1:12" x14ac:dyDescent="0.25">
      <c r="A286" s="3" t="s">
        <v>73</v>
      </c>
      <c r="B286" s="3">
        <v>14</v>
      </c>
      <c r="C286" s="3">
        <v>10</v>
      </c>
      <c r="D286" s="3">
        <v>2022</v>
      </c>
      <c r="E286" s="4" t="e">
        <f>'Electricity '!I290+'Electricity '!O290</f>
        <v>#VALUE!</v>
      </c>
      <c r="F286" s="141"/>
      <c r="G286" s="4" t="str">
        <f>'Gas Water'!M291</f>
        <v/>
      </c>
      <c r="H286" s="141"/>
      <c r="I286" s="2" t="str">
        <f>'Gas Water'!L291</f>
        <v/>
      </c>
      <c r="J286" s="141"/>
      <c r="K286" s="5"/>
      <c r="L286" s="5"/>
    </row>
    <row r="287" spans="1:12" x14ac:dyDescent="0.25">
      <c r="A287" s="3" t="s">
        <v>73</v>
      </c>
      <c r="B287" s="3">
        <v>15</v>
      </c>
      <c r="C287" s="3">
        <v>10</v>
      </c>
      <c r="D287" s="3">
        <v>2022</v>
      </c>
      <c r="E287" s="4" t="e">
        <f>'Electricity '!I291+'Electricity '!O291</f>
        <v>#VALUE!</v>
      </c>
      <c r="F287" s="141"/>
      <c r="G287" s="4" t="str">
        <f>'Gas Water'!M292</f>
        <v/>
      </c>
      <c r="H287" s="141"/>
      <c r="I287" s="2" t="str">
        <f>'Gas Water'!L292</f>
        <v/>
      </c>
      <c r="J287" s="141"/>
      <c r="K287" s="5"/>
      <c r="L287" s="5"/>
    </row>
    <row r="288" spans="1:12" x14ac:dyDescent="0.25">
      <c r="A288" s="3" t="s">
        <v>73</v>
      </c>
      <c r="B288" s="3">
        <v>16</v>
      </c>
      <c r="C288" s="3">
        <v>10</v>
      </c>
      <c r="D288" s="3">
        <v>2022</v>
      </c>
      <c r="E288" s="4" t="e">
        <f>'Electricity '!I292+'Electricity '!O292</f>
        <v>#VALUE!</v>
      </c>
      <c r="F288" s="141"/>
      <c r="G288" s="4" t="str">
        <f>'Gas Water'!M293</f>
        <v/>
      </c>
      <c r="H288" s="141"/>
      <c r="I288" s="2" t="str">
        <f>'Gas Water'!L293</f>
        <v/>
      </c>
      <c r="J288" s="141"/>
      <c r="K288" s="5"/>
      <c r="L288" s="5"/>
    </row>
    <row r="289" spans="1:12" x14ac:dyDescent="0.25">
      <c r="A289" s="3" t="s">
        <v>73</v>
      </c>
      <c r="B289" s="3">
        <v>17</v>
      </c>
      <c r="C289" s="3">
        <v>10</v>
      </c>
      <c r="D289" s="3">
        <v>2022</v>
      </c>
      <c r="E289" s="4" t="e">
        <f>'Electricity '!I293+'Electricity '!O293</f>
        <v>#VALUE!</v>
      </c>
      <c r="F289" s="141"/>
      <c r="G289" s="4" t="str">
        <f>'Gas Water'!M294</f>
        <v/>
      </c>
      <c r="H289" s="141"/>
      <c r="I289" s="2" t="str">
        <f>'Gas Water'!L294</f>
        <v/>
      </c>
      <c r="J289" s="141"/>
      <c r="K289" s="5"/>
      <c r="L289" s="5"/>
    </row>
    <row r="290" spans="1:12" x14ac:dyDescent="0.25">
      <c r="A290" s="3" t="s">
        <v>73</v>
      </c>
      <c r="B290" s="3">
        <v>18</v>
      </c>
      <c r="C290" s="3">
        <v>10</v>
      </c>
      <c r="D290" s="3">
        <v>2022</v>
      </c>
      <c r="E290" s="4" t="e">
        <f>'Electricity '!I294+'Electricity '!O294</f>
        <v>#VALUE!</v>
      </c>
      <c r="F290" s="141"/>
      <c r="G290" s="4" t="str">
        <f>'Gas Water'!M295</f>
        <v/>
      </c>
      <c r="H290" s="141"/>
      <c r="I290" s="2" t="str">
        <f>'Gas Water'!L295</f>
        <v/>
      </c>
      <c r="J290" s="141"/>
      <c r="K290" s="5"/>
      <c r="L290" s="5"/>
    </row>
    <row r="291" spans="1:12" x14ac:dyDescent="0.25">
      <c r="A291" s="3" t="s">
        <v>73</v>
      </c>
      <c r="B291" s="3">
        <v>19</v>
      </c>
      <c r="C291" s="3">
        <v>10</v>
      </c>
      <c r="D291" s="3">
        <v>2022</v>
      </c>
      <c r="E291" s="4" t="e">
        <f>'Electricity '!I295+'Electricity '!O295</f>
        <v>#VALUE!</v>
      </c>
      <c r="F291" s="141"/>
      <c r="G291" s="4" t="str">
        <f>'Gas Water'!M296</f>
        <v/>
      </c>
      <c r="H291" s="141"/>
      <c r="I291" s="2" t="str">
        <f>'Gas Water'!L296</f>
        <v/>
      </c>
      <c r="J291" s="141"/>
      <c r="K291" s="5"/>
      <c r="L291" s="5"/>
    </row>
    <row r="292" spans="1:12" x14ac:dyDescent="0.25">
      <c r="A292" s="3" t="s">
        <v>73</v>
      </c>
      <c r="B292" s="3">
        <v>20</v>
      </c>
      <c r="C292" s="3">
        <v>10</v>
      </c>
      <c r="D292" s="3">
        <v>2022</v>
      </c>
      <c r="E292" s="4" t="e">
        <f>'Electricity '!I296+'Electricity '!O296</f>
        <v>#VALUE!</v>
      </c>
      <c r="F292" s="141"/>
      <c r="G292" s="4" t="str">
        <f>'Gas Water'!M297</f>
        <v/>
      </c>
      <c r="H292" s="141"/>
      <c r="I292" s="2" t="str">
        <f>'Gas Water'!L297</f>
        <v/>
      </c>
      <c r="J292" s="141"/>
      <c r="K292" s="5"/>
      <c r="L292" s="5"/>
    </row>
    <row r="293" spans="1:12" x14ac:dyDescent="0.25">
      <c r="A293" s="3" t="s">
        <v>73</v>
      </c>
      <c r="B293" s="3">
        <v>21</v>
      </c>
      <c r="C293" s="3">
        <v>10</v>
      </c>
      <c r="D293" s="3">
        <v>2022</v>
      </c>
      <c r="E293" s="4" t="e">
        <f>'Electricity '!I297+'Electricity '!O297</f>
        <v>#VALUE!</v>
      </c>
      <c r="F293" s="141"/>
      <c r="G293" s="4" t="str">
        <f>'Gas Water'!M298</f>
        <v/>
      </c>
      <c r="H293" s="141"/>
      <c r="I293" s="2" t="str">
        <f>'Gas Water'!L298</f>
        <v/>
      </c>
      <c r="J293" s="141"/>
      <c r="K293" s="5"/>
      <c r="L293" s="5"/>
    </row>
    <row r="294" spans="1:12" x14ac:dyDescent="0.25">
      <c r="A294" s="3" t="s">
        <v>73</v>
      </c>
      <c r="B294" s="3">
        <v>22</v>
      </c>
      <c r="C294" s="3">
        <v>10</v>
      </c>
      <c r="D294" s="3">
        <v>2022</v>
      </c>
      <c r="E294" s="4" t="e">
        <f>'Electricity '!I298+'Electricity '!O298</f>
        <v>#VALUE!</v>
      </c>
      <c r="F294" s="141"/>
      <c r="G294" s="4" t="str">
        <f>'Gas Water'!M299</f>
        <v/>
      </c>
      <c r="H294" s="141"/>
      <c r="I294" s="2" t="str">
        <f>'Gas Water'!L299</f>
        <v/>
      </c>
      <c r="J294" s="141"/>
      <c r="K294" s="5"/>
      <c r="L294" s="5"/>
    </row>
    <row r="295" spans="1:12" x14ac:dyDescent="0.25">
      <c r="A295" s="3" t="s">
        <v>73</v>
      </c>
      <c r="B295" s="3">
        <v>23</v>
      </c>
      <c r="C295" s="3">
        <v>10</v>
      </c>
      <c r="D295" s="3">
        <v>2022</v>
      </c>
      <c r="E295" s="4" t="e">
        <f>'Electricity '!I299+'Electricity '!O299</f>
        <v>#VALUE!</v>
      </c>
      <c r="F295" s="141"/>
      <c r="G295" s="4" t="str">
        <f>'Gas Water'!M300</f>
        <v/>
      </c>
      <c r="H295" s="141"/>
      <c r="I295" s="2" t="str">
        <f>'Gas Water'!L300</f>
        <v/>
      </c>
      <c r="J295" s="141"/>
      <c r="K295" s="5"/>
      <c r="L295" s="5"/>
    </row>
    <row r="296" spans="1:12" x14ac:dyDescent="0.25">
      <c r="A296" s="3" t="s">
        <v>73</v>
      </c>
      <c r="B296" s="3">
        <v>24</v>
      </c>
      <c r="C296" s="3">
        <v>10</v>
      </c>
      <c r="D296" s="3">
        <v>2022</v>
      </c>
      <c r="E296" s="4" t="e">
        <f>'Electricity '!I300+'Electricity '!O300</f>
        <v>#VALUE!</v>
      </c>
      <c r="F296" s="141"/>
      <c r="G296" s="4" t="str">
        <f>'Gas Water'!M301</f>
        <v/>
      </c>
      <c r="H296" s="141"/>
      <c r="I296" s="2" t="str">
        <f>'Gas Water'!L301</f>
        <v/>
      </c>
      <c r="J296" s="141"/>
      <c r="K296" s="5"/>
      <c r="L296" s="5"/>
    </row>
    <row r="297" spans="1:12" x14ac:dyDescent="0.25">
      <c r="A297" s="3" t="s">
        <v>73</v>
      </c>
      <c r="B297" s="3">
        <v>25</v>
      </c>
      <c r="C297" s="3">
        <v>10</v>
      </c>
      <c r="D297" s="3">
        <v>2022</v>
      </c>
      <c r="E297" s="4" t="e">
        <f>'Electricity '!I301+'Electricity '!O301</f>
        <v>#VALUE!</v>
      </c>
      <c r="F297" s="141"/>
      <c r="G297" s="4" t="str">
        <f>'Gas Water'!M302</f>
        <v/>
      </c>
      <c r="H297" s="141"/>
      <c r="I297" s="2" t="str">
        <f>'Gas Water'!L302</f>
        <v/>
      </c>
      <c r="J297" s="141"/>
      <c r="K297" s="5"/>
      <c r="L297" s="5"/>
    </row>
    <row r="298" spans="1:12" x14ac:dyDescent="0.25">
      <c r="A298" s="3" t="s">
        <v>73</v>
      </c>
      <c r="B298" s="3">
        <v>26</v>
      </c>
      <c r="C298" s="3">
        <v>10</v>
      </c>
      <c r="D298" s="3">
        <v>2022</v>
      </c>
      <c r="E298" s="4" t="e">
        <f>'Electricity '!I302+'Electricity '!O302</f>
        <v>#VALUE!</v>
      </c>
      <c r="F298" s="141"/>
      <c r="G298" s="4" t="str">
        <f>'Gas Water'!M303</f>
        <v/>
      </c>
      <c r="H298" s="141"/>
      <c r="I298" s="2" t="str">
        <f>'Gas Water'!L303</f>
        <v/>
      </c>
      <c r="J298" s="141"/>
      <c r="K298" s="5"/>
      <c r="L298" s="5"/>
    </row>
    <row r="299" spans="1:12" x14ac:dyDescent="0.25">
      <c r="A299" s="3" t="s">
        <v>73</v>
      </c>
      <c r="B299" s="3">
        <v>27</v>
      </c>
      <c r="C299" s="3">
        <v>10</v>
      </c>
      <c r="D299" s="3">
        <v>2022</v>
      </c>
      <c r="E299" s="4" t="e">
        <f>'Electricity '!I303+'Electricity '!O303</f>
        <v>#VALUE!</v>
      </c>
      <c r="F299" s="141"/>
      <c r="G299" s="4" t="str">
        <f>'Gas Water'!M304</f>
        <v/>
      </c>
      <c r="H299" s="141"/>
      <c r="I299" s="2" t="str">
        <f>'Gas Water'!L304</f>
        <v/>
      </c>
      <c r="J299" s="141"/>
      <c r="K299" s="5"/>
      <c r="L299" s="5"/>
    </row>
    <row r="300" spans="1:12" x14ac:dyDescent="0.25">
      <c r="A300" s="3" t="s">
        <v>73</v>
      </c>
      <c r="B300" s="3">
        <v>28</v>
      </c>
      <c r="C300" s="3">
        <v>10</v>
      </c>
      <c r="D300" s="3">
        <v>2022</v>
      </c>
      <c r="E300" s="4" t="e">
        <f>'Electricity '!I304+'Electricity '!O304</f>
        <v>#VALUE!</v>
      </c>
      <c r="F300" s="141"/>
      <c r="G300" s="4" t="str">
        <f>'Gas Water'!M305</f>
        <v/>
      </c>
      <c r="H300" s="141"/>
      <c r="I300" s="2" t="str">
        <f>'Gas Water'!L305</f>
        <v/>
      </c>
      <c r="J300" s="141"/>
      <c r="K300" s="5"/>
      <c r="L300" s="5"/>
    </row>
    <row r="301" spans="1:12" x14ac:dyDescent="0.25">
      <c r="A301" s="3" t="s">
        <v>73</v>
      </c>
      <c r="B301" s="3">
        <v>29</v>
      </c>
      <c r="C301" s="3">
        <v>10</v>
      </c>
      <c r="D301" s="3">
        <v>2022</v>
      </c>
      <c r="E301" s="4" t="e">
        <f>'Electricity '!I305+'Electricity '!O305</f>
        <v>#VALUE!</v>
      </c>
      <c r="F301" s="141"/>
      <c r="G301" s="4" t="str">
        <f>'Gas Water'!M306</f>
        <v/>
      </c>
      <c r="H301" s="141"/>
      <c r="I301" s="2" t="str">
        <f>'Gas Water'!L306</f>
        <v/>
      </c>
      <c r="J301" s="141"/>
      <c r="K301" s="5"/>
      <c r="L301" s="5"/>
    </row>
    <row r="302" spans="1:12" x14ac:dyDescent="0.25">
      <c r="A302" s="3" t="s">
        <v>73</v>
      </c>
      <c r="B302" s="3">
        <v>30</v>
      </c>
      <c r="C302" s="3">
        <v>10</v>
      </c>
      <c r="D302" s="3">
        <v>2022</v>
      </c>
      <c r="E302" s="4" t="e">
        <f>'Electricity '!I306+'Electricity '!O306</f>
        <v>#VALUE!</v>
      </c>
      <c r="F302" s="141"/>
      <c r="G302" s="4" t="str">
        <f>'Gas Water'!M307</f>
        <v/>
      </c>
      <c r="H302" s="141"/>
      <c r="I302" s="2" t="str">
        <f>'Gas Water'!L307</f>
        <v/>
      </c>
      <c r="J302" s="141"/>
      <c r="K302" s="5"/>
      <c r="L302" s="5"/>
    </row>
    <row r="303" spans="1:12" x14ac:dyDescent="0.25">
      <c r="A303" s="3" t="s">
        <v>73</v>
      </c>
      <c r="B303" s="3">
        <v>31</v>
      </c>
      <c r="C303" s="3">
        <v>10</v>
      </c>
      <c r="D303" s="3">
        <v>2022</v>
      </c>
      <c r="E303" s="4" t="e">
        <f>'Electricity '!I307+'Electricity '!O307</f>
        <v>#VALUE!</v>
      </c>
      <c r="F303" s="141"/>
      <c r="G303" s="4" t="str">
        <f>'Gas Water'!M308</f>
        <v/>
      </c>
      <c r="H303" s="141"/>
      <c r="I303" s="2" t="str">
        <f>'Gas Water'!L308</f>
        <v/>
      </c>
      <c r="J303" s="141"/>
      <c r="K303" s="5"/>
      <c r="L303" s="5"/>
    </row>
    <row r="304" spans="1:12" x14ac:dyDescent="0.25">
      <c r="A304" s="3" t="s">
        <v>73</v>
      </c>
      <c r="B304" s="3">
        <v>1</v>
      </c>
      <c r="C304" s="3">
        <v>11</v>
      </c>
      <c r="D304" s="3">
        <v>2022</v>
      </c>
      <c r="E304" s="4" t="e">
        <f>'Electricity '!I308+'Electricity '!O308</f>
        <v>#VALUE!</v>
      </c>
      <c r="F304" s="141"/>
      <c r="G304" s="4" t="str">
        <f>'Gas Water'!M309</f>
        <v/>
      </c>
      <c r="H304" s="141"/>
      <c r="I304" s="2" t="str">
        <f>'Gas Water'!L309</f>
        <v/>
      </c>
      <c r="J304" s="141"/>
      <c r="K304" s="5"/>
      <c r="L304" s="5"/>
    </row>
    <row r="305" spans="1:12" x14ac:dyDescent="0.25">
      <c r="A305" s="3" t="s">
        <v>73</v>
      </c>
      <c r="B305" s="3">
        <v>2</v>
      </c>
      <c r="C305" s="3">
        <v>11</v>
      </c>
      <c r="D305" s="3">
        <v>2022</v>
      </c>
      <c r="E305" s="4" t="e">
        <f>'Electricity '!I309+'Electricity '!O309</f>
        <v>#VALUE!</v>
      </c>
      <c r="F305" s="141"/>
      <c r="G305" s="4" t="str">
        <f>'Gas Water'!M310</f>
        <v/>
      </c>
      <c r="H305" s="141"/>
      <c r="I305" s="2" t="str">
        <f>'Gas Water'!L310</f>
        <v/>
      </c>
      <c r="J305" s="141"/>
      <c r="K305" s="5"/>
      <c r="L305" s="5"/>
    </row>
    <row r="306" spans="1:12" x14ac:dyDescent="0.25">
      <c r="A306" s="3" t="s">
        <v>73</v>
      </c>
      <c r="B306" s="3">
        <v>3</v>
      </c>
      <c r="C306" s="3">
        <v>11</v>
      </c>
      <c r="D306" s="3">
        <v>2022</v>
      </c>
      <c r="E306" s="4" t="e">
        <f>'Electricity '!I310+'Electricity '!O310</f>
        <v>#VALUE!</v>
      </c>
      <c r="F306" s="141"/>
      <c r="G306" s="4" t="str">
        <f>'Gas Water'!M311</f>
        <v/>
      </c>
      <c r="H306" s="141"/>
      <c r="I306" s="2" t="str">
        <f>'Gas Water'!L311</f>
        <v/>
      </c>
      <c r="J306" s="141"/>
      <c r="K306" s="5"/>
      <c r="L306" s="5"/>
    </row>
    <row r="307" spans="1:12" x14ac:dyDescent="0.25">
      <c r="A307" s="3" t="s">
        <v>73</v>
      </c>
      <c r="B307" s="3">
        <v>4</v>
      </c>
      <c r="C307" s="3">
        <v>11</v>
      </c>
      <c r="D307" s="3">
        <v>2022</v>
      </c>
      <c r="E307" s="4" t="e">
        <f>'Electricity '!I311+'Electricity '!O311</f>
        <v>#VALUE!</v>
      </c>
      <c r="F307" s="141"/>
      <c r="G307" s="4" t="str">
        <f>'Gas Water'!M312</f>
        <v/>
      </c>
      <c r="H307" s="141"/>
      <c r="I307" s="2" t="str">
        <f>'Gas Water'!L312</f>
        <v/>
      </c>
      <c r="J307" s="141"/>
      <c r="K307" s="5"/>
      <c r="L307" s="5"/>
    </row>
    <row r="308" spans="1:12" x14ac:dyDescent="0.25">
      <c r="A308" s="3" t="s">
        <v>73</v>
      </c>
      <c r="B308" s="3">
        <v>5</v>
      </c>
      <c r="C308" s="3">
        <v>11</v>
      </c>
      <c r="D308" s="3">
        <v>2022</v>
      </c>
      <c r="E308" s="4" t="e">
        <f>'Electricity '!I312+'Electricity '!O312</f>
        <v>#VALUE!</v>
      </c>
      <c r="F308" s="141"/>
      <c r="G308" s="4" t="str">
        <f>'Gas Water'!M313</f>
        <v/>
      </c>
      <c r="H308" s="141"/>
      <c r="I308" s="2" t="str">
        <f>'Gas Water'!L313</f>
        <v/>
      </c>
      <c r="J308" s="141"/>
      <c r="K308" s="5"/>
      <c r="L308" s="5"/>
    </row>
    <row r="309" spans="1:12" x14ac:dyDescent="0.25">
      <c r="A309" s="3" t="s">
        <v>73</v>
      </c>
      <c r="B309" s="3">
        <v>6</v>
      </c>
      <c r="C309" s="3">
        <v>11</v>
      </c>
      <c r="D309" s="3">
        <v>2022</v>
      </c>
      <c r="E309" s="4" t="e">
        <f>'Electricity '!I313+'Electricity '!O313</f>
        <v>#VALUE!</v>
      </c>
      <c r="F309" s="141"/>
      <c r="G309" s="4" t="str">
        <f>'Gas Water'!M314</f>
        <v/>
      </c>
      <c r="H309" s="141"/>
      <c r="I309" s="2" t="str">
        <f>'Gas Water'!L314</f>
        <v/>
      </c>
      <c r="J309" s="141"/>
      <c r="K309" s="5"/>
      <c r="L309" s="5"/>
    </row>
    <row r="310" spans="1:12" x14ac:dyDescent="0.25">
      <c r="A310" s="3" t="s">
        <v>73</v>
      </c>
      <c r="B310" s="3">
        <v>7</v>
      </c>
      <c r="C310" s="3">
        <v>11</v>
      </c>
      <c r="D310" s="3">
        <v>2022</v>
      </c>
      <c r="E310" s="4" t="e">
        <f>'Electricity '!I314+'Electricity '!O314</f>
        <v>#VALUE!</v>
      </c>
      <c r="F310" s="141"/>
      <c r="G310" s="4" t="str">
        <f>'Gas Water'!M315</f>
        <v/>
      </c>
      <c r="H310" s="141"/>
      <c r="I310" s="2" t="str">
        <f>'Gas Water'!L315</f>
        <v/>
      </c>
      <c r="J310" s="141"/>
      <c r="K310" s="5"/>
      <c r="L310" s="5"/>
    </row>
    <row r="311" spans="1:12" x14ac:dyDescent="0.25">
      <c r="A311" s="3" t="s">
        <v>73</v>
      </c>
      <c r="B311" s="3">
        <v>8</v>
      </c>
      <c r="C311" s="3">
        <v>11</v>
      </c>
      <c r="D311" s="3">
        <v>2022</v>
      </c>
      <c r="E311" s="4" t="e">
        <f>'Electricity '!I315+'Electricity '!O315</f>
        <v>#VALUE!</v>
      </c>
      <c r="F311" s="141"/>
      <c r="G311" s="4" t="str">
        <f>'Gas Water'!M316</f>
        <v/>
      </c>
      <c r="H311" s="141"/>
      <c r="I311" s="2" t="str">
        <f>'Gas Water'!L316</f>
        <v/>
      </c>
      <c r="J311" s="141"/>
      <c r="K311" s="5"/>
      <c r="L311" s="5"/>
    </row>
    <row r="312" spans="1:12" x14ac:dyDescent="0.25">
      <c r="A312" s="3" t="s">
        <v>73</v>
      </c>
      <c r="B312" s="3">
        <v>9</v>
      </c>
      <c r="C312" s="3">
        <v>11</v>
      </c>
      <c r="D312" s="3">
        <v>2022</v>
      </c>
      <c r="E312" s="4" t="e">
        <f>'Electricity '!I316+'Electricity '!O316</f>
        <v>#VALUE!</v>
      </c>
      <c r="F312" s="141"/>
      <c r="G312" s="4" t="str">
        <f>'Gas Water'!M317</f>
        <v/>
      </c>
      <c r="H312" s="141"/>
      <c r="I312" s="2" t="str">
        <f>'Gas Water'!L317</f>
        <v/>
      </c>
      <c r="J312" s="141"/>
      <c r="K312" s="5"/>
      <c r="L312" s="5"/>
    </row>
    <row r="313" spans="1:12" x14ac:dyDescent="0.25">
      <c r="A313" s="3" t="s">
        <v>73</v>
      </c>
      <c r="B313" s="3">
        <v>10</v>
      </c>
      <c r="C313" s="3">
        <v>11</v>
      </c>
      <c r="D313" s="3">
        <v>2022</v>
      </c>
      <c r="E313" s="4" t="e">
        <f>'Electricity '!I317+'Electricity '!O317</f>
        <v>#VALUE!</v>
      </c>
      <c r="F313" s="141"/>
      <c r="G313" s="4" t="str">
        <f>'Gas Water'!M318</f>
        <v/>
      </c>
      <c r="H313" s="141"/>
      <c r="I313" s="2" t="str">
        <f>'Gas Water'!L318</f>
        <v/>
      </c>
      <c r="J313" s="141"/>
      <c r="K313" s="5"/>
      <c r="L313" s="5"/>
    </row>
    <row r="314" spans="1:12" x14ac:dyDescent="0.25">
      <c r="A314" s="3" t="s">
        <v>73</v>
      </c>
      <c r="B314" s="3">
        <v>11</v>
      </c>
      <c r="C314" s="3">
        <v>11</v>
      </c>
      <c r="D314" s="3">
        <v>2022</v>
      </c>
      <c r="E314" s="4" t="e">
        <f>'Electricity '!I318+'Electricity '!O318</f>
        <v>#VALUE!</v>
      </c>
      <c r="F314" s="141"/>
      <c r="G314" s="4" t="str">
        <f>'Gas Water'!M319</f>
        <v/>
      </c>
      <c r="H314" s="141"/>
      <c r="I314" s="2" t="str">
        <f>'Gas Water'!L319</f>
        <v/>
      </c>
      <c r="J314" s="141"/>
      <c r="K314" s="5"/>
      <c r="L314" s="5"/>
    </row>
    <row r="315" spans="1:12" x14ac:dyDescent="0.25">
      <c r="A315" s="3" t="s">
        <v>73</v>
      </c>
      <c r="B315" s="3">
        <v>12</v>
      </c>
      <c r="C315" s="3">
        <v>11</v>
      </c>
      <c r="D315" s="3">
        <v>2022</v>
      </c>
      <c r="E315" s="4" t="e">
        <f>'Electricity '!I319+'Electricity '!O319</f>
        <v>#VALUE!</v>
      </c>
      <c r="F315" s="141"/>
      <c r="G315" s="4" t="str">
        <f>'Gas Water'!M320</f>
        <v/>
      </c>
      <c r="H315" s="141"/>
      <c r="I315" s="2" t="str">
        <f>'Gas Water'!L320</f>
        <v/>
      </c>
      <c r="J315" s="141"/>
      <c r="K315" s="5"/>
      <c r="L315" s="5"/>
    </row>
    <row r="316" spans="1:12" x14ac:dyDescent="0.25">
      <c r="A316" s="3" t="s">
        <v>73</v>
      </c>
      <c r="B316" s="3">
        <v>13</v>
      </c>
      <c r="C316" s="3">
        <v>11</v>
      </c>
      <c r="D316" s="3">
        <v>2022</v>
      </c>
      <c r="E316" s="4" t="e">
        <f>'Electricity '!I320+'Electricity '!O320</f>
        <v>#VALUE!</v>
      </c>
      <c r="F316" s="141"/>
      <c r="G316" s="4" t="str">
        <f>'Gas Water'!M321</f>
        <v/>
      </c>
      <c r="H316" s="141"/>
      <c r="I316" s="2" t="str">
        <f>'Gas Water'!L321</f>
        <v/>
      </c>
      <c r="J316" s="141"/>
      <c r="K316" s="5"/>
      <c r="L316" s="5"/>
    </row>
    <row r="317" spans="1:12" x14ac:dyDescent="0.25">
      <c r="A317" s="3" t="s">
        <v>73</v>
      </c>
      <c r="B317" s="3">
        <v>14</v>
      </c>
      <c r="C317" s="3">
        <v>11</v>
      </c>
      <c r="D317" s="3">
        <v>2022</v>
      </c>
      <c r="E317" s="4" t="e">
        <f>'Electricity '!I321+'Electricity '!O321</f>
        <v>#VALUE!</v>
      </c>
      <c r="F317" s="141"/>
      <c r="G317" s="4" t="str">
        <f>'Gas Water'!M322</f>
        <v/>
      </c>
      <c r="H317" s="141"/>
      <c r="I317" s="2" t="str">
        <f>'Gas Water'!L322</f>
        <v/>
      </c>
      <c r="J317" s="141"/>
      <c r="K317" s="5"/>
      <c r="L317" s="5"/>
    </row>
    <row r="318" spans="1:12" x14ac:dyDescent="0.25">
      <c r="A318" s="3" t="s">
        <v>73</v>
      </c>
      <c r="B318" s="3">
        <v>15</v>
      </c>
      <c r="C318" s="3">
        <v>11</v>
      </c>
      <c r="D318" s="3">
        <v>2022</v>
      </c>
      <c r="E318" s="4" t="e">
        <f>'Electricity '!I322+'Electricity '!O322</f>
        <v>#VALUE!</v>
      </c>
      <c r="F318" s="141"/>
      <c r="G318" s="4" t="str">
        <f>'Gas Water'!M323</f>
        <v/>
      </c>
      <c r="H318" s="141"/>
      <c r="I318" s="2" t="str">
        <f>'Gas Water'!L323</f>
        <v/>
      </c>
      <c r="J318" s="141"/>
      <c r="K318" s="5"/>
      <c r="L318" s="5"/>
    </row>
    <row r="319" spans="1:12" x14ac:dyDescent="0.25">
      <c r="A319" s="3" t="s">
        <v>73</v>
      </c>
      <c r="B319" s="3">
        <v>16</v>
      </c>
      <c r="C319" s="3">
        <v>11</v>
      </c>
      <c r="D319" s="3">
        <v>2022</v>
      </c>
      <c r="E319" s="4" t="e">
        <f>'Electricity '!I323+'Electricity '!O323</f>
        <v>#VALUE!</v>
      </c>
      <c r="F319" s="141"/>
      <c r="G319" s="4" t="str">
        <f>'Gas Water'!M324</f>
        <v/>
      </c>
      <c r="H319" s="141"/>
      <c r="I319" s="2" t="str">
        <f>'Gas Water'!L324</f>
        <v/>
      </c>
      <c r="J319" s="141"/>
      <c r="K319" s="5"/>
      <c r="L319" s="5"/>
    </row>
    <row r="320" spans="1:12" x14ac:dyDescent="0.25">
      <c r="A320" s="3" t="s">
        <v>73</v>
      </c>
      <c r="B320" s="3">
        <v>17</v>
      </c>
      <c r="C320" s="3">
        <v>11</v>
      </c>
      <c r="D320" s="3">
        <v>2022</v>
      </c>
      <c r="E320" s="4" t="e">
        <f>'Electricity '!I324+'Electricity '!O324</f>
        <v>#VALUE!</v>
      </c>
      <c r="F320" s="141"/>
      <c r="G320" s="4" t="str">
        <f>'Gas Water'!M325</f>
        <v/>
      </c>
      <c r="H320" s="141"/>
      <c r="I320" s="2" t="str">
        <f>'Gas Water'!L325</f>
        <v/>
      </c>
      <c r="J320" s="141"/>
      <c r="K320" s="5"/>
      <c r="L320" s="5"/>
    </row>
    <row r="321" spans="1:12" x14ac:dyDescent="0.25">
      <c r="A321" s="3" t="s">
        <v>73</v>
      </c>
      <c r="B321" s="3">
        <v>18</v>
      </c>
      <c r="C321" s="3">
        <v>11</v>
      </c>
      <c r="D321" s="3">
        <v>2022</v>
      </c>
      <c r="E321" s="4" t="e">
        <f>'Electricity '!I325+'Electricity '!O325</f>
        <v>#VALUE!</v>
      </c>
      <c r="F321" s="141"/>
      <c r="G321" s="4" t="str">
        <f>'Gas Water'!M326</f>
        <v/>
      </c>
      <c r="H321" s="141"/>
      <c r="I321" s="2" t="str">
        <f>'Gas Water'!L326</f>
        <v/>
      </c>
      <c r="J321" s="141"/>
      <c r="K321" s="5"/>
      <c r="L321" s="5"/>
    </row>
    <row r="322" spans="1:12" x14ac:dyDescent="0.25">
      <c r="A322" s="3" t="s">
        <v>73</v>
      </c>
      <c r="B322" s="3">
        <v>19</v>
      </c>
      <c r="C322" s="3">
        <v>11</v>
      </c>
      <c r="D322" s="3">
        <v>2022</v>
      </c>
      <c r="E322" s="4" t="e">
        <f>'Electricity '!I326+'Electricity '!O326</f>
        <v>#VALUE!</v>
      </c>
      <c r="F322" s="141"/>
      <c r="G322" s="4" t="str">
        <f>'Gas Water'!M327</f>
        <v/>
      </c>
      <c r="H322" s="141"/>
      <c r="I322" s="2" t="str">
        <f>'Gas Water'!L327</f>
        <v/>
      </c>
      <c r="J322" s="141"/>
      <c r="K322" s="5"/>
      <c r="L322" s="5"/>
    </row>
    <row r="323" spans="1:12" x14ac:dyDescent="0.25">
      <c r="A323" s="3" t="s">
        <v>73</v>
      </c>
      <c r="B323" s="3">
        <v>20</v>
      </c>
      <c r="C323" s="3">
        <v>11</v>
      </c>
      <c r="D323" s="3">
        <v>2022</v>
      </c>
      <c r="E323" s="4" t="e">
        <f>'Electricity '!I327+'Electricity '!O327</f>
        <v>#VALUE!</v>
      </c>
      <c r="F323" s="141"/>
      <c r="G323" s="4" t="str">
        <f>'Gas Water'!M328</f>
        <v/>
      </c>
      <c r="H323" s="141"/>
      <c r="I323" s="2" t="str">
        <f>'Gas Water'!L328</f>
        <v/>
      </c>
      <c r="J323" s="141"/>
      <c r="K323" s="5"/>
      <c r="L323" s="5"/>
    </row>
    <row r="324" spans="1:12" x14ac:dyDescent="0.25">
      <c r="A324" s="3" t="s">
        <v>73</v>
      </c>
      <c r="B324" s="3">
        <v>21</v>
      </c>
      <c r="C324" s="3">
        <v>11</v>
      </c>
      <c r="D324" s="3">
        <v>2022</v>
      </c>
      <c r="E324" s="4" t="e">
        <f>'Electricity '!I328+'Electricity '!O328</f>
        <v>#VALUE!</v>
      </c>
      <c r="F324" s="141"/>
      <c r="G324" s="4" t="str">
        <f>'Gas Water'!M329</f>
        <v/>
      </c>
      <c r="H324" s="141"/>
      <c r="I324" s="2" t="str">
        <f>'Gas Water'!L329</f>
        <v/>
      </c>
      <c r="J324" s="141"/>
      <c r="K324" s="5"/>
      <c r="L324" s="5"/>
    </row>
    <row r="325" spans="1:12" x14ac:dyDescent="0.25">
      <c r="A325" s="3" t="s">
        <v>73</v>
      </c>
      <c r="B325" s="3">
        <v>22</v>
      </c>
      <c r="C325" s="3">
        <v>11</v>
      </c>
      <c r="D325" s="3">
        <v>2022</v>
      </c>
      <c r="E325" s="4" t="e">
        <f>'Electricity '!I329+'Electricity '!O329</f>
        <v>#VALUE!</v>
      </c>
      <c r="F325" s="141"/>
      <c r="G325" s="4" t="str">
        <f>'Gas Water'!M330</f>
        <v/>
      </c>
      <c r="H325" s="141"/>
      <c r="I325" s="2" t="str">
        <f>'Gas Water'!L330</f>
        <v/>
      </c>
      <c r="J325" s="141"/>
      <c r="K325" s="5"/>
      <c r="L325" s="5"/>
    </row>
    <row r="326" spans="1:12" x14ac:dyDescent="0.25">
      <c r="A326" s="3" t="s">
        <v>73</v>
      </c>
      <c r="B326" s="3">
        <v>23</v>
      </c>
      <c r="C326" s="3">
        <v>11</v>
      </c>
      <c r="D326" s="3">
        <v>2022</v>
      </c>
      <c r="E326" s="4" t="e">
        <f>'Electricity '!I330+'Electricity '!O330</f>
        <v>#VALUE!</v>
      </c>
      <c r="F326" s="141"/>
      <c r="G326" s="4" t="str">
        <f>'Gas Water'!M331</f>
        <v/>
      </c>
      <c r="H326" s="141"/>
      <c r="I326" s="2" t="str">
        <f>'Gas Water'!L331</f>
        <v/>
      </c>
      <c r="J326" s="141"/>
      <c r="K326" s="5"/>
      <c r="L326" s="5"/>
    </row>
    <row r="327" spans="1:12" x14ac:dyDescent="0.25">
      <c r="A327" s="3" t="s">
        <v>73</v>
      </c>
      <c r="B327" s="3">
        <v>24</v>
      </c>
      <c r="C327" s="3">
        <v>11</v>
      </c>
      <c r="D327" s="3">
        <v>2022</v>
      </c>
      <c r="E327" s="4" t="e">
        <f>'Electricity '!I331+'Electricity '!O331</f>
        <v>#VALUE!</v>
      </c>
      <c r="F327" s="141"/>
      <c r="G327" s="4" t="str">
        <f>'Gas Water'!M332</f>
        <v/>
      </c>
      <c r="H327" s="141"/>
      <c r="I327" s="2" t="str">
        <f>'Gas Water'!L332</f>
        <v/>
      </c>
      <c r="J327" s="141"/>
      <c r="K327" s="5"/>
      <c r="L327" s="5"/>
    </row>
    <row r="328" spans="1:12" x14ac:dyDescent="0.25">
      <c r="A328" s="3" t="s">
        <v>73</v>
      </c>
      <c r="B328" s="3">
        <v>25</v>
      </c>
      <c r="C328" s="3">
        <v>11</v>
      </c>
      <c r="D328" s="3">
        <v>2022</v>
      </c>
      <c r="E328" s="4" t="e">
        <f>'Electricity '!I332+'Electricity '!O332</f>
        <v>#VALUE!</v>
      </c>
      <c r="F328" s="141"/>
      <c r="G328" s="4" t="str">
        <f>'Gas Water'!M333</f>
        <v/>
      </c>
      <c r="H328" s="141"/>
      <c r="I328" s="2" t="str">
        <f>'Gas Water'!L333</f>
        <v/>
      </c>
      <c r="J328" s="141"/>
      <c r="K328" s="5"/>
      <c r="L328" s="5"/>
    </row>
    <row r="329" spans="1:12" x14ac:dyDescent="0.25">
      <c r="A329" s="3" t="s">
        <v>73</v>
      </c>
      <c r="B329" s="3">
        <v>26</v>
      </c>
      <c r="C329" s="3">
        <v>11</v>
      </c>
      <c r="D329" s="3">
        <v>2022</v>
      </c>
      <c r="E329" s="4" t="e">
        <f>'Electricity '!I333+'Electricity '!O333</f>
        <v>#VALUE!</v>
      </c>
      <c r="F329" s="141"/>
      <c r="G329" s="4" t="str">
        <f>'Gas Water'!M334</f>
        <v/>
      </c>
      <c r="H329" s="141"/>
      <c r="I329" s="2" t="str">
        <f>'Gas Water'!L334</f>
        <v/>
      </c>
      <c r="J329" s="141"/>
      <c r="K329" s="5"/>
      <c r="L329" s="5"/>
    </row>
    <row r="330" spans="1:12" x14ac:dyDescent="0.25">
      <c r="A330" s="3" t="s">
        <v>73</v>
      </c>
      <c r="B330" s="3">
        <v>27</v>
      </c>
      <c r="C330" s="3">
        <v>11</v>
      </c>
      <c r="D330" s="3">
        <v>2022</v>
      </c>
      <c r="E330" s="4" t="e">
        <f>'Electricity '!I334+'Electricity '!O334</f>
        <v>#VALUE!</v>
      </c>
      <c r="F330" s="141"/>
      <c r="G330" s="4" t="str">
        <f>'Gas Water'!M335</f>
        <v/>
      </c>
      <c r="H330" s="141"/>
      <c r="I330" s="2" t="str">
        <f>'Gas Water'!L335</f>
        <v/>
      </c>
      <c r="J330" s="141"/>
      <c r="K330" s="5"/>
      <c r="L330" s="5"/>
    </row>
    <row r="331" spans="1:12" x14ac:dyDescent="0.25">
      <c r="A331" s="3" t="s">
        <v>73</v>
      </c>
      <c r="B331" s="3">
        <v>28</v>
      </c>
      <c r="C331" s="3">
        <v>11</v>
      </c>
      <c r="D331" s="3">
        <v>2022</v>
      </c>
      <c r="E331" s="4" t="e">
        <f>'Electricity '!I335+'Electricity '!O335</f>
        <v>#VALUE!</v>
      </c>
      <c r="F331" s="141"/>
      <c r="G331" s="4" t="str">
        <f>'Gas Water'!M336</f>
        <v/>
      </c>
      <c r="H331" s="141"/>
      <c r="I331" s="2" t="str">
        <f>'Gas Water'!L336</f>
        <v/>
      </c>
      <c r="J331" s="141"/>
      <c r="K331" s="5"/>
      <c r="L331" s="5"/>
    </row>
    <row r="332" spans="1:12" x14ac:dyDescent="0.25">
      <c r="A332" s="3" t="s">
        <v>73</v>
      </c>
      <c r="B332" s="3">
        <v>29</v>
      </c>
      <c r="C332" s="3">
        <v>11</v>
      </c>
      <c r="D332" s="3">
        <v>2022</v>
      </c>
      <c r="E332" s="4" t="e">
        <f>'Electricity '!I336+'Electricity '!O336</f>
        <v>#VALUE!</v>
      </c>
      <c r="F332" s="141"/>
      <c r="G332" s="4" t="str">
        <f>'Gas Water'!M337</f>
        <v/>
      </c>
      <c r="H332" s="141"/>
      <c r="I332" s="2" t="str">
        <f>'Gas Water'!L337</f>
        <v/>
      </c>
      <c r="J332" s="141"/>
      <c r="K332" s="5"/>
      <c r="L332" s="5"/>
    </row>
    <row r="333" spans="1:12" x14ac:dyDescent="0.25">
      <c r="A333" s="3" t="s">
        <v>73</v>
      </c>
      <c r="B333" s="3">
        <v>30</v>
      </c>
      <c r="C333" s="3">
        <v>11</v>
      </c>
      <c r="D333" s="3">
        <v>2022</v>
      </c>
      <c r="E333" s="4" t="e">
        <f>'Electricity '!I337+'Electricity '!O337</f>
        <v>#VALUE!</v>
      </c>
      <c r="F333" s="141"/>
      <c r="G333" s="4" t="str">
        <f>'Gas Water'!M338</f>
        <v/>
      </c>
      <c r="H333" s="141"/>
      <c r="I333" s="2" t="str">
        <f>'Gas Water'!L338</f>
        <v/>
      </c>
      <c r="J333" s="141"/>
      <c r="K333" s="5"/>
      <c r="L333" s="5"/>
    </row>
    <row r="334" spans="1:12" x14ac:dyDescent="0.25">
      <c r="A334" s="3" t="s">
        <v>73</v>
      </c>
      <c r="B334" s="3">
        <v>1</v>
      </c>
      <c r="C334" s="3">
        <v>12</v>
      </c>
      <c r="D334" s="3">
        <v>2022</v>
      </c>
      <c r="E334" s="4" t="e">
        <f>'Electricity '!I338+'Electricity '!O338</f>
        <v>#VALUE!</v>
      </c>
      <c r="F334" s="141"/>
      <c r="G334" s="4" t="str">
        <f>'Gas Water'!M339</f>
        <v/>
      </c>
      <c r="H334" s="141"/>
      <c r="I334" s="2" t="str">
        <f>'Gas Water'!L339</f>
        <v/>
      </c>
      <c r="J334" s="141"/>
      <c r="K334" s="5"/>
      <c r="L334" s="5"/>
    </row>
    <row r="335" spans="1:12" x14ac:dyDescent="0.25">
      <c r="A335" s="3" t="s">
        <v>73</v>
      </c>
      <c r="B335" s="3">
        <v>2</v>
      </c>
      <c r="C335" s="3">
        <v>12</v>
      </c>
      <c r="D335" s="3">
        <v>2022</v>
      </c>
      <c r="E335" s="4" t="e">
        <f>'Electricity '!I339+'Electricity '!O339</f>
        <v>#VALUE!</v>
      </c>
      <c r="F335" s="141"/>
      <c r="G335" s="4" t="str">
        <f>'Gas Water'!M340</f>
        <v/>
      </c>
      <c r="H335" s="141"/>
      <c r="I335" s="2" t="str">
        <f>'Gas Water'!L340</f>
        <v/>
      </c>
      <c r="J335" s="141"/>
      <c r="K335" s="5"/>
      <c r="L335" s="5"/>
    </row>
    <row r="336" spans="1:12" x14ac:dyDescent="0.25">
      <c r="A336" s="3" t="s">
        <v>73</v>
      </c>
      <c r="B336" s="3">
        <v>3</v>
      </c>
      <c r="C336" s="3">
        <v>12</v>
      </c>
      <c r="D336" s="3">
        <v>2022</v>
      </c>
      <c r="E336" s="4" t="e">
        <f>'Electricity '!I340+'Electricity '!O340</f>
        <v>#VALUE!</v>
      </c>
      <c r="F336" s="141"/>
      <c r="G336" s="4" t="str">
        <f>'Gas Water'!M341</f>
        <v/>
      </c>
      <c r="H336" s="141"/>
      <c r="I336" s="2" t="str">
        <f>'Gas Water'!L341</f>
        <v/>
      </c>
      <c r="J336" s="141"/>
      <c r="K336" s="5"/>
      <c r="L336" s="5"/>
    </row>
    <row r="337" spans="1:12" x14ac:dyDescent="0.25">
      <c r="A337" s="3" t="s">
        <v>73</v>
      </c>
      <c r="B337" s="3">
        <v>4</v>
      </c>
      <c r="C337" s="3">
        <v>12</v>
      </c>
      <c r="D337" s="3">
        <v>2022</v>
      </c>
      <c r="E337" s="4" t="e">
        <f>'Electricity '!I341+'Electricity '!O341</f>
        <v>#VALUE!</v>
      </c>
      <c r="F337" s="141"/>
      <c r="G337" s="4" t="str">
        <f>'Gas Water'!M342</f>
        <v/>
      </c>
      <c r="H337" s="141"/>
      <c r="I337" s="2" t="str">
        <f>'Gas Water'!L342</f>
        <v/>
      </c>
      <c r="J337" s="141"/>
      <c r="K337" s="5"/>
      <c r="L337" s="5"/>
    </row>
    <row r="338" spans="1:12" x14ac:dyDescent="0.25">
      <c r="A338" s="3" t="s">
        <v>73</v>
      </c>
      <c r="B338" s="3">
        <v>5</v>
      </c>
      <c r="C338" s="3">
        <v>12</v>
      </c>
      <c r="D338" s="3">
        <v>2022</v>
      </c>
      <c r="E338" s="4" t="e">
        <f>'Electricity '!I342+'Electricity '!O342</f>
        <v>#VALUE!</v>
      </c>
      <c r="F338" s="141"/>
      <c r="G338" s="4" t="str">
        <f>'Gas Water'!M343</f>
        <v/>
      </c>
      <c r="H338" s="141"/>
      <c r="I338" s="2" t="str">
        <f>'Gas Water'!L343</f>
        <v/>
      </c>
      <c r="J338" s="141"/>
      <c r="K338" s="5"/>
      <c r="L338" s="5"/>
    </row>
    <row r="339" spans="1:12" x14ac:dyDescent="0.25">
      <c r="A339" s="3" t="s">
        <v>73</v>
      </c>
      <c r="B339" s="3">
        <v>6</v>
      </c>
      <c r="C339" s="3">
        <v>12</v>
      </c>
      <c r="D339" s="3">
        <v>2022</v>
      </c>
      <c r="E339" s="4" t="e">
        <f>'Electricity '!I343+'Electricity '!O343</f>
        <v>#VALUE!</v>
      </c>
      <c r="F339" s="141"/>
      <c r="G339" s="4" t="str">
        <f>'Gas Water'!M344</f>
        <v/>
      </c>
      <c r="H339" s="141"/>
      <c r="I339" s="2" t="str">
        <f>'Gas Water'!L344</f>
        <v/>
      </c>
      <c r="J339" s="141"/>
      <c r="K339" s="5"/>
      <c r="L339" s="5"/>
    </row>
    <row r="340" spans="1:12" x14ac:dyDescent="0.25">
      <c r="A340" s="3" t="s">
        <v>73</v>
      </c>
      <c r="B340" s="3">
        <v>7</v>
      </c>
      <c r="C340" s="3">
        <v>12</v>
      </c>
      <c r="D340" s="3">
        <v>2022</v>
      </c>
      <c r="E340" s="4" t="e">
        <f>'Electricity '!I344+'Electricity '!O344</f>
        <v>#VALUE!</v>
      </c>
      <c r="F340" s="141"/>
      <c r="G340" s="4" t="str">
        <f>'Gas Water'!M345</f>
        <v/>
      </c>
      <c r="H340" s="141"/>
      <c r="I340" s="2" t="str">
        <f>'Gas Water'!L345</f>
        <v/>
      </c>
      <c r="J340" s="141"/>
      <c r="K340" s="5"/>
      <c r="L340" s="5"/>
    </row>
    <row r="341" spans="1:12" x14ac:dyDescent="0.25">
      <c r="A341" s="3" t="s">
        <v>73</v>
      </c>
      <c r="B341" s="3">
        <v>8</v>
      </c>
      <c r="C341" s="3">
        <v>12</v>
      </c>
      <c r="D341" s="3">
        <v>2022</v>
      </c>
      <c r="E341" s="4" t="e">
        <f>'Electricity '!I345+'Electricity '!O345</f>
        <v>#VALUE!</v>
      </c>
      <c r="F341" s="141"/>
      <c r="G341" s="4" t="str">
        <f>'Gas Water'!M346</f>
        <v/>
      </c>
      <c r="H341" s="141"/>
      <c r="I341" s="2" t="str">
        <f>'Gas Water'!L346</f>
        <v/>
      </c>
      <c r="J341" s="141"/>
      <c r="K341" s="5"/>
      <c r="L341" s="5"/>
    </row>
    <row r="342" spans="1:12" x14ac:dyDescent="0.25">
      <c r="A342" s="3" t="s">
        <v>73</v>
      </c>
      <c r="B342" s="3">
        <v>9</v>
      </c>
      <c r="C342" s="3">
        <v>12</v>
      </c>
      <c r="D342" s="3">
        <v>2022</v>
      </c>
      <c r="E342" s="4" t="e">
        <f>'Electricity '!I346+'Electricity '!O346</f>
        <v>#VALUE!</v>
      </c>
      <c r="F342" s="141"/>
      <c r="G342" s="4" t="str">
        <f>'Gas Water'!M347</f>
        <v/>
      </c>
      <c r="H342" s="141"/>
      <c r="I342" s="2" t="str">
        <f>'Gas Water'!L347</f>
        <v/>
      </c>
      <c r="J342" s="141"/>
      <c r="K342" s="5"/>
      <c r="L342" s="5"/>
    </row>
    <row r="343" spans="1:12" x14ac:dyDescent="0.25">
      <c r="A343" s="3" t="s">
        <v>73</v>
      </c>
      <c r="B343" s="3">
        <v>10</v>
      </c>
      <c r="C343" s="3">
        <v>12</v>
      </c>
      <c r="D343" s="3">
        <v>2022</v>
      </c>
      <c r="E343" s="4" t="e">
        <f>'Electricity '!I347+'Electricity '!O347</f>
        <v>#VALUE!</v>
      </c>
      <c r="F343" s="141"/>
      <c r="G343" s="4" t="str">
        <f>'Gas Water'!M348</f>
        <v/>
      </c>
      <c r="H343" s="141"/>
      <c r="I343" s="2" t="str">
        <f>'Gas Water'!L348</f>
        <v/>
      </c>
      <c r="J343" s="141"/>
      <c r="K343" s="5"/>
      <c r="L343" s="5"/>
    </row>
    <row r="344" spans="1:12" x14ac:dyDescent="0.25">
      <c r="A344" s="3" t="s">
        <v>73</v>
      </c>
      <c r="B344" s="3">
        <v>11</v>
      </c>
      <c r="C344" s="3">
        <v>12</v>
      </c>
      <c r="D344" s="3">
        <v>2022</v>
      </c>
      <c r="E344" s="4" t="e">
        <f>'Electricity '!I348+'Electricity '!O348</f>
        <v>#VALUE!</v>
      </c>
      <c r="F344" s="141"/>
      <c r="G344" s="4" t="str">
        <f>'Gas Water'!M349</f>
        <v/>
      </c>
      <c r="H344" s="141"/>
      <c r="I344" s="2" t="str">
        <f>'Gas Water'!L349</f>
        <v/>
      </c>
      <c r="J344" s="141"/>
      <c r="K344" s="5"/>
      <c r="L344" s="5"/>
    </row>
    <row r="345" spans="1:12" x14ac:dyDescent="0.25">
      <c r="A345" s="3" t="s">
        <v>73</v>
      </c>
      <c r="B345" s="3">
        <v>12</v>
      </c>
      <c r="C345" s="3">
        <v>12</v>
      </c>
      <c r="D345" s="3">
        <v>2022</v>
      </c>
      <c r="E345" s="4" t="e">
        <f>'Electricity '!I349+'Electricity '!O349</f>
        <v>#VALUE!</v>
      </c>
      <c r="F345" s="141"/>
      <c r="G345" s="4" t="str">
        <f>'Gas Water'!M350</f>
        <v/>
      </c>
      <c r="H345" s="141"/>
      <c r="I345" s="2" t="str">
        <f>'Gas Water'!L350</f>
        <v/>
      </c>
      <c r="J345" s="141"/>
      <c r="K345" s="5"/>
      <c r="L345" s="5"/>
    </row>
    <row r="346" spans="1:12" x14ac:dyDescent="0.25">
      <c r="A346" s="3" t="s">
        <v>73</v>
      </c>
      <c r="B346" s="3">
        <v>13</v>
      </c>
      <c r="C346" s="3">
        <v>12</v>
      </c>
      <c r="D346" s="3">
        <v>2022</v>
      </c>
      <c r="E346" s="4" t="e">
        <f>'Electricity '!I350+'Electricity '!O350</f>
        <v>#VALUE!</v>
      </c>
      <c r="F346" s="141"/>
      <c r="G346" s="4" t="str">
        <f>'Gas Water'!M351</f>
        <v/>
      </c>
      <c r="H346" s="141"/>
      <c r="I346" s="2" t="str">
        <f>'Gas Water'!L351</f>
        <v/>
      </c>
      <c r="J346" s="141"/>
      <c r="K346" s="5"/>
      <c r="L346" s="5"/>
    </row>
    <row r="347" spans="1:12" x14ac:dyDescent="0.25">
      <c r="A347" s="3" t="s">
        <v>73</v>
      </c>
      <c r="B347" s="3">
        <v>14</v>
      </c>
      <c r="C347" s="3">
        <v>12</v>
      </c>
      <c r="D347" s="3">
        <v>2022</v>
      </c>
      <c r="E347" s="4" t="e">
        <f>'Electricity '!I351+'Electricity '!O351</f>
        <v>#VALUE!</v>
      </c>
      <c r="F347" s="141"/>
      <c r="G347" s="4" t="str">
        <f>'Gas Water'!M352</f>
        <v/>
      </c>
      <c r="H347" s="141"/>
      <c r="I347" s="2" t="str">
        <f>'Gas Water'!L352</f>
        <v/>
      </c>
      <c r="J347" s="141"/>
      <c r="K347" s="5"/>
      <c r="L347" s="5"/>
    </row>
    <row r="348" spans="1:12" x14ac:dyDescent="0.25">
      <c r="A348" s="3" t="s">
        <v>73</v>
      </c>
      <c r="B348" s="3">
        <v>15</v>
      </c>
      <c r="C348" s="3">
        <v>12</v>
      </c>
      <c r="D348" s="3">
        <v>2022</v>
      </c>
      <c r="E348" s="4" t="e">
        <f>'Electricity '!I352+'Electricity '!O352</f>
        <v>#VALUE!</v>
      </c>
      <c r="F348" s="141"/>
      <c r="G348" s="4" t="str">
        <f>'Gas Water'!M353</f>
        <v/>
      </c>
      <c r="H348" s="141"/>
      <c r="I348" s="2" t="str">
        <f>'Gas Water'!L353</f>
        <v/>
      </c>
      <c r="J348" s="141"/>
      <c r="K348" s="5"/>
      <c r="L348" s="5"/>
    </row>
    <row r="349" spans="1:12" x14ac:dyDescent="0.25">
      <c r="A349" s="3" t="s">
        <v>73</v>
      </c>
      <c r="B349" s="3">
        <v>16</v>
      </c>
      <c r="C349" s="3">
        <v>12</v>
      </c>
      <c r="D349" s="3">
        <v>2022</v>
      </c>
      <c r="E349" s="4" t="e">
        <f>'Electricity '!I353+'Electricity '!O353</f>
        <v>#VALUE!</v>
      </c>
      <c r="F349" s="141"/>
      <c r="G349" s="4" t="str">
        <f>'Gas Water'!M354</f>
        <v/>
      </c>
      <c r="H349" s="141"/>
      <c r="I349" s="2" t="str">
        <f>'Gas Water'!L354</f>
        <v/>
      </c>
      <c r="J349" s="141"/>
      <c r="K349" s="5"/>
      <c r="L349" s="5"/>
    </row>
    <row r="350" spans="1:12" x14ac:dyDescent="0.25">
      <c r="A350" s="3" t="s">
        <v>73</v>
      </c>
      <c r="B350" s="3">
        <v>17</v>
      </c>
      <c r="C350" s="3">
        <v>12</v>
      </c>
      <c r="D350" s="3">
        <v>2022</v>
      </c>
      <c r="E350" s="4" t="e">
        <f>'Electricity '!I354+'Electricity '!O354</f>
        <v>#VALUE!</v>
      </c>
      <c r="F350" s="141"/>
      <c r="G350" s="4" t="str">
        <f>'Gas Water'!M355</f>
        <v/>
      </c>
      <c r="H350" s="141"/>
      <c r="I350" s="2" t="str">
        <f>'Gas Water'!L355</f>
        <v/>
      </c>
      <c r="J350" s="141"/>
      <c r="K350" s="5"/>
      <c r="L350" s="5"/>
    </row>
    <row r="351" spans="1:12" x14ac:dyDescent="0.25">
      <c r="A351" s="3" t="s">
        <v>73</v>
      </c>
      <c r="B351" s="3">
        <v>18</v>
      </c>
      <c r="C351" s="3">
        <v>12</v>
      </c>
      <c r="D351" s="3">
        <v>2022</v>
      </c>
      <c r="E351" s="4" t="e">
        <f>'Electricity '!I355+'Electricity '!O355</f>
        <v>#VALUE!</v>
      </c>
      <c r="F351" s="141"/>
      <c r="G351" s="4" t="str">
        <f>'Gas Water'!M356</f>
        <v/>
      </c>
      <c r="H351" s="141"/>
      <c r="I351" s="2" t="str">
        <f>'Gas Water'!L356</f>
        <v/>
      </c>
      <c r="J351" s="141"/>
      <c r="K351" s="5"/>
      <c r="L351" s="5"/>
    </row>
    <row r="352" spans="1:12" x14ac:dyDescent="0.25">
      <c r="A352" s="3" t="s">
        <v>73</v>
      </c>
      <c r="B352" s="3">
        <v>19</v>
      </c>
      <c r="C352" s="3">
        <v>12</v>
      </c>
      <c r="D352" s="3">
        <v>2022</v>
      </c>
      <c r="E352" s="4" t="e">
        <f>'Electricity '!I356+'Electricity '!O356</f>
        <v>#VALUE!</v>
      </c>
      <c r="F352" s="141"/>
      <c r="G352" s="4" t="str">
        <f>'Gas Water'!M357</f>
        <v/>
      </c>
      <c r="H352" s="141"/>
      <c r="I352" s="2" t="str">
        <f>'Gas Water'!L357</f>
        <v/>
      </c>
      <c r="J352" s="141"/>
      <c r="K352" s="5"/>
      <c r="L352" s="5"/>
    </row>
    <row r="353" spans="1:12" x14ac:dyDescent="0.25">
      <c r="A353" s="3" t="s">
        <v>73</v>
      </c>
      <c r="B353" s="3">
        <v>20</v>
      </c>
      <c r="C353" s="3">
        <v>12</v>
      </c>
      <c r="D353" s="3">
        <v>2022</v>
      </c>
      <c r="E353" s="4" t="e">
        <f>'Electricity '!I357+'Electricity '!O357</f>
        <v>#VALUE!</v>
      </c>
      <c r="F353" s="141"/>
      <c r="G353" s="4" t="str">
        <f>'Gas Water'!M358</f>
        <v/>
      </c>
      <c r="H353" s="141"/>
      <c r="I353" s="2" t="str">
        <f>'Gas Water'!L358</f>
        <v/>
      </c>
      <c r="J353" s="141"/>
      <c r="K353" s="5"/>
      <c r="L353" s="5"/>
    </row>
    <row r="354" spans="1:12" x14ac:dyDescent="0.25">
      <c r="A354" s="3" t="s">
        <v>73</v>
      </c>
      <c r="B354" s="3">
        <v>21</v>
      </c>
      <c r="C354" s="3">
        <v>12</v>
      </c>
      <c r="D354" s="3">
        <v>2022</v>
      </c>
      <c r="E354" s="4" t="e">
        <f>'Electricity '!I358+'Electricity '!O358</f>
        <v>#VALUE!</v>
      </c>
      <c r="F354" s="141"/>
      <c r="G354" s="4" t="str">
        <f>'Gas Water'!M359</f>
        <v/>
      </c>
      <c r="H354" s="141"/>
      <c r="I354" s="2" t="str">
        <f>'Gas Water'!L359</f>
        <v/>
      </c>
      <c r="J354" s="141"/>
      <c r="K354" s="5"/>
      <c r="L354" s="5"/>
    </row>
    <row r="355" spans="1:12" x14ac:dyDescent="0.25">
      <c r="A355" s="3" t="s">
        <v>73</v>
      </c>
      <c r="B355" s="3">
        <v>22</v>
      </c>
      <c r="C355" s="3">
        <v>12</v>
      </c>
      <c r="D355" s="3">
        <v>2022</v>
      </c>
      <c r="E355" s="4" t="e">
        <f>'Electricity '!I359+'Electricity '!O359</f>
        <v>#VALUE!</v>
      </c>
      <c r="F355" s="141"/>
      <c r="G355" s="4" t="str">
        <f>'Gas Water'!M360</f>
        <v/>
      </c>
      <c r="H355" s="141"/>
      <c r="I355" s="2" t="str">
        <f>'Gas Water'!L360</f>
        <v/>
      </c>
      <c r="J355" s="141"/>
      <c r="K355" s="5"/>
      <c r="L355" s="5"/>
    </row>
    <row r="356" spans="1:12" x14ac:dyDescent="0.25">
      <c r="A356" s="3" t="s">
        <v>73</v>
      </c>
      <c r="B356" s="3">
        <v>23</v>
      </c>
      <c r="C356" s="3">
        <v>12</v>
      </c>
      <c r="D356" s="3">
        <v>2022</v>
      </c>
      <c r="E356" s="4" t="e">
        <f>'Electricity '!I360+'Electricity '!O360</f>
        <v>#VALUE!</v>
      </c>
      <c r="F356" s="141"/>
      <c r="G356" s="4" t="str">
        <f>'Gas Water'!M361</f>
        <v/>
      </c>
      <c r="H356" s="141"/>
      <c r="I356" s="2" t="str">
        <f>'Gas Water'!L361</f>
        <v/>
      </c>
      <c r="J356" s="141"/>
      <c r="K356" s="5"/>
      <c r="L356" s="5"/>
    </row>
    <row r="357" spans="1:12" x14ac:dyDescent="0.25">
      <c r="A357" s="3" t="s">
        <v>73</v>
      </c>
      <c r="B357" s="3">
        <v>24</v>
      </c>
      <c r="C357" s="3">
        <v>12</v>
      </c>
      <c r="D357" s="3">
        <v>2022</v>
      </c>
      <c r="E357" s="4" t="e">
        <f>'Electricity '!I361+'Electricity '!O361</f>
        <v>#VALUE!</v>
      </c>
      <c r="F357" s="141"/>
      <c r="G357" s="4" t="str">
        <f>'Gas Water'!M362</f>
        <v/>
      </c>
      <c r="H357" s="141"/>
      <c r="I357" s="2" t="str">
        <f>'Gas Water'!L362</f>
        <v/>
      </c>
      <c r="J357" s="141"/>
      <c r="K357" s="5"/>
      <c r="L357" s="5"/>
    </row>
    <row r="358" spans="1:12" x14ac:dyDescent="0.25">
      <c r="A358" s="3" t="s">
        <v>73</v>
      </c>
      <c r="B358" s="3">
        <v>25</v>
      </c>
      <c r="C358" s="3">
        <v>12</v>
      </c>
      <c r="D358" s="3">
        <v>2022</v>
      </c>
      <c r="E358" s="4" t="e">
        <f>'Electricity '!I362+'Electricity '!O362</f>
        <v>#VALUE!</v>
      </c>
      <c r="F358" s="141"/>
      <c r="G358" s="4" t="str">
        <f>'Gas Water'!M363</f>
        <v/>
      </c>
      <c r="H358" s="141"/>
      <c r="I358" s="2" t="str">
        <f>'Gas Water'!L363</f>
        <v/>
      </c>
      <c r="J358" s="141"/>
      <c r="K358" s="5"/>
      <c r="L358" s="5"/>
    </row>
    <row r="359" spans="1:12" x14ac:dyDescent="0.25">
      <c r="A359" s="3" t="s">
        <v>73</v>
      </c>
      <c r="B359" s="3">
        <v>26</v>
      </c>
      <c r="C359" s="3">
        <v>12</v>
      </c>
      <c r="D359" s="3">
        <v>2022</v>
      </c>
      <c r="E359" s="4" t="e">
        <f>'Electricity '!I363+'Electricity '!O363</f>
        <v>#VALUE!</v>
      </c>
      <c r="F359" s="141"/>
      <c r="G359" s="4" t="str">
        <f>'Gas Water'!M364</f>
        <v/>
      </c>
      <c r="H359" s="141"/>
      <c r="I359" s="2" t="str">
        <f>'Gas Water'!L364</f>
        <v/>
      </c>
      <c r="J359" s="141"/>
      <c r="K359" s="5"/>
      <c r="L359" s="5"/>
    </row>
    <row r="360" spans="1:12" x14ac:dyDescent="0.25">
      <c r="A360" s="3" t="s">
        <v>73</v>
      </c>
      <c r="B360" s="3">
        <v>27</v>
      </c>
      <c r="C360" s="3">
        <v>12</v>
      </c>
      <c r="D360" s="3">
        <v>2022</v>
      </c>
      <c r="E360" s="4" t="e">
        <f>'Electricity '!I364+'Electricity '!O364</f>
        <v>#VALUE!</v>
      </c>
      <c r="F360" s="141"/>
      <c r="G360" s="4" t="str">
        <f>'Gas Water'!M365</f>
        <v/>
      </c>
      <c r="H360" s="141"/>
      <c r="I360" s="2" t="str">
        <f>'Gas Water'!L365</f>
        <v/>
      </c>
      <c r="J360" s="141"/>
      <c r="K360" s="5"/>
      <c r="L360" s="5"/>
    </row>
    <row r="361" spans="1:12" x14ac:dyDescent="0.25">
      <c r="A361" s="3" t="s">
        <v>73</v>
      </c>
      <c r="B361" s="3">
        <v>28</v>
      </c>
      <c r="C361" s="3">
        <v>12</v>
      </c>
      <c r="D361" s="3">
        <v>2022</v>
      </c>
      <c r="E361" s="4" t="e">
        <f>'Electricity '!I365+'Electricity '!O365</f>
        <v>#VALUE!</v>
      </c>
      <c r="F361" s="141"/>
      <c r="G361" s="4" t="str">
        <f>'Gas Water'!M366</f>
        <v/>
      </c>
      <c r="H361" s="141"/>
      <c r="I361" s="2" t="str">
        <f>'Gas Water'!L366</f>
        <v/>
      </c>
      <c r="J361" s="141"/>
      <c r="K361" s="5"/>
      <c r="L361" s="5"/>
    </row>
    <row r="362" spans="1:12" x14ac:dyDescent="0.25">
      <c r="A362" s="3" t="s">
        <v>73</v>
      </c>
      <c r="B362" s="3">
        <v>29</v>
      </c>
      <c r="C362" s="3">
        <v>12</v>
      </c>
      <c r="D362" s="3">
        <v>2022</v>
      </c>
      <c r="E362" s="4" t="e">
        <f>'Electricity '!I366+'Electricity '!O366</f>
        <v>#VALUE!</v>
      </c>
      <c r="F362" s="141"/>
      <c r="G362" s="4" t="str">
        <f>'Gas Water'!M367</f>
        <v/>
      </c>
      <c r="H362" s="141"/>
      <c r="I362" s="2" t="str">
        <f>'Gas Water'!L367</f>
        <v/>
      </c>
      <c r="J362" s="141"/>
      <c r="K362" s="5"/>
      <c r="L362" s="5"/>
    </row>
    <row r="363" spans="1:12" x14ac:dyDescent="0.25">
      <c r="A363" s="3" t="s">
        <v>73</v>
      </c>
      <c r="B363" s="3">
        <v>30</v>
      </c>
      <c r="C363" s="3">
        <v>12</v>
      </c>
      <c r="D363" s="3">
        <v>2022</v>
      </c>
      <c r="E363" s="4" t="e">
        <f>'Electricity '!I367+'Electricity '!O367</f>
        <v>#VALUE!</v>
      </c>
      <c r="F363" s="141"/>
      <c r="G363" s="4" t="str">
        <f>'Gas Water'!M368</f>
        <v/>
      </c>
      <c r="H363" s="141"/>
      <c r="I363" s="2" t="str">
        <f>'Gas Water'!L368</f>
        <v/>
      </c>
      <c r="J363" s="141"/>
      <c r="K363" s="5"/>
      <c r="L363" s="5"/>
    </row>
    <row r="364" spans="1:12" x14ac:dyDescent="0.25">
      <c r="A364" s="3" t="s">
        <v>73</v>
      </c>
      <c r="B364" s="3">
        <v>31</v>
      </c>
      <c r="C364" s="3">
        <v>12</v>
      </c>
      <c r="D364" s="3">
        <v>2022</v>
      </c>
      <c r="E364" s="4" t="e">
        <f>'Electricity '!I368+'Electricity '!O368</f>
        <v>#VALUE!</v>
      </c>
      <c r="F364" s="141"/>
      <c r="G364" s="4">
        <f>'Gas Water'!M369</f>
        <v>0</v>
      </c>
      <c r="H364" s="141"/>
      <c r="I364" s="2">
        <f>'Gas Water'!L369</f>
        <v>0</v>
      </c>
      <c r="J364" s="141"/>
      <c r="K364" s="5"/>
      <c r="L364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workbookViewId="0">
      <selection activeCell="G19" sqref="G1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9"/>
      <c r="C1" s="189"/>
      <c r="D1" s="189"/>
      <c r="E1" s="189"/>
      <c r="F1" s="189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161"/>
      <c r="D14" s="162"/>
      <c r="E14" s="163"/>
      <c r="F14" s="164"/>
      <c r="G14" s="165"/>
      <c r="H14" s="28" t="str">
        <f t="shared" si="1"/>
        <v/>
      </c>
      <c r="I14" s="28" t="str">
        <f t="shared" si="6"/>
        <v/>
      </c>
      <c r="J14" s="28" t="str">
        <f t="shared" si="2"/>
        <v/>
      </c>
      <c r="K14" s="28" t="str">
        <f t="shared" si="7"/>
        <v/>
      </c>
      <c r="L14" s="29" t="str">
        <f t="shared" si="4"/>
        <v/>
      </c>
      <c r="M14" s="30" t="str">
        <f t="shared" si="0"/>
        <v/>
      </c>
      <c r="Q14" s="20">
        <f t="shared" si="5"/>
        <v>1</v>
      </c>
    </row>
    <row r="15" spans="1:23" s="10" customFormat="1" ht="12.95" customHeight="1" x14ac:dyDescent="0.2">
      <c r="B15" s="22">
        <v>44207</v>
      </c>
      <c r="C15" s="161"/>
      <c r="D15" s="162"/>
      <c r="E15" s="163"/>
      <c r="F15" s="164"/>
      <c r="G15" s="165"/>
      <c r="H15" s="28" t="str">
        <f t="shared" si="1"/>
        <v/>
      </c>
      <c r="I15" s="28" t="str">
        <f t="shared" si="6"/>
        <v/>
      </c>
      <c r="J15" s="28" t="str">
        <f t="shared" si="2"/>
        <v/>
      </c>
      <c r="K15" s="28" t="str">
        <f t="shared" si="7"/>
        <v/>
      </c>
      <c r="L15" s="29" t="str">
        <f t="shared" si="4"/>
        <v/>
      </c>
      <c r="M15" s="30" t="str">
        <f t="shared" si="0"/>
        <v/>
      </c>
      <c r="Q15" s="20">
        <f t="shared" si="5"/>
        <v>1</v>
      </c>
    </row>
    <row r="16" spans="1:23" s="10" customFormat="1" ht="12.95" customHeight="1" x14ac:dyDescent="0.2">
      <c r="B16" s="22">
        <v>44208</v>
      </c>
      <c r="C16" s="161"/>
      <c r="D16" s="162"/>
      <c r="E16" s="163"/>
      <c r="F16" s="164"/>
      <c r="G16" s="165"/>
      <c r="H16" s="28" t="str">
        <f t="shared" si="1"/>
        <v/>
      </c>
      <c r="I16" s="28" t="str">
        <f t="shared" si="6"/>
        <v/>
      </c>
      <c r="J16" s="28" t="str">
        <f t="shared" si="2"/>
        <v/>
      </c>
      <c r="K16" s="28" t="str">
        <f t="shared" si="7"/>
        <v/>
      </c>
      <c r="L16" s="29" t="str">
        <f t="shared" si="4"/>
        <v/>
      </c>
      <c r="M16" s="30" t="str">
        <f t="shared" si="0"/>
        <v/>
      </c>
      <c r="Q16" s="20">
        <f t="shared" si="5"/>
        <v>1</v>
      </c>
    </row>
    <row r="17" spans="2:17" s="10" customFormat="1" ht="12.95" customHeight="1" x14ac:dyDescent="0.2">
      <c r="B17" s="22">
        <v>44209</v>
      </c>
      <c r="C17" s="161"/>
      <c r="D17" s="162"/>
      <c r="E17" s="163"/>
      <c r="F17" s="164"/>
      <c r="G17" s="165"/>
      <c r="H17" s="28" t="str">
        <f t="shared" si="1"/>
        <v/>
      </c>
      <c r="I17" s="28" t="str">
        <f t="shared" si="6"/>
        <v/>
      </c>
      <c r="J17" s="28" t="str">
        <f t="shared" si="2"/>
        <v/>
      </c>
      <c r="K17" s="28" t="str">
        <f t="shared" si="7"/>
        <v/>
      </c>
      <c r="L17" s="29" t="str">
        <f t="shared" si="4"/>
        <v/>
      </c>
      <c r="M17" s="30" t="str">
        <f t="shared" si="0"/>
        <v/>
      </c>
      <c r="Q17" s="20">
        <f t="shared" si="5"/>
        <v>1</v>
      </c>
    </row>
    <row r="18" spans="2:17" s="10" customFormat="1" ht="12.95" customHeight="1" x14ac:dyDescent="0.2">
      <c r="B18" s="22">
        <v>44210</v>
      </c>
      <c r="C18" s="161"/>
      <c r="D18" s="162"/>
      <c r="E18" s="163"/>
      <c r="F18" s="164"/>
      <c r="G18" s="165"/>
      <c r="H18" s="28" t="str">
        <f t="shared" si="1"/>
        <v/>
      </c>
      <c r="I18" s="28" t="str">
        <f t="shared" si="6"/>
        <v/>
      </c>
      <c r="J18" s="28" t="str">
        <f t="shared" si="2"/>
        <v/>
      </c>
      <c r="K18" s="28" t="str">
        <f t="shared" si="7"/>
        <v/>
      </c>
      <c r="L18" s="29" t="str">
        <f t="shared" si="4"/>
        <v/>
      </c>
      <c r="M18" s="30" t="str">
        <f t="shared" si="0"/>
        <v/>
      </c>
      <c r="Q18" s="20">
        <f t="shared" si="5"/>
        <v>1</v>
      </c>
    </row>
    <row r="19" spans="2:17" s="10" customFormat="1" ht="12.95" customHeight="1" x14ac:dyDescent="0.2">
      <c r="B19" s="22">
        <v>44211</v>
      </c>
      <c r="C19" s="161"/>
      <c r="D19" s="162"/>
      <c r="E19" s="163"/>
      <c r="F19" s="164"/>
      <c r="G19" s="165"/>
      <c r="H19" s="28" t="str">
        <f t="shared" si="1"/>
        <v/>
      </c>
      <c r="I19" s="28" t="str">
        <f t="shared" si="6"/>
        <v/>
      </c>
      <c r="J19" s="28" t="str">
        <f t="shared" si="2"/>
        <v/>
      </c>
      <c r="K19" s="28" t="str">
        <f t="shared" si="7"/>
        <v/>
      </c>
      <c r="L19" s="29" t="str">
        <f t="shared" si="4"/>
        <v/>
      </c>
      <c r="M19" s="30" t="str">
        <f t="shared" si="0"/>
        <v/>
      </c>
      <c r="Q19" s="20">
        <f t="shared" si="5"/>
        <v>1</v>
      </c>
    </row>
    <row r="20" spans="2:17" s="10" customFormat="1" ht="12.95" customHeight="1" x14ac:dyDescent="0.2">
      <c r="B20" s="22">
        <v>44212</v>
      </c>
      <c r="C20" s="161"/>
      <c r="D20" s="162"/>
      <c r="E20" s="163"/>
      <c r="F20" s="164"/>
      <c r="G20" s="165"/>
      <c r="H20" s="28" t="str">
        <f t="shared" si="1"/>
        <v/>
      </c>
      <c r="I20" s="28" t="str">
        <f t="shared" si="6"/>
        <v/>
      </c>
      <c r="J20" s="28" t="str">
        <f t="shared" si="2"/>
        <v/>
      </c>
      <c r="K20" s="28" t="str">
        <f t="shared" si="7"/>
        <v/>
      </c>
      <c r="L20" s="29" t="str">
        <f t="shared" si="4"/>
        <v/>
      </c>
      <c r="M20" s="30" t="str">
        <f t="shared" si="0"/>
        <v/>
      </c>
      <c r="Q20" s="20">
        <f t="shared" si="5"/>
        <v>1</v>
      </c>
    </row>
    <row r="21" spans="2:17" s="10" customFormat="1" ht="12.95" customHeight="1" x14ac:dyDescent="0.2">
      <c r="B21" s="22">
        <v>44213</v>
      </c>
      <c r="C21" s="161"/>
      <c r="D21" s="162"/>
      <c r="E21" s="163"/>
      <c r="F21" s="164"/>
      <c r="G21" s="165"/>
      <c r="H21" s="28" t="str">
        <f t="shared" si="1"/>
        <v/>
      </c>
      <c r="I21" s="28" t="str">
        <f t="shared" si="6"/>
        <v/>
      </c>
      <c r="J21" s="28" t="str">
        <f t="shared" si="2"/>
        <v/>
      </c>
      <c r="K21" s="28" t="str">
        <f t="shared" si="7"/>
        <v/>
      </c>
      <c r="L21" s="29" t="str">
        <f t="shared" si="4"/>
        <v/>
      </c>
      <c r="M21" s="30" t="str">
        <f t="shared" si="0"/>
        <v/>
      </c>
      <c r="Q21" s="20">
        <f t="shared" si="5"/>
        <v>1</v>
      </c>
    </row>
    <row r="22" spans="2:17" s="10" customFormat="1" ht="12.95" customHeight="1" x14ac:dyDescent="0.2">
      <c r="B22" s="22">
        <v>44214</v>
      </c>
      <c r="C22" s="161"/>
      <c r="D22" s="162"/>
      <c r="E22" s="163"/>
      <c r="F22" s="164"/>
      <c r="G22" s="165"/>
      <c r="H22" s="28" t="str">
        <f t="shared" si="1"/>
        <v/>
      </c>
      <c r="I22" s="28" t="str">
        <f t="shared" si="6"/>
        <v/>
      </c>
      <c r="J22" s="28" t="str">
        <f t="shared" si="2"/>
        <v/>
      </c>
      <c r="K22" s="28" t="str">
        <f t="shared" si="7"/>
        <v/>
      </c>
      <c r="L22" s="29" t="str">
        <f t="shared" si="4"/>
        <v/>
      </c>
      <c r="M22" s="30" t="str">
        <f t="shared" si="0"/>
        <v/>
      </c>
      <c r="Q22" s="20">
        <f t="shared" si="5"/>
        <v>1</v>
      </c>
    </row>
    <row r="23" spans="2:17" s="10" customFormat="1" ht="12.95" customHeight="1" x14ac:dyDescent="0.2">
      <c r="B23" s="22">
        <v>44215</v>
      </c>
      <c r="C23" s="161"/>
      <c r="D23" s="162"/>
      <c r="E23" s="163"/>
      <c r="F23" s="164"/>
      <c r="G23" s="165"/>
      <c r="H23" s="28" t="str">
        <f t="shared" si="1"/>
        <v/>
      </c>
      <c r="I23" s="28" t="str">
        <f t="shared" si="6"/>
        <v/>
      </c>
      <c r="J23" s="28" t="str">
        <f t="shared" si="2"/>
        <v/>
      </c>
      <c r="K23" s="28" t="str">
        <f t="shared" si="7"/>
        <v/>
      </c>
      <c r="L23" s="29" t="str">
        <f t="shared" si="4"/>
        <v/>
      </c>
      <c r="M23" s="30" t="str">
        <f t="shared" si="0"/>
        <v/>
      </c>
      <c r="Q23" s="20">
        <f t="shared" si="5"/>
        <v>1</v>
      </c>
    </row>
    <row r="24" spans="2:17" s="10" customFormat="1" ht="12.95" customHeight="1" thickBot="1" x14ac:dyDescent="0.25">
      <c r="B24" s="22">
        <v>44216</v>
      </c>
      <c r="C24" s="161"/>
      <c r="D24" s="162"/>
      <c r="E24" s="163"/>
      <c r="F24" s="164"/>
      <c r="G24" s="165"/>
      <c r="H24" s="28" t="str">
        <f t="shared" si="1"/>
        <v/>
      </c>
      <c r="I24" s="28" t="str">
        <f t="shared" si="6"/>
        <v/>
      </c>
      <c r="J24" s="28" t="str">
        <f t="shared" si="2"/>
        <v/>
      </c>
      <c r="K24" s="28" t="str">
        <f t="shared" si="7"/>
        <v/>
      </c>
      <c r="L24" s="29" t="str">
        <f t="shared" si="4"/>
        <v/>
      </c>
      <c r="M24" s="30" t="str">
        <f t="shared" si="0"/>
        <v/>
      </c>
      <c r="Q24" s="20">
        <f t="shared" si="5"/>
        <v>1</v>
      </c>
    </row>
    <row r="25" spans="2:17" s="10" customFormat="1" ht="12.95" customHeight="1" x14ac:dyDescent="0.2">
      <c r="B25" s="22">
        <v>44217</v>
      </c>
      <c r="C25" s="161"/>
      <c r="D25" s="162"/>
      <c r="E25" s="163"/>
      <c r="F25" s="164"/>
      <c r="G25" s="165"/>
      <c r="H25" s="28" t="str">
        <f t="shared" si="1"/>
        <v/>
      </c>
      <c r="I25" s="28" t="str">
        <f t="shared" si="6"/>
        <v/>
      </c>
      <c r="J25" s="28" t="str">
        <f t="shared" si="2"/>
        <v/>
      </c>
      <c r="K25" s="28" t="str">
        <f t="shared" si="7"/>
        <v/>
      </c>
      <c r="L25" s="29" t="str">
        <f t="shared" si="4"/>
        <v/>
      </c>
      <c r="M25" s="30" t="str">
        <f t="shared" si="0"/>
        <v/>
      </c>
      <c r="N25" s="186" t="s">
        <v>21</v>
      </c>
      <c r="O25" s="186" t="s">
        <v>22</v>
      </c>
      <c r="Q25" s="20">
        <f t="shared" si="5"/>
        <v>1</v>
      </c>
    </row>
    <row r="26" spans="2:17" s="10" customFormat="1" ht="12.95" customHeight="1" x14ac:dyDescent="0.2">
      <c r="B26" s="22">
        <v>44218</v>
      </c>
      <c r="C26" s="161"/>
      <c r="D26" s="162"/>
      <c r="E26" s="163"/>
      <c r="F26" s="164"/>
      <c r="G26" s="165"/>
      <c r="H26" s="28" t="str">
        <f t="shared" si="1"/>
        <v/>
      </c>
      <c r="I26" s="28" t="str">
        <f t="shared" si="6"/>
        <v/>
      </c>
      <c r="J26" s="28" t="str">
        <f t="shared" si="2"/>
        <v/>
      </c>
      <c r="K26" s="28" t="str">
        <f t="shared" si="7"/>
        <v/>
      </c>
      <c r="L26" s="29" t="str">
        <f t="shared" si="4"/>
        <v/>
      </c>
      <c r="M26" s="30" t="str">
        <f t="shared" si="0"/>
        <v/>
      </c>
      <c r="N26" s="187"/>
      <c r="O26" s="187"/>
      <c r="Q26" s="20">
        <f t="shared" si="5"/>
        <v>1</v>
      </c>
    </row>
    <row r="27" spans="2:17" s="10" customFormat="1" ht="12.95" customHeight="1" thickBot="1" x14ac:dyDescent="0.25">
      <c r="B27" s="22">
        <v>44219</v>
      </c>
      <c r="C27" s="161"/>
      <c r="D27" s="162"/>
      <c r="E27" s="163"/>
      <c r="F27" s="164"/>
      <c r="G27" s="165"/>
      <c r="H27" s="28" t="str">
        <f t="shared" si="1"/>
        <v/>
      </c>
      <c r="I27" s="28" t="str">
        <f t="shared" si="6"/>
        <v/>
      </c>
      <c r="J27" s="28" t="str">
        <f t="shared" si="2"/>
        <v/>
      </c>
      <c r="K27" s="28" t="str">
        <f t="shared" si="7"/>
        <v/>
      </c>
      <c r="L27" s="29" t="str">
        <f t="shared" si="4"/>
        <v/>
      </c>
      <c r="M27" s="30" t="str">
        <f t="shared" si="0"/>
        <v/>
      </c>
      <c r="N27" s="188"/>
      <c r="O27" s="188"/>
      <c r="Q27" s="20">
        <f t="shared" si="5"/>
        <v>1</v>
      </c>
    </row>
    <row r="28" spans="2:17" s="10" customFormat="1" ht="12.95" customHeight="1" thickBot="1" x14ac:dyDescent="0.25">
      <c r="B28" s="22">
        <v>44220</v>
      </c>
      <c r="C28" s="161"/>
      <c r="D28" s="162"/>
      <c r="E28" s="163"/>
      <c r="F28" s="164"/>
      <c r="G28" s="165"/>
      <c r="H28" s="28" t="str">
        <f t="shared" si="1"/>
        <v/>
      </c>
      <c r="I28" s="28" t="str">
        <f t="shared" si="6"/>
        <v/>
      </c>
      <c r="J28" s="28" t="str">
        <f t="shared" si="2"/>
        <v/>
      </c>
      <c r="K28" s="28" t="str">
        <f t="shared" si="7"/>
        <v/>
      </c>
      <c r="L28" s="29" t="str">
        <f t="shared" si="4"/>
        <v/>
      </c>
      <c r="M28" s="30" t="str">
        <f t="shared" si="0"/>
        <v/>
      </c>
      <c r="N28" s="32">
        <f>SUM(L4:L34)</f>
        <v>1958</v>
      </c>
      <c r="O28" s="32">
        <f>SUM(M4:M34)</f>
        <v>25661</v>
      </c>
      <c r="Q28" s="20">
        <f t="shared" si="5"/>
        <v>1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6" t="s">
        <v>23</v>
      </c>
      <c r="O29" s="186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8"/>
      <c r="O30" s="188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195.8</v>
      </c>
      <c r="O31" s="32">
        <f>AVERAGE(M4:M34)</f>
        <v>2566.1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6" t="s">
        <v>21</v>
      </c>
      <c r="O53" s="186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7"/>
      <c r="O54" s="187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8"/>
      <c r="O55" s="188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6" t="s">
        <v>23</v>
      </c>
      <c r="O57" s="186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8"/>
      <c r="O58" s="188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6" t="s">
        <v>25</v>
      </c>
      <c r="O60" s="186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8"/>
      <c r="O61" s="188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6" t="s">
        <v>21</v>
      </c>
      <c r="O84" s="186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7"/>
      <c r="O85" s="187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8"/>
      <c r="O86" s="188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6" t="s">
        <v>23</v>
      </c>
      <c r="O88" s="186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8"/>
      <c r="O89" s="188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6" t="s">
        <v>25</v>
      </c>
      <c r="O91" s="186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8"/>
      <c r="O92" s="188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6" t="s">
        <v>21</v>
      </c>
      <c r="O114" s="186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7"/>
      <c r="O115" s="187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8"/>
      <c r="O116" s="188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6" t="s">
        <v>23</v>
      </c>
      <c r="O118" s="186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8"/>
      <c r="O119" s="188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6" t="s">
        <v>21</v>
      </c>
      <c r="O145" s="186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7"/>
      <c r="O146" s="187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8"/>
      <c r="O147" s="188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5383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6" t="s">
        <v>23</v>
      </c>
      <c r="O149" s="186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8"/>
      <c r="O150" s="188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6" t="s">
        <v>21</v>
      </c>
      <c r="O175" s="186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7"/>
      <c r="O176" s="187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8"/>
      <c r="O177" s="188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6" t="s">
        <v>23</v>
      </c>
      <c r="O179" s="186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8"/>
      <c r="O180" s="188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6" t="s">
        <v>21</v>
      </c>
      <c r="O206" s="186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7"/>
      <c r="O207" s="187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8"/>
      <c r="O208" s="188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6" t="s">
        <v>23</v>
      </c>
      <c r="O210" s="186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8"/>
      <c r="O211" s="188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6" t="s">
        <v>21</v>
      </c>
      <c r="O237" s="186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7"/>
      <c r="O238" s="187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8"/>
      <c r="O239" s="188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6" t="s">
        <v>23</v>
      </c>
      <c r="O241" s="186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8"/>
      <c r="O242" s="188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6" t="s">
        <v>21</v>
      </c>
      <c r="O267" s="186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7"/>
      <c r="O268" s="187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8"/>
      <c r="O269" s="188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6" t="s">
        <v>23</v>
      </c>
      <c r="O271" s="186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8"/>
      <c r="O272" s="188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6" t="s">
        <v>21</v>
      </c>
      <c r="O298" s="186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7"/>
      <c r="O299" s="187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8"/>
      <c r="O300" s="188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6" t="s">
        <v>23</v>
      </c>
      <c r="O302" s="186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8"/>
      <c r="O303" s="188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6" t="s">
        <v>21</v>
      </c>
      <c r="O328" s="186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7"/>
      <c r="O329" s="187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8"/>
      <c r="O330" s="188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6" t="s">
        <v>23</v>
      </c>
      <c r="O332" s="186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8"/>
      <c r="O333" s="188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6" t="s">
        <v>21</v>
      </c>
      <c r="O359" s="186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7"/>
      <c r="O360" s="187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8"/>
      <c r="O361" s="188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6" t="s">
        <v>23</v>
      </c>
      <c r="O363" s="186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8"/>
      <c r="O364" s="188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workbookViewId="0">
      <selection activeCell="K22" sqref="K22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145"/>
      <c r="E13" s="146"/>
      <c r="F13" s="147"/>
      <c r="G13" s="148">
        <v>184.02799999999999</v>
      </c>
      <c r="H13" s="58">
        <v>4140</v>
      </c>
      <c r="I13" s="58" t="str">
        <f t="shared" si="2"/>
        <v/>
      </c>
      <c r="J13" s="58" t="str">
        <f t="shared" si="2"/>
        <v/>
      </c>
      <c r="K13" s="59" t="str">
        <f t="shared" si="4"/>
        <v/>
      </c>
      <c r="L13" s="58" t="str">
        <f t="shared" si="5"/>
        <v/>
      </c>
      <c r="M13" s="59" t="str">
        <f t="shared" si="6"/>
        <v/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145"/>
      <c r="E14" s="146"/>
      <c r="F14" s="147"/>
      <c r="G14" s="148">
        <v>184.07300000000001</v>
      </c>
      <c r="H14" s="58">
        <v>4140</v>
      </c>
      <c r="I14" s="58" t="str">
        <f t="shared" si="2"/>
        <v/>
      </c>
      <c r="J14" s="58" t="str">
        <f t="shared" si="2"/>
        <v/>
      </c>
      <c r="K14" s="59" t="str">
        <f t="shared" si="4"/>
        <v/>
      </c>
      <c r="L14" s="58" t="str">
        <f t="shared" si="5"/>
        <v/>
      </c>
      <c r="M14" s="59" t="str">
        <f t="shared" si="6"/>
        <v/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145"/>
      <c r="E15" s="146"/>
      <c r="F15" s="147"/>
      <c r="G15" s="148">
        <v>184.107</v>
      </c>
      <c r="H15" s="58">
        <v>4140</v>
      </c>
      <c r="I15" s="58" t="str">
        <f t="shared" si="2"/>
        <v/>
      </c>
      <c r="J15" s="58" t="str">
        <f t="shared" si="2"/>
        <v/>
      </c>
      <c r="K15" s="59" t="str">
        <f t="shared" si="4"/>
        <v/>
      </c>
      <c r="L15" s="58" t="str">
        <f t="shared" si="5"/>
        <v/>
      </c>
      <c r="M15" s="59" t="str">
        <f t="shared" si="6"/>
        <v/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145"/>
      <c r="E16" s="146"/>
      <c r="F16" s="147"/>
      <c r="G16" s="148">
        <v>184.131</v>
      </c>
      <c r="H16" s="58">
        <v>4140</v>
      </c>
      <c r="I16" s="58" t="str">
        <f t="shared" si="2"/>
        <v/>
      </c>
      <c r="J16" s="58" t="str">
        <f t="shared" si="2"/>
        <v/>
      </c>
      <c r="K16" s="59" t="str">
        <f t="shared" si="4"/>
        <v/>
      </c>
      <c r="L16" s="58" t="str">
        <f t="shared" si="5"/>
        <v/>
      </c>
      <c r="M16" s="59" t="str">
        <f t="shared" si="6"/>
        <v/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145"/>
      <c r="E17" s="146"/>
      <c r="F17" s="147"/>
      <c r="G17" s="148">
        <v>184.166</v>
      </c>
      <c r="H17" s="58">
        <v>4140</v>
      </c>
      <c r="I17" s="58" t="str">
        <f t="shared" si="2"/>
        <v/>
      </c>
      <c r="J17" s="58" t="str">
        <f t="shared" si="2"/>
        <v/>
      </c>
      <c r="K17" s="59" t="str">
        <f t="shared" si="4"/>
        <v/>
      </c>
      <c r="L17" s="58" t="str">
        <f t="shared" si="5"/>
        <v/>
      </c>
      <c r="M17" s="59" t="str">
        <f t="shared" si="6"/>
        <v/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145"/>
      <c r="E18" s="146"/>
      <c r="F18" s="147"/>
      <c r="G18" s="148">
        <v>184.20599999999999</v>
      </c>
      <c r="H18" s="58">
        <v>4140</v>
      </c>
      <c r="I18" s="58" t="str">
        <f t="shared" si="2"/>
        <v/>
      </c>
      <c r="J18" s="58" t="str">
        <f t="shared" si="2"/>
        <v/>
      </c>
      <c r="K18" s="59" t="str">
        <f t="shared" si="4"/>
        <v/>
      </c>
      <c r="L18" s="58" t="str">
        <f t="shared" si="5"/>
        <v/>
      </c>
      <c r="M18" s="59" t="str">
        <f t="shared" si="6"/>
        <v/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145"/>
      <c r="E19" s="146"/>
      <c r="F19" s="147"/>
      <c r="G19" s="148">
        <v>184.245</v>
      </c>
      <c r="H19" s="58">
        <v>4140</v>
      </c>
      <c r="I19" s="58" t="str">
        <f t="shared" si="2"/>
        <v/>
      </c>
      <c r="J19" s="58" t="str">
        <f t="shared" si="2"/>
        <v/>
      </c>
      <c r="K19" s="59" t="str">
        <f t="shared" si="4"/>
        <v/>
      </c>
      <c r="L19" s="58" t="str">
        <f t="shared" si="5"/>
        <v/>
      </c>
      <c r="M19" s="59" t="str">
        <f t="shared" si="6"/>
        <v/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/>
      <c r="E20" s="146"/>
      <c r="F20" s="147"/>
      <c r="G20" s="148">
        <v>184.28200000000001</v>
      </c>
      <c r="H20" s="58">
        <v>4140</v>
      </c>
      <c r="I20" s="58" t="str">
        <f t="shared" si="2"/>
        <v/>
      </c>
      <c r="J20" s="58" t="str">
        <f t="shared" si="2"/>
        <v/>
      </c>
      <c r="K20" s="59" t="str">
        <f t="shared" si="4"/>
        <v/>
      </c>
      <c r="L20" s="58" t="str">
        <f t="shared" si="5"/>
        <v/>
      </c>
      <c r="M20" s="59" t="str">
        <f t="shared" si="6"/>
        <v/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/>
      <c r="E21" s="146"/>
      <c r="F21" s="147"/>
      <c r="G21" s="148">
        <v>184.31200000000001</v>
      </c>
      <c r="H21" s="58">
        <v>4140</v>
      </c>
      <c r="I21" s="58" t="str">
        <f t="shared" si="2"/>
        <v/>
      </c>
      <c r="J21" s="58" t="str">
        <f t="shared" si="2"/>
        <v/>
      </c>
      <c r="K21" s="59" t="str">
        <f t="shared" si="4"/>
        <v/>
      </c>
      <c r="L21" s="58" t="str">
        <f t="shared" si="5"/>
        <v/>
      </c>
      <c r="M21" s="59" t="str">
        <f t="shared" si="6"/>
        <v/>
      </c>
      <c r="N21" s="152">
        <v>66068309</v>
      </c>
      <c r="O21" s="152">
        <v>0</v>
      </c>
      <c r="P21" s="190" t="s">
        <v>45</v>
      </c>
      <c r="Q21" s="191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/>
      <c r="E22" s="146"/>
      <c r="F22" s="147"/>
      <c r="G22" s="148">
        <v>184.34800000000001</v>
      </c>
      <c r="H22" s="58">
        <v>4140</v>
      </c>
      <c r="I22" s="58" t="str">
        <f t="shared" si="2"/>
        <v/>
      </c>
      <c r="J22" s="58" t="str">
        <f t="shared" si="2"/>
        <v/>
      </c>
      <c r="K22" s="59" t="str">
        <f t="shared" si="4"/>
        <v/>
      </c>
      <c r="L22" s="58" t="str">
        <f t="shared" si="5"/>
        <v/>
      </c>
      <c r="M22" s="59" t="str">
        <f t="shared" si="6"/>
        <v/>
      </c>
      <c r="N22" s="152">
        <v>66068309</v>
      </c>
      <c r="O22" s="152">
        <v>0</v>
      </c>
      <c r="P22" s="192"/>
      <c r="Q22" s="193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/>
      <c r="E23" s="146"/>
      <c r="F23" s="147"/>
      <c r="G23" s="148">
        <v>184.39</v>
      </c>
      <c r="H23" s="58">
        <v>4140</v>
      </c>
      <c r="I23" s="58" t="str">
        <f t="shared" si="2"/>
        <v/>
      </c>
      <c r="J23" s="58" t="str">
        <f t="shared" si="2"/>
        <v/>
      </c>
      <c r="K23" s="59" t="str">
        <f t="shared" si="4"/>
        <v/>
      </c>
      <c r="L23" s="58" t="str">
        <f t="shared" si="5"/>
        <v/>
      </c>
      <c r="M23" s="59" t="str">
        <f t="shared" si="6"/>
        <v/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/>
      <c r="E24" s="146"/>
      <c r="F24" s="147"/>
      <c r="G24" s="148">
        <v>184.43799999999999</v>
      </c>
      <c r="H24" s="58">
        <v>4140</v>
      </c>
      <c r="I24" s="58" t="str">
        <f t="shared" si="2"/>
        <v/>
      </c>
      <c r="J24" s="58" t="str">
        <f t="shared" si="2"/>
        <v/>
      </c>
      <c r="K24" s="59" t="str">
        <f t="shared" si="4"/>
        <v/>
      </c>
      <c r="L24" s="58" t="str">
        <f t="shared" si="5"/>
        <v/>
      </c>
      <c r="M24" s="59" t="str">
        <f t="shared" si="6"/>
        <v/>
      </c>
      <c r="N24" s="152">
        <v>66068309</v>
      </c>
      <c r="O24" s="152">
        <v>0</v>
      </c>
      <c r="P24" s="69">
        <f>IF(J3="",0,+SUM(J3:J33)/SUM(I3:I33))</f>
        <v>1.3759706843838357E-2</v>
      </c>
      <c r="Q24" s="69">
        <f>IF(L3="",0,+SUM(L3:L33)/SUM(I3:I33))</f>
        <v>1.3759706843838357E-2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/>
      <c r="E25" s="146"/>
      <c r="F25" s="147"/>
      <c r="G25" s="148">
        <v>184.483</v>
      </c>
      <c r="H25" s="58">
        <v>4140</v>
      </c>
      <c r="I25" s="58" t="str">
        <f t="shared" si="2"/>
        <v/>
      </c>
      <c r="J25" s="58" t="str">
        <f t="shared" si="2"/>
        <v/>
      </c>
      <c r="K25" s="59" t="str">
        <f t="shared" si="4"/>
        <v/>
      </c>
      <c r="L25" s="58" t="str">
        <f t="shared" si="5"/>
        <v/>
      </c>
      <c r="M25" s="59" t="str">
        <f t="shared" si="6"/>
        <v/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-0.34678253420660271</v>
      </c>
      <c r="Q25" s="70">
        <f>IF(L3="",0,+(+(LOOKUP(9.99999999999999E+307,F3:F33)-F2))/(+(LOOKUP(9.99999999999999E+307,D3:D33)-D2)))</f>
        <v>2.181447999163675E-2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/>
      <c r="E26" s="146"/>
      <c r="F26" s="147"/>
      <c r="G26" s="148">
        <v>184.53800000000001</v>
      </c>
      <c r="H26" s="58">
        <v>4140</v>
      </c>
      <c r="I26" s="58" t="str">
        <f t="shared" si="2"/>
        <v/>
      </c>
      <c r="J26" s="58" t="str">
        <f t="shared" si="2"/>
        <v/>
      </c>
      <c r="K26" s="59" t="str">
        <f t="shared" si="4"/>
        <v/>
      </c>
      <c r="L26" s="58" t="str">
        <f t="shared" si="5"/>
        <v/>
      </c>
      <c r="M26" s="59" t="str">
        <f t="shared" si="6"/>
        <v/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/>
      <c r="E27" s="146"/>
      <c r="F27" s="147"/>
      <c r="G27" s="148">
        <v>184.571</v>
      </c>
      <c r="H27" s="58">
        <v>4140</v>
      </c>
      <c r="I27" s="58" t="str">
        <f t="shared" si="2"/>
        <v/>
      </c>
      <c r="J27" s="58" t="str">
        <f t="shared" si="2"/>
        <v/>
      </c>
      <c r="K27" s="59" t="str">
        <f t="shared" si="4"/>
        <v/>
      </c>
      <c r="L27" s="58" t="str">
        <f t="shared" si="5"/>
        <v/>
      </c>
      <c r="M27" s="59" t="str">
        <f t="shared" si="6"/>
        <v/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90" t="s">
        <v>57</v>
      </c>
      <c r="Q49" s="191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2"/>
      <c r="Q50" s="193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90" t="s">
        <v>60</v>
      </c>
      <c r="Q81" s="191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2"/>
      <c r="Q82" s="193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90" t="s">
        <v>61</v>
      </c>
      <c r="Q111" s="191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2"/>
      <c r="Q112" s="193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90" t="s">
        <v>62</v>
      </c>
      <c r="Q142" s="191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2"/>
      <c r="Q143" s="193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90" t="s">
        <v>63</v>
      </c>
      <c r="Q172" s="191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2"/>
      <c r="Q173" s="193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4" t="s">
        <v>64</v>
      </c>
      <c r="Q203" s="195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2"/>
      <c r="Q204" s="193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4" t="s">
        <v>65</v>
      </c>
      <c r="Q234" s="195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2"/>
      <c r="Q235" s="193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90" t="s">
        <v>66</v>
      </c>
      <c r="Q264" s="191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2"/>
      <c r="Q265" s="193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90" t="s">
        <v>67</v>
      </c>
      <c r="Q295" s="191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2"/>
      <c r="Q296" s="193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90" t="s">
        <v>68</v>
      </c>
      <c r="Q325" s="191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2"/>
      <c r="Q326" s="193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90" t="s">
        <v>69</v>
      </c>
      <c r="Q356" s="191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2"/>
      <c r="Q357" s="193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LENOVO</cp:lastModifiedBy>
  <cp:revision/>
  <dcterms:created xsi:type="dcterms:W3CDTF">2021-02-26T04:38:42Z</dcterms:created>
  <dcterms:modified xsi:type="dcterms:W3CDTF">2022-01-11T12:20:47Z</dcterms:modified>
  <cp:category/>
  <cp:contentStatus/>
</cp:coreProperties>
</file>