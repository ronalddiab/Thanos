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2" i="117" l="1"/>
  <c r="H6" i="119"/>
  <c r="I3" i="117" s="1"/>
  <c r="H7" i="119"/>
  <c r="I4" i="117" s="1"/>
  <c r="H8" i="119"/>
  <c r="H9" i="119"/>
  <c r="I6" i="117" s="1"/>
  <c r="H10" i="119"/>
  <c r="I7" i="117" s="1"/>
  <c r="H11" i="119"/>
  <c r="I8" i="117" s="1"/>
  <c r="H12" i="119"/>
  <c r="I9" i="117" s="1"/>
  <c r="H13" i="119"/>
  <c r="H14" i="119"/>
  <c r="I11" i="117" s="1"/>
  <c r="H15" i="119"/>
  <c r="I12" i="117" s="1"/>
  <c r="H16" i="119"/>
  <c r="H17" i="119"/>
  <c r="H18" i="119"/>
  <c r="I15" i="117" s="1"/>
  <c r="H19" i="119"/>
  <c r="H20" i="119"/>
  <c r="H21" i="119"/>
  <c r="H22" i="119"/>
  <c r="I19" i="117" s="1"/>
  <c r="H23" i="119"/>
  <c r="H24" i="119"/>
  <c r="H25" i="119"/>
  <c r="H26" i="119"/>
  <c r="I23" i="117" s="1"/>
  <c r="H27" i="119"/>
  <c r="I24" i="117" s="1"/>
  <c r="H28" i="119"/>
  <c r="H29" i="119"/>
  <c r="H30" i="119"/>
  <c r="I27" i="117" s="1"/>
  <c r="H31" i="119"/>
  <c r="I28" i="117" s="1"/>
  <c r="H32" i="119"/>
  <c r="H33" i="119"/>
  <c r="H34" i="119"/>
  <c r="I31" i="117" s="1"/>
  <c r="H35" i="119"/>
  <c r="I32" i="117" s="1"/>
  <c r="H5" i="119"/>
  <c r="I2" i="117" s="1"/>
  <c r="F11" i="119"/>
  <c r="F12" i="119"/>
  <c r="G9" i="117" s="1"/>
  <c r="F13" i="119"/>
  <c r="F14" i="119"/>
  <c r="G11" i="117" s="1"/>
  <c r="F15" i="119"/>
  <c r="F16" i="119"/>
  <c r="G13" i="117" s="1"/>
  <c r="F17" i="119"/>
  <c r="F18" i="119"/>
  <c r="G15" i="117" s="1"/>
  <c r="F19" i="119"/>
  <c r="F20" i="119"/>
  <c r="G17" i="117" s="1"/>
  <c r="F21" i="119"/>
  <c r="G18" i="117" s="1"/>
  <c r="F22" i="119"/>
  <c r="G19" i="117" s="1"/>
  <c r="F23" i="119"/>
  <c r="F24" i="119"/>
  <c r="G21" i="117" s="1"/>
  <c r="F25" i="119"/>
  <c r="G22" i="117" s="1"/>
  <c r="F26" i="119"/>
  <c r="G23" i="117" s="1"/>
  <c r="F27" i="119"/>
  <c r="F28" i="119"/>
  <c r="F29" i="119"/>
  <c r="F30" i="119"/>
  <c r="F31" i="119"/>
  <c r="F32" i="119"/>
  <c r="F33" i="119"/>
  <c r="G30" i="117" s="1"/>
  <c r="F34" i="119"/>
  <c r="G31" i="117" s="1"/>
  <c r="F35" i="119"/>
  <c r="F8" i="119"/>
  <c r="G5" i="117" s="1"/>
  <c r="F9" i="119"/>
  <c r="G6" i="117" s="1"/>
  <c r="F10" i="119"/>
  <c r="G7" i="117" s="1"/>
  <c r="F6" i="119"/>
  <c r="G3" i="117" s="1"/>
  <c r="F7" i="119"/>
  <c r="F5" i="119"/>
  <c r="G2" i="117" s="1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G32" i="117"/>
  <c r="D18" i="119"/>
  <c r="D26" i="119"/>
  <c r="D33" i="119"/>
  <c r="D34" i="119"/>
  <c r="I30" i="117"/>
  <c r="I29" i="117"/>
  <c r="G29" i="117"/>
  <c r="D32" i="119"/>
  <c r="G28" i="117"/>
  <c r="D31" i="119"/>
  <c r="G27" i="117"/>
  <c r="D30" i="119"/>
  <c r="I26" i="117"/>
  <c r="G26" i="117"/>
  <c r="D29" i="119"/>
  <c r="I25" i="117"/>
  <c r="G25" i="117"/>
  <c r="D28" i="119"/>
  <c r="G24" i="117"/>
  <c r="D27" i="119"/>
  <c r="I22" i="117"/>
  <c r="D25" i="119"/>
  <c r="I21" i="117"/>
  <c r="D24" i="119"/>
  <c r="I20" i="117"/>
  <c r="G20" i="117"/>
  <c r="D23" i="119"/>
  <c r="D22" i="119"/>
  <c r="I18" i="117"/>
  <c r="D21" i="119"/>
  <c r="I17" i="117"/>
  <c r="D20" i="119"/>
  <c r="I16" i="117"/>
  <c r="G16" i="117"/>
  <c r="D19" i="119"/>
  <c r="I14" i="117"/>
  <c r="G14" i="117"/>
  <c r="D17" i="119"/>
  <c r="I13" i="117"/>
  <c r="D16" i="119"/>
  <c r="G12" i="117"/>
  <c r="D15" i="119"/>
  <c r="D14" i="119"/>
  <c r="I10" i="117"/>
  <c r="G10" i="117"/>
  <c r="D13" i="119"/>
  <c r="D12" i="119"/>
  <c r="G8" i="117"/>
  <c r="D11" i="119"/>
  <c r="D10" i="119"/>
  <c r="D9" i="119"/>
  <c r="I5" i="117"/>
  <c r="D8" i="119"/>
  <c r="G4" i="117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<sst xmlns="http://schemas.openxmlformats.org/spreadsheetml/2006/main" count="56" uniqueCount="25">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</sst>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O24" sqref="O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2021</v>
      </c>
      <c r="E2" s="9">
        <v>23293.999999999345</v>
      </c>
      <c r="F2" s="30">
        <v>0.72</v>
      </c>
      <c r="G2" s="9">
        <f>'Shenzhen Daily'!F5</f>
        <v>2024</v>
      </c>
      <c r="H2" s="30">
        <v>4.3899999999999997</v>
      </c>
      <c r="I2" s="9">
        <f>'Shenzhen Daily'!H5</f>
        <v>415</v>
      </c>
      <c r="J2" s="30">
        <v>5.09</v>
      </c>
      <c r="K2" s="9">
        <f>'Shenzhen Daily'!I5</f>
        <v>237</v>
      </c>
      <c r="L2" s="9">
        <f>'Shenzhen Daily'!J5</f>
        <v>478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2021</v>
      </c>
      <c r="E3" s="9">
        <v>22375.000000000749</v>
      </c>
      <c r="F3" s="30">
        <v>0.72</v>
      </c>
      <c r="G3" s="9">
        <f>'Shenzhen Daily'!F6</f>
        <v>2069</v>
      </c>
      <c r="H3" s="30">
        <v>4.3899999999999997</v>
      </c>
      <c r="I3" s="9">
        <f>'Shenzhen Daily'!H6</f>
        <v>412</v>
      </c>
      <c r="J3" s="30">
        <v>5.09</v>
      </c>
      <c r="K3" s="9">
        <f>'Shenzhen Daily'!I6</f>
        <v>210</v>
      </c>
      <c r="L3" s="9">
        <f>'Shenzhen Daily'!J6</f>
        <v>516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2021</v>
      </c>
      <c r="E4" s="9">
        <v>23370.999999999367</v>
      </c>
      <c r="F4" s="30">
        <v>0.72</v>
      </c>
      <c r="G4" s="9">
        <f>'Shenzhen Daily'!F7</f>
        <v>1718</v>
      </c>
      <c r="H4" s="30">
        <v>4.3899999999999997</v>
      </c>
      <c r="I4" s="9">
        <f>'Shenzhen Daily'!H7</f>
        <v>350</v>
      </c>
      <c r="J4" s="30">
        <v>5.09</v>
      </c>
      <c r="K4" s="9">
        <f>'Shenzhen Daily'!I7</f>
        <v>114</v>
      </c>
      <c r="L4" s="9">
        <f>'Shenzhen Daily'!J7</f>
        <v>303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2021</v>
      </c>
      <c r="E5" s="9">
        <v>21311.000000000218</v>
      </c>
      <c r="F5" s="30">
        <v>0.72</v>
      </c>
      <c r="G5" s="9">
        <f>'Shenzhen Daily'!F8</f>
        <v>1560</v>
      </c>
      <c r="H5" s="30">
        <v>4.3899999999999997</v>
      </c>
      <c r="I5" s="9">
        <f>'Shenzhen Daily'!H8</f>
        <v>321</v>
      </c>
      <c r="J5" s="30">
        <v>5.09</v>
      </c>
      <c r="K5" s="9">
        <f>'Shenzhen Daily'!I8</f>
        <v>155</v>
      </c>
      <c r="L5" s="9">
        <f>'Shenzhen Daily'!J8</f>
        <v>230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2021</v>
      </c>
      <c r="E6" s="9">
        <v>23150.000000000626</v>
      </c>
      <c r="F6" s="30">
        <v>0.72</v>
      </c>
      <c r="G6" s="9">
        <f>'Shenzhen Daily'!F9</f>
        <v>1578</v>
      </c>
      <c r="H6" s="30">
        <v>4.3899999999999997</v>
      </c>
      <c r="I6" s="9">
        <f>'Shenzhen Daily'!H9</f>
        <v>345</v>
      </c>
      <c r="J6" s="30">
        <v>5.09</v>
      </c>
      <c r="K6" s="9">
        <f>'Shenzhen Daily'!I9</f>
        <v>207</v>
      </c>
      <c r="L6" s="9">
        <f>'Shenzhen Daily'!J9</f>
        <v>297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2021</v>
      </c>
      <c r="E7" s="9">
        <v>24034.99999999952</v>
      </c>
      <c r="F7" s="30">
        <v>0.72</v>
      </c>
      <c r="G7" s="9">
        <f>'Shenzhen Daily'!F10</f>
        <v>1717</v>
      </c>
      <c r="H7" s="30">
        <v>4.3899999999999997</v>
      </c>
      <c r="I7" s="9">
        <f>'Shenzhen Daily'!H10</f>
        <v>368</v>
      </c>
      <c r="J7" s="30">
        <v>5.09</v>
      </c>
      <c r="K7" s="9">
        <f>'Shenzhen Daily'!I10</f>
        <v>233</v>
      </c>
      <c r="L7" s="9">
        <f>'Shenzhen Daily'!J10</f>
        <v>371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2021</v>
      </c>
      <c r="E8" s="9">
        <v>21584.99999999984</v>
      </c>
      <c r="F8" s="30">
        <v>0.72</v>
      </c>
      <c r="G8" s="9">
        <f>'Shenzhen Daily'!F11</f>
        <v>1733</v>
      </c>
      <c r="H8" s="30">
        <v>4.3899999999999997</v>
      </c>
      <c r="I8" s="9">
        <f>'Shenzhen Daily'!H11</f>
        <v>351</v>
      </c>
      <c r="J8" s="30">
        <v>5.09</v>
      </c>
      <c r="K8" s="9">
        <f>'Shenzhen Daily'!I11</f>
        <v>255</v>
      </c>
      <c r="L8" s="9">
        <f>'Shenzhen Daily'!J11</f>
        <v>376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2021</v>
      </c>
      <c r="E9" s="9">
        <v>24712.000000000251</v>
      </c>
      <c r="F9" s="30">
        <v>0.72</v>
      </c>
      <c r="G9" s="9">
        <f>'Shenzhen Daily'!F12</f>
        <v>2227</v>
      </c>
      <c r="H9" s="30">
        <v>4.3899999999999997</v>
      </c>
      <c r="I9" s="9">
        <f>'Shenzhen Daily'!H12</f>
        <v>455</v>
      </c>
      <c r="J9" s="30">
        <v>5.09</v>
      </c>
      <c r="K9" s="9">
        <f>'Shenzhen Daily'!I12</f>
        <v>261</v>
      </c>
      <c r="L9" s="9">
        <f>'Shenzhen Daily'!J12</f>
        <v>487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2021</v>
      </c>
      <c r="E10" s="9">
        <v>21319.000000000142</v>
      </c>
      <c r="F10" s="30">
        <v>0.72</v>
      </c>
      <c r="G10" s="9">
        <f>'Shenzhen Daily'!F13</f>
        <v>2314</v>
      </c>
      <c r="H10" s="30">
        <v>4.3899999999999997</v>
      </c>
      <c r="I10" s="9">
        <f>'Shenzhen Daily'!H13</f>
        <v>386</v>
      </c>
      <c r="J10" s="30">
        <v>5.09</v>
      </c>
      <c r="K10" s="9">
        <f>'Shenzhen Daily'!I13</f>
        <v>251</v>
      </c>
      <c r="L10" s="9">
        <f>'Shenzhen Daily'!J13</f>
        <v>429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2021</v>
      </c>
      <c r="E11" s="9">
        <v>20810.999999999498</v>
      </c>
      <c r="F11" s="30">
        <v>0.72</v>
      </c>
      <c r="G11" s="9">
        <f>'Shenzhen Daily'!F14</f>
        <v>2181</v>
      </c>
      <c r="H11" s="30">
        <v>4.3899999999999997</v>
      </c>
      <c r="I11" s="9">
        <f>'Shenzhen Daily'!H14</f>
        <v>418</v>
      </c>
      <c r="J11" s="30">
        <v>5.09</v>
      </c>
      <c r="K11" s="9">
        <f>'Shenzhen Daily'!I14</f>
        <v>174</v>
      </c>
      <c r="L11" s="9">
        <f>'Shenzhen Daily'!J14</f>
        <v>311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2021</v>
      </c>
      <c r="E12" s="9">
        <v>20495.999999999469</v>
      </c>
      <c r="F12" s="30">
        <v>0.72</v>
      </c>
      <c r="G12" s="9">
        <f>'Shenzhen Daily'!F15</f>
        <v>2080</v>
      </c>
      <c r="H12" s="30">
        <v>4.3899999999999997</v>
      </c>
      <c r="I12" s="9">
        <f>'Shenzhen Daily'!H15</f>
        <v>360</v>
      </c>
      <c r="J12" s="30">
        <v>5.09</v>
      </c>
      <c r="K12" s="9">
        <f>'Shenzhen Daily'!I15</f>
        <v>212</v>
      </c>
      <c r="L12" s="9">
        <f>'Shenzhen Daily'!J15</f>
        <v>282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2021</v>
      </c>
      <c r="E13" s="9">
        <v>21319.000000000437</v>
      </c>
      <c r="F13" s="30">
        <v>0.72</v>
      </c>
      <c r="G13" s="9">
        <f>'Shenzhen Daily'!F16</f>
        <v>2113</v>
      </c>
      <c r="H13" s="30">
        <v>4.3899999999999997</v>
      </c>
      <c r="I13" s="9">
        <f>'Shenzhen Daily'!H16</f>
        <v>400</v>
      </c>
      <c r="J13" s="30">
        <v>5.09</v>
      </c>
      <c r="K13" s="9">
        <f>'Shenzhen Daily'!I16</f>
        <v>250</v>
      </c>
      <c r="L13" s="9">
        <f>'Shenzhen Daily'!J16</f>
        <v>390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2021</v>
      </c>
      <c r="E14" s="9">
        <v>20185.000000000491</v>
      </c>
      <c r="F14" s="30">
        <v>0.72</v>
      </c>
      <c r="G14" s="9">
        <f>'Shenzhen Daily'!F17</f>
        <v>1882</v>
      </c>
      <c r="H14" s="30">
        <v>4.3899999999999997</v>
      </c>
      <c r="I14" s="9">
        <f>'Shenzhen Daily'!H17</f>
        <v>459</v>
      </c>
      <c r="J14" s="30">
        <v>5.09</v>
      </c>
      <c r="K14" s="9">
        <f>'Shenzhen Daily'!I17</f>
        <v>253</v>
      </c>
      <c r="L14" s="9">
        <f>'Shenzhen Daily'!J17</f>
        <v>412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2021</v>
      </c>
      <c r="E15" s="9">
        <v>21438.99999999936</v>
      </c>
      <c r="F15" s="30">
        <v>0.72</v>
      </c>
      <c r="G15" s="9">
        <f>'Shenzhen Daily'!F18</f>
        <v>1788</v>
      </c>
      <c r="H15" s="30">
        <v>4.3899999999999997</v>
      </c>
      <c r="I15" s="9">
        <f>'Shenzhen Daily'!H18</f>
        <v>394</v>
      </c>
      <c r="J15" s="30">
        <v>5.09</v>
      </c>
      <c r="K15" s="9">
        <f>'Shenzhen Daily'!I18</f>
        <v>228</v>
      </c>
      <c r="L15" s="9">
        <f>'Shenzhen Daily'!J18</f>
        <v>476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2021</v>
      </c>
      <c r="E16" s="9">
        <v>23583.000000000189</v>
      </c>
      <c r="F16" s="30">
        <v>0.72</v>
      </c>
      <c r="G16" s="9">
        <f>'Shenzhen Daily'!F19</f>
        <v>1735</v>
      </c>
      <c r="H16" s="30">
        <v>4.3899999999999997</v>
      </c>
      <c r="I16" s="9">
        <f>'Shenzhen Daily'!H19</f>
        <v>376</v>
      </c>
      <c r="J16" s="30">
        <v>5.09</v>
      </c>
      <c r="K16" s="9">
        <f>'Shenzhen Daily'!I19</f>
        <v>224</v>
      </c>
      <c r="L16" s="9">
        <f>'Shenzhen Daily'!J19</f>
        <v>436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2021</v>
      </c>
      <c r="E17" s="9">
        <v>24476.000000000251</v>
      </c>
      <c r="F17" s="30">
        <v>0.72</v>
      </c>
      <c r="G17" s="9">
        <f>'Shenzhen Daily'!F20</f>
        <v>1781</v>
      </c>
      <c r="H17" s="30">
        <v>4.3899999999999997</v>
      </c>
      <c r="I17" s="9">
        <f>'Shenzhen Daily'!H20</f>
        <v>496</v>
      </c>
      <c r="J17" s="30">
        <v>5.09</v>
      </c>
      <c r="K17" s="9">
        <f>'Shenzhen Daily'!I20</f>
        <v>258</v>
      </c>
      <c r="L17" s="9">
        <f>'Shenzhen Daily'!J20</f>
        <v>352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2021</v>
      </c>
      <c r="E18" s="9">
        <v>21124.999999999374</v>
      </c>
      <c r="F18" s="30">
        <v>0.72</v>
      </c>
      <c r="G18" s="9">
        <f>'Shenzhen Daily'!F21</f>
        <v>1754</v>
      </c>
      <c r="H18" s="30">
        <v>4.3899999999999997</v>
      </c>
      <c r="I18" s="9">
        <f>'Shenzhen Daily'!H21</f>
        <v>497</v>
      </c>
      <c r="J18" s="30">
        <v>5.09</v>
      </c>
      <c r="K18" s="9">
        <f>'Shenzhen Daily'!I21</f>
        <v>158</v>
      </c>
      <c r="L18" s="9">
        <f>'Shenzhen Daily'!J21</f>
        <v>396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2021</v>
      </c>
      <c r="E19" s="9">
        <v>22633.000000000153</v>
      </c>
      <c r="F19" s="30">
        <v>0.72</v>
      </c>
      <c r="G19" s="9">
        <f>'Shenzhen Daily'!F22</f>
        <v>1848</v>
      </c>
      <c r="H19" s="30">
        <v>4.3899999999999997</v>
      </c>
      <c r="I19" s="9">
        <f>'Shenzhen Daily'!H22</f>
        <v>389</v>
      </c>
      <c r="J19" s="30">
        <v>5.09</v>
      </c>
      <c r="K19" s="9">
        <f>'Shenzhen Daily'!I22</f>
        <v>187</v>
      </c>
      <c r="L19" s="9">
        <f>'Shenzhen Daily'!J22</f>
        <v>258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2021</v>
      </c>
      <c r="E20" s="9">
        <v>22487.000000000389</v>
      </c>
      <c r="F20" s="30">
        <v>0.72</v>
      </c>
      <c r="G20" s="9">
        <f>'Shenzhen Daily'!F23</f>
        <v>1771</v>
      </c>
      <c r="H20" s="30">
        <v>4.3899999999999997</v>
      </c>
      <c r="I20" s="9">
        <f>'Shenzhen Daily'!H23</f>
        <v>382</v>
      </c>
      <c r="J20" s="30">
        <v>5.09</v>
      </c>
      <c r="K20" s="9">
        <f>'Shenzhen Daily'!I23</f>
        <v>233</v>
      </c>
      <c r="L20" s="9">
        <f>'Shenzhen Daily'!J23</f>
        <v>355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2021</v>
      </c>
      <c r="E21" s="9">
        <v>22899.999999999967</v>
      </c>
      <c r="F21" s="30">
        <v>0.72</v>
      </c>
      <c r="G21" s="9">
        <f>'Shenzhen Daily'!F24</f>
        <v>1733</v>
      </c>
      <c r="H21" s="30">
        <v>4.3899999999999997</v>
      </c>
      <c r="I21" s="9">
        <f>'Shenzhen Daily'!H24</f>
        <v>382</v>
      </c>
      <c r="J21" s="30">
        <v>5.09</v>
      </c>
      <c r="K21" s="9">
        <f>'Shenzhen Daily'!I24</f>
        <v>259</v>
      </c>
      <c r="L21" s="9">
        <f>'Shenzhen Daily'!J24</f>
        <v>568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2021</v>
      </c>
      <c r="E22" s="9">
        <v>26425.999999999483</v>
      </c>
      <c r="F22" s="30">
        <v>0.72</v>
      </c>
      <c r="G22" s="9">
        <f>'Shenzhen Daily'!F25</f>
        <v>1902</v>
      </c>
      <c r="H22" s="30">
        <v>4.3899999999999997</v>
      </c>
      <c r="I22" s="9">
        <f>'Shenzhen Daily'!H25</f>
        <v>420</v>
      </c>
      <c r="J22" s="30">
        <v>5.09</v>
      </c>
      <c r="K22" s="9">
        <f>'Shenzhen Daily'!I25</f>
        <v>250</v>
      </c>
      <c r="L22" s="9">
        <f>'Shenzhen Daily'!J25</f>
        <v>445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2021</v>
      </c>
      <c r="E23" s="9">
        <v>27366.000000000098</v>
      </c>
      <c r="F23" s="30">
        <v>0.72</v>
      </c>
      <c r="G23" s="9">
        <f>'Shenzhen Daily'!F26</f>
        <v>1929</v>
      </c>
      <c r="H23" s="30">
        <v>4.3899999999999997</v>
      </c>
      <c r="I23" s="9">
        <f>'Shenzhen Daily'!H26</f>
        <v>426</v>
      </c>
      <c r="J23" s="30">
        <v>5.09</v>
      </c>
      <c r="K23" s="9">
        <f>'Shenzhen Daily'!I26</f>
        <v>237</v>
      </c>
      <c r="L23" s="9">
        <f>'Shenzhen Daily'!J26</f>
        <v>506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2021</v>
      </c>
      <c r="E24" s="9">
        <v>26549.999999999898</v>
      </c>
      <c r="F24" s="30">
        <v>0.72</v>
      </c>
      <c r="G24" s="9">
        <f>'Shenzhen Daily'!F27</f>
        <v>1753</v>
      </c>
      <c r="H24" s="30">
        <v>4.3899999999999997</v>
      </c>
      <c r="I24" s="9">
        <f>'Shenzhen Daily'!H27</f>
        <v>387</v>
      </c>
      <c r="J24" s="30">
        <v>5.09</v>
      </c>
      <c r="K24" s="9">
        <f>'Shenzhen Daily'!I27</f>
        <v>220</v>
      </c>
      <c r="L24" s="9">
        <f>'Shenzhen Daily'!J27</f>
        <v>384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2021</v>
      </c>
      <c r="E25" s="9">
        <v>26350.000000000229</v>
      </c>
      <c r="F25" s="30">
        <v>0.72</v>
      </c>
      <c r="G25" s="9">
        <f>'Shenzhen Daily'!F28</f>
        <v>1860</v>
      </c>
      <c r="H25" s="30">
        <v>4.3899999999999997</v>
      </c>
      <c r="I25" s="9">
        <f>'Shenzhen Daily'!H28</f>
        <v>381</v>
      </c>
      <c r="J25" s="30">
        <v>5.09</v>
      </c>
      <c r="K25" s="9">
        <f>'Shenzhen Daily'!I28</f>
        <v>171</v>
      </c>
      <c r="L25" s="9">
        <f>'Shenzhen Daily'!J28</f>
        <v>399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2021</v>
      </c>
      <c r="E26" s="9">
        <v>27234.000000000571</v>
      </c>
      <c r="F26" s="30">
        <v>0.72</v>
      </c>
      <c r="G26" s="9">
        <f>'Shenzhen Daily'!F29</f>
        <v>1861</v>
      </c>
      <c r="H26" s="30">
        <v>4.3899999999999997</v>
      </c>
      <c r="I26" s="9">
        <f>'Shenzhen Daily'!H29</f>
        <v>397</v>
      </c>
      <c r="J26" s="30">
        <v>5.09</v>
      </c>
      <c r="K26" s="9">
        <f>'Shenzhen Daily'!I29</f>
        <v>168</v>
      </c>
      <c r="L26" s="9">
        <f>'Shenzhen Daily'!J29</f>
        <v>322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2021</v>
      </c>
      <c r="E27" s="9">
        <v>26354.999999999964</v>
      </c>
      <c r="F27" s="30">
        <v>0.72</v>
      </c>
      <c r="G27" s="9">
        <f>'Shenzhen Daily'!F30</f>
        <v>1728</v>
      </c>
      <c r="H27" s="30">
        <v>4.3899999999999997</v>
      </c>
      <c r="I27" s="9">
        <f>'Shenzhen Daily'!H30</f>
        <v>430</v>
      </c>
      <c r="J27" s="30">
        <v>5.09</v>
      </c>
      <c r="K27" s="9">
        <f>'Shenzhen Daily'!I30</f>
        <v>176</v>
      </c>
      <c r="L27" s="9">
        <f>'Shenzhen Daily'!J30</f>
        <v>339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2021</v>
      </c>
      <c r="E28" s="9">
        <v>27160.999999999876</v>
      </c>
      <c r="F28" s="30">
        <v>0.72</v>
      </c>
      <c r="G28" s="9">
        <f>'Shenzhen Daily'!F31</f>
        <v>1913</v>
      </c>
      <c r="H28" s="30">
        <v>4.3899999999999997</v>
      </c>
      <c r="I28" s="9">
        <f>'Shenzhen Daily'!H31</f>
        <v>450</v>
      </c>
      <c r="J28" s="30">
        <v>5.09</v>
      </c>
      <c r="K28" s="9">
        <f>'Shenzhen Daily'!I31</f>
        <v>181</v>
      </c>
      <c r="L28" s="9">
        <f>'Shenzhen Daily'!J31</f>
        <v>274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2021</v>
      </c>
      <c r="E29" s="9">
        <v>25589.999999999691</v>
      </c>
      <c r="F29" s="30">
        <v>0.72</v>
      </c>
      <c r="G29" s="9">
        <f>'Shenzhen Daily'!F32</f>
        <v>1841</v>
      </c>
      <c r="H29" s="30">
        <v>4.3899999999999997</v>
      </c>
      <c r="I29" s="9">
        <f>'Shenzhen Daily'!H32</f>
        <v>394</v>
      </c>
      <c r="J29" s="30">
        <v>5.09</v>
      </c>
      <c r="K29" s="9">
        <f>'Shenzhen Daily'!I32</f>
        <v>174</v>
      </c>
      <c r="L29" s="9">
        <f>'Shenzhen Daily'!J32</f>
        <v>417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2021</v>
      </c>
      <c r="E30" s="9">
        <v>23662.000000000138</v>
      </c>
      <c r="F30" s="30">
        <v>0.72</v>
      </c>
      <c r="G30" s="9">
        <f>'Shenzhen Daily'!F33</f>
        <v>1806</v>
      </c>
      <c r="H30" s="30">
        <v>4.3899999999999997</v>
      </c>
      <c r="I30" s="9">
        <f>'Shenzhen Daily'!H33</f>
        <v>382</v>
      </c>
      <c r="J30" s="30">
        <v>5.09</v>
      </c>
      <c r="K30" s="9">
        <f>'Shenzhen Daily'!I33</f>
        <v>186</v>
      </c>
      <c r="L30" s="9">
        <f>'Shenzhen Daily'!J33</f>
        <v>435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2021</v>
      </c>
      <c r="E31" s="9">
        <v>26143.000000000644</v>
      </c>
      <c r="F31" s="30">
        <v>0.72</v>
      </c>
      <c r="G31" s="9">
        <f>'Shenzhen Daily'!F34</f>
        <v>1844</v>
      </c>
      <c r="H31" s="30">
        <v>4.3899999999999997</v>
      </c>
      <c r="I31" s="9">
        <f>'Shenzhen Daily'!H34</f>
        <v>386</v>
      </c>
      <c r="J31" s="30">
        <v>5.09</v>
      </c>
      <c r="K31" s="9">
        <f>'Shenzhen Daily'!I34</f>
        <v>188</v>
      </c>
      <c r="L31" s="9">
        <f>'Shenzhen Daily'!J34</f>
        <v>403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2021</v>
      </c>
      <c r="E32" s="9">
        <v>24029.999999999349</v>
      </c>
      <c r="F32" s="30">
        <v>0.72</v>
      </c>
      <c r="G32" s="9">
        <f>'Shenzhen Daily'!F35</f>
        <v>1656</v>
      </c>
      <c r="H32" s="30">
        <v>4.3899999999999997</v>
      </c>
      <c r="I32" s="9">
        <f>'Shenzhen Daily'!H35</f>
        <v>365</v>
      </c>
      <c r="J32" s="30">
        <v>5.09</v>
      </c>
      <c r="K32" s="9">
        <f>'Shenzhen Daily'!I35</f>
        <v>122</v>
      </c>
      <c r="L32" s="9">
        <f>'Shenzhen Daily'!J35</f>
        <v>373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N6" sqref="N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44196</v>
      </c>
      <c r="B4" s="50"/>
      <c r="C4" s="40">
        <v>27108.190000000002</v>
      </c>
      <c r="D4" s="41"/>
      <c r="E4" s="40">
        <v>2457970</v>
      </c>
      <c r="F4" s="44"/>
      <c r="G4" s="40">
        <v>397071</v>
      </c>
      <c r="H4" s="45"/>
      <c r="I4" s="23">
        <v>266</v>
      </c>
      <c r="J4" s="23">
        <v>532</v>
      </c>
    </row>
    <row r="5" spans="1:10" ht="33" customHeight="1" x14ac:dyDescent="0.2">
      <c r="A5" s="24">
        <v>44197</v>
      </c>
      <c r="B5" s="50"/>
      <c r="C5" s="40">
        <v>27127.13</v>
      </c>
      <c r="D5" s="42">
        <f t="shared" ref="D5:D22" si="0">IF((C5-C4&lt;0), "0",C5-C4)</f>
        <v>18.93999999999869</v>
      </c>
      <c r="E5" s="40">
        <v>2459994</v>
      </c>
      <c r="F5" s="42">
        <f>IF((E5-E4&lt;0), "0",E5-E4)</f>
        <v>2024</v>
      </c>
      <c r="G5" s="40">
        <v>397486</v>
      </c>
      <c r="H5" s="38">
        <f>IF((G5-G4&lt;0), "0",G5-G4)</f>
        <v>415</v>
      </c>
      <c r="I5" s="26">
        <v>237</v>
      </c>
      <c r="J5" s="26">
        <v>478</v>
      </c>
    </row>
    <row r="6" spans="1:10" ht="45" customHeight="1" x14ac:dyDescent="0.2">
      <c r="A6" s="24">
        <v>44198</v>
      </c>
      <c r="B6" s="50"/>
      <c r="C6" s="40">
        <v>27144.629999999997</v>
      </c>
      <c r="D6" s="42">
        <f t="shared" si="0"/>
        <v>17.499999999996362</v>
      </c>
      <c r="E6" s="40">
        <v>2462063</v>
      </c>
      <c r="F6" s="42">
        <f>IF((E6-E5&lt;0), "0",E6-E5)</f>
        <v>2069</v>
      </c>
      <c r="G6" s="40">
        <v>397898</v>
      </c>
      <c r="H6" s="38">
        <f t="shared" ref="H6:H35" si="1">IF((G6-G5&lt;0), "0",G6-G5)</f>
        <v>412</v>
      </c>
      <c r="I6" s="37">
        <v>210</v>
      </c>
      <c r="J6" s="37">
        <v>516</v>
      </c>
    </row>
    <row r="7" spans="1:10" ht="45" customHeight="1" x14ac:dyDescent="0.2">
      <c r="A7" s="24">
        <v>44199</v>
      </c>
      <c r="B7" s="50"/>
      <c r="C7" s="40">
        <v>27162.78</v>
      </c>
      <c r="D7" s="42">
        <f t="shared" si="0"/>
        <v>18.150000000001455</v>
      </c>
      <c r="E7" s="40">
        <v>2463781</v>
      </c>
      <c r="F7" s="42">
        <f t="shared" ref="F7:F32" si="2">IF((E7-E6&lt;0), "0",E7-E6)</f>
        <v>1718</v>
      </c>
      <c r="G7" s="40">
        <v>398248</v>
      </c>
      <c r="H7" s="38">
        <f t="shared" si="1"/>
        <v>350</v>
      </c>
      <c r="I7" s="12">
        <v>114</v>
      </c>
      <c r="J7" s="12">
        <v>303</v>
      </c>
    </row>
    <row r="8" spans="1:10" ht="45" customHeight="1" x14ac:dyDescent="0.2">
      <c r="A8" s="24">
        <v>44200</v>
      </c>
      <c r="B8" s="49"/>
      <c r="C8" s="31">
        <v>27179.499999999996</v>
      </c>
      <c r="D8" s="36">
        <f t="shared" si="0"/>
        <v>16.719999999997526</v>
      </c>
      <c r="E8" s="31">
        <v>2465341</v>
      </c>
      <c r="F8" s="42">
        <f>IF((E8-E7&lt;0), "0",E8-E7)</f>
        <v>1560</v>
      </c>
      <c r="G8" s="40">
        <v>398569</v>
      </c>
      <c r="H8" s="38">
        <f t="shared" si="1"/>
        <v>321</v>
      </c>
      <c r="I8" s="12">
        <v>155</v>
      </c>
      <c r="J8" s="12">
        <v>230</v>
      </c>
    </row>
    <row r="9" spans="1:10" ht="45" customHeight="1" x14ac:dyDescent="0.2">
      <c r="A9" s="24">
        <v>44201</v>
      </c>
      <c r="B9" s="49"/>
      <c r="C9" s="31">
        <v>27197.07</v>
      </c>
      <c r="D9" s="25">
        <f t="shared" si="0"/>
        <v>17.570000000003347</v>
      </c>
      <c r="E9" s="31">
        <v>2466919</v>
      </c>
      <c r="F9" s="42">
        <f t="shared" si="2"/>
        <v>1578</v>
      </c>
      <c r="G9" s="31">
        <v>398914</v>
      </c>
      <c r="H9" s="38">
        <f t="shared" si="1"/>
        <v>345</v>
      </c>
      <c r="I9" s="12">
        <v>207</v>
      </c>
      <c r="J9" s="12">
        <v>297</v>
      </c>
    </row>
    <row r="10" spans="1:10" ht="45" customHeight="1" x14ac:dyDescent="0.2">
      <c r="A10" s="24">
        <v>44202</v>
      </c>
      <c r="B10" s="49"/>
      <c r="C10" s="31">
        <v>27216.340000000004</v>
      </c>
      <c r="D10" s="25">
        <f t="shared" si="0"/>
        <v>19.270000000004075</v>
      </c>
      <c r="E10" s="31">
        <v>2468636</v>
      </c>
      <c r="F10" s="42">
        <f t="shared" si="2"/>
        <v>1717</v>
      </c>
      <c r="G10" s="31">
        <v>399282</v>
      </c>
      <c r="H10" s="38">
        <f t="shared" si="1"/>
        <v>368</v>
      </c>
      <c r="I10" s="12">
        <v>233</v>
      </c>
      <c r="J10" s="12">
        <v>371</v>
      </c>
    </row>
    <row r="11" spans="1:10" ht="45" customHeight="1" x14ac:dyDescent="0.2">
      <c r="A11" s="24">
        <v>44203</v>
      </c>
      <c r="B11" s="49"/>
      <c r="C11" s="31">
        <v>27234.58</v>
      </c>
      <c r="D11" s="25">
        <f t="shared" si="0"/>
        <v>18.239999999997963</v>
      </c>
      <c r="E11" s="31">
        <v>2470369</v>
      </c>
      <c r="F11" s="42">
        <f t="shared" si="2"/>
        <v>1733</v>
      </c>
      <c r="G11" s="31">
        <v>399633</v>
      </c>
      <c r="H11" s="38">
        <f t="shared" si="1"/>
        <v>351</v>
      </c>
      <c r="I11" s="12">
        <v>255</v>
      </c>
      <c r="J11" s="12">
        <v>376</v>
      </c>
    </row>
    <row r="12" spans="1:10" ht="45" customHeight="1" x14ac:dyDescent="0.2">
      <c r="A12" s="24">
        <v>44204</v>
      </c>
      <c r="B12" s="49"/>
      <c r="C12" s="31">
        <v>27253.560000000005</v>
      </c>
      <c r="D12" s="25">
        <f t="shared" si="0"/>
        <v>18.980000000003201</v>
      </c>
      <c r="E12" s="31">
        <v>2472596</v>
      </c>
      <c r="F12" s="42">
        <f t="shared" si="2"/>
        <v>2227</v>
      </c>
      <c r="G12" s="31">
        <v>400088</v>
      </c>
      <c r="H12" s="38">
        <f t="shared" si="1"/>
        <v>455</v>
      </c>
      <c r="I12" s="12">
        <v>261</v>
      </c>
      <c r="J12" s="12">
        <v>487</v>
      </c>
    </row>
    <row r="13" spans="1:10" ht="45" customHeight="1" x14ac:dyDescent="0.2">
      <c r="A13" s="24">
        <v>44205</v>
      </c>
      <c r="B13" s="49"/>
      <c r="C13" s="31">
        <v>27270.05</v>
      </c>
      <c r="D13" s="25">
        <f t="shared" si="0"/>
        <v>16.489999999994325</v>
      </c>
      <c r="E13" s="31">
        <v>2474910</v>
      </c>
      <c r="F13" s="42">
        <f t="shared" si="2"/>
        <v>2314</v>
      </c>
      <c r="G13" s="31">
        <v>400474</v>
      </c>
      <c r="H13" s="38">
        <f t="shared" si="1"/>
        <v>386</v>
      </c>
      <c r="I13" s="12">
        <v>251</v>
      </c>
      <c r="J13" s="12">
        <v>429</v>
      </c>
    </row>
    <row r="14" spans="1:10" ht="45" customHeight="1" x14ac:dyDescent="0.2">
      <c r="A14" s="24">
        <v>44206</v>
      </c>
      <c r="B14" s="49"/>
      <c r="C14" s="31">
        <v>27285.86</v>
      </c>
      <c r="D14" s="25">
        <f t="shared" si="0"/>
        <v>15.81000000000131</v>
      </c>
      <c r="E14" s="31">
        <v>2477091</v>
      </c>
      <c r="F14" s="42">
        <f t="shared" si="2"/>
        <v>2181</v>
      </c>
      <c r="G14" s="31">
        <v>400892</v>
      </c>
      <c r="H14" s="38">
        <f t="shared" si="1"/>
        <v>418</v>
      </c>
      <c r="I14" s="12">
        <v>174</v>
      </c>
      <c r="J14" s="12">
        <v>311</v>
      </c>
    </row>
    <row r="15" spans="1:10" ht="45" customHeight="1" x14ac:dyDescent="0.2">
      <c r="A15" s="24">
        <v>44207</v>
      </c>
      <c r="B15" s="49"/>
      <c r="C15" s="31">
        <v>27304.5</v>
      </c>
      <c r="D15" s="25">
        <f t="shared" si="0"/>
        <v>18.639999999999418</v>
      </c>
      <c r="E15" s="31">
        <v>2479171</v>
      </c>
      <c r="F15" s="42">
        <f t="shared" si="2"/>
        <v>2080</v>
      </c>
      <c r="G15" s="31">
        <v>401252</v>
      </c>
      <c r="H15" s="38">
        <f t="shared" si="1"/>
        <v>360</v>
      </c>
      <c r="I15" s="12">
        <v>212</v>
      </c>
      <c r="J15" s="12">
        <v>282</v>
      </c>
    </row>
    <row r="16" spans="1:10" ht="45" customHeight="1" x14ac:dyDescent="0.2">
      <c r="A16" s="24">
        <v>44208</v>
      </c>
      <c r="B16" s="49"/>
      <c r="C16" s="31">
        <v>27320.370000000006</v>
      </c>
      <c r="D16" s="25">
        <f t="shared" si="0"/>
        <v>15.870000000006257</v>
      </c>
      <c r="E16" s="31">
        <v>2481284</v>
      </c>
      <c r="F16" s="42">
        <f t="shared" si="2"/>
        <v>2113</v>
      </c>
      <c r="G16" s="31">
        <v>401652</v>
      </c>
      <c r="H16" s="38">
        <f t="shared" si="1"/>
        <v>400</v>
      </c>
      <c r="I16" s="12">
        <v>250</v>
      </c>
      <c r="J16" s="12">
        <v>390</v>
      </c>
    </row>
    <row r="17" spans="1:15" ht="45" customHeight="1" x14ac:dyDescent="0.2">
      <c r="A17" s="24">
        <v>44209</v>
      </c>
      <c r="B17" s="49"/>
      <c r="C17" s="31">
        <v>27334.940000000002</v>
      </c>
      <c r="D17" s="25">
        <f t="shared" si="0"/>
        <v>14.569999999996071</v>
      </c>
      <c r="E17" s="31">
        <v>2483166</v>
      </c>
      <c r="F17" s="42">
        <f t="shared" si="2"/>
        <v>1882</v>
      </c>
      <c r="G17" s="31">
        <v>402111</v>
      </c>
      <c r="H17" s="38">
        <f t="shared" si="1"/>
        <v>459</v>
      </c>
      <c r="I17" s="12">
        <v>253</v>
      </c>
      <c r="J17" s="12">
        <v>412</v>
      </c>
    </row>
    <row r="18" spans="1:15" ht="45" customHeight="1" x14ac:dyDescent="0.2">
      <c r="A18" s="24">
        <v>44210</v>
      </c>
      <c r="B18" s="49"/>
      <c r="C18" s="31">
        <v>27349.08</v>
      </c>
      <c r="D18" s="25">
        <f t="shared" si="0"/>
        <v>14.139999999999418</v>
      </c>
      <c r="E18" s="31">
        <v>2484954</v>
      </c>
      <c r="F18" s="42">
        <f t="shared" si="2"/>
        <v>1788</v>
      </c>
      <c r="G18" s="31">
        <v>402505</v>
      </c>
      <c r="H18" s="38">
        <f t="shared" si="1"/>
        <v>394</v>
      </c>
      <c r="I18" s="12">
        <v>228</v>
      </c>
      <c r="J18" s="12">
        <v>476</v>
      </c>
    </row>
    <row r="19" spans="1:15" ht="45" customHeight="1" x14ac:dyDescent="0.2">
      <c r="A19" s="24">
        <v>44211</v>
      </c>
      <c r="B19" s="49"/>
      <c r="C19" s="31">
        <v>27363.58</v>
      </c>
      <c r="D19" s="25">
        <f t="shared" si="0"/>
        <v>14.5</v>
      </c>
      <c r="E19" s="31">
        <v>2486689</v>
      </c>
      <c r="F19" s="42">
        <f t="shared" si="2"/>
        <v>1735</v>
      </c>
      <c r="G19" s="31">
        <v>402881</v>
      </c>
      <c r="H19" s="38">
        <f t="shared" si="1"/>
        <v>376</v>
      </c>
      <c r="I19" s="12">
        <v>224</v>
      </c>
      <c r="J19" s="12">
        <v>436</v>
      </c>
    </row>
    <row r="20" spans="1:15" ht="45" customHeight="1" x14ac:dyDescent="0.2">
      <c r="A20" s="24">
        <v>44212</v>
      </c>
      <c r="B20" s="49"/>
      <c r="C20" s="31">
        <v>27379.550000000007</v>
      </c>
      <c r="D20" s="25">
        <f t="shared" si="0"/>
        <v>15.970000000004802</v>
      </c>
      <c r="E20" s="31">
        <v>2488470</v>
      </c>
      <c r="F20" s="42">
        <f t="shared" si="2"/>
        <v>1781</v>
      </c>
      <c r="G20" s="31">
        <v>403377</v>
      </c>
      <c r="H20" s="38">
        <f t="shared" si="1"/>
        <v>496</v>
      </c>
      <c r="I20" s="12">
        <v>258</v>
      </c>
      <c r="J20" s="12">
        <v>352</v>
      </c>
    </row>
    <row r="21" spans="1:15" ht="45" customHeight="1" x14ac:dyDescent="0.2">
      <c r="A21" s="24">
        <v>44213</v>
      </c>
      <c r="B21" s="49"/>
      <c r="C21" s="31">
        <v>27393.699999999997</v>
      </c>
      <c r="D21" s="25">
        <f t="shared" si="0"/>
        <v>14.149999999990541</v>
      </c>
      <c r="E21" s="31">
        <v>2490224</v>
      </c>
      <c r="F21" s="42">
        <f t="shared" si="2"/>
        <v>1754</v>
      </c>
      <c r="G21" s="31">
        <v>403874</v>
      </c>
      <c r="H21" s="38">
        <f t="shared" si="1"/>
        <v>497</v>
      </c>
      <c r="I21" s="12">
        <v>158</v>
      </c>
      <c r="J21" s="12">
        <v>396</v>
      </c>
    </row>
    <row r="22" spans="1:15" ht="45" customHeight="1" x14ac:dyDescent="0.2">
      <c r="A22" s="24">
        <v>44214</v>
      </c>
      <c r="B22" s="49"/>
      <c r="C22" s="31">
        <v>27406.720000000001</v>
      </c>
      <c r="D22" s="25">
        <f t="shared" si="0"/>
        <v>13.020000000004075</v>
      </c>
      <c r="E22" s="31">
        <v>2492072</v>
      </c>
      <c r="F22" s="42">
        <f t="shared" si="2"/>
        <v>1848</v>
      </c>
      <c r="G22" s="31">
        <v>404263</v>
      </c>
      <c r="H22" s="38">
        <f t="shared" si="1"/>
        <v>389</v>
      </c>
      <c r="I22" s="12">
        <v>187</v>
      </c>
      <c r="J22" s="12">
        <v>258</v>
      </c>
    </row>
    <row r="23" spans="1:15" ht="45" customHeight="1" x14ac:dyDescent="0.2">
      <c r="A23" s="24">
        <v>44215</v>
      </c>
      <c r="B23" s="49"/>
      <c r="C23" s="31">
        <v>27419.95</v>
      </c>
      <c r="D23" s="25">
        <f>IF((C23-C22&lt;0), "0",C23-C22)</f>
        <v>13.229999999999563</v>
      </c>
      <c r="E23" s="31">
        <v>2493843</v>
      </c>
      <c r="F23" s="42">
        <f t="shared" si="2"/>
        <v>1771</v>
      </c>
      <c r="G23" s="31">
        <v>404645</v>
      </c>
      <c r="H23" s="38">
        <f t="shared" si="1"/>
        <v>382</v>
      </c>
      <c r="I23" s="12">
        <v>233</v>
      </c>
      <c r="J23" s="12">
        <v>355</v>
      </c>
    </row>
    <row r="24" spans="1:15" ht="45" customHeight="1" x14ac:dyDescent="0.2">
      <c r="A24" s="24">
        <v>44216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2495576</v>
      </c>
      <c r="F24" s="42">
        <f t="shared" si="2"/>
        <v>1733</v>
      </c>
      <c r="G24" s="31">
        <v>405027</v>
      </c>
      <c r="H24" s="38">
        <f t="shared" si="1"/>
        <v>382</v>
      </c>
      <c r="I24" s="12">
        <v>259</v>
      </c>
      <c r="J24" s="12">
        <v>568</v>
      </c>
    </row>
    <row r="25" spans="1:15" ht="45" customHeight="1" x14ac:dyDescent="0.2">
      <c r="A25" s="24">
        <v>44217</v>
      </c>
      <c r="B25" s="49"/>
      <c r="C25" s="31">
        <v>27446.48</v>
      </c>
      <c r="D25" s="25">
        <f t="shared" si="3"/>
        <v>13.450000000000728</v>
      </c>
      <c r="E25" s="31">
        <v>2497478</v>
      </c>
      <c r="F25" s="42">
        <f t="shared" si="2"/>
        <v>1902</v>
      </c>
      <c r="G25" s="31">
        <v>405447</v>
      </c>
      <c r="H25" s="38">
        <f t="shared" si="1"/>
        <v>420</v>
      </c>
      <c r="I25" s="12">
        <v>250</v>
      </c>
      <c r="J25" s="12">
        <v>445</v>
      </c>
    </row>
    <row r="26" spans="1:15" ht="45" customHeight="1" x14ac:dyDescent="0.2">
      <c r="A26" s="24">
        <v>44218</v>
      </c>
      <c r="B26" s="49"/>
      <c r="C26" s="31">
        <v>27459.510000000002</v>
      </c>
      <c r="D26" s="25">
        <f t="shared" si="3"/>
        <v>13.030000000002474</v>
      </c>
      <c r="E26" s="31">
        <v>2499407</v>
      </c>
      <c r="F26" s="42">
        <f t="shared" si="2"/>
        <v>1929</v>
      </c>
      <c r="G26" s="31">
        <v>405873</v>
      </c>
      <c r="H26" s="38">
        <f t="shared" si="1"/>
        <v>426</v>
      </c>
      <c r="I26" s="12">
        <v>237</v>
      </c>
      <c r="J26" s="12">
        <v>506</v>
      </c>
    </row>
    <row r="27" spans="1:15" ht="45" customHeight="1" x14ac:dyDescent="0.2">
      <c r="A27" s="24">
        <v>44219</v>
      </c>
      <c r="B27" s="49"/>
      <c r="C27" s="31">
        <v>27473.940000000006</v>
      </c>
      <c r="D27" s="25">
        <f t="shared" si="3"/>
        <v>14.430000000003929</v>
      </c>
      <c r="E27" s="31">
        <v>2501160</v>
      </c>
      <c r="F27" s="42">
        <f t="shared" si="2"/>
        <v>1753</v>
      </c>
      <c r="G27" s="31">
        <v>406260</v>
      </c>
      <c r="H27" s="38">
        <f t="shared" si="1"/>
        <v>387</v>
      </c>
      <c r="I27" s="12">
        <v>220</v>
      </c>
      <c r="J27" s="12">
        <v>384</v>
      </c>
    </row>
    <row r="28" spans="1:15" ht="45" customHeight="1" x14ac:dyDescent="0.2">
      <c r="A28" s="24">
        <v>44220</v>
      </c>
      <c r="B28" s="49"/>
      <c r="C28" s="31">
        <v>27487.329999999998</v>
      </c>
      <c r="D28" s="25">
        <f t="shared" si="3"/>
        <v>13.389999999992142</v>
      </c>
      <c r="E28" s="31">
        <v>2503020</v>
      </c>
      <c r="F28" s="42">
        <f t="shared" si="2"/>
        <v>1860</v>
      </c>
      <c r="G28" s="31">
        <v>406641</v>
      </c>
      <c r="H28" s="38">
        <f t="shared" si="1"/>
        <v>381</v>
      </c>
      <c r="I28" s="12">
        <v>171</v>
      </c>
      <c r="J28" s="12">
        <v>399</v>
      </c>
    </row>
    <row r="29" spans="1:15" ht="45" customHeight="1" x14ac:dyDescent="0.2">
      <c r="A29" s="24">
        <v>44221</v>
      </c>
      <c r="B29" s="49"/>
      <c r="C29" s="31">
        <v>27501.06</v>
      </c>
      <c r="D29" s="25">
        <f t="shared" si="3"/>
        <v>13.730000000003201</v>
      </c>
      <c r="E29" s="31">
        <v>2504881</v>
      </c>
      <c r="F29" s="42">
        <f t="shared" si="2"/>
        <v>1861</v>
      </c>
      <c r="G29" s="31">
        <v>407038</v>
      </c>
      <c r="H29" s="38">
        <f t="shared" si="1"/>
        <v>397</v>
      </c>
      <c r="I29" s="12">
        <v>168</v>
      </c>
      <c r="J29" s="12">
        <v>322</v>
      </c>
    </row>
    <row r="30" spans="1:15" ht="45" customHeight="1" x14ac:dyDescent="0.2">
      <c r="A30" s="24">
        <v>44222</v>
      </c>
      <c r="B30" s="49"/>
      <c r="C30" s="31">
        <v>27515.18</v>
      </c>
      <c r="D30" s="25">
        <f t="shared" si="3"/>
        <v>14.119999999998981</v>
      </c>
      <c r="E30" s="31">
        <v>2506609</v>
      </c>
      <c r="F30" s="42">
        <f t="shared" si="2"/>
        <v>1728</v>
      </c>
      <c r="G30" s="31">
        <v>407468</v>
      </c>
      <c r="H30" s="38">
        <f t="shared" si="1"/>
        <v>430</v>
      </c>
      <c r="I30" s="12">
        <v>176</v>
      </c>
      <c r="J30" s="12">
        <v>339</v>
      </c>
      <c r="O30" s="33"/>
    </row>
    <row r="31" spans="1:15" ht="45" customHeight="1" x14ac:dyDescent="0.2">
      <c r="A31" s="24">
        <v>44223</v>
      </c>
      <c r="B31" s="49"/>
      <c r="C31" s="31">
        <v>27529.66</v>
      </c>
      <c r="D31" s="25">
        <f t="shared" si="3"/>
        <v>14.479999999999563</v>
      </c>
      <c r="E31" s="31">
        <v>2508522</v>
      </c>
      <c r="F31" s="42">
        <f t="shared" si="2"/>
        <v>1913</v>
      </c>
      <c r="G31" s="31">
        <v>407918</v>
      </c>
      <c r="H31" s="38">
        <f t="shared" si="1"/>
        <v>450</v>
      </c>
      <c r="I31" s="12">
        <v>181</v>
      </c>
      <c r="J31" s="12">
        <v>274</v>
      </c>
    </row>
    <row r="32" spans="1:15" ht="45" customHeight="1" x14ac:dyDescent="0.2">
      <c r="A32" s="24">
        <v>44224</v>
      </c>
      <c r="B32" s="49"/>
      <c r="C32" s="31">
        <v>27543.24</v>
      </c>
      <c r="D32" s="25">
        <f t="shared" si="3"/>
        <v>13.580000000001746</v>
      </c>
      <c r="E32" s="31">
        <v>2510363</v>
      </c>
      <c r="F32" s="42">
        <f t="shared" si="2"/>
        <v>1841</v>
      </c>
      <c r="G32" s="31">
        <v>408312</v>
      </c>
      <c r="H32" s="38">
        <f t="shared" si="1"/>
        <v>394</v>
      </c>
      <c r="I32" s="12">
        <v>174</v>
      </c>
      <c r="J32" s="12">
        <v>417</v>
      </c>
    </row>
    <row r="33" spans="1:10" ht="36" customHeight="1" x14ac:dyDescent="0.2">
      <c r="A33" s="24">
        <v>44225</v>
      </c>
      <c r="B33" s="35"/>
      <c r="C33" s="31">
        <v>27557.570000000003</v>
      </c>
      <c r="D33" s="25">
        <f t="shared" si="3"/>
        <v>14.330000000001746</v>
      </c>
      <c r="E33" s="31">
        <v>2512169</v>
      </c>
      <c r="F33" s="42">
        <f>IF((E33-E32&lt;0), "0",E33-E32)</f>
        <v>1806</v>
      </c>
      <c r="G33" s="31">
        <v>408694</v>
      </c>
      <c r="H33" s="38">
        <f t="shared" si="1"/>
        <v>382</v>
      </c>
      <c r="I33" s="12">
        <v>186</v>
      </c>
      <c r="J33" s="12">
        <v>435</v>
      </c>
    </row>
    <row r="34" spans="1:10" ht="45.6" customHeight="1" x14ac:dyDescent="0.2">
      <c r="A34" s="24">
        <v>44226</v>
      </c>
      <c r="B34" s="46"/>
      <c r="C34" s="40">
        <v>27574</v>
      </c>
      <c r="D34" s="47">
        <f t="shared" si="3"/>
        <v>16.429999999996653</v>
      </c>
      <c r="E34" s="31">
        <v>2514013</v>
      </c>
      <c r="F34" s="42">
        <f>IF((E34-E33&lt;0), "0",E34-E33)</f>
        <v>1844</v>
      </c>
      <c r="G34" s="31">
        <v>409080</v>
      </c>
      <c r="H34" s="38">
        <f t="shared" si="1"/>
        <v>386</v>
      </c>
      <c r="I34" s="32">
        <v>188</v>
      </c>
      <c r="J34" s="32">
        <v>403</v>
      </c>
    </row>
    <row r="35" spans="1:10" ht="36.75" customHeight="1" x14ac:dyDescent="0.15">
      <c r="A35" s="24">
        <v>44227</v>
      </c>
      <c r="B35" s="46"/>
      <c r="C35" s="48">
        <v>27680.950000000004</v>
      </c>
      <c r="D35" s="25">
        <f t="shared" si="3"/>
        <v>106.95000000000437</v>
      </c>
      <c r="E35" s="34">
        <v>2515669</v>
      </c>
      <c r="F35" s="42">
        <f>IF((E35-E34&lt;0), "0",E35-E34)</f>
        <v>1656</v>
      </c>
      <c r="G35" s="34">
        <v>409445</v>
      </c>
      <c r="H35" s="38">
        <f t="shared" si="1"/>
        <v>365</v>
      </c>
      <c r="I35" s="12">
        <v>122</v>
      </c>
      <c r="J35" s="12">
        <v>373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2023-03-21T01:19:48Z</dcterms:modified>
</cp:coreProperties>
</file>