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Jimbaran June 2022" sheetId="14" r:id="rId3"/>
    <sheet name="RNs &amp; Covers June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2" i="14" l="1"/>
  <c r="G42" i="14"/>
  <c r="H42" i="14"/>
  <c r="I42" i="14"/>
  <c r="J42" i="14"/>
  <c r="K42" i="14"/>
  <c r="L42" i="14"/>
  <c r="M42" i="14"/>
  <c r="N42" i="14"/>
  <c r="O42" i="14"/>
  <c r="P42" i="14"/>
  <c r="Q42" i="14"/>
  <c r="R42" i="14"/>
  <c r="T42" i="14"/>
  <c r="U42" i="14"/>
  <c r="V42" i="14"/>
  <c r="W42" i="14"/>
  <c r="X42" i="14"/>
  <c r="Y42" i="14"/>
  <c r="Z42" i="14"/>
  <c r="AB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B36" i="10"/>
  <c r="AT44" i="14" l="1"/>
  <c r="AS44" i="14"/>
  <c r="Z44" i="14"/>
  <c r="AK44" i="14"/>
  <c r="AI44" i="14"/>
  <c r="AC44" i="14"/>
  <c r="Y44" i="14"/>
  <c r="U44" i="14"/>
  <c r="S44" i="14"/>
  <c r="Q44" i="14"/>
  <c r="E44" i="14"/>
  <c r="I44" i="14"/>
  <c r="K44" i="14"/>
  <c r="G44" i="14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<sst xmlns="http://schemas.openxmlformats.org/spreadsheetml/2006/main" count="257" uniqueCount="83">
  <si>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</si>
  <si>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</si>
  <si>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</si>
  <si>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</si>
  <si>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</si>
  <si>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</si>
  <si>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</si>
  <si>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</si>
  <si>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</si>
  <si>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</si>
  <si>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</si>
  <si>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</si>
  <si>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</si>
  <si>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</si>
  <si>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</si>
  <si>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</si>
  <si>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</si>
  <si>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</si>
  <si>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</si>
  <si>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</si>
  <si>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</si>
  <si>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</si>
  <si>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</si>
  <si>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</si>
  <si>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</si>
  <si>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</si>
  <si>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</si>
  <si>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</si>
  <si>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</si>
  <si>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</si>
  <si>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</si>
  <si>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</si>
  <si>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</si>
  <si>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</si>
  <si>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</si>
  <si>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</si>
  <si>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</si>
  <si>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</si>
  <si>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</si>
  <si>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</si>
  <si>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</si>
  <si>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</si>
  <si>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</si>
  <si>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</si>
  <si>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</si>
  <si>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</si>
  <si>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</si>
  <si>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</si>
  <si>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</si>
  <si>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</si>
  <si>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</si>
  <si>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</si>
  <si>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</si>
  <si>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</si>
  <si>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</si>
  <si>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</si>
  <si>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</si>
  <si>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</si>
  <si>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</si>
  <si>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</si>
  <si>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</si>
  <si>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</si>
  <si>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</si>
  <si>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</si>
  <si>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</si>
  <si>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</si>
  <si>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</si>
  <si>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</si>
  <si>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</si>
  <si>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</si>
  <si>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</si>
  <si>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</si>
  <si>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JUNE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</si>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</sst>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</cellStyleXfs>
  <cellXfs count="89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shrinkToFit="1"/>
    </xf>
    <xf numFmtId="166" fontId="2" fillId="0" borderId="0" xfId="1" applyNumberFormat="1" applyFont="1" applyBorder="1"/>
    <xf numFmtId="166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" applyNumberFormat="1" applyFont="1" applyFill="1" applyBorder="1" applyAlignment="1">
      <alignment vertical="center"/>
    </xf>
    <xf numFmtId="0" fontId="15" fillId="0" borderId="16" xfId="0" applyFont="1" applyBorder="1"/>
    <xf numFmtId="1" fontId="0" fillId="0" borderId="0" xfId="0" applyNumberFormat="1"/>
    <xf numFmtId="0" fontId="16" fillId="12" borderId="0" xfId="0" applyFont="1" applyFill="1"/>
    <xf numFmtId="0" fontId="15" fillId="0" borderId="0" xfId="0" applyFont="1"/>
    <xf numFmtId="0" fontId="15" fillId="0" borderId="2" xfId="0" applyFont="1" applyBorder="1"/>
    <xf numFmtId="0" fontId="18" fillId="0" borderId="2" xfId="0" applyFont="1" applyBorder="1"/>
    <xf numFmtId="0" fontId="18" fillId="0" borderId="4" xfId="0" applyFont="1" applyBorder="1"/>
    <xf numFmtId="0" fontId="18" fillId="0" borderId="18" xfId="0" applyFont="1" applyBorder="1"/>
    <xf numFmtId="0" fontId="18" fillId="0" borderId="19" xfId="0" applyFont="1" applyBorder="1"/>
    <xf numFmtId="3" fontId="17" fillId="0" borderId="0" xfId="0" applyNumberFormat="1" applyFont="1"/>
    <xf numFmtId="167" fontId="14" fillId="0" borderId="2" xfId="6" applyNumberFormat="1" applyFont="1" applyBorder="1"/>
    <xf numFmtId="167" fontId="14" fillId="0" borderId="2" xfId="6" applyNumberFormat="1" applyFont="1" applyBorder="1" applyAlignment="1">
      <alignment horizontal="right"/>
    </xf>
    <xf numFmtId="4" fontId="14" fillId="0" borderId="2" xfId="0" applyNumberFormat="1" applyFont="1" applyBorder="1"/>
    <xf numFmtId="0" fontId="14" fillId="0" borderId="0" xfId="0" applyFont="1"/>
    <xf numFmtId="0" fontId="14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67" fontId="12" fillId="0" borderId="0" xfId="13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" fontId="16" fillId="12" borderId="14" xfId="0" applyNumberFormat="1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</cellXfs>
  <cellStyles count="14">
    <cellStyle name="Comma" xfId="1" builtinId="3"/>
    <cellStyle name="Comma [0] 2" xfId="5"/>
    <cellStyle name="Comma [0] 2 2" xfId="11"/>
    <cellStyle name="Comma 10" xfId="2"/>
    <cellStyle name="Comma 10 2" xfId="9"/>
    <cellStyle name="Comma 2" xfId="3"/>
    <cellStyle name="Comma 2 2" xfId="10"/>
    <cellStyle name="Comma 3" xfId="7"/>
    <cellStyle name="Comma 3 2" xfId="12"/>
    <cellStyle name="Comma 4" xfId="8"/>
    <cellStyle name="Hyperlink 2" xfId="4"/>
    <cellStyle name="Normal" xfId="0" builtinId="0"/>
    <cellStyle name="Normal 2" xfId="6"/>
    <cellStyle name="Normal 2 3" xfId="13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BI1" workbookViewId="0">
      <selection activeCell="BN5" sqref="BN5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15" customFormat="1" ht="113.25" customHeight="1" x14ac:dyDescent="0.25">
      <c r="A1" s="13" t="s">
        <v>0</v>
      </c>
      <c r="B1" s="13" t="s">
        <v>1</v>
      </c>
      <c r="C1" s="14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42</v>
      </c>
      <c r="AR1" s="29" t="s">
        <v>43</v>
      </c>
      <c r="AS1" s="29" t="s">
        <v>44</v>
      </c>
      <c r="AT1" s="29" t="s">
        <v>45</v>
      </c>
      <c r="AU1" s="29" t="s">
        <v>46</v>
      </c>
      <c r="AV1" s="29" t="s">
        <v>47</v>
      </c>
      <c r="AW1" s="29" t="s">
        <v>48</v>
      </c>
      <c r="AX1" s="29" t="s">
        <v>49</v>
      </c>
      <c r="AY1" s="29" t="s">
        <v>50</v>
      </c>
      <c r="AZ1" s="29" t="s">
        <v>51</v>
      </c>
      <c r="BA1" s="29" t="s">
        <v>52</v>
      </c>
      <c r="BB1" s="29" t="s">
        <v>53</v>
      </c>
      <c r="BC1" s="29" t="s">
        <v>54</v>
      </c>
      <c r="BD1" s="29" t="s">
        <v>55</v>
      </c>
      <c r="BE1" s="29" t="s">
        <v>56</v>
      </c>
      <c r="BF1" s="29" t="s">
        <v>57</v>
      </c>
      <c r="BG1" s="29" t="s">
        <v>58</v>
      </c>
      <c r="BH1" s="29" t="s">
        <v>59</v>
      </c>
      <c r="BI1" s="29" t="s">
        <v>60</v>
      </c>
      <c r="BJ1" s="29" t="s">
        <v>61</v>
      </c>
      <c r="BK1" s="29" t="s">
        <v>62</v>
      </c>
      <c r="BL1" s="29" t="s">
        <v>63</v>
      </c>
      <c r="BM1" s="29" t="s">
        <v>64</v>
      </c>
      <c r="BN1" s="32" t="s">
        <v>65</v>
      </c>
      <c r="BO1" s="29" t="s">
        <v>66</v>
      </c>
    </row>
    <row r="2" spans="1:67" x14ac:dyDescent="0.25">
      <c r="A2" t="s">
        <v>67</v>
      </c>
      <c r="B2" s="49">
        <v>1</v>
      </c>
      <c r="C2" s="49">
        <v>2022</v>
      </c>
      <c r="D2" s="22">
        <v>784</v>
      </c>
      <c r="E2" s="22">
        <v>0</v>
      </c>
      <c r="F2" s="22">
        <v>123.09999999999998</v>
      </c>
      <c r="G2" s="22">
        <v>0</v>
      </c>
      <c r="H2" s="22">
        <v>136.49999999999997</v>
      </c>
      <c r="I2" s="22">
        <v>0</v>
      </c>
      <c r="J2" s="22">
        <v>784</v>
      </c>
      <c r="K2" s="22">
        <v>0</v>
      </c>
      <c r="L2" s="22">
        <v>16</v>
      </c>
      <c r="M2" s="22">
        <v>0</v>
      </c>
      <c r="N2" s="22">
        <v>58.699999999999996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5420</v>
      </c>
      <c r="W2" s="22">
        <v>11555278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22">
        <v>0</v>
      </c>
      <c r="AV2" s="22">
        <v>0</v>
      </c>
      <c r="AW2" s="22">
        <v>0</v>
      </c>
      <c r="AX2" s="22">
        <v>0</v>
      </c>
      <c r="AY2" s="22">
        <v>0</v>
      </c>
      <c r="AZ2" s="22">
        <v>0</v>
      </c>
      <c r="BA2" s="22">
        <v>0</v>
      </c>
      <c r="BB2" s="22">
        <v>11508.5</v>
      </c>
      <c r="BC2" s="22">
        <v>0</v>
      </c>
      <c r="BD2" s="22">
        <v>0</v>
      </c>
      <c r="BE2" s="22">
        <v>0</v>
      </c>
      <c r="BF2" s="22">
        <v>0</v>
      </c>
      <c r="BG2" s="22">
        <v>0</v>
      </c>
      <c r="BH2" s="22">
        <v>0</v>
      </c>
      <c r="BI2" s="22">
        <v>0</v>
      </c>
      <c r="BJ2" s="22">
        <v>0</v>
      </c>
      <c r="BK2" s="22">
        <v>0</v>
      </c>
      <c r="BL2" s="22">
        <v>6.65</v>
      </c>
      <c r="BM2" s="22">
        <v>437500</v>
      </c>
      <c r="BN2" s="22">
        <v>0</v>
      </c>
      <c r="BO2" s="22">
        <v>0</v>
      </c>
    </row>
    <row r="3" spans="1:67" x14ac:dyDescent="0.25">
      <c r="A3" t="s">
        <v>67</v>
      </c>
      <c r="B3" s="49">
        <v>2</v>
      </c>
      <c r="C3" s="49">
        <v>2022</v>
      </c>
      <c r="D3" s="22">
        <v>412</v>
      </c>
      <c r="E3" s="22">
        <v>0</v>
      </c>
      <c r="F3" s="22">
        <v>7.4999999999999991</v>
      </c>
      <c r="G3" s="22">
        <v>0</v>
      </c>
      <c r="H3" s="22">
        <v>172.89999999999998</v>
      </c>
      <c r="I3" s="22">
        <v>0</v>
      </c>
      <c r="J3" s="22">
        <v>581</v>
      </c>
      <c r="K3" s="22">
        <v>0</v>
      </c>
      <c r="L3" s="22">
        <v>13</v>
      </c>
      <c r="M3" s="22">
        <v>0</v>
      </c>
      <c r="N3" s="22">
        <v>53.499999999999993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6183</v>
      </c>
      <c r="W3" s="22">
        <v>11555278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0</v>
      </c>
      <c r="AW3" s="22">
        <v>0</v>
      </c>
      <c r="AX3" s="22">
        <v>0</v>
      </c>
      <c r="AY3" s="22">
        <v>0</v>
      </c>
      <c r="AZ3" s="22">
        <v>0</v>
      </c>
      <c r="BA3" s="22">
        <v>0</v>
      </c>
      <c r="BB3" s="22">
        <v>10212</v>
      </c>
      <c r="BC3" s="22">
        <v>0</v>
      </c>
      <c r="BD3" s="22">
        <v>0</v>
      </c>
      <c r="BE3" s="22">
        <v>0</v>
      </c>
      <c r="BF3" s="22">
        <v>0</v>
      </c>
      <c r="BG3" s="22">
        <v>0</v>
      </c>
      <c r="BH3" s="22">
        <v>0</v>
      </c>
      <c r="BI3" s="22">
        <v>0</v>
      </c>
      <c r="BJ3" s="22">
        <v>0</v>
      </c>
      <c r="BK3" s="22">
        <v>0</v>
      </c>
      <c r="BL3" s="22">
        <v>0</v>
      </c>
      <c r="BM3" s="22">
        <v>0</v>
      </c>
      <c r="BN3" s="22">
        <v>0</v>
      </c>
      <c r="BO3" s="22">
        <v>0</v>
      </c>
    </row>
    <row r="4" spans="1:67" x14ac:dyDescent="0.25">
      <c r="A4" t="s">
        <v>67</v>
      </c>
      <c r="B4" s="49">
        <v>3</v>
      </c>
      <c r="C4" s="49">
        <v>2022</v>
      </c>
      <c r="D4" s="34">
        <v>479</v>
      </c>
      <c r="E4" s="63">
        <v>0</v>
      </c>
      <c r="F4" s="22">
        <v>9.9</v>
      </c>
      <c r="G4" s="63">
        <v>0</v>
      </c>
      <c r="H4" s="34">
        <v>95.59999999999998</v>
      </c>
      <c r="I4" s="63">
        <v>0</v>
      </c>
      <c r="J4" s="34">
        <v>479</v>
      </c>
      <c r="K4" s="63">
        <v>0</v>
      </c>
      <c r="L4" s="63">
        <v>16</v>
      </c>
      <c r="M4" s="63">
        <v>0</v>
      </c>
      <c r="N4" s="22">
        <v>58.7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22">
        <v>4020</v>
      </c>
      <c r="W4" s="63">
        <v>11555278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0</v>
      </c>
      <c r="AY4" s="63">
        <v>0</v>
      </c>
      <c r="AZ4" s="63">
        <v>0</v>
      </c>
      <c r="BA4" s="63">
        <v>0</v>
      </c>
      <c r="BB4" s="65">
        <v>11523</v>
      </c>
      <c r="BC4" s="63">
        <v>0</v>
      </c>
      <c r="BD4" s="63">
        <v>0</v>
      </c>
      <c r="BE4" s="63">
        <v>0</v>
      </c>
      <c r="BF4" s="63">
        <v>0</v>
      </c>
      <c r="BG4" s="63">
        <v>0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v>0</v>
      </c>
      <c r="BO4" s="63">
        <v>0</v>
      </c>
    </row>
    <row r="5" spans="1:67" x14ac:dyDescent="0.25">
      <c r="A5" t="s">
        <v>67</v>
      </c>
      <c r="B5" s="49">
        <v>4</v>
      </c>
      <c r="C5" s="49">
        <v>2022</v>
      </c>
      <c r="D5" s="63">
        <v>200.59999999999997</v>
      </c>
      <c r="E5" s="63">
        <v>0</v>
      </c>
      <c r="F5" s="63">
        <v>110.6</v>
      </c>
      <c r="G5" s="34">
        <v>0</v>
      </c>
      <c r="H5" s="63">
        <v>215</v>
      </c>
      <c r="I5" s="34">
        <v>0</v>
      </c>
      <c r="J5" s="63">
        <v>64.100000000000009</v>
      </c>
      <c r="K5" s="63">
        <v>0</v>
      </c>
      <c r="L5" s="63">
        <v>0</v>
      </c>
      <c r="M5" s="64">
        <v>0</v>
      </c>
      <c r="N5" s="63">
        <v>78.499999999999986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22">
        <v>0</v>
      </c>
      <c r="V5" s="34">
        <v>5116</v>
      </c>
      <c r="W5" s="63">
        <v>11555278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5">
        <v>0</v>
      </c>
      <c r="BB5" s="63">
        <v>13278.059999999998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>
        <v>0</v>
      </c>
    </row>
    <row r="6" spans="1:67" x14ac:dyDescent="0.25">
      <c r="A6" t="s">
        <v>67</v>
      </c>
      <c r="B6" s="49">
        <v>5</v>
      </c>
      <c r="C6" s="49">
        <v>2022</v>
      </c>
      <c r="D6" s="22">
        <v>198.30000000000004</v>
      </c>
      <c r="E6" s="22">
        <v>0</v>
      </c>
      <c r="F6" s="22">
        <v>118.19999999999999</v>
      </c>
      <c r="G6" s="22">
        <v>0</v>
      </c>
      <c r="H6" s="22">
        <v>260.8</v>
      </c>
      <c r="I6" s="22">
        <v>0</v>
      </c>
      <c r="J6" s="22">
        <v>106.69999999999999</v>
      </c>
      <c r="K6" s="22">
        <v>0</v>
      </c>
      <c r="L6" s="22">
        <v>0</v>
      </c>
      <c r="M6" s="22">
        <v>0</v>
      </c>
      <c r="N6" s="22">
        <v>58.600000000000009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7190</v>
      </c>
      <c r="W6" s="63">
        <v>11555278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16080</v>
      </c>
      <c r="BC6" s="22">
        <v>0</v>
      </c>
      <c r="BD6" s="22">
        <v>0</v>
      </c>
      <c r="BE6" s="22">
        <v>0</v>
      </c>
      <c r="BF6" s="22">
        <v>0</v>
      </c>
      <c r="BG6" s="22">
        <v>0</v>
      </c>
      <c r="BH6" s="22">
        <v>0</v>
      </c>
      <c r="BI6" s="22">
        <v>0</v>
      </c>
      <c r="BJ6" s="22">
        <v>0</v>
      </c>
      <c r="BK6" s="22">
        <v>0</v>
      </c>
      <c r="BL6" s="22">
        <v>0</v>
      </c>
      <c r="BM6" s="22">
        <v>0</v>
      </c>
      <c r="BN6" s="22">
        <v>0</v>
      </c>
      <c r="BO6" s="22">
        <v>0</v>
      </c>
    </row>
    <row r="7" spans="1:67" x14ac:dyDescent="0.25">
      <c r="A7" t="s">
        <v>67</v>
      </c>
      <c r="B7" s="49">
        <v>6</v>
      </c>
      <c r="C7" s="49">
        <v>2022</v>
      </c>
      <c r="D7" s="34">
        <v>489.20000000000005</v>
      </c>
      <c r="E7" s="34">
        <v>0</v>
      </c>
      <c r="F7" s="34">
        <v>367.59999999999991</v>
      </c>
      <c r="G7" s="34">
        <v>0</v>
      </c>
      <c r="H7" s="34">
        <v>140.89999999999998</v>
      </c>
      <c r="I7" s="34">
        <v>0</v>
      </c>
      <c r="J7" s="34">
        <v>121.7</v>
      </c>
      <c r="K7" s="34">
        <v>0</v>
      </c>
      <c r="L7" s="34">
        <v>121.7</v>
      </c>
      <c r="M7" s="34">
        <v>0</v>
      </c>
      <c r="N7" s="34">
        <v>297.69999999999993</v>
      </c>
      <c r="O7" s="34">
        <v>0</v>
      </c>
      <c r="P7" s="34">
        <v>0</v>
      </c>
      <c r="Q7" s="34">
        <v>0</v>
      </c>
      <c r="R7" s="61">
        <v>0</v>
      </c>
      <c r="S7" s="34">
        <v>0</v>
      </c>
      <c r="T7" s="34">
        <v>0</v>
      </c>
      <c r="U7" s="34">
        <v>0</v>
      </c>
      <c r="V7" s="34">
        <v>8278</v>
      </c>
      <c r="W7" s="34">
        <v>11555278</v>
      </c>
      <c r="X7" s="34">
        <v>0</v>
      </c>
      <c r="Y7" s="34">
        <v>0</v>
      </c>
      <c r="Z7" s="62">
        <v>0</v>
      </c>
      <c r="AA7" s="34">
        <v>0</v>
      </c>
      <c r="AB7" s="62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0</v>
      </c>
      <c r="BA7" s="34">
        <v>0</v>
      </c>
      <c r="BB7" s="34">
        <v>13981.4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</row>
    <row r="8" spans="1:67" x14ac:dyDescent="0.25">
      <c r="A8" t="s">
        <v>67</v>
      </c>
      <c r="B8" s="49">
        <v>7</v>
      </c>
      <c r="C8" s="49">
        <v>2022</v>
      </c>
    </row>
    <row r="9" spans="1:67" x14ac:dyDescent="0.25">
      <c r="A9" t="s">
        <v>67</v>
      </c>
      <c r="B9" s="49">
        <v>8</v>
      </c>
      <c r="C9" s="49">
        <v>2022</v>
      </c>
    </row>
    <row r="10" spans="1:67" x14ac:dyDescent="0.25">
      <c r="A10" t="s">
        <v>67</v>
      </c>
      <c r="B10" s="49">
        <v>9</v>
      </c>
      <c r="C10" s="49">
        <v>2022</v>
      </c>
    </row>
    <row r="11" spans="1:67" x14ac:dyDescent="0.25">
      <c r="A11" t="s">
        <v>67</v>
      </c>
      <c r="B11" s="49">
        <v>10</v>
      </c>
      <c r="C11" s="49">
        <v>2022</v>
      </c>
    </row>
    <row r="12" spans="1:67" x14ac:dyDescent="0.25">
      <c r="A12" t="s">
        <v>67</v>
      </c>
      <c r="B12" s="49">
        <v>11</v>
      </c>
      <c r="C12" s="49">
        <v>2022</v>
      </c>
    </row>
    <row r="13" spans="1:67" x14ac:dyDescent="0.25">
      <c r="A13" t="s">
        <v>67</v>
      </c>
      <c r="B13" s="49">
        <v>12</v>
      </c>
      <c r="C13" s="49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workbookViewId="0">
      <selection sqref="A1:XFD1"/>
    </sheetView>
  </sheetViews>
  <sheetFormatPr defaultColWidth="11.5703125" defaultRowHeight="15" x14ac:dyDescent="0.25"/>
  <cols>
    <col min="1" max="1" width="18.42578125" style="19" customWidth="1"/>
    <col min="2" max="2" width="8.28515625" style="20" customWidth="1"/>
    <col min="3" max="3" width="7.5703125" style="21" customWidth="1"/>
    <col min="4" max="4" width="13.42578125" style="20" customWidth="1"/>
    <col min="5" max="10" width="8.7109375" customWidth="1"/>
    <col min="11" max="23" width="8.42578125" customWidth="1"/>
    <col min="24" max="24" width="12.42578125" customWidth="1"/>
    <col min="25" max="57" width="8.42578125" customWidth="1"/>
    <col min="58" max="58" width="11" customWidth="1"/>
    <col min="59" max="68" width="8.42578125" customWidth="1"/>
  </cols>
  <sheetData>
    <row r="1" spans="1:68" s="15" customFormat="1" ht="113.25" customHeight="1" x14ac:dyDescent="0.25">
      <c r="A1" s="13" t="s">
        <v>0</v>
      </c>
      <c r="B1" s="13" t="s">
        <v>68</v>
      </c>
      <c r="C1" s="14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69</v>
      </c>
      <c r="L1" s="29" t="s">
        <v>70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25">
      <c r="A2" s="16" t="s">
        <v>67</v>
      </c>
      <c r="B2" s="17">
        <v>1</v>
      </c>
      <c r="C2" s="18">
        <v>6</v>
      </c>
      <c r="D2" s="31">
        <v>2022</v>
      </c>
      <c r="E2" s="39">
        <v>15.299999999999999</v>
      </c>
      <c r="F2" s="29">
        <v>0</v>
      </c>
      <c r="G2" s="39">
        <v>9.6999999999999993</v>
      </c>
      <c r="H2" s="29">
        <v>0</v>
      </c>
      <c r="I2" s="39">
        <v>3.2</v>
      </c>
      <c r="J2" s="29">
        <v>0</v>
      </c>
      <c r="K2" s="29">
        <v>0</v>
      </c>
      <c r="L2" s="29">
        <v>0</v>
      </c>
      <c r="M2" s="58">
        <v>3.2</v>
      </c>
      <c r="N2" s="29">
        <v>0</v>
      </c>
      <c r="O2" s="59">
        <v>9.1999999999999993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9">
        <v>0</v>
      </c>
      <c r="AU2" s="29">
        <v>0</v>
      </c>
      <c r="AV2" s="29">
        <v>0</v>
      </c>
      <c r="AW2" s="29">
        <v>0</v>
      </c>
      <c r="AX2" s="29">
        <v>0</v>
      </c>
      <c r="AY2" s="29">
        <v>0</v>
      </c>
      <c r="AZ2" s="29">
        <v>0</v>
      </c>
      <c r="BA2" s="29">
        <v>0</v>
      </c>
      <c r="BB2" s="29">
        <v>0</v>
      </c>
      <c r="BC2" s="37">
        <v>994</v>
      </c>
      <c r="BD2" s="29">
        <v>0</v>
      </c>
      <c r="BE2" s="38">
        <v>235</v>
      </c>
      <c r="BF2" s="39">
        <v>11555278</v>
      </c>
      <c r="BG2" s="29">
        <v>0</v>
      </c>
      <c r="BH2" s="29">
        <v>0</v>
      </c>
      <c r="BI2" s="29">
        <v>0</v>
      </c>
      <c r="BJ2" s="29">
        <v>0</v>
      </c>
      <c r="BK2" s="29">
        <v>0</v>
      </c>
      <c r="BL2" s="29">
        <v>0</v>
      </c>
      <c r="BM2" s="29">
        <v>0</v>
      </c>
      <c r="BN2" s="29">
        <v>0</v>
      </c>
      <c r="BO2" s="29">
        <v>0</v>
      </c>
      <c r="BP2" s="29">
        <v>0</v>
      </c>
    </row>
    <row r="3" spans="1:68" x14ac:dyDescent="0.25">
      <c r="A3" s="16" t="s">
        <v>67</v>
      </c>
      <c r="B3" s="17">
        <f>B2+1</f>
        <v>2</v>
      </c>
      <c r="C3" s="18">
        <v>6</v>
      </c>
      <c r="D3" s="31">
        <v>2022</v>
      </c>
      <c r="E3" s="39">
        <v>14.3</v>
      </c>
      <c r="F3" s="29">
        <v>0</v>
      </c>
      <c r="G3" s="39">
        <v>10.8</v>
      </c>
      <c r="H3" s="29">
        <v>0</v>
      </c>
      <c r="I3" s="39">
        <v>3.5</v>
      </c>
      <c r="J3" s="29">
        <v>0</v>
      </c>
      <c r="K3" s="29">
        <v>0</v>
      </c>
      <c r="L3" s="29">
        <v>0</v>
      </c>
      <c r="M3" s="58">
        <v>2.6</v>
      </c>
      <c r="N3" s="29">
        <v>0</v>
      </c>
      <c r="O3" s="59">
        <v>9.3000000000000007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37">
        <v>224</v>
      </c>
      <c r="BD3" s="29">
        <v>0</v>
      </c>
      <c r="BE3" s="38">
        <v>260</v>
      </c>
      <c r="BF3" s="39">
        <v>0</v>
      </c>
      <c r="BG3" s="29">
        <v>0</v>
      </c>
      <c r="BH3" s="29">
        <v>0</v>
      </c>
      <c r="BI3" s="29">
        <v>0</v>
      </c>
      <c r="BJ3" s="29">
        <v>0</v>
      </c>
      <c r="BK3" s="29">
        <v>0</v>
      </c>
      <c r="BL3" s="29">
        <v>0</v>
      </c>
      <c r="BM3" s="29">
        <v>0</v>
      </c>
      <c r="BN3" s="29">
        <v>0</v>
      </c>
      <c r="BO3" s="29">
        <v>0</v>
      </c>
      <c r="BP3" s="29">
        <v>0</v>
      </c>
    </row>
    <row r="4" spans="1:68" x14ac:dyDescent="0.25">
      <c r="A4" s="16" t="s">
        <v>67</v>
      </c>
      <c r="B4" s="17">
        <f t="shared" ref="B4:B31" si="0">B3+1</f>
        <v>3</v>
      </c>
      <c r="C4" s="18">
        <v>6</v>
      </c>
      <c r="D4" s="31">
        <v>2022</v>
      </c>
      <c r="E4" s="39">
        <v>16.600000000000001</v>
      </c>
      <c r="F4" s="29">
        <v>0</v>
      </c>
      <c r="G4" s="39">
        <v>11.7</v>
      </c>
      <c r="H4" s="29">
        <v>0</v>
      </c>
      <c r="I4" s="39">
        <v>2.6</v>
      </c>
      <c r="J4" s="29">
        <v>0</v>
      </c>
      <c r="K4" s="29">
        <v>0</v>
      </c>
      <c r="L4" s="29">
        <v>0</v>
      </c>
      <c r="M4" s="58">
        <v>3.5</v>
      </c>
      <c r="N4" s="29">
        <v>0</v>
      </c>
      <c r="O4" s="59">
        <v>10.5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37">
        <v>257.60000000000002</v>
      </c>
      <c r="BD4" s="29">
        <v>0</v>
      </c>
      <c r="BE4" s="38">
        <v>175</v>
      </c>
      <c r="BF4" s="3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</row>
    <row r="5" spans="1:68" x14ac:dyDescent="0.25">
      <c r="A5" s="16" t="s">
        <v>67</v>
      </c>
      <c r="B5" s="17">
        <f t="shared" si="0"/>
        <v>4</v>
      </c>
      <c r="C5" s="18">
        <v>6</v>
      </c>
      <c r="D5" s="31">
        <v>2022</v>
      </c>
      <c r="E5" s="39">
        <v>17.7</v>
      </c>
      <c r="F5" s="29">
        <v>0</v>
      </c>
      <c r="G5" s="39">
        <v>12.8</v>
      </c>
      <c r="H5" s="29">
        <v>0</v>
      </c>
      <c r="I5" s="39">
        <v>2.1</v>
      </c>
      <c r="J5" s="29">
        <v>0</v>
      </c>
      <c r="K5" s="29">
        <v>0</v>
      </c>
      <c r="L5" s="29">
        <v>0</v>
      </c>
      <c r="M5" s="58">
        <v>4.0999999999999996</v>
      </c>
      <c r="N5" s="29">
        <v>0</v>
      </c>
      <c r="O5" s="59">
        <v>10.4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37">
        <v>859.6</v>
      </c>
      <c r="BD5" s="29">
        <v>0</v>
      </c>
      <c r="BE5" s="38">
        <v>295</v>
      </c>
      <c r="BF5" s="39">
        <v>0</v>
      </c>
      <c r="BG5" s="29">
        <v>0</v>
      </c>
      <c r="BH5" s="29">
        <v>0</v>
      </c>
      <c r="BI5" s="29">
        <v>0</v>
      </c>
      <c r="BJ5" s="29">
        <v>0</v>
      </c>
      <c r="BK5" s="29">
        <v>0</v>
      </c>
      <c r="BL5" s="29">
        <v>0</v>
      </c>
      <c r="BM5" s="29">
        <v>0</v>
      </c>
      <c r="BN5" s="29">
        <v>0</v>
      </c>
      <c r="BO5" s="29">
        <v>0</v>
      </c>
      <c r="BP5" s="29">
        <v>0</v>
      </c>
    </row>
    <row r="6" spans="1:68" x14ac:dyDescent="0.25">
      <c r="A6" s="16" t="s">
        <v>67</v>
      </c>
      <c r="B6" s="17">
        <f t="shared" si="0"/>
        <v>5</v>
      </c>
      <c r="C6" s="18">
        <v>6</v>
      </c>
      <c r="D6" s="31">
        <v>2022</v>
      </c>
      <c r="E6" s="39">
        <v>16.299999999999997</v>
      </c>
      <c r="F6" s="29">
        <v>0</v>
      </c>
      <c r="G6" s="39">
        <v>14.399999999999999</v>
      </c>
      <c r="H6" s="29">
        <v>0</v>
      </c>
      <c r="I6" s="39">
        <v>2.2999999999999998</v>
      </c>
      <c r="J6" s="29">
        <v>0</v>
      </c>
      <c r="K6" s="29">
        <v>0</v>
      </c>
      <c r="L6" s="29">
        <v>0</v>
      </c>
      <c r="M6" s="58">
        <v>5.5</v>
      </c>
      <c r="N6" s="29">
        <v>0</v>
      </c>
      <c r="O6" s="59">
        <v>10.199999999999999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38">
        <v>571.20000000000005</v>
      </c>
      <c r="BD6" s="29">
        <v>0</v>
      </c>
      <c r="BE6" s="38">
        <v>260</v>
      </c>
      <c r="BF6" s="39">
        <v>0</v>
      </c>
      <c r="BG6" s="29">
        <v>0</v>
      </c>
      <c r="BH6" s="29">
        <v>0</v>
      </c>
      <c r="BI6" s="29">
        <v>0</v>
      </c>
      <c r="BJ6" s="29">
        <v>0</v>
      </c>
      <c r="BK6" s="29">
        <v>0</v>
      </c>
      <c r="BL6" s="29">
        <v>0</v>
      </c>
      <c r="BM6" s="29">
        <v>0</v>
      </c>
      <c r="BN6" s="29">
        <v>0</v>
      </c>
      <c r="BO6" s="29">
        <v>0</v>
      </c>
      <c r="BP6" s="29">
        <v>0</v>
      </c>
    </row>
    <row r="7" spans="1:68" x14ac:dyDescent="0.25">
      <c r="A7" s="16" t="s">
        <v>67</v>
      </c>
      <c r="B7" s="17">
        <f t="shared" si="0"/>
        <v>6</v>
      </c>
      <c r="C7" s="18">
        <v>6</v>
      </c>
      <c r="D7" s="31">
        <v>2022</v>
      </c>
      <c r="E7" s="39">
        <v>18.600000000000001</v>
      </c>
      <c r="F7" s="29">
        <v>0</v>
      </c>
      <c r="G7" s="39">
        <v>14.2</v>
      </c>
      <c r="H7" s="29">
        <v>0</v>
      </c>
      <c r="I7" s="39">
        <v>2.5</v>
      </c>
      <c r="J7" s="29">
        <v>0</v>
      </c>
      <c r="K7" s="29">
        <v>0</v>
      </c>
      <c r="L7" s="29">
        <v>0</v>
      </c>
      <c r="M7" s="58">
        <v>3.5</v>
      </c>
      <c r="N7" s="29">
        <v>0</v>
      </c>
      <c r="O7" s="59">
        <v>6.3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9">
        <v>0</v>
      </c>
      <c r="BC7" s="38">
        <v>817.6</v>
      </c>
      <c r="BD7" s="29">
        <v>0</v>
      </c>
      <c r="BE7" s="37">
        <v>250</v>
      </c>
      <c r="BF7" s="39">
        <v>0</v>
      </c>
      <c r="BG7" s="29">
        <v>0</v>
      </c>
      <c r="BH7" s="29">
        <v>0</v>
      </c>
      <c r="BI7" s="29">
        <v>0</v>
      </c>
      <c r="BJ7" s="29">
        <v>0</v>
      </c>
      <c r="BK7" s="29">
        <v>0</v>
      </c>
      <c r="BL7" s="29">
        <v>0</v>
      </c>
      <c r="BM7" s="29">
        <v>0</v>
      </c>
      <c r="BN7" s="29">
        <v>0</v>
      </c>
      <c r="BO7" s="29">
        <v>0</v>
      </c>
      <c r="BP7" s="29">
        <v>0</v>
      </c>
    </row>
    <row r="8" spans="1:68" x14ac:dyDescent="0.25">
      <c r="A8" s="16" t="s">
        <v>67</v>
      </c>
      <c r="B8" s="17">
        <f t="shared" si="0"/>
        <v>7</v>
      </c>
      <c r="C8" s="18">
        <v>6</v>
      </c>
      <c r="D8" s="31">
        <v>2022</v>
      </c>
      <c r="E8" s="39">
        <v>18.2</v>
      </c>
      <c r="F8" s="29">
        <v>0</v>
      </c>
      <c r="G8" s="39">
        <v>12.600000000000001</v>
      </c>
      <c r="H8" s="29">
        <v>0</v>
      </c>
      <c r="I8" s="39">
        <v>2.4</v>
      </c>
      <c r="J8" s="29">
        <v>0</v>
      </c>
      <c r="K8" s="29">
        <v>0</v>
      </c>
      <c r="L8" s="29">
        <v>0</v>
      </c>
      <c r="M8" s="58">
        <v>4.0999999999999996</v>
      </c>
      <c r="N8" s="29">
        <v>0</v>
      </c>
      <c r="O8" s="59">
        <v>6.5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38">
        <v>588</v>
      </c>
      <c r="BD8" s="29">
        <v>0</v>
      </c>
      <c r="BE8" s="37">
        <v>275</v>
      </c>
      <c r="BF8" s="39">
        <v>0</v>
      </c>
      <c r="BG8" s="29">
        <v>0</v>
      </c>
      <c r="BH8" s="29">
        <v>0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0</v>
      </c>
      <c r="BO8" s="29">
        <v>0</v>
      </c>
      <c r="BP8" s="29">
        <v>0</v>
      </c>
    </row>
    <row r="9" spans="1:68" x14ac:dyDescent="0.25">
      <c r="A9" s="16" t="s">
        <v>67</v>
      </c>
      <c r="B9" s="17">
        <f t="shared" si="0"/>
        <v>8</v>
      </c>
      <c r="C9" s="18">
        <v>6</v>
      </c>
      <c r="D9" s="31">
        <v>2022</v>
      </c>
      <c r="E9" s="39">
        <v>16.7</v>
      </c>
      <c r="F9" s="29">
        <v>0</v>
      </c>
      <c r="G9" s="39">
        <v>12</v>
      </c>
      <c r="H9" s="29">
        <v>0</v>
      </c>
      <c r="I9" s="39">
        <v>3.5</v>
      </c>
      <c r="J9" s="29">
        <v>0</v>
      </c>
      <c r="K9" s="29">
        <v>0</v>
      </c>
      <c r="L9" s="29">
        <v>0</v>
      </c>
      <c r="M9" s="58">
        <v>4.2</v>
      </c>
      <c r="N9" s="29">
        <v>0</v>
      </c>
      <c r="O9" s="59">
        <v>6.8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0</v>
      </c>
      <c r="BB9" s="29">
        <v>0</v>
      </c>
      <c r="BC9" s="38">
        <v>324.8</v>
      </c>
      <c r="BD9" s="29">
        <v>0</v>
      </c>
      <c r="BE9" s="37">
        <v>246</v>
      </c>
      <c r="BF9" s="3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</row>
    <row r="10" spans="1:68" x14ac:dyDescent="0.25">
      <c r="A10" s="16" t="s">
        <v>67</v>
      </c>
      <c r="B10" s="17">
        <f t="shared" si="0"/>
        <v>9</v>
      </c>
      <c r="C10" s="18">
        <v>6</v>
      </c>
      <c r="D10" s="31">
        <v>2022</v>
      </c>
      <c r="E10" s="39">
        <v>16</v>
      </c>
      <c r="F10" s="29">
        <v>0</v>
      </c>
      <c r="G10" s="39">
        <v>9.9</v>
      </c>
      <c r="H10" s="29">
        <v>0</v>
      </c>
      <c r="I10" s="39">
        <v>3.4</v>
      </c>
      <c r="J10" s="29">
        <v>0</v>
      </c>
      <c r="K10" s="29">
        <v>0</v>
      </c>
      <c r="L10" s="29">
        <v>0</v>
      </c>
      <c r="M10" s="58">
        <v>3.8</v>
      </c>
      <c r="N10" s="29">
        <v>0</v>
      </c>
      <c r="O10" s="59">
        <v>7.2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38">
        <v>798</v>
      </c>
      <c r="BD10" s="29">
        <v>0</v>
      </c>
      <c r="BE10" s="37">
        <v>305</v>
      </c>
      <c r="BF10" s="3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</row>
    <row r="11" spans="1:68" x14ac:dyDescent="0.25">
      <c r="A11" s="16" t="s">
        <v>67</v>
      </c>
      <c r="B11" s="17">
        <f t="shared" si="0"/>
        <v>10</v>
      </c>
      <c r="C11" s="18">
        <v>6</v>
      </c>
      <c r="D11" s="31">
        <v>2022</v>
      </c>
      <c r="E11" s="39">
        <v>14.399999999999999</v>
      </c>
      <c r="F11" s="29">
        <v>0</v>
      </c>
      <c r="G11" s="39">
        <v>15</v>
      </c>
      <c r="H11" s="29">
        <v>0</v>
      </c>
      <c r="I11" s="39">
        <v>3.5</v>
      </c>
      <c r="J11" s="29">
        <v>0</v>
      </c>
      <c r="K11" s="29">
        <v>0</v>
      </c>
      <c r="L11" s="29">
        <v>0</v>
      </c>
      <c r="M11" s="58">
        <v>6.5</v>
      </c>
      <c r="N11" s="29">
        <v>0</v>
      </c>
      <c r="O11" s="59">
        <v>7.3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38">
        <v>358.4</v>
      </c>
      <c r="BD11" s="29">
        <v>0</v>
      </c>
      <c r="BE11" s="37">
        <v>237</v>
      </c>
      <c r="BF11" s="3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</row>
    <row r="12" spans="1:68" x14ac:dyDescent="0.25">
      <c r="A12" s="16" t="s">
        <v>67</v>
      </c>
      <c r="B12" s="17">
        <f t="shared" si="0"/>
        <v>11</v>
      </c>
      <c r="C12" s="18">
        <v>6</v>
      </c>
      <c r="D12" s="31">
        <v>2022</v>
      </c>
      <c r="E12" s="39">
        <v>13.4</v>
      </c>
      <c r="F12" s="29">
        <v>0</v>
      </c>
      <c r="G12" s="39">
        <v>14.7</v>
      </c>
      <c r="H12" s="29">
        <v>0</v>
      </c>
      <c r="I12" s="39">
        <v>4.0999999999999996</v>
      </c>
      <c r="J12" s="29">
        <v>0</v>
      </c>
      <c r="K12" s="29">
        <v>0</v>
      </c>
      <c r="L12" s="29">
        <v>0</v>
      </c>
      <c r="M12" s="58">
        <v>3.1</v>
      </c>
      <c r="N12" s="29">
        <v>0</v>
      </c>
      <c r="O12" s="59">
        <v>9.3000000000000007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38">
        <v>669.2</v>
      </c>
      <c r="BD12" s="29">
        <v>0</v>
      </c>
      <c r="BE12" s="37">
        <v>255</v>
      </c>
      <c r="BF12" s="3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</row>
    <row r="13" spans="1:68" x14ac:dyDescent="0.25">
      <c r="A13" s="16" t="s">
        <v>67</v>
      </c>
      <c r="B13" s="17">
        <f t="shared" si="0"/>
        <v>12</v>
      </c>
      <c r="C13" s="18">
        <v>6</v>
      </c>
      <c r="D13" s="31">
        <v>2022</v>
      </c>
      <c r="E13" s="39">
        <v>12.7</v>
      </c>
      <c r="F13" s="29">
        <v>0</v>
      </c>
      <c r="G13" s="39">
        <v>15.700000000000001</v>
      </c>
      <c r="H13" s="29">
        <v>0</v>
      </c>
      <c r="I13" s="39">
        <v>4.2</v>
      </c>
      <c r="J13" s="29">
        <v>0</v>
      </c>
      <c r="K13" s="29">
        <v>0</v>
      </c>
      <c r="L13" s="29">
        <v>0</v>
      </c>
      <c r="M13" s="58">
        <v>3.2</v>
      </c>
      <c r="N13" s="29">
        <v>0</v>
      </c>
      <c r="O13" s="59">
        <v>10.5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38">
        <v>224</v>
      </c>
      <c r="BD13" s="29">
        <v>0</v>
      </c>
      <c r="BE13" s="37">
        <v>266</v>
      </c>
      <c r="BF13" s="39">
        <v>0</v>
      </c>
      <c r="BG13" s="29">
        <v>0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v>0</v>
      </c>
      <c r="BN13" s="29">
        <v>0</v>
      </c>
      <c r="BO13" s="29">
        <v>0</v>
      </c>
      <c r="BP13" s="29">
        <v>0</v>
      </c>
    </row>
    <row r="14" spans="1:68" x14ac:dyDescent="0.25">
      <c r="A14" s="16" t="s">
        <v>67</v>
      </c>
      <c r="B14" s="17">
        <f t="shared" si="0"/>
        <v>13</v>
      </c>
      <c r="C14" s="18">
        <v>6</v>
      </c>
      <c r="D14" s="31">
        <v>2022</v>
      </c>
      <c r="E14" s="39">
        <v>13.9</v>
      </c>
      <c r="F14" s="29">
        <v>0</v>
      </c>
      <c r="G14" s="39">
        <v>14.2</v>
      </c>
      <c r="H14" s="29">
        <v>0</v>
      </c>
      <c r="I14" s="39">
        <v>4.8</v>
      </c>
      <c r="J14" s="29">
        <v>0</v>
      </c>
      <c r="K14" s="29">
        <v>0</v>
      </c>
      <c r="L14" s="29">
        <v>0</v>
      </c>
      <c r="M14" s="58">
        <v>2.5</v>
      </c>
      <c r="N14" s="29">
        <v>0</v>
      </c>
      <c r="O14" s="59">
        <v>9.6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38">
        <v>176.4</v>
      </c>
      <c r="BD14" s="29">
        <v>0</v>
      </c>
      <c r="BE14" s="37">
        <v>290</v>
      </c>
      <c r="BF14" s="3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0</v>
      </c>
      <c r="BO14" s="29">
        <v>0</v>
      </c>
      <c r="BP14" s="29">
        <v>0</v>
      </c>
    </row>
    <row r="15" spans="1:68" x14ac:dyDescent="0.25">
      <c r="A15" s="16" t="s">
        <v>67</v>
      </c>
      <c r="B15" s="17">
        <f t="shared" si="0"/>
        <v>14</v>
      </c>
      <c r="C15" s="18">
        <v>6</v>
      </c>
      <c r="D15" s="31">
        <v>2022</v>
      </c>
      <c r="E15" s="39">
        <v>14.2</v>
      </c>
      <c r="F15" s="29">
        <v>0</v>
      </c>
      <c r="G15" s="39">
        <v>11.600000000000001</v>
      </c>
      <c r="H15" s="29">
        <v>0</v>
      </c>
      <c r="I15" s="39">
        <v>4.7</v>
      </c>
      <c r="J15" s="29">
        <v>0</v>
      </c>
      <c r="K15" s="29">
        <v>0</v>
      </c>
      <c r="L15" s="29">
        <v>0</v>
      </c>
      <c r="M15" s="58">
        <v>4.5999999999999996</v>
      </c>
      <c r="N15" s="29">
        <v>0</v>
      </c>
      <c r="O15" s="59">
        <v>9.1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0</v>
      </c>
      <c r="BC15" s="38">
        <v>364</v>
      </c>
      <c r="BD15" s="29">
        <v>0</v>
      </c>
      <c r="BE15" s="37">
        <v>300</v>
      </c>
      <c r="BF15" s="3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0</v>
      </c>
      <c r="BO15" s="29">
        <v>0</v>
      </c>
      <c r="BP15" s="29">
        <v>0</v>
      </c>
    </row>
    <row r="16" spans="1:68" x14ac:dyDescent="0.25">
      <c r="A16" s="16" t="s">
        <v>67</v>
      </c>
      <c r="B16" s="17">
        <f t="shared" si="0"/>
        <v>15</v>
      </c>
      <c r="C16" s="18">
        <v>6</v>
      </c>
      <c r="D16" s="31">
        <v>2022</v>
      </c>
      <c r="E16" s="39">
        <v>16.299999999999997</v>
      </c>
      <c r="F16" s="29">
        <v>0</v>
      </c>
      <c r="G16" s="39">
        <v>12.9</v>
      </c>
      <c r="H16" s="29">
        <v>0</v>
      </c>
      <c r="I16" s="39">
        <v>5.0999999999999996</v>
      </c>
      <c r="J16" s="29">
        <v>0</v>
      </c>
      <c r="K16" s="29">
        <v>0</v>
      </c>
      <c r="L16" s="29">
        <v>0</v>
      </c>
      <c r="M16" s="58">
        <v>2.2000000000000002</v>
      </c>
      <c r="N16" s="29">
        <v>0</v>
      </c>
      <c r="O16" s="59">
        <v>8.5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38">
        <v>232.4</v>
      </c>
      <c r="BD16" s="29">
        <v>0</v>
      </c>
      <c r="BE16" s="37">
        <v>290</v>
      </c>
      <c r="BF16" s="3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</row>
    <row r="17" spans="1:68" x14ac:dyDescent="0.25">
      <c r="A17" s="16" t="s">
        <v>67</v>
      </c>
      <c r="B17" s="17">
        <f t="shared" si="0"/>
        <v>16</v>
      </c>
      <c r="C17" s="18">
        <v>6</v>
      </c>
      <c r="D17" s="31">
        <v>2022</v>
      </c>
      <c r="E17" s="39">
        <v>16.399999999999999</v>
      </c>
      <c r="F17" s="29">
        <v>0</v>
      </c>
      <c r="G17" s="39">
        <v>11.1</v>
      </c>
      <c r="H17" s="29">
        <v>0</v>
      </c>
      <c r="I17" s="39">
        <v>4.0999999999999996</v>
      </c>
      <c r="J17" s="29">
        <v>0</v>
      </c>
      <c r="K17" s="29">
        <v>0</v>
      </c>
      <c r="L17" s="29">
        <v>0</v>
      </c>
      <c r="M17" s="58">
        <v>3.6</v>
      </c>
      <c r="N17" s="29">
        <v>0</v>
      </c>
      <c r="O17" s="59">
        <v>9.5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38">
        <v>361.2</v>
      </c>
      <c r="BD17" s="29">
        <v>0</v>
      </c>
      <c r="BE17" s="37">
        <v>280</v>
      </c>
      <c r="BF17" s="3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</row>
    <row r="18" spans="1:68" x14ac:dyDescent="0.25">
      <c r="A18" s="16" t="s">
        <v>67</v>
      </c>
      <c r="B18" s="17">
        <f t="shared" si="0"/>
        <v>17</v>
      </c>
      <c r="C18" s="18">
        <v>6</v>
      </c>
      <c r="D18" s="31">
        <v>2022</v>
      </c>
      <c r="E18" s="39">
        <v>15.1</v>
      </c>
      <c r="F18" s="29">
        <v>0</v>
      </c>
      <c r="G18" s="39">
        <v>11</v>
      </c>
      <c r="H18" s="29">
        <v>0</v>
      </c>
      <c r="I18" s="39">
        <v>4</v>
      </c>
      <c r="J18" s="29">
        <v>0</v>
      </c>
      <c r="K18" s="29">
        <v>0</v>
      </c>
      <c r="L18" s="29">
        <v>0</v>
      </c>
      <c r="M18" s="58">
        <v>4.7</v>
      </c>
      <c r="N18" s="29">
        <v>0</v>
      </c>
      <c r="O18" s="59">
        <v>10.5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38">
        <v>428.4</v>
      </c>
      <c r="BD18" s="29">
        <v>0</v>
      </c>
      <c r="BE18" s="37">
        <v>275</v>
      </c>
      <c r="BF18" s="3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</row>
    <row r="19" spans="1:68" x14ac:dyDescent="0.25">
      <c r="A19" s="16" t="s">
        <v>67</v>
      </c>
      <c r="B19" s="17">
        <f t="shared" si="0"/>
        <v>18</v>
      </c>
      <c r="C19" s="18">
        <v>6</v>
      </c>
      <c r="D19" s="31">
        <v>2022</v>
      </c>
      <c r="E19" s="39">
        <v>15.100000000000001</v>
      </c>
      <c r="F19" s="29">
        <v>0</v>
      </c>
      <c r="G19" s="39">
        <v>8.8999999999999986</v>
      </c>
      <c r="H19" s="29">
        <v>0</v>
      </c>
      <c r="I19" s="39">
        <v>4.5999999999999996</v>
      </c>
      <c r="J19" s="29">
        <v>0</v>
      </c>
      <c r="K19" s="29">
        <v>0</v>
      </c>
      <c r="L19" s="29">
        <v>0</v>
      </c>
      <c r="M19" s="58">
        <v>6</v>
      </c>
      <c r="N19" s="29">
        <v>0</v>
      </c>
      <c r="O19" s="59">
        <v>10.4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38">
        <v>252</v>
      </c>
      <c r="BD19" s="29">
        <v>0</v>
      </c>
      <c r="BE19" s="37">
        <v>272</v>
      </c>
      <c r="BF19" s="3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</row>
    <row r="20" spans="1:68" x14ac:dyDescent="0.25">
      <c r="A20" s="16" t="s">
        <v>67</v>
      </c>
      <c r="B20" s="17">
        <f t="shared" si="0"/>
        <v>19</v>
      </c>
      <c r="C20" s="18">
        <v>6</v>
      </c>
      <c r="D20" s="31">
        <v>2022</v>
      </c>
      <c r="E20" s="39">
        <v>14.3</v>
      </c>
      <c r="F20" s="29">
        <v>0</v>
      </c>
      <c r="G20" s="39">
        <v>8.1999999999999993</v>
      </c>
      <c r="H20" s="29">
        <v>0</v>
      </c>
      <c r="I20" s="39">
        <v>4</v>
      </c>
      <c r="J20" s="29">
        <v>0</v>
      </c>
      <c r="K20" s="29">
        <v>0</v>
      </c>
      <c r="L20" s="29">
        <v>0</v>
      </c>
      <c r="M20" s="58">
        <v>3.2</v>
      </c>
      <c r="N20" s="29">
        <v>0</v>
      </c>
      <c r="O20" s="59">
        <v>9.1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0</v>
      </c>
      <c r="BA20" s="29">
        <v>0</v>
      </c>
      <c r="BB20" s="29">
        <v>0</v>
      </c>
      <c r="BC20" s="38">
        <v>308</v>
      </c>
      <c r="BD20" s="29">
        <v>0</v>
      </c>
      <c r="BE20" s="37">
        <v>305</v>
      </c>
      <c r="BF20" s="3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</row>
    <row r="21" spans="1:68" x14ac:dyDescent="0.25">
      <c r="A21" s="16" t="s">
        <v>67</v>
      </c>
      <c r="B21" s="17">
        <f t="shared" si="0"/>
        <v>20</v>
      </c>
      <c r="C21" s="18">
        <v>6</v>
      </c>
      <c r="D21" s="31">
        <v>2022</v>
      </c>
      <c r="E21" s="39">
        <v>15.5</v>
      </c>
      <c r="F21" s="29">
        <v>0</v>
      </c>
      <c r="G21" s="39">
        <v>8.6</v>
      </c>
      <c r="H21" s="29">
        <v>0</v>
      </c>
      <c r="I21" s="39">
        <v>5.8</v>
      </c>
      <c r="J21" s="29">
        <v>0</v>
      </c>
      <c r="K21" s="29">
        <v>0</v>
      </c>
      <c r="L21" s="29">
        <v>0</v>
      </c>
      <c r="M21" s="58">
        <v>3.8</v>
      </c>
      <c r="N21" s="29">
        <v>0</v>
      </c>
      <c r="O21" s="59">
        <v>10.199999999999999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0</v>
      </c>
      <c r="BC21" s="38">
        <v>179.2</v>
      </c>
      <c r="BD21" s="29">
        <v>0</v>
      </c>
      <c r="BE21" s="37">
        <v>283</v>
      </c>
      <c r="BF21" s="39">
        <v>0</v>
      </c>
      <c r="BG21" s="29">
        <v>0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0</v>
      </c>
      <c r="BO21" s="29">
        <v>0</v>
      </c>
      <c r="BP21" s="29">
        <v>0</v>
      </c>
    </row>
    <row r="22" spans="1:68" x14ac:dyDescent="0.25">
      <c r="A22" s="16" t="s">
        <v>67</v>
      </c>
      <c r="B22" s="17">
        <f t="shared" si="0"/>
        <v>21</v>
      </c>
      <c r="C22" s="18">
        <v>6</v>
      </c>
      <c r="D22" s="31">
        <v>2022</v>
      </c>
      <c r="E22" s="39">
        <v>15.8</v>
      </c>
      <c r="F22" s="29">
        <v>0</v>
      </c>
      <c r="G22" s="39">
        <v>9</v>
      </c>
      <c r="H22" s="29">
        <v>0</v>
      </c>
      <c r="I22" s="39">
        <v>5.0999999999999996</v>
      </c>
      <c r="J22" s="29">
        <v>0</v>
      </c>
      <c r="K22" s="29">
        <v>0</v>
      </c>
      <c r="L22" s="29">
        <v>0</v>
      </c>
      <c r="M22" s="58">
        <v>5.0999999999999996</v>
      </c>
      <c r="N22" s="29">
        <v>0</v>
      </c>
      <c r="O22" s="59">
        <v>10.5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  <c r="AZ22" s="29">
        <v>0</v>
      </c>
      <c r="BA22" s="29">
        <v>0</v>
      </c>
      <c r="BB22" s="29">
        <v>0</v>
      </c>
      <c r="BC22" s="60">
        <v>1008</v>
      </c>
      <c r="BD22" s="29">
        <v>0</v>
      </c>
      <c r="BE22" s="37">
        <v>285</v>
      </c>
      <c r="BF22" s="3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</row>
    <row r="23" spans="1:68" x14ac:dyDescent="0.25">
      <c r="A23" s="16" t="s">
        <v>67</v>
      </c>
      <c r="B23" s="17">
        <f t="shared" si="0"/>
        <v>22</v>
      </c>
      <c r="C23" s="18">
        <v>6</v>
      </c>
      <c r="D23" s="31">
        <v>2022</v>
      </c>
      <c r="E23" s="39">
        <v>16.7</v>
      </c>
      <c r="F23" s="29">
        <v>0</v>
      </c>
      <c r="G23" s="39">
        <v>11.4</v>
      </c>
      <c r="H23" s="29">
        <v>0</v>
      </c>
      <c r="I23" s="39">
        <v>6.5</v>
      </c>
      <c r="J23" s="29">
        <v>0</v>
      </c>
      <c r="K23" s="29">
        <v>0</v>
      </c>
      <c r="L23" s="29">
        <v>0</v>
      </c>
      <c r="M23" s="58">
        <v>4.8</v>
      </c>
      <c r="N23" s="29">
        <v>0</v>
      </c>
      <c r="O23" s="59">
        <v>8.5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38">
        <v>985.6</v>
      </c>
      <c r="BD23" s="29">
        <v>0</v>
      </c>
      <c r="BE23" s="37">
        <v>290</v>
      </c>
      <c r="BF23" s="3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</row>
    <row r="24" spans="1:68" x14ac:dyDescent="0.25">
      <c r="A24" s="16" t="s">
        <v>67</v>
      </c>
      <c r="B24" s="17">
        <f t="shared" si="0"/>
        <v>23</v>
      </c>
      <c r="C24" s="18">
        <v>6</v>
      </c>
      <c r="D24" s="31">
        <v>2022</v>
      </c>
      <c r="E24" s="39">
        <v>17.399999999999999</v>
      </c>
      <c r="F24" s="29">
        <v>0</v>
      </c>
      <c r="G24" s="39">
        <v>14.2</v>
      </c>
      <c r="H24" s="29">
        <v>0</v>
      </c>
      <c r="I24" s="39">
        <v>6.1</v>
      </c>
      <c r="J24" s="29">
        <v>0</v>
      </c>
      <c r="K24" s="29">
        <v>0</v>
      </c>
      <c r="L24" s="29">
        <v>0</v>
      </c>
      <c r="M24" s="58">
        <v>10.199999999999999</v>
      </c>
      <c r="N24" s="29">
        <v>0</v>
      </c>
      <c r="O24" s="59">
        <v>10.8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0</v>
      </c>
      <c r="BB24" s="29">
        <v>0</v>
      </c>
      <c r="BC24" s="38">
        <v>576.79999999999995</v>
      </c>
      <c r="BD24" s="29">
        <v>0</v>
      </c>
      <c r="BE24" s="37">
        <v>270</v>
      </c>
      <c r="BF24" s="3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</row>
    <row r="25" spans="1:68" x14ac:dyDescent="0.25">
      <c r="A25" s="16" t="s">
        <v>67</v>
      </c>
      <c r="B25" s="17">
        <f t="shared" si="0"/>
        <v>24</v>
      </c>
      <c r="C25" s="18">
        <v>6</v>
      </c>
      <c r="D25" s="31">
        <v>2022</v>
      </c>
      <c r="E25" s="39">
        <v>16.299999999999997</v>
      </c>
      <c r="F25" s="29">
        <v>0</v>
      </c>
      <c r="G25" s="39">
        <v>16.399999999999999</v>
      </c>
      <c r="H25" s="29">
        <v>0</v>
      </c>
      <c r="I25" s="39">
        <v>6.6</v>
      </c>
      <c r="J25" s="29">
        <v>0</v>
      </c>
      <c r="K25" s="29">
        <v>0</v>
      </c>
      <c r="L25" s="29">
        <v>0</v>
      </c>
      <c r="M25" s="58">
        <v>2.5</v>
      </c>
      <c r="N25" s="29">
        <v>0</v>
      </c>
      <c r="O25" s="59">
        <v>14.7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0</v>
      </c>
      <c r="BC25" s="38">
        <v>196</v>
      </c>
      <c r="BD25" s="29">
        <v>0</v>
      </c>
      <c r="BE25" s="37">
        <v>290</v>
      </c>
      <c r="BF25" s="3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</row>
    <row r="26" spans="1:68" x14ac:dyDescent="0.25">
      <c r="A26" s="16" t="s">
        <v>67</v>
      </c>
      <c r="B26" s="17">
        <f>B25+1</f>
        <v>25</v>
      </c>
      <c r="C26" s="18">
        <v>6</v>
      </c>
      <c r="D26" s="31">
        <v>2022</v>
      </c>
      <c r="E26" s="39">
        <v>19.7</v>
      </c>
      <c r="F26" s="29">
        <v>0</v>
      </c>
      <c r="G26" s="39">
        <v>13</v>
      </c>
      <c r="H26" s="29">
        <v>0</v>
      </c>
      <c r="I26" s="39">
        <v>7.2</v>
      </c>
      <c r="J26" s="29">
        <v>0</v>
      </c>
      <c r="K26" s="29">
        <v>0</v>
      </c>
      <c r="L26" s="29">
        <v>0</v>
      </c>
      <c r="M26" s="58">
        <v>2.6</v>
      </c>
      <c r="N26" s="29">
        <v>0</v>
      </c>
      <c r="O26" s="59">
        <v>15.1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38">
        <v>246.4</v>
      </c>
      <c r="BD26" s="29">
        <v>0</v>
      </c>
      <c r="BE26" s="37">
        <v>285</v>
      </c>
      <c r="BF26" s="3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</row>
    <row r="27" spans="1:68" x14ac:dyDescent="0.25">
      <c r="A27" s="16" t="s">
        <v>67</v>
      </c>
      <c r="B27" s="17">
        <f t="shared" si="0"/>
        <v>26</v>
      </c>
      <c r="C27" s="18">
        <v>6</v>
      </c>
      <c r="D27" s="31">
        <v>2022</v>
      </c>
      <c r="E27" s="39">
        <v>17.5</v>
      </c>
      <c r="F27" s="29">
        <v>0</v>
      </c>
      <c r="G27" s="39">
        <v>15.8</v>
      </c>
      <c r="H27" s="29">
        <v>0</v>
      </c>
      <c r="I27" s="39">
        <v>7.1</v>
      </c>
      <c r="J27" s="29">
        <v>0</v>
      </c>
      <c r="K27" s="29">
        <v>0</v>
      </c>
      <c r="L27" s="29">
        <v>0</v>
      </c>
      <c r="M27" s="58">
        <v>3.4</v>
      </c>
      <c r="N27" s="29">
        <v>0</v>
      </c>
      <c r="O27" s="59">
        <v>12.8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38">
        <v>280</v>
      </c>
      <c r="BD27" s="29">
        <v>0</v>
      </c>
      <c r="BE27" s="38">
        <v>310</v>
      </c>
      <c r="BF27" s="3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</row>
    <row r="28" spans="1:68" x14ac:dyDescent="0.25">
      <c r="A28" s="16" t="s">
        <v>67</v>
      </c>
      <c r="B28" s="17">
        <f t="shared" si="0"/>
        <v>27</v>
      </c>
      <c r="C28" s="18">
        <v>6</v>
      </c>
      <c r="D28" s="31">
        <v>2022</v>
      </c>
      <c r="E28" s="39">
        <v>16.600000000000001</v>
      </c>
      <c r="F28" s="29">
        <v>0</v>
      </c>
      <c r="G28" s="39">
        <v>12.5</v>
      </c>
      <c r="H28" s="29">
        <v>0</v>
      </c>
      <c r="I28" s="39">
        <v>8.5</v>
      </c>
      <c r="J28" s="29">
        <v>0</v>
      </c>
      <c r="K28" s="29">
        <v>0</v>
      </c>
      <c r="L28" s="29">
        <v>0</v>
      </c>
      <c r="M28" s="58">
        <v>5.5</v>
      </c>
      <c r="N28" s="29">
        <v>0</v>
      </c>
      <c r="O28" s="59">
        <v>9.6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38">
        <v>229.6</v>
      </c>
      <c r="BD28" s="29">
        <v>0</v>
      </c>
      <c r="BE28" s="38">
        <v>310</v>
      </c>
      <c r="BF28" s="3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</row>
    <row r="29" spans="1:68" x14ac:dyDescent="0.25">
      <c r="A29" s="16" t="s">
        <v>67</v>
      </c>
      <c r="B29" s="17">
        <f t="shared" si="0"/>
        <v>28</v>
      </c>
      <c r="C29" s="18">
        <v>6</v>
      </c>
      <c r="D29" s="31">
        <v>2022</v>
      </c>
      <c r="E29" s="39">
        <v>18.600000000000001</v>
      </c>
      <c r="F29" s="29">
        <v>0</v>
      </c>
      <c r="G29" s="39">
        <v>10.5</v>
      </c>
      <c r="H29" s="29">
        <v>0</v>
      </c>
      <c r="I29" s="39">
        <v>7.5</v>
      </c>
      <c r="J29" s="29">
        <v>0</v>
      </c>
      <c r="K29" s="29">
        <v>0</v>
      </c>
      <c r="L29" s="29">
        <v>0</v>
      </c>
      <c r="M29" s="58">
        <v>3.8</v>
      </c>
      <c r="N29" s="29">
        <v>0</v>
      </c>
      <c r="O29" s="59">
        <v>10.4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38">
        <v>224</v>
      </c>
      <c r="BD29" s="29">
        <v>0</v>
      </c>
      <c r="BE29" s="38">
        <v>285</v>
      </c>
      <c r="BF29" s="3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</row>
    <row r="30" spans="1:68" x14ac:dyDescent="0.25">
      <c r="A30" s="16" t="s">
        <v>67</v>
      </c>
      <c r="B30" s="17">
        <f t="shared" si="0"/>
        <v>29</v>
      </c>
      <c r="C30" s="18">
        <v>6</v>
      </c>
      <c r="D30" s="31">
        <v>2022</v>
      </c>
      <c r="E30" s="39">
        <v>18.7</v>
      </c>
      <c r="F30" s="29">
        <v>0</v>
      </c>
      <c r="G30" s="39">
        <v>12</v>
      </c>
      <c r="H30" s="29">
        <v>0</v>
      </c>
      <c r="I30" s="39">
        <v>6.8</v>
      </c>
      <c r="J30" s="29">
        <v>0</v>
      </c>
      <c r="K30" s="29">
        <v>0</v>
      </c>
      <c r="L30" s="29">
        <v>0</v>
      </c>
      <c r="M30" s="58">
        <v>3.4</v>
      </c>
      <c r="N30" s="29">
        <v>0</v>
      </c>
      <c r="O30" s="59">
        <v>11.2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38">
        <v>532</v>
      </c>
      <c r="BD30" s="29">
        <v>0</v>
      </c>
      <c r="BE30" s="38">
        <v>300</v>
      </c>
      <c r="BF30" s="3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</row>
    <row r="31" spans="1:68" x14ac:dyDescent="0.25">
      <c r="A31" s="16" t="s">
        <v>67</v>
      </c>
      <c r="B31" s="17">
        <f t="shared" si="0"/>
        <v>30</v>
      </c>
      <c r="C31" s="18">
        <v>6</v>
      </c>
      <c r="D31" s="31">
        <v>2022</v>
      </c>
      <c r="E31" s="39">
        <v>20.9</v>
      </c>
      <c r="F31" s="29">
        <v>0</v>
      </c>
      <c r="G31" s="39">
        <v>12.8</v>
      </c>
      <c r="H31" s="29">
        <v>0</v>
      </c>
      <c r="I31" s="39">
        <v>5.0999999999999996</v>
      </c>
      <c r="J31" s="29">
        <v>0</v>
      </c>
      <c r="K31" s="29">
        <v>0</v>
      </c>
      <c r="L31" s="29">
        <v>0</v>
      </c>
      <c r="M31" s="58">
        <v>2.5</v>
      </c>
      <c r="N31" s="29">
        <v>0</v>
      </c>
      <c r="O31" s="59">
        <v>13.7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38">
        <v>715</v>
      </c>
      <c r="BD31" s="29">
        <v>0</v>
      </c>
      <c r="BE31" s="38">
        <v>299</v>
      </c>
      <c r="BF31" s="3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</row>
    <row r="32" spans="1:68" x14ac:dyDescent="0.25">
      <c r="E32" s="39">
        <f>SUM(E2:E31)</f>
        <v>489.20000000000005</v>
      </c>
      <c r="F32" s="39">
        <f t="shared" ref="F32:BP32" si="1">SUM(F2:F31)</f>
        <v>0</v>
      </c>
      <c r="G32" s="39">
        <f t="shared" si="1"/>
        <v>367.59999999999991</v>
      </c>
      <c r="H32" s="39">
        <f t="shared" si="1"/>
        <v>0</v>
      </c>
      <c r="I32" s="39">
        <f t="shared" si="1"/>
        <v>140.89999999999998</v>
      </c>
      <c r="J32" s="39">
        <f t="shared" si="1"/>
        <v>0</v>
      </c>
      <c r="K32" s="39">
        <f t="shared" si="1"/>
        <v>0</v>
      </c>
      <c r="L32" s="39">
        <f t="shared" si="1"/>
        <v>0</v>
      </c>
      <c r="M32" s="39">
        <f t="shared" si="1"/>
        <v>121.7</v>
      </c>
      <c r="N32" s="39">
        <f t="shared" si="1"/>
        <v>0</v>
      </c>
      <c r="O32" s="39">
        <f t="shared" si="1"/>
        <v>297.69999999999993</v>
      </c>
      <c r="P32" s="39">
        <f t="shared" si="1"/>
        <v>0</v>
      </c>
      <c r="Q32" s="39">
        <f t="shared" si="1"/>
        <v>0</v>
      </c>
      <c r="R32" s="39">
        <f t="shared" si="1"/>
        <v>0</v>
      </c>
      <c r="S32" s="39">
        <f t="shared" si="1"/>
        <v>0</v>
      </c>
      <c r="T32" s="39">
        <f t="shared" si="1"/>
        <v>0</v>
      </c>
      <c r="U32" s="39">
        <f t="shared" si="1"/>
        <v>0</v>
      </c>
      <c r="V32" s="39">
        <f t="shared" si="1"/>
        <v>0</v>
      </c>
      <c r="W32" s="39">
        <f t="shared" si="1"/>
        <v>0</v>
      </c>
      <c r="X32" s="39">
        <f t="shared" si="1"/>
        <v>0</v>
      </c>
      <c r="Y32" s="39">
        <f t="shared" si="1"/>
        <v>0</v>
      </c>
      <c r="Z32" s="39">
        <f t="shared" si="1"/>
        <v>0</v>
      </c>
      <c r="AA32" s="39">
        <f t="shared" si="1"/>
        <v>0</v>
      </c>
      <c r="AB32" s="39">
        <f t="shared" si="1"/>
        <v>0</v>
      </c>
      <c r="AC32" s="39">
        <f t="shared" si="1"/>
        <v>0</v>
      </c>
      <c r="AD32" s="39">
        <f t="shared" si="1"/>
        <v>0</v>
      </c>
      <c r="AE32" s="39">
        <f t="shared" si="1"/>
        <v>0</v>
      </c>
      <c r="AF32" s="39">
        <f t="shared" si="1"/>
        <v>0</v>
      </c>
      <c r="AG32" s="39">
        <f t="shared" si="1"/>
        <v>0</v>
      </c>
      <c r="AH32" s="39">
        <f t="shared" si="1"/>
        <v>0</v>
      </c>
      <c r="AI32" s="39">
        <f t="shared" si="1"/>
        <v>0</v>
      </c>
      <c r="AJ32" s="39">
        <f t="shared" si="1"/>
        <v>0</v>
      </c>
      <c r="AK32" s="39">
        <f t="shared" si="1"/>
        <v>0</v>
      </c>
      <c r="AL32" s="39">
        <f t="shared" si="1"/>
        <v>0</v>
      </c>
      <c r="AM32" s="39">
        <f t="shared" si="1"/>
        <v>0</v>
      </c>
      <c r="AN32" s="39">
        <f t="shared" si="1"/>
        <v>0</v>
      </c>
      <c r="AO32" s="39">
        <f t="shared" si="1"/>
        <v>0</v>
      </c>
      <c r="AP32" s="39">
        <f t="shared" si="1"/>
        <v>0</v>
      </c>
      <c r="AQ32" s="39">
        <f t="shared" si="1"/>
        <v>0</v>
      </c>
      <c r="AR32" s="39">
        <f t="shared" si="1"/>
        <v>0</v>
      </c>
      <c r="AS32" s="39">
        <f t="shared" si="1"/>
        <v>0</v>
      </c>
      <c r="AT32" s="39">
        <f t="shared" si="1"/>
        <v>0</v>
      </c>
      <c r="AU32" s="39">
        <f t="shared" si="1"/>
        <v>0</v>
      </c>
      <c r="AV32" s="39">
        <f t="shared" si="1"/>
        <v>0</v>
      </c>
      <c r="AW32" s="39">
        <f t="shared" si="1"/>
        <v>0</v>
      </c>
      <c r="AX32" s="39">
        <f t="shared" si="1"/>
        <v>0</v>
      </c>
      <c r="AY32" s="39">
        <f t="shared" si="1"/>
        <v>0</v>
      </c>
      <c r="AZ32" s="39">
        <f t="shared" si="1"/>
        <v>0</v>
      </c>
      <c r="BA32" s="39">
        <f t="shared" si="1"/>
        <v>0</v>
      </c>
      <c r="BB32" s="39">
        <f t="shared" si="1"/>
        <v>0</v>
      </c>
      <c r="BC32" s="39">
        <f t="shared" si="1"/>
        <v>13981.4</v>
      </c>
      <c r="BD32" s="39">
        <f t="shared" si="1"/>
        <v>0</v>
      </c>
      <c r="BE32" s="39">
        <f t="shared" si="1"/>
        <v>8278</v>
      </c>
      <c r="BF32" s="39">
        <f t="shared" si="1"/>
        <v>11555278</v>
      </c>
      <c r="BG32" s="39">
        <f t="shared" si="1"/>
        <v>0</v>
      </c>
      <c r="BH32" s="39">
        <f t="shared" si="1"/>
        <v>0</v>
      </c>
      <c r="BI32" s="39">
        <f t="shared" si="1"/>
        <v>0</v>
      </c>
      <c r="BJ32" s="39">
        <f t="shared" si="1"/>
        <v>0</v>
      </c>
      <c r="BK32" s="39">
        <f t="shared" si="1"/>
        <v>0</v>
      </c>
      <c r="BL32" s="39">
        <f t="shared" si="1"/>
        <v>0</v>
      </c>
      <c r="BM32" s="39">
        <f t="shared" si="1"/>
        <v>0</v>
      </c>
      <c r="BN32" s="39">
        <f t="shared" si="1"/>
        <v>0</v>
      </c>
      <c r="BO32" s="39">
        <f t="shared" si="1"/>
        <v>0</v>
      </c>
      <c r="BP32" s="39">
        <f t="shared" si="1"/>
        <v>0</v>
      </c>
    </row>
    <row r="33" spans="5:68" x14ac:dyDescent="0.25"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</row>
    <row r="34" spans="5:68" x14ac:dyDescent="0.25"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</row>
    <row r="35" spans="5:68" x14ac:dyDescent="0.25"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</row>
    <row r="36" spans="5:68" x14ac:dyDescent="0.25"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</row>
    <row r="37" spans="5:68" x14ac:dyDescent="0.25"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</row>
    <row r="38" spans="5:68" x14ac:dyDescent="0.25"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</row>
    <row r="39" spans="5:68" x14ac:dyDescent="0.25"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</row>
    <row r="40" spans="5:68" x14ac:dyDescent="0.25"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</row>
    <row r="41" spans="5:68" x14ac:dyDescent="0.25"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</row>
    <row r="42" spans="5:68" x14ac:dyDescent="0.25"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</row>
    <row r="43" spans="5:68" x14ac:dyDescent="0.25"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</row>
    <row r="44" spans="5:68" x14ac:dyDescent="0.25"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</row>
    <row r="45" spans="5:68" x14ac:dyDescent="0.25"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</row>
    <row r="46" spans="5:68" x14ac:dyDescent="0.25"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</row>
    <row r="47" spans="5:68" x14ac:dyDescent="0.25"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</row>
    <row r="48" spans="5:68" x14ac:dyDescent="0.25"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</row>
    <row r="49" spans="5:68" x14ac:dyDescent="0.25"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L38" activePane="bottomRight" state="frozen"/>
      <selection pane="topRight" activeCell="E1" sqref="E1"/>
      <selection pane="bottomLeft" activeCell="A11" sqref="A11"/>
      <selection pane="bottomRight" activeCell="O42" sqref="O42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6" width="14.28515625" style="34" customWidth="1"/>
    <col min="7" max="7" width="9.5703125" style="34" customWidth="1"/>
    <col min="8" max="8" width="9.42578125" style="34" customWidth="1"/>
    <col min="9" max="9" width="10" style="34" customWidth="1"/>
    <col min="10" max="68" width="14.28515625" style="34" customWidth="1"/>
  </cols>
  <sheetData>
    <row r="6" spans="1:68" s="6" customFormat="1" ht="19.5" thickBot="1" x14ac:dyDescent="0.35">
      <c r="B6" s="6" t="s">
        <v>71</v>
      </c>
      <c r="C6" s="1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 spans="1:68" s="4" customFormat="1" ht="16.5" thickBot="1" x14ac:dyDescent="0.3">
      <c r="A7" s="8"/>
      <c r="B7" s="71" t="s">
        <v>72</v>
      </c>
      <c r="C7" s="72"/>
      <c r="D7" s="72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</row>
    <row r="8" spans="1:68" s="7" customFormat="1" ht="15.75" customHeight="1" x14ac:dyDescent="0.25">
      <c r="A8" s="24"/>
      <c r="B8" s="73" t="s">
        <v>73</v>
      </c>
      <c r="C8" s="76" t="s">
        <v>74</v>
      </c>
      <c r="D8" s="79" t="s">
        <v>75</v>
      </c>
      <c r="E8" s="69" t="s">
        <v>76</v>
      </c>
      <c r="F8" s="69"/>
      <c r="G8" s="70" t="s">
        <v>77</v>
      </c>
      <c r="H8" s="70"/>
      <c r="I8" s="70"/>
      <c r="J8" s="70"/>
      <c r="K8" s="70"/>
      <c r="L8" s="70"/>
      <c r="M8" s="69" t="s">
        <v>78</v>
      </c>
      <c r="N8" s="69"/>
      <c r="O8" s="69"/>
      <c r="P8" s="69"/>
      <c r="Q8" s="69"/>
      <c r="R8" s="69"/>
      <c r="S8" s="69"/>
      <c r="T8" s="69"/>
      <c r="U8" s="81" t="s">
        <v>79</v>
      </c>
      <c r="V8" s="81"/>
      <c r="W8" s="81"/>
      <c r="X8" s="81"/>
      <c r="Y8" s="66" t="s">
        <v>80</v>
      </c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7" t="s">
        <v>81</v>
      </c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8" t="s">
        <v>82</v>
      </c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</row>
    <row r="9" spans="1:68" s="25" customFormat="1" ht="15" customHeight="1" x14ac:dyDescent="0.25">
      <c r="A9" s="7"/>
      <c r="B9" s="74"/>
      <c r="C9" s="77"/>
      <c r="D9" s="80"/>
      <c r="E9" s="69"/>
      <c r="F9" s="69"/>
      <c r="G9" s="70"/>
      <c r="H9" s="70"/>
      <c r="I9" s="70"/>
      <c r="J9" s="70"/>
      <c r="K9" s="70"/>
      <c r="L9" s="70"/>
      <c r="M9" s="69"/>
      <c r="N9" s="69"/>
      <c r="O9" s="69"/>
      <c r="P9" s="69"/>
      <c r="Q9" s="69"/>
      <c r="R9" s="69"/>
      <c r="S9" s="69"/>
      <c r="T9" s="69"/>
      <c r="U9" s="81"/>
      <c r="V9" s="81"/>
      <c r="W9" s="81"/>
      <c r="X9" s="81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</row>
    <row r="10" spans="1:68" s="25" customFormat="1" ht="61.5" customHeight="1" thickBot="1" x14ac:dyDescent="0.3">
      <c r="A10" s="7"/>
      <c r="B10" s="75"/>
      <c r="C10" s="78"/>
      <c r="D10" s="80"/>
      <c r="E10" s="29" t="s">
        <v>69</v>
      </c>
      <c r="F10" s="29" t="s">
        <v>70</v>
      </c>
      <c r="G10" s="29" t="s">
        <v>47</v>
      </c>
      <c r="H10" s="29" t="s">
        <v>48</v>
      </c>
      <c r="I10" s="29" t="s">
        <v>5</v>
      </c>
      <c r="J10" s="29" t="s">
        <v>6</v>
      </c>
      <c r="K10" s="29" t="s">
        <v>7</v>
      </c>
      <c r="L10" s="29" t="s">
        <v>8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25">
      <c r="A11" s="7"/>
      <c r="B11" s="11"/>
      <c r="C11" s="12"/>
      <c r="D11" s="23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</row>
    <row r="12" spans="1:68" x14ac:dyDescent="0.25">
      <c r="A12" s="9"/>
      <c r="B12" s="26">
        <v>1</v>
      </c>
      <c r="C12" s="53">
        <v>14</v>
      </c>
      <c r="D12" s="54">
        <v>80</v>
      </c>
      <c r="E12" s="39">
        <v>15.299999999999999</v>
      </c>
      <c r="F12" s="40">
        <v>0</v>
      </c>
      <c r="G12" s="39">
        <v>9.6999999999999993</v>
      </c>
      <c r="H12" s="39">
        <v>0</v>
      </c>
      <c r="I12" s="39">
        <v>3.2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58">
        <v>3.2</v>
      </c>
      <c r="P12" s="39">
        <v>0</v>
      </c>
      <c r="Q12" s="37"/>
      <c r="R12" s="39">
        <v>0</v>
      </c>
      <c r="S12" s="38">
        <v>0</v>
      </c>
      <c r="T12" s="39">
        <v>0</v>
      </c>
      <c r="U12" s="59">
        <v>9.1999999999999993</v>
      </c>
      <c r="V12" s="39">
        <v>0</v>
      </c>
      <c r="W12" s="39">
        <v>0</v>
      </c>
      <c r="X12" s="39">
        <v>0</v>
      </c>
      <c r="Y12" s="38">
        <v>235</v>
      </c>
      <c r="Z12" s="39">
        <v>11555278</v>
      </c>
      <c r="AA12" s="37">
        <v>0</v>
      </c>
      <c r="AB12" s="39">
        <v>0</v>
      </c>
      <c r="AC12" s="37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7">
        <v>994</v>
      </c>
      <c r="AJ12" s="39">
        <v>0</v>
      </c>
      <c r="AK12" s="37"/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39">
        <v>0</v>
      </c>
      <c r="AV12" s="39">
        <v>0</v>
      </c>
      <c r="AW12" s="39">
        <v>0</v>
      </c>
      <c r="AX12" s="39">
        <v>0</v>
      </c>
      <c r="AY12" s="39">
        <v>0</v>
      </c>
      <c r="AZ12" s="39">
        <v>0</v>
      </c>
      <c r="BA12" s="39">
        <v>0</v>
      </c>
      <c r="BB12" s="39">
        <v>0</v>
      </c>
      <c r="BC12" s="39">
        <v>0</v>
      </c>
      <c r="BD12" s="39">
        <v>0</v>
      </c>
      <c r="BE12" s="39">
        <v>0</v>
      </c>
      <c r="BF12" s="39">
        <v>0</v>
      </c>
      <c r="BG12" s="39">
        <v>0</v>
      </c>
      <c r="BH12" s="39">
        <v>0</v>
      </c>
      <c r="BI12" s="39">
        <v>0</v>
      </c>
      <c r="BJ12" s="39">
        <v>0</v>
      </c>
      <c r="BK12" s="39">
        <v>0</v>
      </c>
      <c r="BL12" s="39">
        <v>0</v>
      </c>
      <c r="BM12" s="39">
        <v>0</v>
      </c>
      <c r="BN12" s="39">
        <v>0</v>
      </c>
      <c r="BO12" s="39">
        <v>0</v>
      </c>
      <c r="BP12" s="39">
        <v>0</v>
      </c>
    </row>
    <row r="13" spans="1:68" x14ac:dyDescent="0.25">
      <c r="A13" s="9"/>
      <c r="B13" s="26">
        <v>2</v>
      </c>
      <c r="C13" s="55">
        <v>16</v>
      </c>
      <c r="D13" s="56">
        <v>80</v>
      </c>
      <c r="E13" s="39">
        <v>14.3</v>
      </c>
      <c r="F13" s="40">
        <v>0</v>
      </c>
      <c r="G13" s="39">
        <v>10.8</v>
      </c>
      <c r="H13" s="39">
        <v>0</v>
      </c>
      <c r="I13" s="39">
        <v>3.5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58">
        <v>2.6</v>
      </c>
      <c r="P13" s="39">
        <v>0</v>
      </c>
      <c r="Q13" s="38"/>
      <c r="R13" s="39">
        <v>0</v>
      </c>
      <c r="S13" s="38">
        <v>0</v>
      </c>
      <c r="T13" s="39">
        <v>0</v>
      </c>
      <c r="U13" s="59">
        <v>9.3000000000000007</v>
      </c>
      <c r="V13" s="39">
        <v>0</v>
      </c>
      <c r="W13" s="39">
        <v>0</v>
      </c>
      <c r="X13" s="39">
        <v>0</v>
      </c>
      <c r="Y13" s="38">
        <v>260</v>
      </c>
      <c r="Z13" s="39">
        <v>0</v>
      </c>
      <c r="AA13" s="37">
        <v>0</v>
      </c>
      <c r="AB13" s="39">
        <v>0</v>
      </c>
      <c r="AC13" s="37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7">
        <v>224</v>
      </c>
      <c r="AJ13" s="39">
        <v>0</v>
      </c>
      <c r="AK13" s="37"/>
      <c r="AL13" s="39">
        <v>0</v>
      </c>
      <c r="AM13" s="39">
        <v>0</v>
      </c>
      <c r="AN13" s="39">
        <v>0</v>
      </c>
      <c r="AO13" s="39">
        <v>0</v>
      </c>
      <c r="AP13" s="39">
        <v>0</v>
      </c>
      <c r="AQ13" s="39">
        <v>0</v>
      </c>
      <c r="AR13" s="39">
        <v>0</v>
      </c>
      <c r="AS13" s="39">
        <v>0</v>
      </c>
      <c r="AT13" s="39">
        <v>0</v>
      </c>
      <c r="AU13" s="39">
        <v>0</v>
      </c>
      <c r="AV13" s="39">
        <v>0</v>
      </c>
      <c r="AW13" s="39">
        <v>0</v>
      </c>
      <c r="AX13" s="39">
        <v>0</v>
      </c>
      <c r="AY13" s="39">
        <v>0</v>
      </c>
      <c r="AZ13" s="39">
        <v>0</v>
      </c>
      <c r="BA13" s="39">
        <v>0</v>
      </c>
      <c r="BB13" s="39">
        <v>0</v>
      </c>
      <c r="BC13" s="39">
        <v>0</v>
      </c>
      <c r="BD13" s="39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>
        <v>0</v>
      </c>
    </row>
    <row r="14" spans="1:68" x14ac:dyDescent="0.25">
      <c r="A14" s="9"/>
      <c r="B14" s="26">
        <v>3</v>
      </c>
      <c r="C14" s="55">
        <v>15</v>
      </c>
      <c r="D14" s="56">
        <v>82</v>
      </c>
      <c r="E14" s="39">
        <v>16.600000000000001</v>
      </c>
      <c r="F14" s="40">
        <v>0</v>
      </c>
      <c r="G14" s="39">
        <v>11.7</v>
      </c>
      <c r="H14" s="39">
        <v>0</v>
      </c>
      <c r="I14" s="39">
        <v>2.6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58">
        <v>3.5</v>
      </c>
      <c r="P14" s="39">
        <v>0</v>
      </c>
      <c r="Q14" s="38"/>
      <c r="R14" s="39">
        <v>0</v>
      </c>
      <c r="S14" s="38">
        <v>0</v>
      </c>
      <c r="T14" s="39">
        <v>0</v>
      </c>
      <c r="U14" s="59">
        <v>10.5</v>
      </c>
      <c r="V14" s="39">
        <v>0</v>
      </c>
      <c r="W14" s="39">
        <v>0</v>
      </c>
      <c r="X14" s="39">
        <v>0</v>
      </c>
      <c r="Y14" s="38">
        <v>175</v>
      </c>
      <c r="Z14" s="39">
        <v>0</v>
      </c>
      <c r="AA14" s="37">
        <v>0</v>
      </c>
      <c r="AB14" s="39">
        <v>0</v>
      </c>
      <c r="AC14" s="37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7">
        <v>257.60000000000002</v>
      </c>
      <c r="AJ14" s="39">
        <v>0</v>
      </c>
      <c r="AK14" s="37"/>
      <c r="AL14" s="39">
        <v>0</v>
      </c>
      <c r="AM14" s="39">
        <v>0</v>
      </c>
      <c r="AN14" s="39">
        <v>0</v>
      </c>
      <c r="AO14" s="39">
        <v>0</v>
      </c>
      <c r="AP14" s="39">
        <v>0</v>
      </c>
      <c r="AQ14" s="39">
        <v>0</v>
      </c>
      <c r="AR14" s="39">
        <v>0</v>
      </c>
      <c r="AS14" s="39">
        <v>0</v>
      </c>
      <c r="AT14" s="39">
        <v>0</v>
      </c>
      <c r="AU14" s="39">
        <v>0</v>
      </c>
      <c r="AV14" s="39">
        <v>0</v>
      </c>
      <c r="AW14" s="39">
        <v>0</v>
      </c>
      <c r="AX14" s="39">
        <v>0</v>
      </c>
      <c r="AY14" s="39">
        <v>0</v>
      </c>
      <c r="AZ14" s="39">
        <v>0</v>
      </c>
      <c r="BA14" s="39">
        <v>0</v>
      </c>
      <c r="BB14" s="39">
        <v>0</v>
      </c>
      <c r="BC14" s="39">
        <v>0</v>
      </c>
      <c r="BD14" s="39">
        <v>0</v>
      </c>
      <c r="BE14" s="39">
        <v>0</v>
      </c>
      <c r="BF14" s="39">
        <v>0</v>
      </c>
      <c r="BG14" s="39">
        <v>0</v>
      </c>
      <c r="BH14" s="39">
        <v>0</v>
      </c>
      <c r="BI14" s="39">
        <v>0</v>
      </c>
      <c r="BJ14" s="39">
        <v>0</v>
      </c>
      <c r="BK14" s="39">
        <v>0</v>
      </c>
      <c r="BL14" s="39">
        <v>0</v>
      </c>
      <c r="BM14" s="39">
        <v>0</v>
      </c>
      <c r="BN14" s="39">
        <v>0</v>
      </c>
      <c r="BO14" s="39">
        <v>0</v>
      </c>
      <c r="BP14" s="39">
        <v>0</v>
      </c>
    </row>
    <row r="15" spans="1:68" x14ac:dyDescent="0.25">
      <c r="A15" s="9"/>
      <c r="B15" s="26">
        <v>4</v>
      </c>
      <c r="C15" s="55">
        <v>18</v>
      </c>
      <c r="D15" s="56">
        <v>108</v>
      </c>
      <c r="E15" s="39">
        <v>17.7</v>
      </c>
      <c r="F15" s="40">
        <v>0</v>
      </c>
      <c r="G15" s="39">
        <v>12.8</v>
      </c>
      <c r="H15" s="39">
        <v>0</v>
      </c>
      <c r="I15" s="39">
        <v>2.1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58">
        <v>4.0999999999999996</v>
      </c>
      <c r="P15" s="39">
        <v>0</v>
      </c>
      <c r="Q15" s="37"/>
      <c r="R15" s="39">
        <v>0</v>
      </c>
      <c r="S15" s="38">
        <v>0</v>
      </c>
      <c r="T15" s="39">
        <v>0</v>
      </c>
      <c r="U15" s="59">
        <v>10.4</v>
      </c>
      <c r="V15" s="39">
        <v>0</v>
      </c>
      <c r="W15" s="39">
        <v>0</v>
      </c>
      <c r="X15" s="39">
        <v>0</v>
      </c>
      <c r="Y15" s="38">
        <v>295</v>
      </c>
      <c r="Z15" s="39">
        <v>0</v>
      </c>
      <c r="AA15" s="37">
        <v>0</v>
      </c>
      <c r="AB15" s="39">
        <v>0</v>
      </c>
      <c r="AC15" s="37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7">
        <v>859.6</v>
      </c>
      <c r="AJ15" s="39">
        <v>0</v>
      </c>
      <c r="AK15" s="37"/>
      <c r="AL15" s="39">
        <v>0</v>
      </c>
      <c r="AM15" s="39">
        <v>0</v>
      </c>
      <c r="AN15" s="39">
        <v>0</v>
      </c>
      <c r="AO15" s="39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0</v>
      </c>
      <c r="AU15" s="39">
        <v>0</v>
      </c>
      <c r="AV15" s="39">
        <v>0</v>
      </c>
      <c r="AW15" s="39">
        <v>0</v>
      </c>
      <c r="AX15" s="39">
        <v>0</v>
      </c>
      <c r="AY15" s="39">
        <v>0</v>
      </c>
      <c r="AZ15" s="39">
        <v>0</v>
      </c>
      <c r="BA15" s="39">
        <v>0</v>
      </c>
      <c r="BB15" s="39">
        <v>0</v>
      </c>
      <c r="BC15" s="39">
        <v>0</v>
      </c>
      <c r="BD15" s="39">
        <v>0</v>
      </c>
      <c r="BE15" s="39">
        <v>0</v>
      </c>
      <c r="BF15" s="39">
        <v>0</v>
      </c>
      <c r="BG15" s="39">
        <v>0</v>
      </c>
      <c r="BH15" s="39">
        <v>0</v>
      </c>
      <c r="BI15" s="39">
        <v>0</v>
      </c>
      <c r="BJ15" s="39">
        <v>0</v>
      </c>
      <c r="BK15" s="39">
        <v>0</v>
      </c>
      <c r="BL15" s="39">
        <v>0</v>
      </c>
      <c r="BM15" s="39">
        <v>0</v>
      </c>
      <c r="BN15" s="39">
        <v>0</v>
      </c>
      <c r="BO15" s="39">
        <v>0</v>
      </c>
      <c r="BP15" s="39">
        <v>0</v>
      </c>
    </row>
    <row r="16" spans="1:68" x14ac:dyDescent="0.25">
      <c r="A16" s="9"/>
      <c r="B16" s="26">
        <v>5</v>
      </c>
      <c r="C16" s="55">
        <v>16</v>
      </c>
      <c r="D16" s="56">
        <v>112</v>
      </c>
      <c r="E16" s="39">
        <v>16.299999999999997</v>
      </c>
      <c r="F16" s="40">
        <v>0</v>
      </c>
      <c r="G16" s="39">
        <v>14.399999999999999</v>
      </c>
      <c r="H16" s="39">
        <v>0</v>
      </c>
      <c r="I16" s="39">
        <v>2.2999999999999998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58">
        <v>5.5</v>
      </c>
      <c r="P16" s="39">
        <v>0</v>
      </c>
      <c r="Q16" s="38"/>
      <c r="R16" s="39">
        <v>0</v>
      </c>
      <c r="S16" s="38">
        <v>0</v>
      </c>
      <c r="T16" s="39">
        <v>0</v>
      </c>
      <c r="U16" s="59">
        <v>10.199999999999999</v>
      </c>
      <c r="V16" s="39">
        <v>0</v>
      </c>
      <c r="W16" s="39">
        <v>0</v>
      </c>
      <c r="X16" s="39">
        <v>0</v>
      </c>
      <c r="Y16" s="38">
        <v>260</v>
      </c>
      <c r="Z16" s="39">
        <v>0</v>
      </c>
      <c r="AA16" s="37">
        <v>0</v>
      </c>
      <c r="AB16" s="39">
        <v>0</v>
      </c>
      <c r="AC16" s="37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8">
        <v>571.20000000000005</v>
      </c>
      <c r="AJ16" s="39">
        <v>0</v>
      </c>
      <c r="AK16" s="37"/>
      <c r="AL16" s="39">
        <v>0</v>
      </c>
      <c r="AM16" s="39">
        <v>0</v>
      </c>
      <c r="AN16" s="39">
        <v>0</v>
      </c>
      <c r="AO16" s="39">
        <v>0</v>
      </c>
      <c r="AP16" s="39">
        <v>0</v>
      </c>
      <c r="AQ16" s="39">
        <v>0</v>
      </c>
      <c r="AR16" s="39">
        <v>0</v>
      </c>
      <c r="AS16" s="39">
        <v>0</v>
      </c>
      <c r="AT16" s="39">
        <v>0</v>
      </c>
      <c r="AU16" s="39">
        <v>0</v>
      </c>
      <c r="AV16" s="39">
        <v>0</v>
      </c>
      <c r="AW16" s="39">
        <v>0</v>
      </c>
      <c r="AX16" s="39">
        <v>0</v>
      </c>
      <c r="AY16" s="39">
        <v>0</v>
      </c>
      <c r="AZ16" s="39">
        <v>0</v>
      </c>
      <c r="BA16" s="39">
        <v>0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  <c r="BH16" s="39">
        <v>0</v>
      </c>
      <c r="BI16" s="39">
        <v>0</v>
      </c>
      <c r="BJ16" s="39">
        <v>0</v>
      </c>
      <c r="BK16" s="39">
        <v>0</v>
      </c>
      <c r="BL16" s="39">
        <v>0</v>
      </c>
      <c r="BM16" s="39">
        <v>0</v>
      </c>
      <c r="BN16" s="39">
        <v>0</v>
      </c>
      <c r="BO16" s="39">
        <v>0</v>
      </c>
      <c r="BP16" s="39">
        <v>0</v>
      </c>
    </row>
    <row r="17" spans="1:68" x14ac:dyDescent="0.25">
      <c r="A17" s="9"/>
      <c r="B17" s="26">
        <v>6</v>
      </c>
      <c r="C17" s="55">
        <v>12</v>
      </c>
      <c r="D17" s="56">
        <v>76</v>
      </c>
      <c r="E17" s="39">
        <v>18.600000000000001</v>
      </c>
      <c r="F17" s="40">
        <v>0</v>
      </c>
      <c r="G17" s="39">
        <v>14.2</v>
      </c>
      <c r="H17" s="39">
        <v>0</v>
      </c>
      <c r="I17" s="39">
        <v>2.5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58">
        <v>3.5</v>
      </c>
      <c r="P17" s="39">
        <v>0</v>
      </c>
      <c r="Q17" s="38"/>
      <c r="R17" s="39">
        <v>0</v>
      </c>
      <c r="S17" s="38">
        <v>0</v>
      </c>
      <c r="T17" s="39">
        <v>0</v>
      </c>
      <c r="U17" s="59">
        <v>6.3</v>
      </c>
      <c r="V17" s="39">
        <v>0</v>
      </c>
      <c r="W17" s="39">
        <v>0</v>
      </c>
      <c r="X17" s="39">
        <v>0</v>
      </c>
      <c r="Y17" s="37">
        <v>250</v>
      </c>
      <c r="Z17" s="39">
        <v>0</v>
      </c>
      <c r="AA17" s="37">
        <v>0</v>
      </c>
      <c r="AB17" s="39">
        <v>0</v>
      </c>
      <c r="AC17" s="37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38">
        <v>817.6</v>
      </c>
      <c r="AJ17" s="39">
        <v>0</v>
      </c>
      <c r="AK17" s="38"/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9">
        <v>0</v>
      </c>
      <c r="AT17" s="39">
        <v>0</v>
      </c>
      <c r="AU17" s="39">
        <v>0</v>
      </c>
      <c r="AV17" s="39">
        <v>0</v>
      </c>
      <c r="AW17" s="39">
        <v>0</v>
      </c>
      <c r="AX17" s="39">
        <v>0</v>
      </c>
      <c r="AY17" s="39">
        <v>0</v>
      </c>
      <c r="AZ17" s="39">
        <v>0</v>
      </c>
      <c r="BA17" s="39">
        <v>0</v>
      </c>
      <c r="BB17" s="39">
        <v>0</v>
      </c>
      <c r="BC17" s="39">
        <v>0</v>
      </c>
      <c r="BD17" s="39">
        <v>0</v>
      </c>
      <c r="BE17" s="39">
        <v>0</v>
      </c>
      <c r="BF17" s="39">
        <v>0</v>
      </c>
      <c r="BG17" s="39">
        <v>0</v>
      </c>
      <c r="BH17" s="39">
        <v>0</v>
      </c>
      <c r="BI17" s="39">
        <v>0</v>
      </c>
      <c r="BJ17" s="39">
        <v>0</v>
      </c>
      <c r="BK17" s="39">
        <v>0</v>
      </c>
      <c r="BL17" s="39">
        <v>0</v>
      </c>
      <c r="BM17" s="39">
        <v>0</v>
      </c>
      <c r="BN17" s="39">
        <v>0</v>
      </c>
      <c r="BO17" s="39">
        <v>0</v>
      </c>
      <c r="BP17" s="39">
        <v>0</v>
      </c>
    </row>
    <row r="18" spans="1:68" x14ac:dyDescent="0.25">
      <c r="A18" s="9"/>
      <c r="B18" s="26">
        <v>7</v>
      </c>
      <c r="C18" s="55">
        <v>14</v>
      </c>
      <c r="D18" s="56">
        <v>90</v>
      </c>
      <c r="E18" s="39">
        <v>18.2</v>
      </c>
      <c r="F18" s="40">
        <v>0</v>
      </c>
      <c r="G18" s="39">
        <v>12.600000000000001</v>
      </c>
      <c r="H18" s="39">
        <v>0</v>
      </c>
      <c r="I18" s="39">
        <v>2.4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58">
        <v>4.0999999999999996</v>
      </c>
      <c r="P18" s="39">
        <v>0</v>
      </c>
      <c r="Q18" s="38"/>
      <c r="R18" s="39">
        <v>0</v>
      </c>
      <c r="S18" s="38">
        <v>0</v>
      </c>
      <c r="T18" s="39">
        <v>0</v>
      </c>
      <c r="U18" s="59">
        <v>6.5</v>
      </c>
      <c r="V18" s="39">
        <v>0</v>
      </c>
      <c r="W18" s="39">
        <v>0</v>
      </c>
      <c r="X18" s="39">
        <v>0</v>
      </c>
      <c r="Y18" s="37">
        <v>275</v>
      </c>
      <c r="Z18" s="39">
        <v>0</v>
      </c>
      <c r="AA18" s="37">
        <v>0</v>
      </c>
      <c r="AB18" s="39">
        <v>0</v>
      </c>
      <c r="AC18" s="37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8">
        <v>588</v>
      </c>
      <c r="AJ18" s="39">
        <v>0</v>
      </c>
      <c r="AK18" s="38"/>
      <c r="AL18" s="39">
        <v>0</v>
      </c>
      <c r="AM18" s="39">
        <v>0</v>
      </c>
      <c r="AN18" s="39">
        <v>0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0</v>
      </c>
      <c r="AV18" s="39">
        <v>0</v>
      </c>
      <c r="AW18" s="39">
        <v>0</v>
      </c>
      <c r="AX18" s="39">
        <v>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0</v>
      </c>
      <c r="BE18" s="39">
        <v>0</v>
      </c>
      <c r="BF18" s="39">
        <v>0</v>
      </c>
      <c r="BG18" s="39">
        <v>0</v>
      </c>
      <c r="BH18" s="39">
        <v>0</v>
      </c>
      <c r="BI18" s="39">
        <v>0</v>
      </c>
      <c r="BJ18" s="39">
        <v>0</v>
      </c>
      <c r="BK18" s="39">
        <v>0</v>
      </c>
      <c r="BL18" s="39">
        <v>0</v>
      </c>
      <c r="BM18" s="39">
        <v>0</v>
      </c>
      <c r="BN18" s="39">
        <v>0</v>
      </c>
      <c r="BO18" s="39">
        <v>0</v>
      </c>
      <c r="BP18" s="39">
        <v>0</v>
      </c>
    </row>
    <row r="19" spans="1:68" x14ac:dyDescent="0.25">
      <c r="A19" s="9"/>
      <c r="B19" s="26">
        <v>8</v>
      </c>
      <c r="C19" s="55">
        <v>19</v>
      </c>
      <c r="D19" s="56">
        <v>105</v>
      </c>
      <c r="E19" s="39">
        <v>16.7</v>
      </c>
      <c r="F19" s="40">
        <v>0</v>
      </c>
      <c r="G19" s="39">
        <v>12</v>
      </c>
      <c r="H19" s="39">
        <v>0</v>
      </c>
      <c r="I19" s="39">
        <v>3.5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58">
        <v>4.2</v>
      </c>
      <c r="P19" s="39">
        <v>0</v>
      </c>
      <c r="Q19" s="38"/>
      <c r="R19" s="39">
        <v>0</v>
      </c>
      <c r="S19" s="38">
        <v>0</v>
      </c>
      <c r="T19" s="39">
        <v>0</v>
      </c>
      <c r="U19" s="59">
        <v>6.8</v>
      </c>
      <c r="V19" s="39">
        <v>0</v>
      </c>
      <c r="W19" s="39">
        <v>0</v>
      </c>
      <c r="X19" s="39">
        <v>0</v>
      </c>
      <c r="Y19" s="37">
        <v>246</v>
      </c>
      <c r="Z19" s="39">
        <v>0</v>
      </c>
      <c r="AA19" s="37">
        <v>0</v>
      </c>
      <c r="AB19" s="39">
        <v>0</v>
      </c>
      <c r="AC19" s="37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8">
        <v>324.8</v>
      </c>
      <c r="AJ19" s="39">
        <v>0</v>
      </c>
      <c r="AK19" s="38"/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0</v>
      </c>
      <c r="AR19" s="39">
        <v>0</v>
      </c>
      <c r="AS19" s="39">
        <v>0</v>
      </c>
      <c r="AT19" s="39">
        <v>0</v>
      </c>
      <c r="AU19" s="39">
        <v>0</v>
      </c>
      <c r="AV19" s="39">
        <v>0</v>
      </c>
      <c r="AW19" s="39">
        <v>0</v>
      </c>
      <c r="AX19" s="39">
        <v>0</v>
      </c>
      <c r="AY19" s="39">
        <v>0</v>
      </c>
      <c r="AZ19" s="39">
        <v>0</v>
      </c>
      <c r="BA19" s="39">
        <v>0</v>
      </c>
      <c r="BB19" s="39">
        <v>0</v>
      </c>
      <c r="BC19" s="39">
        <v>0</v>
      </c>
      <c r="BD19" s="39">
        <v>0</v>
      </c>
      <c r="BE19" s="39">
        <v>0</v>
      </c>
      <c r="BF19" s="39">
        <v>0</v>
      </c>
      <c r="BG19" s="39">
        <v>0</v>
      </c>
      <c r="BH19" s="39">
        <v>0</v>
      </c>
      <c r="BI19" s="39">
        <v>0</v>
      </c>
      <c r="BJ19" s="39">
        <v>0</v>
      </c>
      <c r="BK19" s="39">
        <v>0</v>
      </c>
      <c r="BL19" s="39">
        <v>0</v>
      </c>
      <c r="BM19" s="39">
        <v>0</v>
      </c>
      <c r="BN19" s="39">
        <v>0</v>
      </c>
      <c r="BO19" s="39">
        <v>0</v>
      </c>
      <c r="BP19" s="39">
        <v>0</v>
      </c>
    </row>
    <row r="20" spans="1:68" x14ac:dyDescent="0.25">
      <c r="A20" s="9"/>
      <c r="B20" s="26">
        <v>9</v>
      </c>
      <c r="C20" s="55">
        <v>24</v>
      </c>
      <c r="D20" s="56">
        <v>124</v>
      </c>
      <c r="E20" s="39">
        <v>16</v>
      </c>
      <c r="F20" s="40">
        <v>0</v>
      </c>
      <c r="G20" s="39">
        <v>9.9</v>
      </c>
      <c r="H20" s="39">
        <v>0</v>
      </c>
      <c r="I20" s="39">
        <v>3.4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58">
        <v>3.8</v>
      </c>
      <c r="P20" s="39">
        <v>0</v>
      </c>
      <c r="Q20" s="38"/>
      <c r="R20" s="39">
        <v>0</v>
      </c>
      <c r="S20" s="38">
        <v>0</v>
      </c>
      <c r="T20" s="39">
        <v>0</v>
      </c>
      <c r="U20" s="59">
        <v>7.2</v>
      </c>
      <c r="V20" s="39">
        <v>0</v>
      </c>
      <c r="W20" s="39">
        <v>0</v>
      </c>
      <c r="X20" s="39">
        <v>0</v>
      </c>
      <c r="Y20" s="37">
        <v>305</v>
      </c>
      <c r="Z20" s="39">
        <v>0</v>
      </c>
      <c r="AA20" s="37">
        <v>0</v>
      </c>
      <c r="AB20" s="39">
        <v>0</v>
      </c>
      <c r="AC20" s="37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8">
        <v>798</v>
      </c>
      <c r="AJ20" s="39">
        <v>0</v>
      </c>
      <c r="AK20" s="38"/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0</v>
      </c>
      <c r="AU20" s="39">
        <v>0</v>
      </c>
      <c r="AV20" s="39">
        <v>0</v>
      </c>
      <c r="AW20" s="39">
        <v>0</v>
      </c>
      <c r="AX20" s="39">
        <v>0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0</v>
      </c>
      <c r="BI20" s="39">
        <v>0</v>
      </c>
      <c r="BJ20" s="39">
        <v>0</v>
      </c>
      <c r="BK20" s="39">
        <v>0</v>
      </c>
      <c r="BL20" s="39">
        <v>0</v>
      </c>
      <c r="BM20" s="39">
        <v>0</v>
      </c>
      <c r="BN20" s="39">
        <v>0</v>
      </c>
      <c r="BO20" s="39">
        <v>0</v>
      </c>
      <c r="BP20" s="39">
        <v>0</v>
      </c>
    </row>
    <row r="21" spans="1:68" x14ac:dyDescent="0.25">
      <c r="A21" s="9"/>
      <c r="B21" s="26">
        <v>10</v>
      </c>
      <c r="C21" s="55">
        <v>29</v>
      </c>
      <c r="D21" s="56">
        <v>133</v>
      </c>
      <c r="E21" s="39">
        <v>14.399999999999999</v>
      </c>
      <c r="F21" s="40">
        <v>0</v>
      </c>
      <c r="G21" s="39">
        <v>15</v>
      </c>
      <c r="H21" s="39">
        <v>0</v>
      </c>
      <c r="I21" s="39">
        <v>3.5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58">
        <v>6.5</v>
      </c>
      <c r="P21" s="39">
        <v>0</v>
      </c>
      <c r="Q21" s="38"/>
      <c r="R21" s="39">
        <v>0</v>
      </c>
      <c r="S21" s="38">
        <v>0</v>
      </c>
      <c r="T21" s="39">
        <v>0</v>
      </c>
      <c r="U21" s="59">
        <v>7.3</v>
      </c>
      <c r="V21" s="39">
        <v>0</v>
      </c>
      <c r="W21" s="39">
        <v>0</v>
      </c>
      <c r="X21" s="39">
        <v>0</v>
      </c>
      <c r="Y21" s="37">
        <v>237</v>
      </c>
      <c r="Z21" s="39">
        <v>0</v>
      </c>
      <c r="AA21" s="37">
        <v>0</v>
      </c>
      <c r="AB21" s="39">
        <v>0</v>
      </c>
      <c r="AC21" s="37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8">
        <v>358.4</v>
      </c>
      <c r="AJ21" s="39">
        <v>0</v>
      </c>
      <c r="AK21" s="38"/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39">
        <v>0</v>
      </c>
      <c r="AV21" s="39">
        <v>0</v>
      </c>
      <c r="AW21" s="39">
        <v>0</v>
      </c>
      <c r="AX21" s="39">
        <v>0</v>
      </c>
      <c r="AY21" s="39">
        <v>0</v>
      </c>
      <c r="AZ21" s="39">
        <v>0</v>
      </c>
      <c r="BA21" s="39">
        <v>0</v>
      </c>
      <c r="BB21" s="39">
        <v>0</v>
      </c>
      <c r="BC21" s="39">
        <v>0</v>
      </c>
      <c r="BD21" s="39">
        <v>0</v>
      </c>
      <c r="BE21" s="39">
        <v>0</v>
      </c>
      <c r="BF21" s="39">
        <v>0</v>
      </c>
      <c r="BG21" s="39">
        <v>0</v>
      </c>
      <c r="BH21" s="39">
        <v>0</v>
      </c>
      <c r="BI21" s="39">
        <v>0</v>
      </c>
      <c r="BJ21" s="39">
        <v>0</v>
      </c>
      <c r="BK21" s="39">
        <v>0</v>
      </c>
      <c r="BL21" s="39">
        <v>0</v>
      </c>
      <c r="BM21" s="39">
        <v>0</v>
      </c>
      <c r="BN21" s="39">
        <v>0</v>
      </c>
      <c r="BO21" s="39">
        <v>0</v>
      </c>
      <c r="BP21" s="39">
        <v>0</v>
      </c>
    </row>
    <row r="22" spans="1:68" x14ac:dyDescent="0.25">
      <c r="A22" s="9"/>
      <c r="B22" s="26">
        <v>11</v>
      </c>
      <c r="C22" s="55">
        <v>24</v>
      </c>
      <c r="D22" s="56">
        <v>130</v>
      </c>
      <c r="E22" s="39">
        <v>13.4</v>
      </c>
      <c r="F22" s="40">
        <v>0</v>
      </c>
      <c r="G22" s="39">
        <v>14.7</v>
      </c>
      <c r="H22" s="39">
        <v>0</v>
      </c>
      <c r="I22" s="39">
        <v>4.0999999999999996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58">
        <v>3.1</v>
      </c>
      <c r="P22" s="39">
        <v>0</v>
      </c>
      <c r="Q22" s="38"/>
      <c r="R22" s="39">
        <v>0</v>
      </c>
      <c r="S22" s="38">
        <v>0</v>
      </c>
      <c r="T22" s="39">
        <v>0</v>
      </c>
      <c r="U22" s="59">
        <v>9.3000000000000007</v>
      </c>
      <c r="V22" s="39">
        <v>0</v>
      </c>
      <c r="W22" s="39">
        <v>0</v>
      </c>
      <c r="X22" s="39">
        <v>0</v>
      </c>
      <c r="Y22" s="37">
        <v>255</v>
      </c>
      <c r="Z22" s="39">
        <v>0</v>
      </c>
      <c r="AA22" s="37">
        <v>0</v>
      </c>
      <c r="AB22" s="39">
        <v>0</v>
      </c>
      <c r="AC22" s="37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8">
        <v>669.2</v>
      </c>
      <c r="AJ22" s="39">
        <v>0</v>
      </c>
      <c r="AK22" s="38"/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39">
        <v>0</v>
      </c>
      <c r="AX22" s="39">
        <v>0</v>
      </c>
      <c r="AY22" s="39">
        <v>0</v>
      </c>
      <c r="AZ22" s="39">
        <v>0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0</v>
      </c>
      <c r="BJ22" s="39">
        <v>0</v>
      </c>
      <c r="BK22" s="39">
        <v>0</v>
      </c>
      <c r="BL22" s="39">
        <v>0</v>
      </c>
      <c r="BM22" s="39">
        <v>0</v>
      </c>
      <c r="BN22" s="39">
        <v>0</v>
      </c>
      <c r="BO22" s="39">
        <v>0</v>
      </c>
      <c r="BP22" s="39">
        <v>0</v>
      </c>
    </row>
    <row r="23" spans="1:68" x14ac:dyDescent="0.25">
      <c r="A23" s="9"/>
      <c r="B23" s="26">
        <v>12</v>
      </c>
      <c r="C23" s="55">
        <v>23</v>
      </c>
      <c r="D23" s="56">
        <v>118</v>
      </c>
      <c r="E23" s="39">
        <v>12.7</v>
      </c>
      <c r="F23" s="40">
        <v>0</v>
      </c>
      <c r="G23" s="39">
        <v>15.700000000000001</v>
      </c>
      <c r="H23" s="39">
        <v>0</v>
      </c>
      <c r="I23" s="39">
        <v>4.2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58">
        <v>3.2</v>
      </c>
      <c r="P23" s="39">
        <v>0</v>
      </c>
      <c r="Q23" s="38"/>
      <c r="R23" s="39">
        <v>0</v>
      </c>
      <c r="S23" s="38">
        <v>0</v>
      </c>
      <c r="T23" s="39">
        <v>0</v>
      </c>
      <c r="U23" s="59">
        <v>10.5</v>
      </c>
      <c r="V23" s="39">
        <v>0</v>
      </c>
      <c r="W23" s="39">
        <v>0</v>
      </c>
      <c r="X23" s="39">
        <v>0</v>
      </c>
      <c r="Y23" s="37">
        <v>266</v>
      </c>
      <c r="Z23" s="39">
        <v>0</v>
      </c>
      <c r="AA23" s="37">
        <v>0</v>
      </c>
      <c r="AB23" s="39">
        <v>0</v>
      </c>
      <c r="AC23" s="37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38">
        <v>224</v>
      </c>
      <c r="AJ23" s="39">
        <v>0</v>
      </c>
      <c r="AK23" s="37"/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  <c r="BH23" s="39">
        <v>0</v>
      </c>
      <c r="BI23" s="39">
        <v>0</v>
      </c>
      <c r="BJ23" s="39">
        <v>0</v>
      </c>
      <c r="BK23" s="39">
        <v>0</v>
      </c>
      <c r="BL23" s="39">
        <v>0</v>
      </c>
      <c r="BM23" s="39">
        <v>0</v>
      </c>
      <c r="BN23" s="39">
        <v>0</v>
      </c>
      <c r="BO23" s="39">
        <v>0</v>
      </c>
      <c r="BP23" s="39">
        <v>0</v>
      </c>
    </row>
    <row r="24" spans="1:68" x14ac:dyDescent="0.25">
      <c r="A24" s="9"/>
      <c r="B24" s="26">
        <v>13</v>
      </c>
      <c r="C24" s="55">
        <v>33</v>
      </c>
      <c r="D24" s="56">
        <v>134</v>
      </c>
      <c r="E24" s="39">
        <v>13.9</v>
      </c>
      <c r="F24" s="40">
        <v>0</v>
      </c>
      <c r="G24" s="39">
        <v>14.2</v>
      </c>
      <c r="H24" s="39">
        <v>0</v>
      </c>
      <c r="I24" s="39">
        <v>4.8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58">
        <v>2.5</v>
      </c>
      <c r="P24" s="39">
        <v>0</v>
      </c>
      <c r="Q24" s="37"/>
      <c r="R24" s="39">
        <v>0</v>
      </c>
      <c r="S24" s="38">
        <v>0</v>
      </c>
      <c r="T24" s="39">
        <v>0</v>
      </c>
      <c r="U24" s="59">
        <v>9.6</v>
      </c>
      <c r="V24" s="39">
        <v>0</v>
      </c>
      <c r="W24" s="39">
        <v>0</v>
      </c>
      <c r="X24" s="39">
        <v>0</v>
      </c>
      <c r="Y24" s="37">
        <v>290</v>
      </c>
      <c r="Z24" s="39">
        <v>0</v>
      </c>
      <c r="AA24" s="37">
        <v>0</v>
      </c>
      <c r="AB24" s="39">
        <v>0</v>
      </c>
      <c r="AC24" s="37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8">
        <v>176.4</v>
      </c>
      <c r="AJ24" s="39">
        <v>0</v>
      </c>
      <c r="AK24" s="37"/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0</v>
      </c>
      <c r="AU24" s="39">
        <v>0</v>
      </c>
      <c r="AV24" s="39">
        <v>0</v>
      </c>
      <c r="AW24" s="39">
        <v>0</v>
      </c>
      <c r="AX24" s="39">
        <v>0</v>
      </c>
      <c r="AY24" s="39">
        <v>0</v>
      </c>
      <c r="AZ24" s="39">
        <v>0</v>
      </c>
      <c r="BA24" s="39">
        <v>0</v>
      </c>
      <c r="BB24" s="39">
        <v>0</v>
      </c>
      <c r="BC24" s="39">
        <v>0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0</v>
      </c>
      <c r="BJ24" s="39">
        <v>0</v>
      </c>
      <c r="BK24" s="39">
        <v>0</v>
      </c>
      <c r="BL24" s="39">
        <v>0</v>
      </c>
      <c r="BM24" s="39">
        <v>0</v>
      </c>
      <c r="BN24" s="39">
        <v>0</v>
      </c>
      <c r="BO24" s="39">
        <v>0</v>
      </c>
      <c r="BP24" s="39">
        <v>0</v>
      </c>
    </row>
    <row r="25" spans="1:68" x14ac:dyDescent="0.25">
      <c r="A25" s="9"/>
      <c r="B25" s="26">
        <v>14</v>
      </c>
      <c r="C25" s="55">
        <v>35</v>
      </c>
      <c r="D25" s="56">
        <v>159</v>
      </c>
      <c r="E25" s="39">
        <v>14.2</v>
      </c>
      <c r="F25" s="40">
        <v>0</v>
      </c>
      <c r="G25" s="39">
        <v>11.600000000000001</v>
      </c>
      <c r="H25" s="39">
        <v>0</v>
      </c>
      <c r="I25" s="39">
        <v>4.7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58">
        <v>4.5999999999999996</v>
      </c>
      <c r="P25" s="39">
        <v>0</v>
      </c>
      <c r="Q25" s="38"/>
      <c r="R25" s="39">
        <v>0</v>
      </c>
      <c r="S25" s="38">
        <v>0</v>
      </c>
      <c r="T25" s="39">
        <v>0</v>
      </c>
      <c r="U25" s="59">
        <v>9.1</v>
      </c>
      <c r="V25" s="39">
        <v>0</v>
      </c>
      <c r="W25" s="39">
        <v>0</v>
      </c>
      <c r="X25" s="39">
        <v>0</v>
      </c>
      <c r="Y25" s="37">
        <v>300</v>
      </c>
      <c r="Z25" s="39">
        <v>0</v>
      </c>
      <c r="AA25" s="37">
        <v>0</v>
      </c>
      <c r="AB25" s="39">
        <v>0</v>
      </c>
      <c r="AC25" s="37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8">
        <v>364</v>
      </c>
      <c r="AJ25" s="39">
        <v>0</v>
      </c>
      <c r="AK25" s="37"/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39">
        <v>0</v>
      </c>
      <c r="AW25" s="39">
        <v>0</v>
      </c>
      <c r="AX25" s="39">
        <v>0</v>
      </c>
      <c r="AY25" s="39">
        <v>0</v>
      </c>
      <c r="AZ25" s="39">
        <v>0</v>
      </c>
      <c r="BA25" s="39">
        <v>0</v>
      </c>
      <c r="BB25" s="39">
        <v>0</v>
      </c>
      <c r="BC25" s="39">
        <v>0</v>
      </c>
      <c r="BD25" s="39">
        <v>0</v>
      </c>
      <c r="BE25" s="39">
        <v>0</v>
      </c>
      <c r="BF25" s="39">
        <v>0</v>
      </c>
      <c r="BG25" s="39">
        <v>0</v>
      </c>
      <c r="BH25" s="39">
        <v>0</v>
      </c>
      <c r="BI25" s="39">
        <v>0</v>
      </c>
      <c r="BJ25" s="39">
        <v>0</v>
      </c>
      <c r="BK25" s="39">
        <v>0</v>
      </c>
      <c r="BL25" s="39">
        <v>0</v>
      </c>
      <c r="BM25" s="39">
        <v>0</v>
      </c>
      <c r="BN25" s="39">
        <v>0</v>
      </c>
      <c r="BO25" s="39">
        <v>0</v>
      </c>
      <c r="BP25" s="39">
        <v>0</v>
      </c>
    </row>
    <row r="26" spans="1:68" x14ac:dyDescent="0.25">
      <c r="A26" s="9"/>
      <c r="B26" s="26">
        <v>15</v>
      </c>
      <c r="C26" s="55">
        <v>37</v>
      </c>
      <c r="D26" s="56">
        <v>165</v>
      </c>
      <c r="E26" s="39">
        <v>16.299999999999997</v>
      </c>
      <c r="F26" s="40">
        <v>0</v>
      </c>
      <c r="G26" s="39">
        <v>12.9</v>
      </c>
      <c r="H26" s="39">
        <v>0</v>
      </c>
      <c r="I26" s="39">
        <v>5.0999999999999996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58">
        <v>2.2000000000000002</v>
      </c>
      <c r="P26" s="39">
        <v>0</v>
      </c>
      <c r="Q26" s="37"/>
      <c r="R26" s="39">
        <v>0</v>
      </c>
      <c r="S26" s="38">
        <v>0</v>
      </c>
      <c r="T26" s="39">
        <v>0</v>
      </c>
      <c r="U26" s="59">
        <v>8.5</v>
      </c>
      <c r="V26" s="39">
        <v>0</v>
      </c>
      <c r="W26" s="39">
        <v>0</v>
      </c>
      <c r="X26" s="39">
        <v>0</v>
      </c>
      <c r="Y26" s="37">
        <v>290</v>
      </c>
      <c r="Z26" s="39">
        <v>0</v>
      </c>
      <c r="AA26" s="37">
        <v>0</v>
      </c>
      <c r="AB26" s="39">
        <v>0</v>
      </c>
      <c r="AC26" s="37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8">
        <v>232.4</v>
      </c>
      <c r="AJ26" s="39">
        <v>0</v>
      </c>
      <c r="AK26" s="37"/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0</v>
      </c>
      <c r="AY26" s="39">
        <v>0</v>
      </c>
      <c r="AZ26" s="39">
        <v>0</v>
      </c>
      <c r="BA26" s="39">
        <v>0</v>
      </c>
      <c r="BB26" s="39">
        <v>0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39">
        <v>0</v>
      </c>
      <c r="BL26" s="39">
        <v>0</v>
      </c>
      <c r="BM26" s="39">
        <v>0</v>
      </c>
      <c r="BN26" s="39">
        <v>0</v>
      </c>
      <c r="BO26" s="39">
        <v>0</v>
      </c>
      <c r="BP26" s="39">
        <v>0</v>
      </c>
    </row>
    <row r="27" spans="1:68" x14ac:dyDescent="0.25">
      <c r="A27" s="9"/>
      <c r="B27" s="26">
        <v>16</v>
      </c>
      <c r="C27" s="55">
        <v>44</v>
      </c>
      <c r="D27" s="56">
        <v>158</v>
      </c>
      <c r="E27" s="39">
        <v>16.399999999999999</v>
      </c>
      <c r="F27" s="40">
        <v>0</v>
      </c>
      <c r="G27" s="39">
        <v>11.1</v>
      </c>
      <c r="H27" s="39">
        <v>0</v>
      </c>
      <c r="I27" s="39">
        <v>4.0999999999999996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58">
        <v>3.6</v>
      </c>
      <c r="P27" s="39">
        <v>0</v>
      </c>
      <c r="Q27" s="37"/>
      <c r="R27" s="39">
        <v>0</v>
      </c>
      <c r="S27" s="38">
        <v>0</v>
      </c>
      <c r="T27" s="39">
        <v>0</v>
      </c>
      <c r="U27" s="59">
        <v>9.5</v>
      </c>
      <c r="V27" s="39">
        <v>0</v>
      </c>
      <c r="W27" s="39">
        <v>0</v>
      </c>
      <c r="X27" s="39">
        <v>0</v>
      </c>
      <c r="Y27" s="37">
        <v>280</v>
      </c>
      <c r="Z27" s="39">
        <v>0</v>
      </c>
      <c r="AA27" s="37">
        <v>0</v>
      </c>
      <c r="AB27" s="39">
        <v>0</v>
      </c>
      <c r="AC27" s="37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8">
        <v>361.2</v>
      </c>
      <c r="AJ27" s="39">
        <v>0</v>
      </c>
      <c r="AK27" s="37"/>
      <c r="AL27" s="39">
        <v>0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0</v>
      </c>
      <c r="AY27" s="39">
        <v>0</v>
      </c>
      <c r="AZ27" s="39">
        <v>0</v>
      </c>
      <c r="BA27" s="39">
        <v>0</v>
      </c>
      <c r="BB27" s="39">
        <v>0</v>
      </c>
      <c r="BC27" s="39">
        <v>0</v>
      </c>
      <c r="BD27" s="39">
        <v>0</v>
      </c>
      <c r="BE27" s="39">
        <v>0</v>
      </c>
      <c r="BF27" s="39">
        <v>0</v>
      </c>
      <c r="BG27" s="39">
        <v>0</v>
      </c>
      <c r="BH27" s="39">
        <v>0</v>
      </c>
      <c r="BI27" s="39">
        <v>0</v>
      </c>
      <c r="BJ27" s="39">
        <v>0</v>
      </c>
      <c r="BK27" s="39">
        <v>0</v>
      </c>
      <c r="BL27" s="39">
        <v>0</v>
      </c>
      <c r="BM27" s="39">
        <v>0</v>
      </c>
      <c r="BN27" s="39">
        <v>0</v>
      </c>
      <c r="BO27" s="39">
        <v>0</v>
      </c>
      <c r="BP27" s="39">
        <v>0</v>
      </c>
    </row>
    <row r="28" spans="1:68" x14ac:dyDescent="0.25">
      <c r="A28" s="9"/>
      <c r="B28" s="26">
        <v>17</v>
      </c>
      <c r="C28" s="55">
        <v>44</v>
      </c>
      <c r="D28" s="56">
        <v>215</v>
      </c>
      <c r="E28" s="39">
        <v>15.1</v>
      </c>
      <c r="F28" s="40">
        <v>0</v>
      </c>
      <c r="G28" s="39">
        <v>11</v>
      </c>
      <c r="H28" s="39">
        <v>0</v>
      </c>
      <c r="I28" s="39">
        <v>4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58">
        <v>4.7</v>
      </c>
      <c r="P28" s="39">
        <v>0</v>
      </c>
      <c r="Q28" s="37"/>
      <c r="R28" s="39">
        <v>0</v>
      </c>
      <c r="S28" s="38">
        <v>0</v>
      </c>
      <c r="T28" s="39">
        <v>0</v>
      </c>
      <c r="U28" s="59">
        <v>10.5</v>
      </c>
      <c r="V28" s="39">
        <v>0</v>
      </c>
      <c r="W28" s="39">
        <v>0</v>
      </c>
      <c r="X28" s="39">
        <v>0</v>
      </c>
      <c r="Y28" s="37">
        <v>275</v>
      </c>
      <c r="Z28" s="39">
        <v>0</v>
      </c>
      <c r="AA28" s="37">
        <v>0</v>
      </c>
      <c r="AB28" s="39">
        <v>0</v>
      </c>
      <c r="AC28" s="37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8">
        <v>428.4</v>
      </c>
      <c r="AJ28" s="39">
        <v>0</v>
      </c>
      <c r="AK28" s="37"/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>
        <v>0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39">
        <v>0</v>
      </c>
      <c r="BL28" s="39">
        <v>0</v>
      </c>
      <c r="BM28" s="39">
        <v>0</v>
      </c>
      <c r="BN28" s="39">
        <v>0</v>
      </c>
      <c r="BO28" s="39">
        <v>0</v>
      </c>
      <c r="BP28" s="39">
        <v>0</v>
      </c>
    </row>
    <row r="29" spans="1:68" x14ac:dyDescent="0.25">
      <c r="A29" s="9"/>
      <c r="B29" s="26">
        <v>18</v>
      </c>
      <c r="C29" s="55">
        <v>41</v>
      </c>
      <c r="D29" s="56">
        <v>171</v>
      </c>
      <c r="E29" s="39">
        <v>15.100000000000001</v>
      </c>
      <c r="F29" s="40">
        <v>0</v>
      </c>
      <c r="G29" s="39">
        <v>8.8999999999999986</v>
      </c>
      <c r="H29" s="39">
        <v>0</v>
      </c>
      <c r="I29" s="39">
        <v>4.5999999999999996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58">
        <v>6</v>
      </c>
      <c r="P29" s="39">
        <v>0</v>
      </c>
      <c r="Q29" s="38"/>
      <c r="R29" s="39">
        <v>0</v>
      </c>
      <c r="S29" s="38">
        <v>0</v>
      </c>
      <c r="T29" s="39">
        <v>0</v>
      </c>
      <c r="U29" s="59">
        <v>10.4</v>
      </c>
      <c r="V29" s="39">
        <v>0</v>
      </c>
      <c r="W29" s="39">
        <v>0</v>
      </c>
      <c r="X29" s="39">
        <v>0</v>
      </c>
      <c r="Y29" s="37">
        <v>272</v>
      </c>
      <c r="Z29" s="39">
        <v>0</v>
      </c>
      <c r="AA29" s="37">
        <v>0</v>
      </c>
      <c r="AB29" s="39">
        <v>0</v>
      </c>
      <c r="AC29" s="37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8">
        <v>252</v>
      </c>
      <c r="AJ29" s="39">
        <v>0</v>
      </c>
      <c r="AK29" s="37"/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9">
        <v>0</v>
      </c>
      <c r="AT29" s="39">
        <v>0</v>
      </c>
      <c r="AU29" s="39">
        <v>0</v>
      </c>
      <c r="AV29" s="39">
        <v>0</v>
      </c>
      <c r="AW29" s="39">
        <v>0</v>
      </c>
      <c r="AX29" s="39">
        <v>0</v>
      </c>
      <c r="AY29" s="39">
        <v>0</v>
      </c>
      <c r="AZ29" s="39">
        <v>0</v>
      </c>
      <c r="BA29" s="39">
        <v>0</v>
      </c>
      <c r="BB29" s="39">
        <v>0</v>
      </c>
      <c r="BC29" s="39">
        <v>0</v>
      </c>
      <c r="BD29" s="39">
        <v>0</v>
      </c>
      <c r="BE29" s="39">
        <v>0</v>
      </c>
      <c r="BF29" s="39">
        <v>0</v>
      </c>
      <c r="BG29" s="39">
        <v>0</v>
      </c>
      <c r="BH29" s="39">
        <v>0</v>
      </c>
      <c r="BI29" s="39">
        <v>0</v>
      </c>
      <c r="BJ29" s="39">
        <v>0</v>
      </c>
      <c r="BK29" s="39">
        <v>0</v>
      </c>
      <c r="BL29" s="39">
        <v>0</v>
      </c>
      <c r="BM29" s="39">
        <v>0</v>
      </c>
      <c r="BN29" s="39">
        <v>0</v>
      </c>
      <c r="BO29" s="39">
        <v>0</v>
      </c>
      <c r="BP29" s="39">
        <v>0</v>
      </c>
    </row>
    <row r="30" spans="1:68" x14ac:dyDescent="0.25">
      <c r="A30" s="9"/>
      <c r="B30" s="26">
        <v>19</v>
      </c>
      <c r="C30" s="55">
        <v>34</v>
      </c>
      <c r="D30" s="56">
        <v>169</v>
      </c>
      <c r="E30" s="39">
        <v>14.3</v>
      </c>
      <c r="F30" s="40">
        <v>0</v>
      </c>
      <c r="G30" s="39">
        <v>8.1999999999999993</v>
      </c>
      <c r="H30" s="39">
        <v>0</v>
      </c>
      <c r="I30" s="39">
        <v>4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58">
        <v>3.2</v>
      </c>
      <c r="P30" s="39">
        <v>0</v>
      </c>
      <c r="Q30" s="37"/>
      <c r="R30" s="39">
        <v>0</v>
      </c>
      <c r="S30" s="38">
        <v>0</v>
      </c>
      <c r="T30" s="39">
        <v>0</v>
      </c>
      <c r="U30" s="59">
        <v>9.1</v>
      </c>
      <c r="V30" s="39">
        <v>0</v>
      </c>
      <c r="W30" s="39">
        <v>0</v>
      </c>
      <c r="X30" s="39">
        <v>0</v>
      </c>
      <c r="Y30" s="37">
        <v>305</v>
      </c>
      <c r="Z30" s="39">
        <v>0</v>
      </c>
      <c r="AA30" s="37">
        <v>0</v>
      </c>
      <c r="AB30" s="39">
        <v>0</v>
      </c>
      <c r="AC30" s="37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8">
        <v>308</v>
      </c>
      <c r="AJ30" s="39">
        <v>0</v>
      </c>
      <c r="AK30" s="37"/>
      <c r="AL30" s="39">
        <v>0</v>
      </c>
      <c r="AM30" s="39">
        <v>0</v>
      </c>
      <c r="AN30" s="39">
        <v>0</v>
      </c>
      <c r="AO30" s="39">
        <v>0</v>
      </c>
      <c r="AP30" s="39">
        <v>0</v>
      </c>
      <c r="AQ30" s="39">
        <v>0</v>
      </c>
      <c r="AR30" s="39">
        <v>0</v>
      </c>
      <c r="AS30" s="39">
        <v>0</v>
      </c>
      <c r="AT30" s="39">
        <v>0</v>
      </c>
      <c r="AU30" s="39">
        <v>0</v>
      </c>
      <c r="AV30" s="39">
        <v>0</v>
      </c>
      <c r="AW30" s="39">
        <v>0</v>
      </c>
      <c r="AX30" s="39">
        <v>0</v>
      </c>
      <c r="AY30" s="39">
        <v>0</v>
      </c>
      <c r="AZ30" s="39">
        <v>0</v>
      </c>
      <c r="BA30" s="39">
        <v>0</v>
      </c>
      <c r="BB30" s="39">
        <v>0</v>
      </c>
      <c r="BC30" s="39">
        <v>0</v>
      </c>
      <c r="BD30" s="39">
        <v>0</v>
      </c>
      <c r="BE30" s="39">
        <v>0</v>
      </c>
      <c r="BF30" s="39">
        <v>0</v>
      </c>
      <c r="BG30" s="39">
        <v>0</v>
      </c>
      <c r="BH30" s="39">
        <v>0</v>
      </c>
      <c r="BI30" s="39">
        <v>0</v>
      </c>
      <c r="BJ30" s="39">
        <v>0</v>
      </c>
      <c r="BK30" s="39">
        <v>0</v>
      </c>
      <c r="BL30" s="39">
        <v>0</v>
      </c>
      <c r="BM30" s="39">
        <v>0</v>
      </c>
      <c r="BN30" s="39">
        <v>0</v>
      </c>
      <c r="BO30" s="39">
        <v>0</v>
      </c>
      <c r="BP30" s="39">
        <v>0</v>
      </c>
    </row>
    <row r="31" spans="1:68" x14ac:dyDescent="0.25">
      <c r="A31" s="9"/>
      <c r="B31" s="26">
        <v>20</v>
      </c>
      <c r="C31" s="55">
        <v>33</v>
      </c>
      <c r="D31" s="56">
        <v>191</v>
      </c>
      <c r="E31" s="39">
        <v>15.5</v>
      </c>
      <c r="F31" s="40">
        <v>0</v>
      </c>
      <c r="G31" s="39">
        <v>8.6</v>
      </c>
      <c r="H31" s="39">
        <v>0</v>
      </c>
      <c r="I31" s="39">
        <v>5.8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58">
        <v>3.8</v>
      </c>
      <c r="P31" s="39">
        <v>0</v>
      </c>
      <c r="Q31" s="37"/>
      <c r="R31" s="39">
        <v>0</v>
      </c>
      <c r="S31" s="38">
        <v>0</v>
      </c>
      <c r="T31" s="39">
        <v>0</v>
      </c>
      <c r="U31" s="59">
        <v>10.199999999999999</v>
      </c>
      <c r="V31" s="39">
        <v>0</v>
      </c>
      <c r="W31" s="39">
        <v>0</v>
      </c>
      <c r="X31" s="39">
        <v>0</v>
      </c>
      <c r="Y31" s="37">
        <v>283</v>
      </c>
      <c r="Z31" s="39">
        <v>0</v>
      </c>
      <c r="AA31" s="37">
        <v>0</v>
      </c>
      <c r="AB31" s="39">
        <v>0</v>
      </c>
      <c r="AC31" s="37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8">
        <v>179.2</v>
      </c>
      <c r="AJ31" s="39">
        <v>0</v>
      </c>
      <c r="AK31" s="37"/>
      <c r="AL31" s="39">
        <v>0</v>
      </c>
      <c r="AM31" s="39">
        <v>0</v>
      </c>
      <c r="AN31" s="39">
        <v>0</v>
      </c>
      <c r="AO31" s="39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39">
        <v>0</v>
      </c>
      <c r="AV31" s="39">
        <v>0</v>
      </c>
      <c r="AW31" s="39">
        <v>0</v>
      </c>
      <c r="AX31" s="39">
        <v>0</v>
      </c>
      <c r="AY31" s="39">
        <v>0</v>
      </c>
      <c r="AZ31" s="39">
        <v>0</v>
      </c>
      <c r="BA31" s="39">
        <v>0</v>
      </c>
      <c r="BB31" s="39">
        <v>0</v>
      </c>
      <c r="BC31" s="39">
        <v>0</v>
      </c>
      <c r="BD31" s="39">
        <v>0</v>
      </c>
      <c r="BE31" s="39">
        <v>0</v>
      </c>
      <c r="BF31" s="39">
        <v>0</v>
      </c>
      <c r="BG31" s="39">
        <v>0</v>
      </c>
      <c r="BH31" s="39">
        <v>0</v>
      </c>
      <c r="BI31" s="39">
        <v>0</v>
      </c>
      <c r="BJ31" s="39">
        <v>0</v>
      </c>
      <c r="BK31" s="39">
        <v>0</v>
      </c>
      <c r="BL31" s="39">
        <v>0</v>
      </c>
      <c r="BM31" s="39">
        <v>0</v>
      </c>
      <c r="BN31" s="39">
        <v>0</v>
      </c>
      <c r="BO31" s="39">
        <v>0</v>
      </c>
      <c r="BP31" s="39">
        <v>0</v>
      </c>
    </row>
    <row r="32" spans="1:68" x14ac:dyDescent="0.25">
      <c r="A32" s="9"/>
      <c r="B32" s="26">
        <v>21</v>
      </c>
      <c r="C32" s="55">
        <v>30</v>
      </c>
      <c r="D32" s="56">
        <v>195</v>
      </c>
      <c r="E32" s="39">
        <v>15.8</v>
      </c>
      <c r="F32" s="40">
        <v>0</v>
      </c>
      <c r="G32" s="39">
        <v>9</v>
      </c>
      <c r="H32" s="39">
        <v>0</v>
      </c>
      <c r="I32" s="39">
        <v>5.0999999999999996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58">
        <v>5.0999999999999996</v>
      </c>
      <c r="P32" s="39">
        <v>0</v>
      </c>
      <c r="Q32" s="37"/>
      <c r="R32" s="39">
        <v>0</v>
      </c>
      <c r="S32" s="38">
        <v>0</v>
      </c>
      <c r="T32" s="39">
        <v>0</v>
      </c>
      <c r="U32" s="59">
        <v>10.5</v>
      </c>
      <c r="V32" s="39">
        <v>0</v>
      </c>
      <c r="W32" s="39">
        <v>0</v>
      </c>
      <c r="X32" s="39">
        <v>0</v>
      </c>
      <c r="Y32" s="37">
        <v>285</v>
      </c>
      <c r="Z32" s="39">
        <v>0</v>
      </c>
      <c r="AA32" s="37">
        <v>0</v>
      </c>
      <c r="AB32" s="39">
        <v>0</v>
      </c>
      <c r="AC32" s="37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60">
        <v>1008</v>
      </c>
      <c r="AJ32" s="39">
        <v>0</v>
      </c>
      <c r="AK32" s="37"/>
      <c r="AL32" s="39">
        <v>0</v>
      </c>
      <c r="AM32" s="39">
        <v>0</v>
      </c>
      <c r="AN32" s="39">
        <v>0</v>
      </c>
      <c r="AO32" s="39">
        <v>0</v>
      </c>
      <c r="AP32" s="39">
        <v>0</v>
      </c>
      <c r="AQ32" s="39">
        <v>0</v>
      </c>
      <c r="AR32" s="39">
        <v>0</v>
      </c>
      <c r="AS32" s="39">
        <v>0</v>
      </c>
      <c r="AT32" s="39">
        <v>0</v>
      </c>
      <c r="AU32" s="39">
        <v>0</v>
      </c>
      <c r="AV32" s="39">
        <v>0</v>
      </c>
      <c r="AW32" s="39">
        <v>0</v>
      </c>
      <c r="AX32" s="39">
        <v>0</v>
      </c>
      <c r="AY32" s="39">
        <v>0</v>
      </c>
      <c r="AZ32" s="39">
        <v>0</v>
      </c>
      <c r="BA32" s="39">
        <v>0</v>
      </c>
      <c r="BB32" s="39">
        <v>0</v>
      </c>
      <c r="BC32" s="39">
        <v>0</v>
      </c>
      <c r="BD32" s="39">
        <v>0</v>
      </c>
      <c r="BE32" s="39">
        <v>0</v>
      </c>
      <c r="BF32" s="39">
        <v>0</v>
      </c>
      <c r="BG32" s="39">
        <v>0</v>
      </c>
      <c r="BH32" s="39">
        <v>0</v>
      </c>
      <c r="BI32" s="39">
        <v>0</v>
      </c>
      <c r="BJ32" s="39">
        <v>0</v>
      </c>
      <c r="BK32" s="39">
        <v>0</v>
      </c>
      <c r="BL32" s="39">
        <v>0</v>
      </c>
      <c r="BM32" s="39">
        <v>0</v>
      </c>
      <c r="BN32" s="39">
        <v>0</v>
      </c>
      <c r="BO32" s="39">
        <v>0</v>
      </c>
      <c r="BP32" s="39">
        <v>0</v>
      </c>
    </row>
    <row r="33" spans="1:68" x14ac:dyDescent="0.25">
      <c r="A33" s="9"/>
      <c r="B33" s="26">
        <v>22</v>
      </c>
      <c r="C33" s="55">
        <v>26</v>
      </c>
      <c r="D33" s="56">
        <v>188</v>
      </c>
      <c r="E33" s="39">
        <v>16.7</v>
      </c>
      <c r="F33" s="40">
        <v>0</v>
      </c>
      <c r="G33" s="39">
        <v>11.4</v>
      </c>
      <c r="H33" s="39">
        <v>0</v>
      </c>
      <c r="I33" s="39">
        <v>6.5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58">
        <v>4.8</v>
      </c>
      <c r="P33" s="39">
        <v>0</v>
      </c>
      <c r="Q33" s="37"/>
      <c r="R33" s="39">
        <v>0</v>
      </c>
      <c r="S33" s="38">
        <v>0</v>
      </c>
      <c r="T33" s="39">
        <v>0</v>
      </c>
      <c r="U33" s="59">
        <v>8.5</v>
      </c>
      <c r="V33" s="39">
        <v>0</v>
      </c>
      <c r="W33" s="39">
        <v>0</v>
      </c>
      <c r="X33" s="39">
        <v>0</v>
      </c>
      <c r="Y33" s="37">
        <v>290</v>
      </c>
      <c r="Z33" s="39">
        <v>0</v>
      </c>
      <c r="AA33" s="37">
        <v>0</v>
      </c>
      <c r="AB33" s="39">
        <v>0</v>
      </c>
      <c r="AC33" s="37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8">
        <v>985.6</v>
      </c>
      <c r="AJ33" s="39">
        <v>0</v>
      </c>
      <c r="AK33" s="37"/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39">
        <v>0</v>
      </c>
      <c r="AV33" s="39">
        <v>0</v>
      </c>
      <c r="AW33" s="39">
        <v>0</v>
      </c>
      <c r="AX33" s="39">
        <v>0</v>
      </c>
      <c r="AY33" s="39">
        <v>0</v>
      </c>
      <c r="AZ33" s="39">
        <v>0</v>
      </c>
      <c r="BA33" s="39">
        <v>0</v>
      </c>
      <c r="BB33" s="39">
        <v>0</v>
      </c>
      <c r="BC33" s="39">
        <v>0</v>
      </c>
      <c r="BD33" s="39">
        <v>0</v>
      </c>
      <c r="BE33" s="39">
        <v>0</v>
      </c>
      <c r="BF33" s="39">
        <v>0</v>
      </c>
      <c r="BG33" s="39">
        <v>0</v>
      </c>
      <c r="BH33" s="39">
        <v>0</v>
      </c>
      <c r="BI33" s="39">
        <v>0</v>
      </c>
      <c r="BJ33" s="39">
        <v>0</v>
      </c>
      <c r="BK33" s="39">
        <v>0</v>
      </c>
      <c r="BL33" s="39">
        <v>0</v>
      </c>
      <c r="BM33" s="39">
        <v>0</v>
      </c>
      <c r="BN33" s="39">
        <v>0</v>
      </c>
      <c r="BO33" s="39">
        <v>0</v>
      </c>
      <c r="BP33" s="39">
        <v>0</v>
      </c>
    </row>
    <row r="34" spans="1:68" x14ac:dyDescent="0.25">
      <c r="A34" s="9"/>
      <c r="B34" s="26">
        <v>23</v>
      </c>
      <c r="C34" s="55">
        <v>36</v>
      </c>
      <c r="D34" s="56">
        <v>183</v>
      </c>
      <c r="E34" s="39">
        <v>17.399999999999999</v>
      </c>
      <c r="F34" s="40">
        <v>0</v>
      </c>
      <c r="G34" s="39">
        <v>14.2</v>
      </c>
      <c r="H34" s="39">
        <v>0</v>
      </c>
      <c r="I34" s="39">
        <v>6.1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58">
        <v>10.199999999999999</v>
      </c>
      <c r="P34" s="39">
        <v>0</v>
      </c>
      <c r="Q34" s="37"/>
      <c r="R34" s="39">
        <v>0</v>
      </c>
      <c r="S34" s="38">
        <v>0</v>
      </c>
      <c r="T34" s="39">
        <v>0</v>
      </c>
      <c r="U34" s="59">
        <v>10.8</v>
      </c>
      <c r="V34" s="39">
        <v>0</v>
      </c>
      <c r="W34" s="39">
        <v>0</v>
      </c>
      <c r="X34" s="39">
        <v>0</v>
      </c>
      <c r="Y34" s="37">
        <v>270</v>
      </c>
      <c r="Z34" s="39">
        <v>0</v>
      </c>
      <c r="AA34" s="37">
        <v>0</v>
      </c>
      <c r="AB34" s="39">
        <v>0</v>
      </c>
      <c r="AC34" s="37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38">
        <v>576.79999999999995</v>
      </c>
      <c r="AJ34" s="39">
        <v>0</v>
      </c>
      <c r="AK34" s="37"/>
      <c r="AL34" s="39">
        <v>0</v>
      </c>
      <c r="AM34" s="39">
        <v>0</v>
      </c>
      <c r="AN34" s="39">
        <v>0</v>
      </c>
      <c r="AO34" s="39">
        <v>0</v>
      </c>
      <c r="AP34" s="39">
        <v>0</v>
      </c>
      <c r="AQ34" s="39">
        <v>0</v>
      </c>
      <c r="AR34" s="39">
        <v>0</v>
      </c>
      <c r="AS34" s="39">
        <v>0</v>
      </c>
      <c r="AT34" s="39">
        <v>0</v>
      </c>
      <c r="AU34" s="39">
        <v>0</v>
      </c>
      <c r="AV34" s="39">
        <v>0</v>
      </c>
      <c r="AW34" s="39">
        <v>0</v>
      </c>
      <c r="AX34" s="39">
        <v>0</v>
      </c>
      <c r="AY34" s="39">
        <v>0</v>
      </c>
      <c r="AZ34" s="39">
        <v>0</v>
      </c>
      <c r="BA34" s="39">
        <v>0</v>
      </c>
      <c r="BB34" s="39">
        <v>0</v>
      </c>
      <c r="BC34" s="39">
        <v>0</v>
      </c>
      <c r="BD34" s="39">
        <v>0</v>
      </c>
      <c r="BE34" s="39">
        <v>0</v>
      </c>
      <c r="BF34" s="39">
        <v>0</v>
      </c>
      <c r="BG34" s="39">
        <v>0</v>
      </c>
      <c r="BH34" s="39">
        <v>0</v>
      </c>
      <c r="BI34" s="39">
        <v>0</v>
      </c>
      <c r="BJ34" s="39">
        <v>0</v>
      </c>
      <c r="BK34" s="39">
        <v>0</v>
      </c>
      <c r="BL34" s="39">
        <v>0</v>
      </c>
      <c r="BM34" s="39">
        <v>0</v>
      </c>
      <c r="BN34" s="39">
        <v>0</v>
      </c>
      <c r="BO34" s="39">
        <v>0</v>
      </c>
      <c r="BP34" s="39">
        <v>0</v>
      </c>
    </row>
    <row r="35" spans="1:68" x14ac:dyDescent="0.25">
      <c r="A35" s="9"/>
      <c r="B35" s="26">
        <v>24</v>
      </c>
      <c r="C35" s="55">
        <v>40</v>
      </c>
      <c r="D35" s="56">
        <v>204</v>
      </c>
      <c r="E35" s="39">
        <v>16.299999999999997</v>
      </c>
      <c r="F35" s="40">
        <v>0</v>
      </c>
      <c r="G35" s="39">
        <v>16.399999999999999</v>
      </c>
      <c r="H35" s="39">
        <v>0</v>
      </c>
      <c r="I35" s="39">
        <v>6.6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58">
        <v>2.5</v>
      </c>
      <c r="P35" s="39">
        <v>0</v>
      </c>
      <c r="Q35" s="38"/>
      <c r="R35" s="39">
        <v>0</v>
      </c>
      <c r="S35" s="38">
        <v>0</v>
      </c>
      <c r="T35" s="39">
        <v>0</v>
      </c>
      <c r="U35" s="59">
        <v>14.7</v>
      </c>
      <c r="V35" s="39">
        <v>0</v>
      </c>
      <c r="W35" s="39">
        <v>0</v>
      </c>
      <c r="X35" s="39">
        <v>0</v>
      </c>
      <c r="Y35" s="37">
        <v>290</v>
      </c>
      <c r="Z35" s="39">
        <v>0</v>
      </c>
      <c r="AA35" s="37">
        <v>0</v>
      </c>
      <c r="AB35" s="39">
        <v>0</v>
      </c>
      <c r="AC35" s="37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8">
        <v>196</v>
      </c>
      <c r="AJ35" s="39">
        <v>0</v>
      </c>
      <c r="AK35" s="38"/>
      <c r="AL35" s="39">
        <v>0</v>
      </c>
      <c r="AM35" s="39">
        <v>0</v>
      </c>
      <c r="AN35" s="39">
        <v>0</v>
      </c>
      <c r="AO35" s="39">
        <v>0</v>
      </c>
      <c r="AP35" s="39">
        <v>0</v>
      </c>
      <c r="AQ35" s="39">
        <v>0</v>
      </c>
      <c r="AR35" s="39">
        <v>0</v>
      </c>
      <c r="AS35" s="39">
        <v>0</v>
      </c>
      <c r="AT35" s="39">
        <v>0</v>
      </c>
      <c r="AU35" s="39">
        <v>0</v>
      </c>
      <c r="AV35" s="39">
        <v>0</v>
      </c>
      <c r="AW35" s="39">
        <v>0</v>
      </c>
      <c r="AX35" s="39">
        <v>0</v>
      </c>
      <c r="AY35" s="39">
        <v>0</v>
      </c>
      <c r="AZ35" s="39">
        <v>0</v>
      </c>
      <c r="BA35" s="39">
        <v>0</v>
      </c>
      <c r="BB35" s="39">
        <v>0</v>
      </c>
      <c r="BC35" s="39">
        <v>0</v>
      </c>
      <c r="BD35" s="39">
        <v>0</v>
      </c>
      <c r="BE35" s="39">
        <v>0</v>
      </c>
      <c r="BF35" s="39">
        <v>0</v>
      </c>
      <c r="BG35" s="39">
        <v>0</v>
      </c>
      <c r="BH35" s="39">
        <v>0</v>
      </c>
      <c r="BI35" s="39">
        <v>0</v>
      </c>
      <c r="BJ35" s="39">
        <v>0</v>
      </c>
      <c r="BK35" s="39">
        <v>0</v>
      </c>
      <c r="BL35" s="39">
        <v>0</v>
      </c>
      <c r="BM35" s="39">
        <v>0</v>
      </c>
      <c r="BN35" s="39">
        <v>0</v>
      </c>
      <c r="BO35" s="39">
        <v>0</v>
      </c>
      <c r="BP35" s="39">
        <v>0</v>
      </c>
    </row>
    <row r="36" spans="1:68" x14ac:dyDescent="0.25">
      <c r="A36" s="9"/>
      <c r="B36" s="26">
        <v>25</v>
      </c>
      <c r="C36" s="55">
        <v>38</v>
      </c>
      <c r="D36" s="56">
        <v>205</v>
      </c>
      <c r="E36" s="39">
        <v>19.7</v>
      </c>
      <c r="F36" s="40">
        <v>0</v>
      </c>
      <c r="G36" s="39">
        <v>13</v>
      </c>
      <c r="H36" s="39">
        <v>0</v>
      </c>
      <c r="I36" s="39">
        <v>7.2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58">
        <v>2.6</v>
      </c>
      <c r="P36" s="39">
        <v>0</v>
      </c>
      <c r="Q36" s="38"/>
      <c r="R36" s="39">
        <v>0</v>
      </c>
      <c r="S36" s="38">
        <v>0</v>
      </c>
      <c r="T36" s="39">
        <v>0</v>
      </c>
      <c r="U36" s="59">
        <v>15.1</v>
      </c>
      <c r="V36" s="39">
        <v>0</v>
      </c>
      <c r="W36" s="39">
        <v>0</v>
      </c>
      <c r="X36" s="39">
        <v>0</v>
      </c>
      <c r="Y36" s="37">
        <v>285</v>
      </c>
      <c r="Z36" s="39">
        <v>0</v>
      </c>
      <c r="AA36" s="37">
        <v>0</v>
      </c>
      <c r="AB36" s="39">
        <v>0</v>
      </c>
      <c r="AC36" s="37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8">
        <v>246.4</v>
      </c>
      <c r="AJ36" s="39">
        <v>0</v>
      </c>
      <c r="AK36" s="38"/>
      <c r="AL36" s="39">
        <v>0</v>
      </c>
      <c r="AM36" s="39">
        <v>0</v>
      </c>
      <c r="AN36" s="39">
        <v>0</v>
      </c>
      <c r="AO36" s="39">
        <v>0</v>
      </c>
      <c r="AP36" s="39">
        <v>0</v>
      </c>
      <c r="AQ36" s="39">
        <v>0</v>
      </c>
      <c r="AR36" s="39">
        <v>0</v>
      </c>
      <c r="AS36" s="39">
        <v>0</v>
      </c>
      <c r="AT36" s="39">
        <v>0</v>
      </c>
      <c r="AU36" s="39">
        <v>0</v>
      </c>
      <c r="AV36" s="39">
        <v>0</v>
      </c>
      <c r="AW36" s="39">
        <v>0</v>
      </c>
      <c r="AX36" s="39">
        <v>0</v>
      </c>
      <c r="AY36" s="39">
        <v>0</v>
      </c>
      <c r="AZ36" s="39">
        <v>0</v>
      </c>
      <c r="BA36" s="39">
        <v>0</v>
      </c>
      <c r="BB36" s="39">
        <v>0</v>
      </c>
      <c r="BC36" s="39">
        <v>0</v>
      </c>
      <c r="BD36" s="39">
        <v>0</v>
      </c>
      <c r="BE36" s="39">
        <v>0</v>
      </c>
      <c r="BF36" s="39">
        <v>0</v>
      </c>
      <c r="BG36" s="39">
        <v>0</v>
      </c>
      <c r="BH36" s="39">
        <v>0</v>
      </c>
      <c r="BI36" s="39">
        <v>0</v>
      </c>
      <c r="BJ36" s="39">
        <v>0</v>
      </c>
      <c r="BK36" s="39">
        <v>0</v>
      </c>
      <c r="BL36" s="39">
        <v>0</v>
      </c>
      <c r="BM36" s="39">
        <v>0</v>
      </c>
      <c r="BN36" s="39">
        <v>0</v>
      </c>
      <c r="BO36" s="39">
        <v>0</v>
      </c>
      <c r="BP36" s="39">
        <v>0</v>
      </c>
    </row>
    <row r="37" spans="1:68" x14ac:dyDescent="0.25">
      <c r="A37" s="9"/>
      <c r="B37" s="26">
        <v>26</v>
      </c>
      <c r="C37" s="55">
        <v>37</v>
      </c>
      <c r="D37" s="56">
        <v>210</v>
      </c>
      <c r="E37" s="39">
        <v>17.5</v>
      </c>
      <c r="F37" s="40">
        <v>0</v>
      </c>
      <c r="G37" s="39">
        <v>15.8</v>
      </c>
      <c r="H37" s="39">
        <v>0</v>
      </c>
      <c r="I37" s="39">
        <v>7.1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58">
        <v>3.4</v>
      </c>
      <c r="P37" s="39">
        <v>0</v>
      </c>
      <c r="Q37" s="38"/>
      <c r="R37" s="39">
        <v>0</v>
      </c>
      <c r="S37" s="38">
        <v>0</v>
      </c>
      <c r="T37" s="39">
        <v>0</v>
      </c>
      <c r="U37" s="59">
        <v>12.8</v>
      </c>
      <c r="V37" s="39">
        <v>0</v>
      </c>
      <c r="W37" s="39">
        <v>0</v>
      </c>
      <c r="X37" s="39">
        <v>0</v>
      </c>
      <c r="Y37" s="38">
        <v>310</v>
      </c>
      <c r="Z37" s="39">
        <v>0</v>
      </c>
      <c r="AA37" s="37">
        <v>0</v>
      </c>
      <c r="AB37" s="39">
        <v>0</v>
      </c>
      <c r="AC37" s="37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8">
        <v>280</v>
      </c>
      <c r="AJ37" s="39">
        <v>0</v>
      </c>
      <c r="AK37" s="37"/>
      <c r="AL37" s="39">
        <v>0</v>
      </c>
      <c r="AM37" s="39">
        <v>0</v>
      </c>
      <c r="AN37" s="39">
        <v>0</v>
      </c>
      <c r="AO37" s="39">
        <v>0</v>
      </c>
      <c r="AP37" s="39">
        <v>0</v>
      </c>
      <c r="AQ37" s="39">
        <v>0</v>
      </c>
      <c r="AR37" s="39">
        <v>0</v>
      </c>
      <c r="AS37" s="39">
        <v>0</v>
      </c>
      <c r="AT37" s="39">
        <v>0</v>
      </c>
      <c r="AU37" s="39">
        <v>0</v>
      </c>
      <c r="AV37" s="39">
        <v>0</v>
      </c>
      <c r="AW37" s="39">
        <v>0</v>
      </c>
      <c r="AX37" s="39">
        <v>0</v>
      </c>
      <c r="AY37" s="39">
        <v>0</v>
      </c>
      <c r="AZ37" s="39">
        <v>0</v>
      </c>
      <c r="BA37" s="39">
        <v>0</v>
      </c>
      <c r="BB37" s="39">
        <v>0</v>
      </c>
      <c r="BC37" s="39">
        <v>0</v>
      </c>
      <c r="BD37" s="39">
        <v>0</v>
      </c>
      <c r="BE37" s="39">
        <v>0</v>
      </c>
      <c r="BF37" s="39">
        <v>0</v>
      </c>
      <c r="BG37" s="39">
        <v>0</v>
      </c>
      <c r="BH37" s="39">
        <v>0</v>
      </c>
      <c r="BI37" s="39">
        <v>0</v>
      </c>
      <c r="BJ37" s="39">
        <v>0</v>
      </c>
      <c r="BK37" s="39">
        <v>0</v>
      </c>
      <c r="BL37" s="39">
        <v>0</v>
      </c>
      <c r="BM37" s="39">
        <v>0</v>
      </c>
      <c r="BN37" s="39">
        <v>0</v>
      </c>
      <c r="BO37" s="39">
        <v>0</v>
      </c>
      <c r="BP37" s="39">
        <v>0</v>
      </c>
    </row>
    <row r="38" spans="1:68" x14ac:dyDescent="0.25">
      <c r="A38" s="9"/>
      <c r="B38" s="26">
        <v>27</v>
      </c>
      <c r="C38" s="55">
        <v>27</v>
      </c>
      <c r="D38" s="56">
        <v>150</v>
      </c>
      <c r="E38" s="39">
        <v>16.600000000000001</v>
      </c>
      <c r="F38" s="40">
        <v>0</v>
      </c>
      <c r="G38" s="39">
        <v>12.5</v>
      </c>
      <c r="H38" s="39">
        <v>0</v>
      </c>
      <c r="I38" s="39">
        <v>8.5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58">
        <v>5.5</v>
      </c>
      <c r="P38" s="39">
        <v>0</v>
      </c>
      <c r="Q38" s="38"/>
      <c r="R38" s="39">
        <v>0</v>
      </c>
      <c r="S38" s="38">
        <v>0</v>
      </c>
      <c r="T38" s="39">
        <v>0</v>
      </c>
      <c r="U38" s="59">
        <v>9.6</v>
      </c>
      <c r="V38" s="39">
        <v>0</v>
      </c>
      <c r="W38" s="39">
        <v>0</v>
      </c>
      <c r="X38" s="39">
        <v>0</v>
      </c>
      <c r="Y38" s="38">
        <v>310</v>
      </c>
      <c r="Z38" s="39">
        <v>0</v>
      </c>
      <c r="AA38" s="37">
        <v>0</v>
      </c>
      <c r="AB38" s="39">
        <v>0</v>
      </c>
      <c r="AC38" s="37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v>0</v>
      </c>
      <c r="AI38" s="38">
        <v>229.6</v>
      </c>
      <c r="AJ38" s="39">
        <v>0</v>
      </c>
      <c r="AK38" s="37"/>
      <c r="AL38" s="39">
        <v>0</v>
      </c>
      <c r="AM38" s="39">
        <v>0</v>
      </c>
      <c r="AN38" s="39">
        <v>0</v>
      </c>
      <c r="AO38" s="39">
        <v>0</v>
      </c>
      <c r="AP38" s="39">
        <v>0</v>
      </c>
      <c r="AQ38" s="39">
        <v>0</v>
      </c>
      <c r="AR38" s="39">
        <v>0</v>
      </c>
      <c r="AS38" s="39">
        <v>0</v>
      </c>
      <c r="AT38" s="39">
        <v>0</v>
      </c>
      <c r="AU38" s="39">
        <v>0</v>
      </c>
      <c r="AV38" s="39">
        <v>0</v>
      </c>
      <c r="AW38" s="39">
        <v>0</v>
      </c>
      <c r="AX38" s="39">
        <v>0</v>
      </c>
      <c r="AY38" s="39">
        <v>0</v>
      </c>
      <c r="AZ38" s="39">
        <v>0</v>
      </c>
      <c r="BA38" s="39">
        <v>0</v>
      </c>
      <c r="BB38" s="39">
        <v>0</v>
      </c>
      <c r="BC38" s="39">
        <v>0</v>
      </c>
      <c r="BD38" s="39">
        <v>0</v>
      </c>
      <c r="BE38" s="39">
        <v>0</v>
      </c>
      <c r="BF38" s="39">
        <v>0</v>
      </c>
      <c r="BG38" s="39">
        <v>0</v>
      </c>
      <c r="BH38" s="39">
        <v>0</v>
      </c>
      <c r="BI38" s="39">
        <v>0</v>
      </c>
      <c r="BJ38" s="39">
        <v>0</v>
      </c>
      <c r="BK38" s="39">
        <v>0</v>
      </c>
      <c r="BL38" s="39">
        <v>0</v>
      </c>
      <c r="BM38" s="39">
        <v>0</v>
      </c>
      <c r="BN38" s="39">
        <v>0</v>
      </c>
      <c r="BO38" s="39">
        <v>0</v>
      </c>
      <c r="BP38" s="39">
        <v>0</v>
      </c>
    </row>
    <row r="39" spans="1:68" x14ac:dyDescent="0.25">
      <c r="A39" s="9"/>
      <c r="B39" s="26">
        <v>28</v>
      </c>
      <c r="C39" s="55">
        <v>36</v>
      </c>
      <c r="D39" s="56">
        <v>133</v>
      </c>
      <c r="E39" s="39">
        <v>18.600000000000001</v>
      </c>
      <c r="F39" s="40">
        <v>0</v>
      </c>
      <c r="G39" s="39">
        <v>10.5</v>
      </c>
      <c r="H39" s="39">
        <v>0</v>
      </c>
      <c r="I39" s="39">
        <v>7.5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58">
        <v>3.8</v>
      </c>
      <c r="P39" s="39">
        <v>0</v>
      </c>
      <c r="Q39" s="38"/>
      <c r="R39" s="39">
        <v>0</v>
      </c>
      <c r="S39" s="38">
        <v>0</v>
      </c>
      <c r="T39" s="39">
        <v>0</v>
      </c>
      <c r="U39" s="59">
        <v>10.4</v>
      </c>
      <c r="V39" s="39">
        <v>0</v>
      </c>
      <c r="W39" s="39">
        <v>0</v>
      </c>
      <c r="X39" s="39">
        <v>0</v>
      </c>
      <c r="Y39" s="38">
        <v>285</v>
      </c>
      <c r="Z39" s="39">
        <v>0</v>
      </c>
      <c r="AA39" s="37">
        <v>0</v>
      </c>
      <c r="AB39" s="39">
        <v>0</v>
      </c>
      <c r="AC39" s="37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8">
        <v>224</v>
      </c>
      <c r="AJ39" s="39">
        <v>0</v>
      </c>
      <c r="AK39" s="37"/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</row>
    <row r="40" spans="1:68" x14ac:dyDescent="0.25">
      <c r="A40" s="9"/>
      <c r="B40" s="26">
        <v>29</v>
      </c>
      <c r="C40" s="55">
        <v>42</v>
      </c>
      <c r="D40" s="56">
        <v>190</v>
      </c>
      <c r="E40" s="39">
        <v>18.7</v>
      </c>
      <c r="F40" s="40">
        <v>0</v>
      </c>
      <c r="G40" s="39">
        <v>12</v>
      </c>
      <c r="H40" s="39">
        <v>0</v>
      </c>
      <c r="I40" s="39">
        <v>6.8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58">
        <v>3.4</v>
      </c>
      <c r="P40" s="39">
        <v>0</v>
      </c>
      <c r="Q40" s="38"/>
      <c r="R40" s="39">
        <v>0</v>
      </c>
      <c r="S40" s="38">
        <v>0</v>
      </c>
      <c r="T40" s="39">
        <v>0</v>
      </c>
      <c r="U40" s="59">
        <v>11.2</v>
      </c>
      <c r="V40" s="39">
        <v>0</v>
      </c>
      <c r="W40" s="39">
        <v>0</v>
      </c>
      <c r="X40" s="39">
        <v>0</v>
      </c>
      <c r="Y40" s="38">
        <v>300</v>
      </c>
      <c r="Z40" s="39">
        <v>0</v>
      </c>
      <c r="AA40" s="37">
        <v>0</v>
      </c>
      <c r="AB40" s="39">
        <v>0</v>
      </c>
      <c r="AC40" s="37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8">
        <v>532</v>
      </c>
      <c r="AJ40" s="39">
        <v>0</v>
      </c>
      <c r="AK40" s="37"/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</row>
    <row r="41" spans="1:68" ht="17.25" customHeight="1" x14ac:dyDescent="0.25">
      <c r="A41" s="9"/>
      <c r="B41" s="26">
        <v>30</v>
      </c>
      <c r="C41" s="55">
        <v>34</v>
      </c>
      <c r="D41" s="56">
        <v>214</v>
      </c>
      <c r="E41" s="39">
        <v>20.9</v>
      </c>
      <c r="F41" s="40">
        <v>0</v>
      </c>
      <c r="G41" s="39">
        <v>12.8</v>
      </c>
      <c r="H41" s="39">
        <v>0</v>
      </c>
      <c r="I41" s="39">
        <v>5.0999999999999996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58">
        <v>2.5</v>
      </c>
      <c r="P41" s="39">
        <v>0</v>
      </c>
      <c r="Q41" s="38"/>
      <c r="R41" s="39">
        <v>0</v>
      </c>
      <c r="S41" s="38">
        <v>0</v>
      </c>
      <c r="T41" s="39">
        <v>0</v>
      </c>
      <c r="U41" s="59">
        <v>13.7</v>
      </c>
      <c r="V41" s="39">
        <v>0</v>
      </c>
      <c r="W41" s="39">
        <v>0</v>
      </c>
      <c r="X41" s="39">
        <v>0</v>
      </c>
      <c r="Y41" s="38">
        <v>299</v>
      </c>
      <c r="Z41" s="39">
        <v>0</v>
      </c>
      <c r="AA41" s="37">
        <v>0</v>
      </c>
      <c r="AB41" s="39">
        <v>0</v>
      </c>
      <c r="AC41" s="37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v>0</v>
      </c>
      <c r="AI41" s="38">
        <v>715</v>
      </c>
      <c r="AJ41" s="39">
        <v>0</v>
      </c>
      <c r="AK41" s="37"/>
      <c r="AL41" s="39">
        <v>0</v>
      </c>
      <c r="AM41" s="39">
        <v>0</v>
      </c>
      <c r="AN41" s="39">
        <v>0</v>
      </c>
      <c r="AO41" s="39">
        <v>0</v>
      </c>
      <c r="AP41" s="39">
        <v>0</v>
      </c>
      <c r="AQ41" s="39">
        <v>0</v>
      </c>
      <c r="AR41" s="39">
        <v>0</v>
      </c>
      <c r="AS41" s="39">
        <v>0</v>
      </c>
      <c r="AT41" s="39">
        <v>0</v>
      </c>
      <c r="AU41" s="39">
        <v>0</v>
      </c>
      <c r="AV41" s="39">
        <v>0</v>
      </c>
      <c r="AW41" s="39">
        <v>0</v>
      </c>
      <c r="AX41" s="39">
        <v>0</v>
      </c>
      <c r="AY41" s="39">
        <v>0</v>
      </c>
      <c r="AZ41" s="39">
        <v>0</v>
      </c>
      <c r="BA41" s="39">
        <v>0</v>
      </c>
      <c r="BB41" s="39">
        <v>0</v>
      </c>
      <c r="BC41" s="39">
        <v>0</v>
      </c>
      <c r="BD41" s="39">
        <v>0</v>
      </c>
      <c r="BE41" s="39">
        <v>0</v>
      </c>
      <c r="BF41" s="39">
        <v>0</v>
      </c>
      <c r="BG41" s="39">
        <v>0</v>
      </c>
      <c r="BH41" s="39">
        <v>0</v>
      </c>
      <c r="BI41" s="39">
        <v>0</v>
      </c>
      <c r="BJ41" s="39">
        <v>0</v>
      </c>
      <c r="BK41" s="39">
        <v>0</v>
      </c>
      <c r="BL41" s="39">
        <v>0</v>
      </c>
      <c r="BM41" s="39">
        <v>0</v>
      </c>
      <c r="BN41" s="39">
        <v>0</v>
      </c>
      <c r="BO41" s="39">
        <v>0</v>
      </c>
      <c r="BP41" s="39">
        <v>0</v>
      </c>
    </row>
    <row r="42" spans="1:68" s="3" customFormat="1" ht="13.5" customHeight="1" x14ac:dyDescent="0.25">
      <c r="B42" s="33"/>
      <c r="C42" s="33"/>
      <c r="D42" s="33"/>
      <c r="E42" s="39">
        <f>SUM(E12:E41)</f>
        <v>489.20000000000005</v>
      </c>
      <c r="F42" s="39">
        <f t="shared" ref="F42:BP42" si="0">SUM(F12:F41)</f>
        <v>0</v>
      </c>
      <c r="G42" s="39">
        <f t="shared" si="0"/>
        <v>367.59999999999991</v>
      </c>
      <c r="H42" s="39">
        <f t="shared" si="0"/>
        <v>0</v>
      </c>
      <c r="I42" s="39">
        <f t="shared" si="0"/>
        <v>140.89999999999998</v>
      </c>
      <c r="J42" s="39">
        <f t="shared" si="0"/>
        <v>0</v>
      </c>
      <c r="K42" s="39">
        <f t="shared" si="0"/>
        <v>0</v>
      </c>
      <c r="L42" s="39">
        <f t="shared" si="0"/>
        <v>0</v>
      </c>
      <c r="M42" s="39">
        <f t="shared" si="0"/>
        <v>0</v>
      </c>
      <c r="N42" s="39">
        <f t="shared" si="0"/>
        <v>0</v>
      </c>
      <c r="O42" s="39">
        <f t="shared" si="0"/>
        <v>121.7</v>
      </c>
      <c r="P42" s="39">
        <f t="shared" si="0"/>
        <v>0</v>
      </c>
      <c r="Q42" s="39">
        <f t="shared" si="0"/>
        <v>0</v>
      </c>
      <c r="R42" s="39">
        <f t="shared" si="0"/>
        <v>0</v>
      </c>
      <c r="S42" s="38">
        <v>0</v>
      </c>
      <c r="T42" s="39">
        <f t="shared" si="0"/>
        <v>0</v>
      </c>
      <c r="U42" s="39">
        <f t="shared" si="0"/>
        <v>297.69999999999993</v>
      </c>
      <c r="V42" s="39">
        <f t="shared" si="0"/>
        <v>0</v>
      </c>
      <c r="W42" s="39">
        <f t="shared" si="0"/>
        <v>0</v>
      </c>
      <c r="X42" s="39">
        <f t="shared" si="0"/>
        <v>0</v>
      </c>
      <c r="Y42" s="39">
        <f t="shared" si="0"/>
        <v>8278</v>
      </c>
      <c r="Z42" s="39">
        <f t="shared" si="0"/>
        <v>11555278</v>
      </c>
      <c r="AA42" s="37">
        <v>0</v>
      </c>
      <c r="AB42" s="39">
        <f t="shared" si="0"/>
        <v>0</v>
      </c>
      <c r="AC42" s="37">
        <v>0</v>
      </c>
      <c r="AD42" s="39">
        <f t="shared" si="0"/>
        <v>0</v>
      </c>
      <c r="AE42" s="39">
        <f t="shared" si="0"/>
        <v>0</v>
      </c>
      <c r="AF42" s="39">
        <f t="shared" si="0"/>
        <v>0</v>
      </c>
      <c r="AG42" s="39">
        <f t="shared" si="0"/>
        <v>0</v>
      </c>
      <c r="AH42" s="39">
        <f t="shared" si="0"/>
        <v>0</v>
      </c>
      <c r="AI42" s="39">
        <f t="shared" si="0"/>
        <v>13981.4</v>
      </c>
      <c r="AJ42" s="39">
        <f t="shared" si="0"/>
        <v>0</v>
      </c>
      <c r="AK42" s="39">
        <f t="shared" si="0"/>
        <v>0</v>
      </c>
      <c r="AL42" s="39">
        <f t="shared" si="0"/>
        <v>0</v>
      </c>
      <c r="AM42" s="39">
        <f t="shared" si="0"/>
        <v>0</v>
      </c>
      <c r="AN42" s="39">
        <f t="shared" si="0"/>
        <v>0</v>
      </c>
      <c r="AO42" s="39">
        <f t="shared" si="0"/>
        <v>0</v>
      </c>
      <c r="AP42" s="39">
        <f t="shared" si="0"/>
        <v>0</v>
      </c>
      <c r="AQ42" s="39">
        <f t="shared" si="0"/>
        <v>0</v>
      </c>
      <c r="AR42" s="39">
        <f t="shared" si="0"/>
        <v>0</v>
      </c>
      <c r="AS42" s="39">
        <v>0</v>
      </c>
      <c r="AT42" s="39">
        <v>0</v>
      </c>
      <c r="AU42" s="39">
        <f t="shared" si="0"/>
        <v>0</v>
      </c>
      <c r="AV42" s="39">
        <f t="shared" si="0"/>
        <v>0</v>
      </c>
      <c r="AW42" s="39">
        <f t="shared" si="0"/>
        <v>0</v>
      </c>
      <c r="AX42" s="39">
        <f t="shared" si="0"/>
        <v>0</v>
      </c>
      <c r="AY42" s="39">
        <f t="shared" si="0"/>
        <v>0</v>
      </c>
      <c r="AZ42" s="39">
        <f t="shared" si="0"/>
        <v>0</v>
      </c>
      <c r="BA42" s="39">
        <f t="shared" si="0"/>
        <v>0</v>
      </c>
      <c r="BB42" s="39">
        <f t="shared" si="0"/>
        <v>0</v>
      </c>
      <c r="BC42" s="39">
        <f t="shared" si="0"/>
        <v>0</v>
      </c>
      <c r="BD42" s="39">
        <f t="shared" si="0"/>
        <v>0</v>
      </c>
      <c r="BE42" s="39">
        <f t="shared" si="0"/>
        <v>0</v>
      </c>
      <c r="BF42" s="39">
        <f t="shared" si="0"/>
        <v>0</v>
      </c>
      <c r="BG42" s="39">
        <f t="shared" si="0"/>
        <v>0</v>
      </c>
      <c r="BH42" s="39">
        <f t="shared" si="0"/>
        <v>0</v>
      </c>
      <c r="BI42" s="39">
        <f t="shared" si="0"/>
        <v>0</v>
      </c>
      <c r="BJ42" s="39">
        <f t="shared" si="0"/>
        <v>0</v>
      </c>
      <c r="BK42" s="39">
        <f t="shared" si="0"/>
        <v>0</v>
      </c>
      <c r="BL42" s="39">
        <f t="shared" si="0"/>
        <v>0</v>
      </c>
      <c r="BM42" s="39">
        <f t="shared" si="0"/>
        <v>0</v>
      </c>
      <c r="BN42" s="39">
        <f t="shared" si="0"/>
        <v>0</v>
      </c>
      <c r="BO42" s="39">
        <f t="shared" si="0"/>
        <v>0</v>
      </c>
      <c r="BP42" s="39">
        <f t="shared" si="0"/>
        <v>0</v>
      </c>
    </row>
    <row r="43" spans="1:68" s="3" customFormat="1" ht="15.75" thickBot="1" x14ac:dyDescent="0.3">
      <c r="B43" s="41"/>
      <c r="C43" s="41"/>
      <c r="D43" s="41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</row>
    <row r="44" spans="1:68" ht="15.75" thickTop="1" x14ac:dyDescent="0.25">
      <c r="A44" s="5"/>
      <c r="B44" s="42"/>
      <c r="C44" s="43">
        <f>SUM(C12:C41)</f>
        <v>871</v>
      </c>
      <c r="D44" s="43">
        <f>SUM(D12:D41)</f>
        <v>4472</v>
      </c>
      <c r="E44" s="46">
        <f>SUM(E12:E41)</f>
        <v>489.20000000000005</v>
      </c>
      <c r="F44" s="46"/>
      <c r="G44" s="46">
        <f>SUM(G12:G41)</f>
        <v>367.59999999999991</v>
      </c>
      <c r="H44" s="44">
        <v>0</v>
      </c>
      <c r="I44" s="46">
        <f>SUM(I12:I41)</f>
        <v>140.89999999999998</v>
      </c>
      <c r="J44" s="44">
        <v>0</v>
      </c>
      <c r="K44" s="46">
        <f>SUM(K12:K41)</f>
        <v>0</v>
      </c>
      <c r="L44" s="44">
        <v>0</v>
      </c>
      <c r="M44" s="46"/>
      <c r="N44" s="46"/>
      <c r="O44" s="46"/>
      <c r="P44" s="46"/>
      <c r="Q44" s="46">
        <f>SUM(Q12:Q41)</f>
        <v>0</v>
      </c>
      <c r="R44" s="46"/>
      <c r="S44" s="46">
        <f>SUM(S12:S41)</f>
        <v>0</v>
      </c>
      <c r="T44" s="46"/>
      <c r="U44" s="46">
        <f>SUM(U12:U41)</f>
        <v>297.69999999999993</v>
      </c>
      <c r="V44" s="46"/>
      <c r="W44" s="46"/>
      <c r="X44" s="46"/>
      <c r="Y44" s="46">
        <f>SUM(Y12:Y41)</f>
        <v>8278</v>
      </c>
      <c r="Z44" s="47">
        <f>SUM(Z12:Z41)</f>
        <v>11555278</v>
      </c>
      <c r="AA44" s="48">
        <v>76.2</v>
      </c>
      <c r="AB44" s="46"/>
      <c r="AC44" s="46">
        <f>SUM(AC12:AC41)</f>
        <v>0</v>
      </c>
      <c r="AD44" s="46"/>
      <c r="AE44" s="46"/>
      <c r="AF44" s="46"/>
      <c r="AG44" s="46"/>
      <c r="AH44" s="46"/>
      <c r="AI44" s="46">
        <f>SUM(AI12:AI41)</f>
        <v>13981.4</v>
      </c>
      <c r="AJ44" s="46"/>
      <c r="AK44" s="46">
        <f>SUM(AK12:AK41)</f>
        <v>0</v>
      </c>
      <c r="AL44" s="46"/>
      <c r="AM44" s="46"/>
      <c r="AN44" s="46"/>
      <c r="AO44" s="46"/>
      <c r="AP44" s="46"/>
      <c r="AQ44" s="46"/>
      <c r="AR44" s="46"/>
      <c r="AS44" s="46">
        <f>SUM(AS12:AS41)</f>
        <v>0</v>
      </c>
      <c r="AT44" s="46">
        <f>SUM(AT12:AT41)</f>
        <v>0</v>
      </c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</row>
    <row r="45" spans="1:68" x14ac:dyDescent="0.25">
      <c r="A45" s="5"/>
      <c r="B45" s="5"/>
      <c r="C45" s="27"/>
      <c r="D45" s="28"/>
    </row>
  </sheetData>
  <mergeCells count="11">
    <mergeCell ref="B7:D7"/>
    <mergeCell ref="B8:B10"/>
    <mergeCell ref="C8:C10"/>
    <mergeCell ref="D8:D10"/>
    <mergeCell ref="U8:X9"/>
    <mergeCell ref="Y8:AL9"/>
    <mergeCell ref="AM8:BD9"/>
    <mergeCell ref="BE8:BP9"/>
    <mergeCell ref="E8:F9"/>
    <mergeCell ref="M8:T9"/>
    <mergeCell ref="G8:L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customHeight="1" x14ac:dyDescent="0.3">
      <c r="A1" s="50" t="s">
        <v>71</v>
      </c>
      <c r="B1" s="51"/>
      <c r="C1" s="51"/>
    </row>
    <row r="2" spans="1:3" ht="18" customHeight="1" x14ac:dyDescent="0.3">
      <c r="A2" s="82">
        <v>44713</v>
      </c>
      <c r="B2" s="82"/>
      <c r="C2" s="82"/>
    </row>
    <row r="3" spans="1:3" ht="15" customHeight="1" x14ac:dyDescent="0.25">
      <c r="A3" s="86" t="s">
        <v>73</v>
      </c>
      <c r="B3" s="83" t="s">
        <v>74</v>
      </c>
      <c r="C3" s="83" t="s">
        <v>75</v>
      </c>
    </row>
    <row r="4" spans="1:3" x14ac:dyDescent="0.25">
      <c r="A4" s="87"/>
      <c r="B4" s="84"/>
      <c r="C4" s="84"/>
    </row>
    <row r="5" spans="1:3" x14ac:dyDescent="0.25">
      <c r="A5" s="88"/>
      <c r="B5" s="85"/>
      <c r="C5" s="85"/>
    </row>
    <row r="6" spans="1:3" x14ac:dyDescent="0.25">
      <c r="A6" s="52">
        <v>1</v>
      </c>
      <c r="B6" s="53">
        <v>14</v>
      </c>
      <c r="C6" s="54">
        <v>80</v>
      </c>
    </row>
    <row r="7" spans="1:3" x14ac:dyDescent="0.25">
      <c r="A7" s="52">
        <v>2</v>
      </c>
      <c r="B7" s="55">
        <v>16</v>
      </c>
      <c r="C7" s="56">
        <v>80</v>
      </c>
    </row>
    <row r="8" spans="1:3" x14ac:dyDescent="0.25">
      <c r="A8" s="52">
        <v>3</v>
      </c>
      <c r="B8" s="55">
        <v>15</v>
      </c>
      <c r="C8" s="56">
        <v>82</v>
      </c>
    </row>
    <row r="9" spans="1:3" x14ac:dyDescent="0.25">
      <c r="A9" s="52">
        <v>4</v>
      </c>
      <c r="B9" s="55">
        <v>18</v>
      </c>
      <c r="C9" s="56">
        <v>108</v>
      </c>
    </row>
    <row r="10" spans="1:3" x14ac:dyDescent="0.25">
      <c r="A10" s="52">
        <v>5</v>
      </c>
      <c r="B10" s="55">
        <v>16</v>
      </c>
      <c r="C10" s="56">
        <v>112</v>
      </c>
    </row>
    <row r="11" spans="1:3" x14ac:dyDescent="0.25">
      <c r="A11" s="52">
        <v>6</v>
      </c>
      <c r="B11" s="55">
        <v>12</v>
      </c>
      <c r="C11" s="56">
        <v>76</v>
      </c>
    </row>
    <row r="12" spans="1:3" x14ac:dyDescent="0.25">
      <c r="A12" s="52">
        <v>7</v>
      </c>
      <c r="B12" s="55">
        <v>14</v>
      </c>
      <c r="C12" s="56">
        <v>90</v>
      </c>
    </row>
    <row r="13" spans="1:3" x14ac:dyDescent="0.25">
      <c r="A13" s="52">
        <v>8</v>
      </c>
      <c r="B13" s="55">
        <v>19</v>
      </c>
      <c r="C13" s="56">
        <v>105</v>
      </c>
    </row>
    <row r="14" spans="1:3" x14ac:dyDescent="0.25">
      <c r="A14" s="52">
        <v>9</v>
      </c>
      <c r="B14" s="55">
        <v>24</v>
      </c>
      <c r="C14" s="56">
        <v>124</v>
      </c>
    </row>
    <row r="15" spans="1:3" x14ac:dyDescent="0.25">
      <c r="A15" s="52">
        <v>10</v>
      </c>
      <c r="B15" s="55">
        <v>29</v>
      </c>
      <c r="C15" s="56">
        <v>133</v>
      </c>
    </row>
    <row r="16" spans="1:3" x14ac:dyDescent="0.25">
      <c r="A16" s="52">
        <v>11</v>
      </c>
      <c r="B16" s="55">
        <v>24</v>
      </c>
      <c r="C16" s="56">
        <v>130</v>
      </c>
    </row>
    <row r="17" spans="1:3" x14ac:dyDescent="0.25">
      <c r="A17" s="52">
        <v>12</v>
      </c>
      <c r="B17" s="55">
        <v>23</v>
      </c>
      <c r="C17" s="56">
        <v>118</v>
      </c>
    </row>
    <row r="18" spans="1:3" x14ac:dyDescent="0.25">
      <c r="A18" s="52">
        <v>13</v>
      </c>
      <c r="B18" s="55">
        <v>33</v>
      </c>
      <c r="C18" s="56">
        <v>134</v>
      </c>
    </row>
    <row r="19" spans="1:3" x14ac:dyDescent="0.25">
      <c r="A19" s="52">
        <v>14</v>
      </c>
      <c r="B19" s="55">
        <v>35</v>
      </c>
      <c r="C19" s="56">
        <v>159</v>
      </c>
    </row>
    <row r="20" spans="1:3" x14ac:dyDescent="0.25">
      <c r="A20" s="52">
        <v>15</v>
      </c>
      <c r="B20" s="55">
        <v>37</v>
      </c>
      <c r="C20" s="56">
        <v>165</v>
      </c>
    </row>
    <row r="21" spans="1:3" x14ac:dyDescent="0.25">
      <c r="A21" s="52">
        <v>16</v>
      </c>
      <c r="B21" s="55">
        <v>44</v>
      </c>
      <c r="C21" s="56">
        <v>158</v>
      </c>
    </row>
    <row r="22" spans="1:3" x14ac:dyDescent="0.25">
      <c r="A22" s="52">
        <v>17</v>
      </c>
      <c r="B22" s="55">
        <v>44</v>
      </c>
      <c r="C22" s="56">
        <v>215</v>
      </c>
    </row>
    <row r="23" spans="1:3" x14ac:dyDescent="0.25">
      <c r="A23" s="52">
        <v>18</v>
      </c>
      <c r="B23" s="55">
        <v>41</v>
      </c>
      <c r="C23" s="56">
        <v>171</v>
      </c>
    </row>
    <row r="24" spans="1:3" x14ac:dyDescent="0.25">
      <c r="A24" s="52">
        <v>19</v>
      </c>
      <c r="B24" s="55">
        <v>34</v>
      </c>
      <c r="C24" s="56">
        <v>169</v>
      </c>
    </row>
    <row r="25" spans="1:3" x14ac:dyDescent="0.25">
      <c r="A25" s="52">
        <v>20</v>
      </c>
      <c r="B25" s="55">
        <v>33</v>
      </c>
      <c r="C25" s="56">
        <v>191</v>
      </c>
    </row>
    <row r="26" spans="1:3" x14ac:dyDescent="0.25">
      <c r="A26" s="52">
        <v>21</v>
      </c>
      <c r="B26" s="55">
        <v>30</v>
      </c>
      <c r="C26" s="56">
        <v>195</v>
      </c>
    </row>
    <row r="27" spans="1:3" x14ac:dyDescent="0.25">
      <c r="A27" s="52">
        <v>22</v>
      </c>
      <c r="B27" s="55">
        <v>26</v>
      </c>
      <c r="C27" s="56">
        <v>188</v>
      </c>
    </row>
    <row r="28" spans="1:3" x14ac:dyDescent="0.25">
      <c r="A28" s="52">
        <v>23</v>
      </c>
      <c r="B28" s="55">
        <v>36</v>
      </c>
      <c r="C28" s="56">
        <v>183</v>
      </c>
    </row>
    <row r="29" spans="1:3" x14ac:dyDescent="0.25">
      <c r="A29" s="52">
        <v>24</v>
      </c>
      <c r="B29" s="55">
        <v>40</v>
      </c>
      <c r="C29" s="56">
        <v>204</v>
      </c>
    </row>
    <row r="30" spans="1:3" x14ac:dyDescent="0.25">
      <c r="A30" s="52">
        <v>25</v>
      </c>
      <c r="B30" s="55">
        <v>38</v>
      </c>
      <c r="C30" s="56">
        <v>205</v>
      </c>
    </row>
    <row r="31" spans="1:3" x14ac:dyDescent="0.25">
      <c r="A31" s="52">
        <v>26</v>
      </c>
      <c r="B31" s="55">
        <v>37</v>
      </c>
      <c r="C31" s="56">
        <v>210</v>
      </c>
    </row>
    <row r="32" spans="1:3" x14ac:dyDescent="0.25">
      <c r="A32" s="52">
        <v>27</v>
      </c>
      <c r="B32" s="55">
        <v>27</v>
      </c>
      <c r="C32" s="56">
        <v>150</v>
      </c>
    </row>
    <row r="33" spans="1:3" x14ac:dyDescent="0.25">
      <c r="A33" s="52">
        <v>28</v>
      </c>
      <c r="B33" s="55">
        <v>36</v>
      </c>
      <c r="C33" s="56">
        <v>133</v>
      </c>
    </row>
    <row r="34" spans="1:3" x14ac:dyDescent="0.25">
      <c r="A34" s="52">
        <v>29</v>
      </c>
      <c r="B34" s="55">
        <v>42</v>
      </c>
      <c r="C34" s="56">
        <v>190</v>
      </c>
    </row>
    <row r="35" spans="1:3" x14ac:dyDescent="0.25">
      <c r="A35" s="52">
        <v>30</v>
      </c>
      <c r="B35" s="55">
        <v>34</v>
      </c>
      <c r="C35" s="56">
        <v>214</v>
      </c>
    </row>
    <row r="36" spans="1:3" x14ac:dyDescent="0.25">
      <c r="A36" s="51"/>
      <c r="B36" s="57">
        <f>SUM(B6:B35)</f>
        <v>871</v>
      </c>
      <c r="C36" s="57">
        <v>4472</v>
      </c>
    </row>
    <row r="37" spans="1:3" x14ac:dyDescent="0.25">
      <c r="B37" s="2"/>
      <c r="C37" s="2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5D2E6B4F-1128-4581-967F-21DE5BA1E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Jimbaran June 2022</vt:lpstr>
      <vt:lpstr>RNs &amp; Covers June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