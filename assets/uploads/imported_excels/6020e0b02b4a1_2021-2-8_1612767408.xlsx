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bookViews>
    <workbookView xWindow="0" yWindow="0" windowWidth="28800" windowHeight="12135" tabRatio="620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06" l="1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9" i="106"/>
  <c r="H10" i="116"/>
  <c r="H11" i="116"/>
  <c r="H12" i="116"/>
  <c r="H13" i="116"/>
  <c r="H14" i="116"/>
  <c r="H15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H39" i="116"/>
  <c r="H9" i="116"/>
  <c r="R10" i="109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R35" i="109"/>
  <c r="R36" i="109"/>
  <c r="R37" i="109"/>
  <c r="R38" i="109"/>
  <c r="R39" i="109"/>
  <c r="R9" i="109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8" i="102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39" i="109"/>
  <c r="D9" i="109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9" i="116"/>
  <c r="G3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39" i="116"/>
  <c r="C9" i="116"/>
  <c r="G39" i="109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2" i="117"/>
  <c r="I3" i="117"/>
  <c r="I7" i="117"/>
  <c r="I10" i="117"/>
  <c r="I17" i="117"/>
  <c r="I24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2" i="117"/>
  <c r="B4" i="117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" i="117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G17" i="102"/>
  <c r="G23" i="102"/>
  <c r="G25" i="102"/>
  <c r="G28" i="102"/>
  <c r="G30" i="102"/>
  <c r="G34" i="102"/>
  <c r="D40" i="116"/>
  <c r="C40" i="116"/>
  <c r="G38" i="116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J8" i="109"/>
  <c r="J19" i="109" s="1"/>
  <c r="I40" i="106"/>
  <c r="G40" i="106"/>
  <c r="E40" i="106"/>
  <c r="J39" i="106"/>
  <c r="F39" i="106"/>
  <c r="F38" i="106"/>
  <c r="F37" i="106"/>
  <c r="F36" i="106"/>
  <c r="F35" i="106"/>
  <c r="F34" i="106"/>
  <c r="F33" i="106"/>
  <c r="F32" i="106"/>
  <c r="F31" i="106"/>
  <c r="F30" i="106"/>
  <c r="K30" i="106" s="1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K18" i="106"/>
  <c r="F17" i="106"/>
  <c r="F16" i="106"/>
  <c r="F15" i="106"/>
  <c r="F14" i="106"/>
  <c r="F13" i="106"/>
  <c r="F12" i="106"/>
  <c r="F11" i="106"/>
  <c r="F10" i="106"/>
  <c r="K10" i="106" s="1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F40" i="109"/>
  <c r="G10" i="109"/>
  <c r="O40" i="109"/>
  <c r="I41" i="106" l="1"/>
  <c r="Q40" i="109"/>
  <c r="E26" i="117"/>
  <c r="E16" i="117"/>
  <c r="K15" i="106"/>
  <c r="K27" i="106"/>
  <c r="K38" i="106"/>
  <c r="E12" i="117"/>
  <c r="E15" i="117"/>
  <c r="E25" i="117"/>
  <c r="E23" i="117"/>
  <c r="E13" i="117"/>
  <c r="K31" i="106"/>
  <c r="K32" i="106"/>
  <c r="K39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K21" i="106"/>
  <c r="K33" i="106"/>
  <c r="K35" i="106"/>
  <c r="K11" i="106"/>
  <c r="J40" i="106"/>
  <c r="K17" i="106"/>
  <c r="K9" i="106"/>
  <c r="K28" i="106"/>
  <c r="K16" i="106"/>
  <c r="K13" i="106"/>
  <c r="K23" i="106"/>
  <c r="K29" i="106"/>
  <c r="K36" i="106"/>
  <c r="K25" i="106"/>
  <c r="K37" i="106"/>
  <c r="L11" i="117"/>
  <c r="K12" i="106"/>
  <c r="G16" i="116"/>
  <c r="H16" i="116" s="1"/>
  <c r="G13" i="116"/>
  <c r="G19" i="116"/>
  <c r="G21" i="116"/>
  <c r="G27" i="116"/>
  <c r="E9" i="117"/>
  <c r="G22" i="102"/>
  <c r="K22" i="102" s="1"/>
  <c r="L22" i="102" s="1"/>
  <c r="E5" i="117"/>
  <c r="E21" i="117"/>
  <c r="K10" i="102"/>
  <c r="L10" i="102" s="1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K34" i="102"/>
  <c r="L34" i="102" s="1"/>
  <c r="E18" i="117"/>
  <c r="E27" i="117"/>
  <c r="G26" i="102"/>
  <c r="K26" i="102" s="1"/>
  <c r="L26" i="102" s="1"/>
  <c r="G20" i="102"/>
  <c r="K20" i="102" s="1"/>
  <c r="L20" i="102" s="1"/>
  <c r="K9" i="102"/>
  <c r="L9" i="102" s="1"/>
  <c r="J14" i="109"/>
  <c r="J12" i="109"/>
  <c r="K22" i="106"/>
  <c r="G32" i="116"/>
  <c r="G36" i="116"/>
  <c r="G35" i="102"/>
  <c r="K35" i="102" s="1"/>
  <c r="L35" i="102" s="1"/>
  <c r="G33" i="102"/>
  <c r="K33" i="102" s="1"/>
  <c r="L33" i="102" s="1"/>
  <c r="E17" i="117"/>
  <c r="K30" i="102"/>
  <c r="L30" i="102" s="1"/>
  <c r="K34" i="106"/>
  <c r="K26" i="106"/>
  <c r="K23" i="102"/>
  <c r="L23" i="102" s="1"/>
  <c r="J20" i="109"/>
  <c r="F40" i="116"/>
  <c r="J24" i="109"/>
  <c r="K13" i="102"/>
  <c r="L13" i="102" s="1"/>
  <c r="E2" i="117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K24" i="106"/>
  <c r="G33" i="116"/>
  <c r="G37" i="116"/>
  <c r="E22" i="117"/>
  <c r="G24" i="102"/>
  <c r="K24" i="102" s="1"/>
  <c r="L24" i="102" s="1"/>
  <c r="K17" i="102"/>
  <c r="L17" i="102" s="1"/>
  <c r="P8" i="109"/>
  <c r="J18" i="109"/>
  <c r="J25" i="109"/>
  <c r="J21" i="109"/>
  <c r="G8" i="102"/>
  <c r="K8" i="102" s="1"/>
  <c r="L8" i="102" s="1"/>
  <c r="J29" i="109"/>
  <c r="J36" i="109"/>
  <c r="J22" i="109"/>
  <c r="J35" i="109"/>
  <c r="J15" i="109"/>
  <c r="J34" i="109"/>
  <c r="J23" i="109"/>
  <c r="G15" i="102"/>
  <c r="K15" i="102" s="1"/>
  <c r="L15" i="102" s="1"/>
  <c r="G11" i="102"/>
  <c r="K11" i="102" s="1"/>
  <c r="L11" i="102" s="1"/>
  <c r="E4" i="117"/>
  <c r="E3" i="117"/>
  <c r="K14" i="106"/>
  <c r="K20" i="106"/>
  <c r="G34" i="116"/>
  <c r="H40" i="116" s="1"/>
  <c r="G29" i="102"/>
  <c r="K29" i="102" s="1"/>
  <c r="L29" i="102" s="1"/>
  <c r="G27" i="102"/>
  <c r="K27" i="102" s="1"/>
  <c r="L27" i="102" s="1"/>
  <c r="G19" i="102"/>
  <c r="K19" i="102" s="1"/>
  <c r="L19" i="102" s="1"/>
  <c r="E10" i="117"/>
  <c r="L23" i="117"/>
  <c r="L3" i="117"/>
  <c r="M29" i="109"/>
  <c r="K28" i="102"/>
  <c r="L28" i="102" s="1"/>
  <c r="F39" i="102"/>
  <c r="E24" i="117"/>
  <c r="E19" i="117"/>
  <c r="G18" i="102"/>
  <c r="K18" i="102" s="1"/>
  <c r="L18" i="102" s="1"/>
  <c r="G14" i="102"/>
  <c r="K14" i="102" s="1"/>
  <c r="L14" i="102" s="1"/>
  <c r="G12" i="102"/>
  <c r="K12" i="102" s="1"/>
  <c r="L12" i="102" s="1"/>
  <c r="G32" i="102"/>
  <c r="K32" i="102" s="1"/>
  <c r="L32" i="102" s="1"/>
  <c r="E11" i="117"/>
  <c r="I39" i="102"/>
  <c r="E28" i="117"/>
  <c r="G31" i="102"/>
  <c r="K31" i="102" s="1"/>
  <c r="L31" i="102" s="1"/>
  <c r="G21" i="102"/>
  <c r="K21" i="102" s="1"/>
  <c r="L21" i="102" s="1"/>
  <c r="G16" i="102"/>
  <c r="K16" i="102" s="1"/>
  <c r="L16" i="102" s="1"/>
  <c r="F17" i="117" l="1"/>
  <c r="L8" i="117"/>
  <c r="L25" i="117"/>
  <c r="L10" i="117"/>
  <c r="L21" i="117"/>
  <c r="L20" i="117"/>
  <c r="L2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P39" i="109"/>
  <c r="Q39" i="109" s="1"/>
  <c r="M12" i="109"/>
  <c r="M19" i="109"/>
  <c r="M36" i="109"/>
  <c r="M21" i="109"/>
  <c r="M27" i="109"/>
  <c r="M15" i="109"/>
  <c r="M14" i="109"/>
  <c r="Q14" i="109" s="1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Q20" i="109" s="1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Q31" i="109" s="1"/>
  <c r="P32" i="109"/>
  <c r="Q32" i="109" s="1"/>
  <c r="P10" i="109"/>
  <c r="P11" i="109"/>
  <c r="P24" i="109"/>
  <c r="Q24" i="109" s="1"/>
  <c r="P14" i="109"/>
  <c r="P13" i="109"/>
  <c r="Q13" i="109" s="1"/>
  <c r="P28" i="109"/>
  <c r="Q28" i="109" s="1"/>
  <c r="P25" i="109"/>
  <c r="P27" i="109"/>
  <c r="P36" i="109"/>
  <c r="P17" i="109"/>
  <c r="P9" i="109"/>
  <c r="Q9" i="109" s="1"/>
  <c r="P12" i="109"/>
  <c r="Q12" i="109" s="1"/>
  <c r="P16" i="109"/>
  <c r="Q16" i="109" s="1"/>
  <c r="P22" i="109"/>
  <c r="P38" i="109"/>
  <c r="P26" i="109"/>
  <c r="Q26" i="109" s="1"/>
  <c r="P19" i="109"/>
  <c r="Q19" i="109" s="1"/>
  <c r="J27" i="117"/>
  <c r="P15" i="109"/>
  <c r="P29" i="109"/>
  <c r="Q29" i="109" s="1"/>
  <c r="L27" i="117"/>
  <c r="F21" i="117"/>
  <c r="J29" i="117"/>
  <c r="J26" i="117"/>
  <c r="F11" i="117"/>
  <c r="P35" i="109"/>
  <c r="Q35" i="109" s="1"/>
  <c r="Q21" i="109"/>
  <c r="P20" i="109"/>
  <c r="P34" i="109"/>
  <c r="Q34" i="109" s="1"/>
  <c r="J25" i="117"/>
  <c r="F12" i="117"/>
  <c r="F2" i="117"/>
  <c r="L39" i="102"/>
  <c r="F26" i="117"/>
  <c r="F6" i="117"/>
  <c r="K40" i="102"/>
  <c r="F10" i="117"/>
  <c r="F15" i="117"/>
  <c r="F25" i="117"/>
  <c r="F8" i="117"/>
  <c r="F22" i="117"/>
  <c r="Q17" i="109" l="1"/>
  <c r="Q38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H21" i="117"/>
  <c r="H4" i="117"/>
  <c r="H9" i="117"/>
  <c r="H6" i="117"/>
  <c r="H11" i="117"/>
  <c r="H19" i="117"/>
  <c r="H7" i="117"/>
  <c r="H26" i="117"/>
  <c r="H22" i="117"/>
  <c r="H2" i="117"/>
  <c r="H24" i="117"/>
  <c r="H13" i="117"/>
  <c r="H27" i="117"/>
  <c r="H28" i="117"/>
  <c r="H15" i="117"/>
  <c r="H14" i="117"/>
  <c r="H5" i="117"/>
  <c r="H12" i="117"/>
  <c r="H25" i="117"/>
  <c r="H17" i="117"/>
  <c r="M39" i="102"/>
  <c r="P39" i="102" s="1"/>
  <c r="H10" i="117" l="1"/>
  <c r="H29" i="117"/>
  <c r="H16" i="117"/>
  <c r="H8" i="117"/>
  <c r="H18" i="117"/>
  <c r="H20" i="117"/>
  <c r="H23" i="117"/>
  <c r="R40" i="109"/>
  <c r="U40" i="109" s="1"/>
  <c r="H3" i="117"/>
</calcChain>
</file>

<file path=xl/sharedStrings.xml><?xml version="1.0" encoding="utf-8"?>
<sst xmlns="http://schemas.openxmlformats.org/spreadsheetml/2006/main" count="115" uniqueCount="58">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</sst>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8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169" fontId="0" fillId="0" borderId="1" xfId="0" applyNumberFormat="1" applyBorder="1"/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X16" sqref="X1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2</v>
      </c>
      <c r="D2" s="64">
        <v>2021</v>
      </c>
      <c r="E2" s="66">
        <f>Electricity!F8+Electricity!I8</f>
        <v>5579.9999999999836</v>
      </c>
      <c r="F2" s="67">
        <f>Electricity!L8/TOTAL!E2</f>
        <v>1237.0327956989231</v>
      </c>
      <c r="G2" s="66">
        <f>Gas!F9+Gas!I9+Gas!L9+Gas!O9</f>
        <v>20.06369426751592</v>
      </c>
      <c r="H2" s="67">
        <f>Gas!Q9/TOTAL!G2</f>
        <v>10629.999999999998</v>
      </c>
      <c r="I2" s="66">
        <f>'Fuel Diesel'!F9</f>
        <v>53</v>
      </c>
      <c r="J2" s="68">
        <f>'Fuel Diesel'!G9/'Fuel Diesel'!F9</f>
        <v>10700</v>
      </c>
      <c r="K2" s="66">
        <f>Water!E9+Water!G9+Water!I9</f>
        <v>160</v>
      </c>
      <c r="L2" s="67">
        <f>Water!K9/TOTAL!K2</f>
        <v>4000</v>
      </c>
      <c r="M2" s="66">
        <f>Electricity!C8</f>
        <v>2</v>
      </c>
      <c r="N2" s="66">
        <f>Electricity!D8</f>
        <v>7</v>
      </c>
    </row>
    <row r="3" spans="1:14" ht="15" x14ac:dyDescent="0.25">
      <c r="A3" s="63" t="s">
        <v>56</v>
      </c>
      <c r="B3" s="64">
        <f>B2+1</f>
        <v>2</v>
      </c>
      <c r="C3" s="65">
        <v>2</v>
      </c>
      <c r="D3" s="64">
        <v>2021</v>
      </c>
      <c r="E3" s="66">
        <f>Electricity!F9+Electricity!I9</f>
        <v>5840.0000000000036</v>
      </c>
      <c r="F3" s="67">
        <f>Electricity!L9/TOTAL!E3</f>
        <v>1232.6705479452062</v>
      </c>
      <c r="G3" s="66">
        <f>Gas!F10+Gas!I10+Gas!L10+Gas!O10</f>
        <v>42.99363057324841</v>
      </c>
      <c r="H3" s="67">
        <f>Gas!Q10/TOTAL!G3</f>
        <v>10630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172</v>
      </c>
      <c r="L3" s="67">
        <f>Water!K10/TOTAL!K3</f>
        <v>4000</v>
      </c>
      <c r="M3" s="66">
        <f>Electricity!C9</f>
        <v>3</v>
      </c>
      <c r="N3" s="66">
        <f>Electricity!D9</f>
        <v>15</v>
      </c>
    </row>
    <row r="4" spans="1:14" ht="15" x14ac:dyDescent="0.25">
      <c r="A4" s="63" t="s">
        <v>56</v>
      </c>
      <c r="B4" s="64">
        <f t="shared" ref="B4:B29" si="0">B3+1</f>
        <v>3</v>
      </c>
      <c r="C4" s="65">
        <v>2</v>
      </c>
      <c r="D4" s="64">
        <v>2021</v>
      </c>
      <c r="E4" s="66">
        <f>Electricity!F10+Electricity!I10</f>
        <v>5679.9999999999782</v>
      </c>
      <c r="F4" s="67">
        <f>Electricity!L10/TOTAL!E4</f>
        <v>1229.291637323945</v>
      </c>
      <c r="G4" s="66">
        <f>Gas!F11+Gas!I11+Gas!L11+Gas!O11</f>
        <v>88.853503184713375</v>
      </c>
      <c r="H4" s="67">
        <f>Gas!Q11/TOTAL!G4</f>
        <v>10630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142</v>
      </c>
      <c r="L4" s="67">
        <f>Water!K11/TOTAL!K4</f>
        <v>4000</v>
      </c>
      <c r="M4" s="66">
        <f>Electricity!C10</f>
        <v>5</v>
      </c>
      <c r="N4" s="66">
        <f>Electricity!D10</f>
        <v>31</v>
      </c>
    </row>
    <row r="5" spans="1:14" ht="15" x14ac:dyDescent="0.25">
      <c r="A5" s="63" t="s">
        <v>56</v>
      </c>
      <c r="B5" s="64">
        <f t="shared" si="0"/>
        <v>4</v>
      </c>
      <c r="C5" s="65">
        <v>2</v>
      </c>
      <c r="D5" s="64">
        <v>2021</v>
      </c>
      <c r="E5" s="66">
        <f>Electricity!F11+Electricity!I11</f>
        <v>5660.0000000000255</v>
      </c>
      <c r="F5" s="67">
        <f>Electricity!L11/TOTAL!E5</f>
        <v>1233.6354240282678</v>
      </c>
      <c r="G5" s="66">
        <f>Gas!F12+Gas!I12+Gas!L12+Gas!O12</f>
        <v>97.452229299363054</v>
      </c>
      <c r="H5" s="67">
        <f>Gas!Q12/TOTAL!G5</f>
        <v>10630</v>
      </c>
      <c r="I5" s="66">
        <f>'Fuel Diesel'!F12</f>
        <v>0</v>
      </c>
      <c r="J5" s="68" t="e">
        <f>'Fuel Diesel'!G12/'Fuel Diesel'!F12</f>
        <v>#DIV/0!</v>
      </c>
      <c r="K5" s="66">
        <f>Water!E12+Water!G12+Water!I12</f>
        <v>150</v>
      </c>
      <c r="L5" s="67">
        <f>Water!K12/TOTAL!K5</f>
        <v>4000</v>
      </c>
      <c r="M5" s="66">
        <f>Electricity!C11</f>
        <v>4</v>
      </c>
      <c r="N5" s="66">
        <f>Electricity!D11</f>
        <v>34</v>
      </c>
    </row>
    <row r="6" spans="1:14" ht="15" x14ac:dyDescent="0.25">
      <c r="A6" s="63" t="s">
        <v>56</v>
      </c>
      <c r="B6" s="64">
        <f t="shared" si="0"/>
        <v>5</v>
      </c>
      <c r="C6" s="65">
        <v>2</v>
      </c>
      <c r="D6" s="64">
        <v>2021</v>
      </c>
      <c r="E6" s="66">
        <f>Electricity!F12+Electricity!I12</f>
        <v>5760.0000000000473</v>
      </c>
      <c r="F6" s="67">
        <f>Electricity!L12/TOTAL!E6</f>
        <v>1231.9933159722216</v>
      </c>
      <c r="G6" s="66">
        <f>Gas!F13+Gas!I13+Gas!L13+Gas!O13</f>
        <v>51.592356687898089</v>
      </c>
      <c r="H6" s="67">
        <f>Gas!Q13/TOTAL!G6</f>
        <v>10630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151</v>
      </c>
      <c r="L6" s="67">
        <f>Water!K13/TOTAL!K6</f>
        <v>4000</v>
      </c>
      <c r="M6" s="66">
        <f>Electricity!C12</f>
        <v>6</v>
      </c>
      <c r="N6" s="66">
        <f>Electricity!D12</f>
        <v>18</v>
      </c>
    </row>
    <row r="7" spans="1:14" ht="15" x14ac:dyDescent="0.25">
      <c r="A7" s="63" t="s">
        <v>56</v>
      </c>
      <c r="B7" s="64">
        <f t="shared" si="0"/>
        <v>6</v>
      </c>
      <c r="C7" s="65">
        <v>2</v>
      </c>
      <c r="D7" s="64">
        <v>2021</v>
      </c>
      <c r="E7" s="66">
        <f>Electricity!F13+Electricity!I13</f>
        <v>5599.9999999999372</v>
      </c>
      <c r="F7" s="67">
        <f>Electricity!L13/TOTAL!E7</f>
        <v>1230.5808035714304</v>
      </c>
      <c r="G7" s="66">
        <f>Gas!F14+Gas!I14+Gas!L14+Gas!O14</f>
        <v>97.452229299363054</v>
      </c>
      <c r="H7" s="67">
        <f>Gas!Q14/TOTAL!G7</f>
        <v>10630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153</v>
      </c>
      <c r="L7" s="67">
        <f>Water!K14/TOTAL!K7</f>
        <v>4000</v>
      </c>
      <c r="M7" s="66">
        <f>Electricity!C13</f>
        <v>6</v>
      </c>
      <c r="N7" s="66">
        <f>Electricity!D13</f>
        <v>34</v>
      </c>
    </row>
    <row r="8" spans="1:14" ht="15" x14ac:dyDescent="0.25">
      <c r="A8" s="63" t="s">
        <v>56</v>
      </c>
      <c r="B8" s="64">
        <f t="shared" si="0"/>
        <v>7</v>
      </c>
      <c r="C8" s="65">
        <v>2</v>
      </c>
      <c r="D8" s="64">
        <v>2021</v>
      </c>
      <c r="E8" s="66">
        <f>Electricity!F14+Electricity!I14</f>
        <v>5939.9999999999691</v>
      </c>
      <c r="F8" s="67">
        <f>Electricity!L14/TOTAL!E8</f>
        <v>1227.2592592592587</v>
      </c>
      <c r="G8" s="66">
        <f>Gas!F15+Gas!I15+Gas!L15+Gas!O15</f>
        <v>51.592356687898089</v>
      </c>
      <c r="H8" s="67">
        <f>Gas!Q15/TOTAL!G8</f>
        <v>10630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176</v>
      </c>
      <c r="L8" s="67">
        <f>Water!K15/TOTAL!K8</f>
        <v>4000</v>
      </c>
      <c r="M8" s="66">
        <f>Electricity!C14</f>
        <v>4</v>
      </c>
      <c r="N8" s="66">
        <f>Electricity!D14</f>
        <v>18</v>
      </c>
    </row>
    <row r="9" spans="1:14" ht="15" x14ac:dyDescent="0.25">
      <c r="A9" s="63" t="s">
        <v>56</v>
      </c>
      <c r="B9" s="64">
        <f t="shared" si="0"/>
        <v>8</v>
      </c>
      <c r="C9" s="65">
        <v>2</v>
      </c>
      <c r="D9" s="64">
        <v>2021</v>
      </c>
      <c r="E9" s="66">
        <f>Electricity!F15+Electricity!I15</f>
        <v>0</v>
      </c>
      <c r="F9" s="67" t="e">
        <f>Electricity!L15/TOTAL!E9</f>
        <v>#DIV/0!</v>
      </c>
      <c r="G9" s="66">
        <f>Gas!F16+Gas!I16+Gas!L16+Gas!O16</f>
        <v>0</v>
      </c>
      <c r="H9" s="67" t="e">
        <f>Gas!Q16/TOTAL!G9</f>
        <v>#DIV/0!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0</v>
      </c>
      <c r="L9" s="67" t="e">
        <f>Water!K16/TOTAL!K9</f>
        <v>#DIV/0!</v>
      </c>
      <c r="M9" s="66">
        <f>Electricity!C15</f>
        <v>0</v>
      </c>
      <c r="N9" s="66">
        <f>Electricity!D15</f>
        <v>0</v>
      </c>
    </row>
    <row r="10" spans="1:14" ht="15" x14ac:dyDescent="0.25">
      <c r="A10" s="63" t="s">
        <v>56</v>
      </c>
      <c r="B10" s="64">
        <f t="shared" si="0"/>
        <v>9</v>
      </c>
      <c r="C10" s="65">
        <v>2</v>
      </c>
      <c r="D10" s="64">
        <v>2021</v>
      </c>
      <c r="E10" s="66">
        <f>Electricity!F16+Electricity!I16</f>
        <v>0</v>
      </c>
      <c r="F10" s="67" t="e">
        <f>Electricity!L16/TOTAL!E10</f>
        <v>#DIV/0!</v>
      </c>
      <c r="G10" s="66">
        <f>Gas!F17+Gas!I17+Gas!L17+Gas!O17</f>
        <v>0</v>
      </c>
      <c r="H10" s="67" t="e">
        <f>Gas!Q17/TOTAL!G10</f>
        <v>#DIV/0!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0</v>
      </c>
      <c r="L10" s="67" t="e">
        <f>Water!K17/TOTAL!K10</f>
        <v>#DIV/0!</v>
      </c>
      <c r="M10" s="66">
        <f>Electricity!C16</f>
        <v>0</v>
      </c>
      <c r="N10" s="66">
        <f>Electricity!D16</f>
        <v>0</v>
      </c>
    </row>
    <row r="11" spans="1:14" ht="15" x14ac:dyDescent="0.25">
      <c r="A11" s="63" t="s">
        <v>56</v>
      </c>
      <c r="B11" s="64">
        <f t="shared" si="0"/>
        <v>10</v>
      </c>
      <c r="C11" s="65">
        <v>2</v>
      </c>
      <c r="D11" s="64">
        <v>2021</v>
      </c>
      <c r="E11" s="66">
        <f>Electricity!F17+Electricity!I17</f>
        <v>0</v>
      </c>
      <c r="F11" s="67" t="e">
        <f>Electricity!L17/TOTAL!E11</f>
        <v>#DIV/0!</v>
      </c>
      <c r="G11" s="66">
        <f>Gas!F18+Gas!I18+Gas!L18+Gas!O18</f>
        <v>0</v>
      </c>
      <c r="H11" s="67" t="e">
        <f>Gas!Q18/TOTAL!G11</f>
        <v>#DIV/0!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0</v>
      </c>
      <c r="L11" s="67" t="e">
        <f>Water!K18/TOTAL!K11</f>
        <v>#DIV/0!</v>
      </c>
      <c r="M11" s="66">
        <f>Electricity!C17</f>
        <v>0</v>
      </c>
      <c r="N11" s="66">
        <f>Electricity!D17</f>
        <v>0</v>
      </c>
    </row>
    <row r="12" spans="1:14" ht="15" x14ac:dyDescent="0.25">
      <c r="A12" s="63" t="s">
        <v>56</v>
      </c>
      <c r="B12" s="64">
        <f t="shared" si="0"/>
        <v>11</v>
      </c>
      <c r="C12" s="65">
        <v>2</v>
      </c>
      <c r="D12" s="64">
        <v>2021</v>
      </c>
      <c r="E12" s="66">
        <f>Electricity!F18+Electricity!I18</f>
        <v>0</v>
      </c>
      <c r="F12" s="67" t="e">
        <f>Electricity!L18/TOTAL!E12</f>
        <v>#DIV/0!</v>
      </c>
      <c r="G12" s="66">
        <f>Gas!F19+Gas!I19+Gas!L19+Gas!O19</f>
        <v>0</v>
      </c>
      <c r="H12" s="67" t="e">
        <f>Gas!Q19/TOTAL!G12</f>
        <v>#DIV/0!</v>
      </c>
      <c r="I12" s="66">
        <f>'Fuel Diesel'!F19</f>
        <v>0</v>
      </c>
      <c r="J12" s="68" t="e">
        <f>'Fuel Diesel'!G19/'Fuel Diesel'!F19</f>
        <v>#DIV/0!</v>
      </c>
      <c r="K12" s="66">
        <f>Water!E19+Water!G19+Water!I19</f>
        <v>0</v>
      </c>
      <c r="L12" s="67" t="e">
        <f>Water!K19/TOTAL!K12</f>
        <v>#DIV/0!</v>
      </c>
      <c r="M12" s="66">
        <f>Electricity!C18</f>
        <v>0</v>
      </c>
      <c r="N12" s="66">
        <f>Electricity!D18</f>
        <v>0</v>
      </c>
    </row>
    <row r="13" spans="1:14" ht="15" x14ac:dyDescent="0.25">
      <c r="A13" s="63" t="s">
        <v>56</v>
      </c>
      <c r="B13" s="64">
        <f t="shared" si="0"/>
        <v>12</v>
      </c>
      <c r="C13" s="65">
        <v>2</v>
      </c>
      <c r="D13" s="64">
        <v>2021</v>
      </c>
      <c r="E13" s="66">
        <f>Electricity!F19+Electricity!I19</f>
        <v>0</v>
      </c>
      <c r="F13" s="67" t="e">
        <f>Electricity!L19/TOTAL!E13</f>
        <v>#DIV/0!</v>
      </c>
      <c r="G13" s="66">
        <f>Gas!F20+Gas!I20+Gas!L20+Gas!O20</f>
        <v>0</v>
      </c>
      <c r="H13" s="67" t="e">
        <f>Gas!Q20/TOTAL!G13</f>
        <v>#DIV/0!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0</v>
      </c>
      <c r="L13" s="67" t="e">
        <f>Water!K20/TOTAL!K13</f>
        <v>#DIV/0!</v>
      </c>
      <c r="M13" s="66">
        <f>Electricity!C19</f>
        <v>0</v>
      </c>
      <c r="N13" s="66">
        <f>Electricity!D19</f>
        <v>0</v>
      </c>
    </row>
    <row r="14" spans="1:14" ht="15" x14ac:dyDescent="0.25">
      <c r="A14" s="63" t="s">
        <v>56</v>
      </c>
      <c r="B14" s="64">
        <f t="shared" si="0"/>
        <v>13</v>
      </c>
      <c r="C14" s="65">
        <v>2</v>
      </c>
      <c r="D14" s="64">
        <v>2021</v>
      </c>
      <c r="E14" s="66">
        <f>Electricity!F20+Electricity!I20</f>
        <v>0</v>
      </c>
      <c r="F14" s="67" t="e">
        <f>Electricity!L20/TOTAL!E14</f>
        <v>#DIV/0!</v>
      </c>
      <c r="G14" s="66">
        <f>Gas!F21+Gas!I21+Gas!L21+Gas!O21</f>
        <v>0</v>
      </c>
      <c r="H14" s="67" t="e">
        <f>Gas!Q21/TOTAL!G14</f>
        <v>#DIV/0!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0</v>
      </c>
      <c r="L14" s="67" t="e">
        <f>Water!K21/TOTAL!K14</f>
        <v>#DIV/0!</v>
      </c>
      <c r="M14" s="66">
        <f>Electricity!C20</f>
        <v>0</v>
      </c>
      <c r="N14" s="66">
        <f>Electricity!D20</f>
        <v>0</v>
      </c>
    </row>
    <row r="15" spans="1:14" ht="15" x14ac:dyDescent="0.25">
      <c r="A15" s="63" t="s">
        <v>56</v>
      </c>
      <c r="B15" s="64">
        <f t="shared" si="0"/>
        <v>14</v>
      </c>
      <c r="C15" s="65">
        <v>2</v>
      </c>
      <c r="D15" s="64">
        <v>2021</v>
      </c>
      <c r="E15" s="66">
        <f>Electricity!F21+Electricity!I21</f>
        <v>0</v>
      </c>
      <c r="F15" s="67" t="e">
        <f>Electricity!L21/TOTAL!E15</f>
        <v>#DIV/0!</v>
      </c>
      <c r="G15" s="66">
        <f>Gas!F22+Gas!I22+Gas!L22+Gas!O22</f>
        <v>0</v>
      </c>
      <c r="H15" s="67" t="e">
        <f>Gas!Q22/TOTAL!G15</f>
        <v>#DIV/0!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0</v>
      </c>
      <c r="L15" s="67" t="e">
        <f>Water!K22/TOTAL!K15</f>
        <v>#DIV/0!</v>
      </c>
      <c r="M15" s="66">
        <f>Electricity!C21</f>
        <v>0</v>
      </c>
      <c r="N15" s="66">
        <f>Electricity!D21</f>
        <v>0</v>
      </c>
    </row>
    <row r="16" spans="1:14" ht="15" x14ac:dyDescent="0.25">
      <c r="A16" s="63" t="s">
        <v>56</v>
      </c>
      <c r="B16" s="64">
        <f t="shared" si="0"/>
        <v>15</v>
      </c>
      <c r="C16" s="65">
        <v>2</v>
      </c>
      <c r="D16" s="64">
        <v>2021</v>
      </c>
      <c r="E16" s="66">
        <f>Electricity!F22+Electricity!I22</f>
        <v>0</v>
      </c>
      <c r="F16" s="67" t="e">
        <f>Electricity!L22/TOTAL!E16</f>
        <v>#DIV/0!</v>
      </c>
      <c r="G16" s="66">
        <f>Gas!F23+Gas!I23+Gas!L23+Gas!O23</f>
        <v>0</v>
      </c>
      <c r="H16" s="67" t="e">
        <f>Gas!Q23/TOTAL!G16</f>
        <v>#DIV/0!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0</v>
      </c>
      <c r="L16" s="67" t="e">
        <f>Water!K23/TOTAL!K16</f>
        <v>#DIV/0!</v>
      </c>
      <c r="M16" s="66">
        <f>Electricity!C22</f>
        <v>0</v>
      </c>
      <c r="N16" s="66">
        <f>Electricity!D22</f>
        <v>0</v>
      </c>
    </row>
    <row r="17" spans="1:14" ht="15" x14ac:dyDescent="0.25">
      <c r="A17" s="63" t="s">
        <v>56</v>
      </c>
      <c r="B17" s="64">
        <f t="shared" si="0"/>
        <v>16</v>
      </c>
      <c r="C17" s="65">
        <v>2</v>
      </c>
      <c r="D17" s="64">
        <v>2021</v>
      </c>
      <c r="E17" s="66">
        <f>Electricity!F23+Electricity!I23</f>
        <v>0</v>
      </c>
      <c r="F17" s="67" t="e">
        <f>Electricity!L23/TOTAL!E17</f>
        <v>#DIV/0!</v>
      </c>
      <c r="G17" s="66">
        <f>Gas!F24+Gas!I24+Gas!L24+Gas!O24</f>
        <v>0</v>
      </c>
      <c r="H17" s="67" t="e">
        <f>Gas!Q24/TOTAL!G17</f>
        <v>#DIV/0!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0</v>
      </c>
      <c r="L17" s="67" t="e">
        <f>Water!K24/TOTAL!K17</f>
        <v>#DIV/0!</v>
      </c>
      <c r="M17" s="66">
        <f>Electricity!C23</f>
        <v>0</v>
      </c>
      <c r="N17" s="66">
        <f>Electricity!D23</f>
        <v>0</v>
      </c>
    </row>
    <row r="18" spans="1:14" ht="15" x14ac:dyDescent="0.25">
      <c r="A18" s="63" t="s">
        <v>56</v>
      </c>
      <c r="B18" s="64">
        <f t="shared" si="0"/>
        <v>17</v>
      </c>
      <c r="C18" s="65">
        <v>2</v>
      </c>
      <c r="D18" s="64">
        <v>2021</v>
      </c>
      <c r="E18" s="66">
        <f>Electricity!F24+Electricity!I24</f>
        <v>0</v>
      </c>
      <c r="F18" s="67" t="e">
        <f>Electricity!L24/TOTAL!E18</f>
        <v>#DIV/0!</v>
      </c>
      <c r="G18" s="66">
        <f>Gas!F25+Gas!I25+Gas!L25+Gas!O25</f>
        <v>0</v>
      </c>
      <c r="H18" s="67" t="e">
        <f>Gas!Q25/TOTAL!G18</f>
        <v>#DIV/0!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0</v>
      </c>
      <c r="L18" s="67" t="e">
        <f>Water!K25/TOTAL!K18</f>
        <v>#DIV/0!</v>
      </c>
      <c r="M18" s="66">
        <f>Electricity!C24</f>
        <v>0</v>
      </c>
      <c r="N18" s="66">
        <f>Electricity!D24</f>
        <v>0</v>
      </c>
    </row>
    <row r="19" spans="1:14" ht="15" x14ac:dyDescent="0.25">
      <c r="A19" s="63" t="s">
        <v>56</v>
      </c>
      <c r="B19" s="64">
        <f t="shared" si="0"/>
        <v>18</v>
      </c>
      <c r="C19" s="65">
        <v>2</v>
      </c>
      <c r="D19" s="64">
        <v>2021</v>
      </c>
      <c r="E19" s="66">
        <f>Electricity!F25+Electricity!I25</f>
        <v>0</v>
      </c>
      <c r="F19" s="67" t="e">
        <f>Electricity!L25/TOTAL!E19</f>
        <v>#DIV/0!</v>
      </c>
      <c r="G19" s="66">
        <f>Gas!F26+Gas!I26+Gas!L26+Gas!O26</f>
        <v>0</v>
      </c>
      <c r="H19" s="67" t="e">
        <f>Gas!Q26/TOTAL!G19</f>
        <v>#DIV/0!</v>
      </c>
      <c r="I19" s="66">
        <f>'Fuel Diesel'!F26</f>
        <v>0</v>
      </c>
      <c r="J19" s="68" t="e">
        <f>'Fuel Diesel'!G26/'Fuel Diesel'!F26</f>
        <v>#DIV/0!</v>
      </c>
      <c r="K19" s="66">
        <f>Water!E26+Water!G26+Water!I26</f>
        <v>0</v>
      </c>
      <c r="L19" s="67" t="e">
        <f>Water!K26/TOTAL!K19</f>
        <v>#DIV/0!</v>
      </c>
      <c r="M19" s="66">
        <f>Electricity!C25</f>
        <v>0</v>
      </c>
      <c r="N19" s="66">
        <f>Electricity!D25</f>
        <v>0</v>
      </c>
    </row>
    <row r="20" spans="1:14" ht="15" x14ac:dyDescent="0.25">
      <c r="A20" s="63" t="s">
        <v>56</v>
      </c>
      <c r="B20" s="64">
        <f t="shared" si="0"/>
        <v>19</v>
      </c>
      <c r="C20" s="65">
        <v>2</v>
      </c>
      <c r="D20" s="64">
        <v>2021</v>
      </c>
      <c r="E20" s="66">
        <f>Electricity!F26+Electricity!I26</f>
        <v>0</v>
      </c>
      <c r="F20" s="67" t="e">
        <f>Electricity!L26/TOTAL!E20</f>
        <v>#DIV/0!</v>
      </c>
      <c r="G20" s="66">
        <f>Gas!F27+Gas!I27+Gas!L27+Gas!O27</f>
        <v>0</v>
      </c>
      <c r="H20" s="67" t="e">
        <f>Gas!Q27/TOTAL!G20</f>
        <v>#DIV/0!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0</v>
      </c>
      <c r="L20" s="67" t="e">
        <f>Water!K27/TOTAL!K20</f>
        <v>#DIV/0!</v>
      </c>
      <c r="M20" s="66">
        <f>Electricity!C26</f>
        <v>0</v>
      </c>
      <c r="N20" s="66">
        <f>Electricity!D26</f>
        <v>0</v>
      </c>
    </row>
    <row r="21" spans="1:14" ht="15" x14ac:dyDescent="0.25">
      <c r="A21" s="63" t="s">
        <v>56</v>
      </c>
      <c r="B21" s="64">
        <f t="shared" si="0"/>
        <v>20</v>
      </c>
      <c r="C21" s="65">
        <v>2</v>
      </c>
      <c r="D21" s="64">
        <v>2021</v>
      </c>
      <c r="E21" s="66">
        <f>Electricity!F27+Electricity!I27</f>
        <v>0</v>
      </c>
      <c r="F21" s="67" t="e">
        <f>Electricity!L27/TOTAL!E21</f>
        <v>#DIV/0!</v>
      </c>
      <c r="G21" s="66">
        <f>Gas!F28+Gas!I28+Gas!L28+Gas!O28</f>
        <v>0</v>
      </c>
      <c r="H21" s="67" t="e">
        <f>Gas!Q28/TOTAL!G21</f>
        <v>#DIV/0!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0</v>
      </c>
      <c r="L21" s="67" t="e">
        <f>Water!K28/TOTAL!K21</f>
        <v>#DIV/0!</v>
      </c>
      <c r="M21" s="66">
        <f>Electricity!C27</f>
        <v>0</v>
      </c>
      <c r="N21" s="66">
        <f>Electricity!D27</f>
        <v>0</v>
      </c>
    </row>
    <row r="22" spans="1:14" ht="15" x14ac:dyDescent="0.25">
      <c r="A22" s="63" t="s">
        <v>56</v>
      </c>
      <c r="B22" s="64">
        <f t="shared" si="0"/>
        <v>21</v>
      </c>
      <c r="C22" s="65">
        <v>2</v>
      </c>
      <c r="D22" s="64">
        <v>2021</v>
      </c>
      <c r="E22" s="66">
        <f>Electricity!F28+Electricity!I28</f>
        <v>0</v>
      </c>
      <c r="F22" s="67" t="e">
        <f>Electricity!L28/TOTAL!E22</f>
        <v>#DIV/0!</v>
      </c>
      <c r="G22" s="66">
        <f>Gas!F29+Gas!I29+Gas!L29+Gas!O29</f>
        <v>0</v>
      </c>
      <c r="H22" s="67" t="e">
        <f>Gas!Q29/TOTAL!G22</f>
        <v>#DIV/0!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0</v>
      </c>
      <c r="L22" s="67" t="e">
        <f>Water!K29/TOTAL!K22</f>
        <v>#DIV/0!</v>
      </c>
      <c r="M22" s="66">
        <f>Electricity!C28</f>
        <v>0</v>
      </c>
      <c r="N22" s="66">
        <f>Electricity!D28</f>
        <v>0</v>
      </c>
    </row>
    <row r="23" spans="1:14" ht="15" x14ac:dyDescent="0.25">
      <c r="A23" s="63" t="s">
        <v>56</v>
      </c>
      <c r="B23" s="64">
        <f t="shared" si="0"/>
        <v>22</v>
      </c>
      <c r="C23" s="65">
        <v>2</v>
      </c>
      <c r="D23" s="64">
        <v>2021</v>
      </c>
      <c r="E23" s="66">
        <f>Electricity!F29+Electricity!I29</f>
        <v>0</v>
      </c>
      <c r="F23" s="67" t="e">
        <f>Electricity!L29/TOTAL!E23</f>
        <v>#DIV/0!</v>
      </c>
      <c r="G23" s="66">
        <f>Gas!F30+Gas!I30+Gas!L30+Gas!O30</f>
        <v>0</v>
      </c>
      <c r="H23" s="67" t="e">
        <f>Gas!Q30/TOTAL!G23</f>
        <v>#DIV/0!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0</v>
      </c>
      <c r="L23" s="67" t="e">
        <f>Water!K30/TOTAL!K23</f>
        <v>#DIV/0!</v>
      </c>
      <c r="M23" s="66">
        <f>Electricity!C29</f>
        <v>0</v>
      </c>
      <c r="N23" s="66">
        <f>Electricity!D29</f>
        <v>0</v>
      </c>
    </row>
    <row r="24" spans="1:14" ht="15" x14ac:dyDescent="0.25">
      <c r="A24" s="63" t="s">
        <v>56</v>
      </c>
      <c r="B24" s="64">
        <f t="shared" si="0"/>
        <v>23</v>
      </c>
      <c r="C24" s="65">
        <v>2</v>
      </c>
      <c r="D24" s="64">
        <v>2021</v>
      </c>
      <c r="E24" s="66">
        <f>Electricity!F30+Electricity!I30</f>
        <v>0</v>
      </c>
      <c r="F24" s="67" t="e">
        <f>Electricity!L30/TOTAL!E24</f>
        <v>#DIV/0!</v>
      </c>
      <c r="G24" s="66">
        <f>Gas!F31+Gas!I31+Gas!L31+Gas!O31</f>
        <v>0</v>
      </c>
      <c r="H24" s="67" t="e">
        <f>Gas!Q31/TOTAL!G24</f>
        <v>#DIV/0!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0</v>
      </c>
      <c r="L24" s="67" t="e">
        <f>Water!K31/TOTAL!K24</f>
        <v>#DIV/0!</v>
      </c>
      <c r="M24" s="66">
        <f>Electricity!C30</f>
        <v>0</v>
      </c>
      <c r="N24" s="66">
        <f>Electricity!D30</f>
        <v>0</v>
      </c>
    </row>
    <row r="25" spans="1:14" ht="15" x14ac:dyDescent="0.25">
      <c r="A25" s="63" t="s">
        <v>56</v>
      </c>
      <c r="B25" s="64">
        <f t="shared" si="0"/>
        <v>24</v>
      </c>
      <c r="C25" s="65">
        <v>2</v>
      </c>
      <c r="D25" s="64">
        <v>2021</v>
      </c>
      <c r="E25" s="66">
        <f>Electricity!F31+Electricity!I31</f>
        <v>0</v>
      </c>
      <c r="F25" s="67" t="e">
        <f>Electricity!L31/TOTAL!E25</f>
        <v>#DIV/0!</v>
      </c>
      <c r="G25" s="66">
        <f>Gas!F32+Gas!I32+Gas!L32+Gas!O32</f>
        <v>0</v>
      </c>
      <c r="H25" s="67" t="e">
        <f>Gas!Q32/TOTAL!G25</f>
        <v>#DIV/0!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0</v>
      </c>
      <c r="L25" s="67" t="e">
        <f>Water!K32/TOTAL!K25</f>
        <v>#DIV/0!</v>
      </c>
      <c r="M25" s="66">
        <f>Electricity!C31</f>
        <v>0</v>
      </c>
      <c r="N25" s="66">
        <f>Electricity!D31</f>
        <v>0</v>
      </c>
    </row>
    <row r="26" spans="1:14" ht="15" x14ac:dyDescent="0.25">
      <c r="A26" s="63" t="s">
        <v>56</v>
      </c>
      <c r="B26" s="64">
        <f>B25+1</f>
        <v>25</v>
      </c>
      <c r="C26" s="65">
        <v>2</v>
      </c>
      <c r="D26" s="64">
        <v>2021</v>
      </c>
      <c r="E26" s="66">
        <f>Electricity!F32+Electricity!I32</f>
        <v>0</v>
      </c>
      <c r="F26" s="67" t="e">
        <f>Electricity!L32/TOTAL!E26</f>
        <v>#DIV/0!</v>
      </c>
      <c r="G26" s="66">
        <f>Gas!F33+Gas!I33+Gas!L33+Gas!O33</f>
        <v>0</v>
      </c>
      <c r="H26" s="67" t="e">
        <f>Gas!Q33/TOTAL!G26</f>
        <v>#DIV/0!</v>
      </c>
      <c r="I26" s="66">
        <f>'Fuel Diesel'!F33</f>
        <v>0</v>
      </c>
      <c r="J26" s="68" t="e">
        <f>'Fuel Diesel'!G33/'Fuel Diesel'!F33</f>
        <v>#DIV/0!</v>
      </c>
      <c r="K26" s="66">
        <f>Water!E33+Water!G33+Water!I33</f>
        <v>0</v>
      </c>
      <c r="L26" s="67" t="e">
        <f>Water!K33/TOTAL!K26</f>
        <v>#DIV/0!</v>
      </c>
      <c r="M26" s="66">
        <f>Electricity!C32</f>
        <v>0</v>
      </c>
      <c r="N26" s="66">
        <f>Electricity!D32</f>
        <v>0</v>
      </c>
    </row>
    <row r="27" spans="1:14" ht="15" x14ac:dyDescent="0.25">
      <c r="A27" s="63" t="s">
        <v>56</v>
      </c>
      <c r="B27" s="64">
        <f t="shared" si="0"/>
        <v>26</v>
      </c>
      <c r="C27" s="65">
        <v>2</v>
      </c>
      <c r="D27" s="64">
        <v>2021</v>
      </c>
      <c r="E27" s="66">
        <f>Electricity!F33+Electricity!I33</f>
        <v>0</v>
      </c>
      <c r="F27" s="67" t="e">
        <f>Electricity!L33/TOTAL!E27</f>
        <v>#DIV/0!</v>
      </c>
      <c r="G27" s="66">
        <f>Gas!F34+Gas!I34+Gas!L34+Gas!O34</f>
        <v>0</v>
      </c>
      <c r="H27" s="67" t="e">
        <f>Gas!Q34/TOTAL!G27</f>
        <v>#DIV/0!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0</v>
      </c>
      <c r="L27" s="67" t="e">
        <f>Water!K34/TOTAL!K27</f>
        <v>#DIV/0!</v>
      </c>
      <c r="M27" s="66">
        <f>Electricity!C33</f>
        <v>0</v>
      </c>
      <c r="N27" s="66">
        <f>Electricity!D33</f>
        <v>0</v>
      </c>
    </row>
    <row r="28" spans="1:14" ht="15" x14ac:dyDescent="0.25">
      <c r="A28" s="63" t="s">
        <v>56</v>
      </c>
      <c r="B28" s="64">
        <f t="shared" si="0"/>
        <v>27</v>
      </c>
      <c r="C28" s="65">
        <v>2</v>
      </c>
      <c r="D28" s="64">
        <v>2021</v>
      </c>
      <c r="E28" s="66">
        <f>Electricity!F34+Electricity!I34</f>
        <v>0</v>
      </c>
      <c r="F28" s="67" t="e">
        <f>Electricity!L34/TOTAL!E28</f>
        <v>#DIV/0!</v>
      </c>
      <c r="G28" s="66">
        <f>Gas!F35+Gas!I35+Gas!L35+Gas!O35</f>
        <v>0</v>
      </c>
      <c r="H28" s="67" t="e">
        <f>Gas!Q35/TOTAL!G28</f>
        <v>#DIV/0!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0</v>
      </c>
      <c r="L28" s="67" t="e">
        <f>Water!K35/TOTAL!K28</f>
        <v>#DIV/0!</v>
      </c>
      <c r="M28" s="66">
        <f>Electricity!C34</f>
        <v>0</v>
      </c>
      <c r="N28" s="66">
        <f>Electricity!D34</f>
        <v>0</v>
      </c>
    </row>
    <row r="29" spans="1:14" ht="15" x14ac:dyDescent="0.25">
      <c r="A29" s="63" t="s">
        <v>56</v>
      </c>
      <c r="B29" s="64">
        <f t="shared" si="0"/>
        <v>28</v>
      </c>
      <c r="C29" s="65">
        <v>2</v>
      </c>
      <c r="D29" s="64">
        <v>2021</v>
      </c>
      <c r="E29" s="66">
        <f>Electricity!F35+Electricity!I35</f>
        <v>0</v>
      </c>
      <c r="F29" s="67" t="e">
        <f>Electricity!L35/TOTAL!E29</f>
        <v>#DIV/0!</v>
      </c>
      <c r="G29" s="66">
        <f>Gas!F36+Gas!I36+Gas!L36+Gas!O36</f>
        <v>0</v>
      </c>
      <c r="H29" s="67" t="e">
        <f>Gas!Q36/TOTAL!G29</f>
        <v>#DIV/0!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0</v>
      </c>
      <c r="L29" s="67" t="e">
        <f>Water!K36/TOTAL!K29</f>
        <v>#DIV/0!</v>
      </c>
      <c r="M29" s="66">
        <f>Electricity!C35</f>
        <v>0</v>
      </c>
      <c r="N29" s="66">
        <f>Electricity!D35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B5" sqref="B5:B7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8" t="s">
        <v>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56"/>
      <c r="N1" s="57"/>
    </row>
    <row r="2" spans="1:14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90">
        <v>44228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8"/>
    </row>
    <row r="5" spans="1:14" ht="23.25" customHeight="1" x14ac:dyDescent="0.2">
      <c r="A5" s="79"/>
      <c r="B5" s="87" t="s">
        <v>1</v>
      </c>
      <c r="C5" s="87" t="s">
        <v>38</v>
      </c>
      <c r="D5" s="87" t="s">
        <v>39</v>
      </c>
      <c r="E5" s="86" t="s">
        <v>34</v>
      </c>
      <c r="F5" s="86"/>
      <c r="G5" s="86"/>
      <c r="H5" s="89" t="s">
        <v>35</v>
      </c>
      <c r="I5" s="89"/>
      <c r="J5" s="89"/>
      <c r="K5" s="87" t="s">
        <v>11</v>
      </c>
      <c r="L5" s="87" t="s">
        <v>6</v>
      </c>
      <c r="M5" s="87" t="s">
        <v>9</v>
      </c>
      <c r="N5" s="69"/>
    </row>
    <row r="6" spans="1:14" s="7" customFormat="1" ht="48" customHeight="1" x14ac:dyDescent="0.2">
      <c r="A6" s="79"/>
      <c r="B6" s="87"/>
      <c r="C6" s="87"/>
      <c r="D6" s="87"/>
      <c r="E6" s="87" t="s">
        <v>37</v>
      </c>
      <c r="F6" s="87" t="s">
        <v>4</v>
      </c>
      <c r="G6" s="87" t="s">
        <v>8</v>
      </c>
      <c r="H6" s="87" t="s">
        <v>37</v>
      </c>
      <c r="I6" s="87" t="s">
        <v>4</v>
      </c>
      <c r="J6" s="87" t="s">
        <v>7</v>
      </c>
      <c r="K6" s="87"/>
      <c r="L6" s="87"/>
      <c r="M6" s="87"/>
      <c r="N6" s="69"/>
    </row>
    <row r="7" spans="1:14" ht="15.75" customHeight="1" x14ac:dyDescent="0.2">
      <c r="A7" s="80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70"/>
    </row>
    <row r="8" spans="1:14" ht="15.75" customHeight="1" x14ac:dyDescent="0.25">
      <c r="A8" s="80"/>
      <c r="B8" s="77">
        <v>1</v>
      </c>
      <c r="C8" s="37">
        <v>2</v>
      </c>
      <c r="D8" s="37">
        <v>7</v>
      </c>
      <c r="E8" s="11">
        <v>2.3100000000000023</v>
      </c>
      <c r="F8" s="12">
        <f t="shared" ref="F8:F38" si="0">E8*2000</f>
        <v>4620.0000000000045</v>
      </c>
      <c r="G8" s="4">
        <f t="shared" ref="G8:G38" si="1">F8*1035.5</f>
        <v>4784010.0000000047</v>
      </c>
      <c r="H8" s="11">
        <v>0.47999999999998977</v>
      </c>
      <c r="I8" s="12">
        <f t="shared" ref="I8:I15" si="2">H8*2000</f>
        <v>959.99999999997954</v>
      </c>
      <c r="J8" s="4">
        <f t="shared" ref="J8:J15" si="3">I8*1553.25</f>
        <v>1491119.9999999681</v>
      </c>
      <c r="K8" s="11">
        <f t="shared" ref="K8:K15" si="4">G8+J8</f>
        <v>6275129.999999973</v>
      </c>
      <c r="L8" s="13">
        <f t="shared" ref="L8:L15" si="5">K8*1.1</f>
        <v>6902642.9999999711</v>
      </c>
      <c r="M8" s="85">
        <f>L8/14050</f>
        <v>491.29131672597657</v>
      </c>
      <c r="N8" s="84"/>
    </row>
    <row r="9" spans="1:14" ht="17.100000000000001" customHeight="1" x14ac:dyDescent="0.25">
      <c r="A9" s="80"/>
      <c r="B9" s="77">
        <v>2</v>
      </c>
      <c r="C9" s="37">
        <v>3</v>
      </c>
      <c r="D9" s="37">
        <v>15</v>
      </c>
      <c r="E9" s="11">
        <v>2.4399999999999977</v>
      </c>
      <c r="F9" s="12">
        <f t="shared" si="0"/>
        <v>4879.9999999999955</v>
      </c>
      <c r="G9" s="4">
        <f t="shared" si="1"/>
        <v>5053239.9999999953</v>
      </c>
      <c r="H9" s="11">
        <v>0.48000000000000398</v>
      </c>
      <c r="I9" s="12">
        <f t="shared" si="2"/>
        <v>960.00000000000796</v>
      </c>
      <c r="J9" s="4">
        <f t="shared" si="3"/>
        <v>1491120.0000000123</v>
      </c>
      <c r="K9" s="11">
        <f t="shared" si="4"/>
        <v>6544360.0000000075</v>
      </c>
      <c r="L9" s="13">
        <f t="shared" si="5"/>
        <v>7198796.0000000084</v>
      </c>
      <c r="M9" s="85">
        <f t="shared" ref="M9:M35" si="6">L9/14050</f>
        <v>512.36982206405753</v>
      </c>
      <c r="N9" s="84"/>
    </row>
    <row r="10" spans="1:14" ht="17.100000000000001" customHeight="1" x14ac:dyDescent="0.25">
      <c r="A10" s="80"/>
      <c r="B10" s="77">
        <v>3</v>
      </c>
      <c r="C10" s="37">
        <v>5</v>
      </c>
      <c r="D10" s="37">
        <v>31</v>
      </c>
      <c r="E10" s="11">
        <v>2.3899999999999864</v>
      </c>
      <c r="F10" s="12">
        <f t="shared" si="0"/>
        <v>4779.9999999999727</v>
      </c>
      <c r="G10" s="4">
        <f t="shared" si="1"/>
        <v>4949689.9999999721</v>
      </c>
      <c r="H10" s="11">
        <v>0.45000000000000284</v>
      </c>
      <c r="I10" s="12">
        <f t="shared" si="2"/>
        <v>900.00000000000568</v>
      </c>
      <c r="J10" s="4">
        <f t="shared" si="3"/>
        <v>1397925.0000000088</v>
      </c>
      <c r="K10" s="11">
        <f t="shared" si="4"/>
        <v>6347614.9999999814</v>
      </c>
      <c r="L10" s="13">
        <f t="shared" si="5"/>
        <v>6982376.4999999804</v>
      </c>
      <c r="M10" s="85">
        <f t="shared" si="6"/>
        <v>496.96629893238293</v>
      </c>
      <c r="N10" s="84"/>
    </row>
    <row r="11" spans="1:14" ht="17.100000000000001" customHeight="1" x14ac:dyDescent="0.25">
      <c r="A11" s="80"/>
      <c r="B11" s="77">
        <v>4</v>
      </c>
      <c r="C11" s="37">
        <v>4</v>
      </c>
      <c r="D11" s="37">
        <v>34</v>
      </c>
      <c r="E11" s="11">
        <v>2.3600000000000136</v>
      </c>
      <c r="F11" s="12">
        <f t="shared" si="0"/>
        <v>4720.0000000000273</v>
      </c>
      <c r="G11" s="4">
        <f t="shared" si="1"/>
        <v>4887560.0000000279</v>
      </c>
      <c r="H11" s="11">
        <v>0.46999999999999886</v>
      </c>
      <c r="I11" s="12">
        <f t="shared" si="2"/>
        <v>939.99999999999773</v>
      </c>
      <c r="J11" s="4">
        <f t="shared" si="3"/>
        <v>1460054.9999999965</v>
      </c>
      <c r="K11" s="11">
        <f t="shared" si="4"/>
        <v>6347615.0000000242</v>
      </c>
      <c r="L11" s="13">
        <f t="shared" si="5"/>
        <v>6982376.500000027</v>
      </c>
      <c r="M11" s="85">
        <f t="shared" si="6"/>
        <v>496.96629893238628</v>
      </c>
      <c r="N11" s="84"/>
    </row>
    <row r="12" spans="1:14" ht="17.100000000000001" customHeight="1" x14ac:dyDescent="0.25">
      <c r="A12" s="80"/>
      <c r="B12" s="77">
        <v>5</v>
      </c>
      <c r="C12" s="37">
        <v>6</v>
      </c>
      <c r="D12" s="37">
        <v>18</v>
      </c>
      <c r="E12" s="11">
        <v>2.410000000000025</v>
      </c>
      <c r="F12" s="12">
        <f t="shared" si="0"/>
        <v>4820.00000000005</v>
      </c>
      <c r="G12" s="4">
        <f t="shared" si="1"/>
        <v>4991110.0000000522</v>
      </c>
      <c r="H12" s="11">
        <v>0.46999999999999886</v>
      </c>
      <c r="I12" s="12">
        <f t="shared" si="2"/>
        <v>939.99999999999773</v>
      </c>
      <c r="J12" s="4">
        <f t="shared" si="3"/>
        <v>1460054.9999999965</v>
      </c>
      <c r="K12" s="11">
        <f t="shared" si="4"/>
        <v>6451165.0000000484</v>
      </c>
      <c r="L12" s="13">
        <f t="shared" si="5"/>
        <v>7096281.500000054</v>
      </c>
      <c r="M12" s="85">
        <f t="shared" si="6"/>
        <v>505.07341637011058</v>
      </c>
      <c r="N12" s="84"/>
    </row>
    <row r="13" spans="1:14" ht="17.100000000000001" customHeight="1" x14ac:dyDescent="0.25">
      <c r="A13" s="80"/>
      <c r="B13" s="77">
        <v>6</v>
      </c>
      <c r="C13" s="37">
        <v>6</v>
      </c>
      <c r="D13" s="37">
        <v>34</v>
      </c>
      <c r="E13" s="11">
        <v>2.3499999999999659</v>
      </c>
      <c r="F13" s="12">
        <f t="shared" si="0"/>
        <v>4699.9999999999318</v>
      </c>
      <c r="G13" s="4">
        <f t="shared" si="1"/>
        <v>4866849.9999999292</v>
      </c>
      <c r="H13" s="11">
        <v>0.45000000000000284</v>
      </c>
      <c r="I13" s="12">
        <f t="shared" si="2"/>
        <v>900.00000000000568</v>
      </c>
      <c r="J13" s="4">
        <f t="shared" si="3"/>
        <v>1397925.0000000088</v>
      </c>
      <c r="K13" s="11">
        <f t="shared" si="4"/>
        <v>6264774.9999999385</v>
      </c>
      <c r="L13" s="13">
        <f t="shared" si="5"/>
        <v>6891252.4999999329</v>
      </c>
      <c r="M13" s="85">
        <f t="shared" si="6"/>
        <v>490.48060498220161</v>
      </c>
      <c r="N13" s="84"/>
    </row>
    <row r="14" spans="1:14" ht="17.100000000000001" customHeight="1" x14ac:dyDescent="0.25">
      <c r="A14" s="80"/>
      <c r="B14" s="77">
        <v>7</v>
      </c>
      <c r="C14" s="37">
        <v>4</v>
      </c>
      <c r="D14" s="37">
        <v>18</v>
      </c>
      <c r="E14" s="11">
        <v>2.5099999999999909</v>
      </c>
      <c r="F14" s="12">
        <f t="shared" si="0"/>
        <v>5019.9999999999818</v>
      </c>
      <c r="G14" s="4">
        <f t="shared" si="1"/>
        <v>5198209.9999999814</v>
      </c>
      <c r="H14" s="11">
        <v>0.45999999999999375</v>
      </c>
      <c r="I14" s="12">
        <f t="shared" si="2"/>
        <v>919.99999999998749</v>
      </c>
      <c r="J14" s="4">
        <f t="shared" si="3"/>
        <v>1428989.9999999807</v>
      </c>
      <c r="K14" s="11">
        <f t="shared" si="4"/>
        <v>6627199.9999999618</v>
      </c>
      <c r="L14" s="13">
        <f t="shared" si="5"/>
        <v>7289919.999999959</v>
      </c>
      <c r="M14" s="85">
        <f t="shared" si="6"/>
        <v>518.85551601423197</v>
      </c>
      <c r="N14" s="84"/>
    </row>
    <row r="15" spans="1:14" ht="17.100000000000001" customHeight="1" x14ac:dyDescent="0.25">
      <c r="A15" s="80"/>
      <c r="B15" s="77">
        <v>8</v>
      </c>
      <c r="C15" s="37"/>
      <c r="D15" s="37"/>
      <c r="E15" s="11"/>
      <c r="F15" s="12">
        <f t="shared" si="0"/>
        <v>0</v>
      </c>
      <c r="G15" s="4">
        <f t="shared" si="1"/>
        <v>0</v>
      </c>
      <c r="H15" s="11"/>
      <c r="I15" s="12">
        <f t="shared" si="2"/>
        <v>0</v>
      </c>
      <c r="J15" s="4">
        <f t="shared" si="3"/>
        <v>0</v>
      </c>
      <c r="K15" s="11">
        <f t="shared" si="4"/>
        <v>0</v>
      </c>
      <c r="L15" s="13">
        <f t="shared" si="5"/>
        <v>0</v>
      </c>
      <c r="M15" s="85">
        <f t="shared" si="6"/>
        <v>0</v>
      </c>
      <c r="N15" s="84"/>
    </row>
    <row r="16" spans="1:14" ht="17.100000000000001" customHeight="1" x14ac:dyDescent="0.25">
      <c r="A16" s="80"/>
      <c r="B16" s="77">
        <v>9</v>
      </c>
      <c r="C16" s="37"/>
      <c r="D16" s="37"/>
      <c r="E16" s="11"/>
      <c r="F16" s="12">
        <f t="shared" si="0"/>
        <v>0</v>
      </c>
      <c r="G16" s="4">
        <f t="shared" si="1"/>
        <v>0</v>
      </c>
      <c r="H16" s="11"/>
      <c r="I16" s="12">
        <f t="shared" ref="I16:I37" si="7">H16*2000</f>
        <v>0</v>
      </c>
      <c r="J16" s="4">
        <f t="shared" ref="J16:J37" si="8">I16*1553.25</f>
        <v>0</v>
      </c>
      <c r="K16" s="11">
        <f t="shared" ref="K16:K37" si="9">G16+J16</f>
        <v>0</v>
      </c>
      <c r="L16" s="13">
        <f t="shared" ref="L16:L37" si="10">K16*1.1</f>
        <v>0</v>
      </c>
      <c r="M16" s="85">
        <f t="shared" si="6"/>
        <v>0</v>
      </c>
      <c r="N16" s="84"/>
    </row>
    <row r="17" spans="1:14" ht="17.100000000000001" customHeight="1" x14ac:dyDescent="0.25">
      <c r="A17" s="80"/>
      <c r="B17" s="77">
        <v>10</v>
      </c>
      <c r="C17" s="37"/>
      <c r="D17" s="37"/>
      <c r="E17" s="11"/>
      <c r="F17" s="12">
        <f t="shared" si="0"/>
        <v>0</v>
      </c>
      <c r="G17" s="4">
        <f t="shared" si="1"/>
        <v>0</v>
      </c>
      <c r="H17" s="11"/>
      <c r="I17" s="12">
        <f t="shared" si="7"/>
        <v>0</v>
      </c>
      <c r="J17" s="4">
        <f t="shared" si="8"/>
        <v>0</v>
      </c>
      <c r="K17" s="11">
        <f t="shared" si="9"/>
        <v>0</v>
      </c>
      <c r="L17" s="13">
        <f t="shared" si="10"/>
        <v>0</v>
      </c>
      <c r="M17" s="85">
        <f t="shared" si="6"/>
        <v>0</v>
      </c>
      <c r="N17" s="84"/>
    </row>
    <row r="18" spans="1:14" ht="17.100000000000001" customHeight="1" x14ac:dyDescent="0.25">
      <c r="A18" s="80"/>
      <c r="B18" s="77">
        <v>11</v>
      </c>
      <c r="C18" s="37"/>
      <c r="D18" s="37"/>
      <c r="E18" s="11"/>
      <c r="F18" s="12">
        <f t="shared" si="0"/>
        <v>0</v>
      </c>
      <c r="G18" s="4">
        <f t="shared" si="1"/>
        <v>0</v>
      </c>
      <c r="H18" s="11"/>
      <c r="I18" s="12">
        <f t="shared" si="7"/>
        <v>0</v>
      </c>
      <c r="J18" s="4">
        <f t="shared" si="8"/>
        <v>0</v>
      </c>
      <c r="K18" s="11">
        <f t="shared" si="9"/>
        <v>0</v>
      </c>
      <c r="L18" s="13">
        <f t="shared" si="10"/>
        <v>0</v>
      </c>
      <c r="M18" s="85">
        <f t="shared" si="6"/>
        <v>0</v>
      </c>
      <c r="N18" s="84"/>
    </row>
    <row r="19" spans="1:14" ht="17.100000000000001" customHeight="1" x14ac:dyDescent="0.25">
      <c r="A19" s="80"/>
      <c r="B19" s="77">
        <v>12</v>
      </c>
      <c r="C19" s="37"/>
      <c r="D19" s="37"/>
      <c r="E19" s="11"/>
      <c r="F19" s="12">
        <f t="shared" si="0"/>
        <v>0</v>
      </c>
      <c r="G19" s="4">
        <f t="shared" si="1"/>
        <v>0</v>
      </c>
      <c r="H19" s="11"/>
      <c r="I19" s="12">
        <f t="shared" si="7"/>
        <v>0</v>
      </c>
      <c r="J19" s="4">
        <f t="shared" si="8"/>
        <v>0</v>
      </c>
      <c r="K19" s="11">
        <f t="shared" si="9"/>
        <v>0</v>
      </c>
      <c r="L19" s="13">
        <f t="shared" si="10"/>
        <v>0</v>
      </c>
      <c r="M19" s="85">
        <f t="shared" si="6"/>
        <v>0</v>
      </c>
      <c r="N19" s="84"/>
    </row>
    <row r="20" spans="1:14" ht="17.100000000000001" customHeight="1" x14ac:dyDescent="0.25">
      <c r="A20" s="80"/>
      <c r="B20" s="77">
        <v>13</v>
      </c>
      <c r="C20" s="37"/>
      <c r="D20" s="37"/>
      <c r="E20" s="11"/>
      <c r="F20" s="12">
        <f t="shared" si="0"/>
        <v>0</v>
      </c>
      <c r="G20" s="4">
        <f t="shared" si="1"/>
        <v>0</v>
      </c>
      <c r="H20" s="11"/>
      <c r="I20" s="12">
        <f t="shared" si="7"/>
        <v>0</v>
      </c>
      <c r="J20" s="4">
        <f t="shared" si="8"/>
        <v>0</v>
      </c>
      <c r="K20" s="11">
        <f t="shared" si="9"/>
        <v>0</v>
      </c>
      <c r="L20" s="13">
        <f t="shared" si="10"/>
        <v>0</v>
      </c>
      <c r="M20" s="85">
        <f t="shared" si="6"/>
        <v>0</v>
      </c>
      <c r="N20" s="84"/>
    </row>
    <row r="21" spans="1:14" ht="17.100000000000001" customHeight="1" x14ac:dyDescent="0.25">
      <c r="A21" s="80"/>
      <c r="B21" s="77">
        <v>14</v>
      </c>
      <c r="C21" s="37"/>
      <c r="D21" s="37"/>
      <c r="E21" s="11"/>
      <c r="F21" s="12">
        <f t="shared" si="0"/>
        <v>0</v>
      </c>
      <c r="G21" s="4">
        <f t="shared" si="1"/>
        <v>0</v>
      </c>
      <c r="H21" s="11"/>
      <c r="I21" s="12">
        <f t="shared" si="7"/>
        <v>0</v>
      </c>
      <c r="J21" s="4">
        <f t="shared" si="8"/>
        <v>0</v>
      </c>
      <c r="K21" s="11">
        <f t="shared" si="9"/>
        <v>0</v>
      </c>
      <c r="L21" s="13">
        <f t="shared" si="10"/>
        <v>0</v>
      </c>
      <c r="M21" s="85">
        <f t="shared" si="6"/>
        <v>0</v>
      </c>
      <c r="N21" s="84"/>
    </row>
    <row r="22" spans="1:14" ht="17.100000000000001" customHeight="1" x14ac:dyDescent="0.25">
      <c r="A22" s="80"/>
      <c r="B22" s="77">
        <v>15</v>
      </c>
      <c r="C22" s="37"/>
      <c r="D22" s="37"/>
      <c r="E22" s="11"/>
      <c r="F22" s="12">
        <f t="shared" si="0"/>
        <v>0</v>
      </c>
      <c r="G22" s="4">
        <f t="shared" si="1"/>
        <v>0</v>
      </c>
      <c r="H22" s="11"/>
      <c r="I22" s="12">
        <f t="shared" si="7"/>
        <v>0</v>
      </c>
      <c r="J22" s="4">
        <f t="shared" si="8"/>
        <v>0</v>
      </c>
      <c r="K22" s="11">
        <f t="shared" si="9"/>
        <v>0</v>
      </c>
      <c r="L22" s="13">
        <f t="shared" si="10"/>
        <v>0</v>
      </c>
      <c r="M22" s="85">
        <f t="shared" si="6"/>
        <v>0</v>
      </c>
      <c r="N22" s="84"/>
    </row>
    <row r="23" spans="1:14" ht="17.100000000000001" customHeight="1" x14ac:dyDescent="0.25">
      <c r="A23" s="80"/>
      <c r="B23" s="77">
        <v>16</v>
      </c>
      <c r="C23" s="37"/>
      <c r="D23" s="37"/>
      <c r="E23" s="11"/>
      <c r="F23" s="12">
        <f t="shared" si="0"/>
        <v>0</v>
      </c>
      <c r="G23" s="4">
        <f t="shared" si="1"/>
        <v>0</v>
      </c>
      <c r="H23" s="11"/>
      <c r="I23" s="12">
        <f t="shared" si="7"/>
        <v>0</v>
      </c>
      <c r="J23" s="4">
        <f t="shared" si="8"/>
        <v>0</v>
      </c>
      <c r="K23" s="11">
        <f t="shared" si="9"/>
        <v>0</v>
      </c>
      <c r="L23" s="13">
        <f t="shared" si="10"/>
        <v>0</v>
      </c>
      <c r="M23" s="85">
        <f t="shared" si="6"/>
        <v>0</v>
      </c>
      <c r="N23" s="84"/>
    </row>
    <row r="24" spans="1:14" ht="17.100000000000001" customHeight="1" x14ac:dyDescent="0.25">
      <c r="A24" s="80"/>
      <c r="B24" s="77">
        <v>17</v>
      </c>
      <c r="C24" s="37"/>
      <c r="D24" s="37"/>
      <c r="E24" s="11"/>
      <c r="F24" s="12">
        <f t="shared" si="0"/>
        <v>0</v>
      </c>
      <c r="G24" s="4">
        <f t="shared" si="1"/>
        <v>0</v>
      </c>
      <c r="H24" s="11"/>
      <c r="I24" s="12">
        <f t="shared" si="7"/>
        <v>0</v>
      </c>
      <c r="J24" s="4">
        <f t="shared" si="8"/>
        <v>0</v>
      </c>
      <c r="K24" s="11">
        <f t="shared" si="9"/>
        <v>0</v>
      </c>
      <c r="L24" s="13">
        <f t="shared" si="10"/>
        <v>0</v>
      </c>
      <c r="M24" s="85">
        <f t="shared" si="6"/>
        <v>0</v>
      </c>
      <c r="N24" s="84"/>
    </row>
    <row r="25" spans="1:14" ht="17.100000000000001" customHeight="1" x14ac:dyDescent="0.25">
      <c r="A25" s="80"/>
      <c r="B25" s="77">
        <v>18</v>
      </c>
      <c r="C25" s="37"/>
      <c r="D25" s="37"/>
      <c r="E25" s="11"/>
      <c r="F25" s="12">
        <f t="shared" si="0"/>
        <v>0</v>
      </c>
      <c r="G25" s="4">
        <f t="shared" si="1"/>
        <v>0</v>
      </c>
      <c r="H25" s="11"/>
      <c r="I25" s="12">
        <f t="shared" si="7"/>
        <v>0</v>
      </c>
      <c r="J25" s="4">
        <f t="shared" si="8"/>
        <v>0</v>
      </c>
      <c r="K25" s="11">
        <f t="shared" si="9"/>
        <v>0</v>
      </c>
      <c r="L25" s="13">
        <f t="shared" si="10"/>
        <v>0</v>
      </c>
      <c r="M25" s="85">
        <f t="shared" si="6"/>
        <v>0</v>
      </c>
      <c r="N25" s="84"/>
    </row>
    <row r="26" spans="1:14" ht="17.100000000000001" customHeight="1" x14ac:dyDescent="0.25">
      <c r="A26" s="80"/>
      <c r="B26" s="77">
        <v>19</v>
      </c>
      <c r="C26" s="37"/>
      <c r="D26" s="37"/>
      <c r="E26" s="11"/>
      <c r="F26" s="12">
        <f t="shared" si="0"/>
        <v>0</v>
      </c>
      <c r="G26" s="4">
        <f t="shared" si="1"/>
        <v>0</v>
      </c>
      <c r="H26" s="11"/>
      <c r="I26" s="12">
        <f t="shared" si="7"/>
        <v>0</v>
      </c>
      <c r="J26" s="4">
        <f t="shared" si="8"/>
        <v>0</v>
      </c>
      <c r="K26" s="11">
        <f t="shared" si="9"/>
        <v>0</v>
      </c>
      <c r="L26" s="13">
        <f t="shared" si="10"/>
        <v>0</v>
      </c>
      <c r="M26" s="85">
        <f t="shared" si="6"/>
        <v>0</v>
      </c>
      <c r="N26" s="84"/>
    </row>
    <row r="27" spans="1:14" ht="17.100000000000001" customHeight="1" x14ac:dyDescent="0.25">
      <c r="A27" s="80"/>
      <c r="B27" s="77">
        <v>20</v>
      </c>
      <c r="C27" s="37"/>
      <c r="D27" s="37"/>
      <c r="E27" s="11"/>
      <c r="F27" s="12">
        <f t="shared" si="0"/>
        <v>0</v>
      </c>
      <c r="G27" s="4">
        <f t="shared" si="1"/>
        <v>0</v>
      </c>
      <c r="H27" s="11"/>
      <c r="I27" s="12">
        <f t="shared" si="7"/>
        <v>0</v>
      </c>
      <c r="J27" s="4">
        <f t="shared" si="8"/>
        <v>0</v>
      </c>
      <c r="K27" s="11">
        <f t="shared" si="9"/>
        <v>0</v>
      </c>
      <c r="L27" s="13">
        <f t="shared" si="10"/>
        <v>0</v>
      </c>
      <c r="M27" s="85">
        <f t="shared" si="6"/>
        <v>0</v>
      </c>
      <c r="N27" s="84"/>
    </row>
    <row r="28" spans="1:14" ht="17.100000000000001" customHeight="1" x14ac:dyDescent="0.25">
      <c r="A28" s="80"/>
      <c r="B28" s="77">
        <v>21</v>
      </c>
      <c r="C28" s="37"/>
      <c r="D28" s="37"/>
      <c r="E28" s="11"/>
      <c r="F28" s="12">
        <f t="shared" si="0"/>
        <v>0</v>
      </c>
      <c r="G28" s="4">
        <f t="shared" si="1"/>
        <v>0</v>
      </c>
      <c r="H28" s="11"/>
      <c r="I28" s="12">
        <f t="shared" si="7"/>
        <v>0</v>
      </c>
      <c r="J28" s="4">
        <f t="shared" si="8"/>
        <v>0</v>
      </c>
      <c r="K28" s="11">
        <f t="shared" si="9"/>
        <v>0</v>
      </c>
      <c r="L28" s="13">
        <f t="shared" si="10"/>
        <v>0</v>
      </c>
      <c r="M28" s="85">
        <f t="shared" si="6"/>
        <v>0</v>
      </c>
      <c r="N28" s="84"/>
    </row>
    <row r="29" spans="1:14" ht="17.100000000000001" customHeight="1" x14ac:dyDescent="0.25">
      <c r="A29" s="80"/>
      <c r="B29" s="77">
        <v>22</v>
      </c>
      <c r="C29" s="37"/>
      <c r="D29" s="37"/>
      <c r="E29" s="11"/>
      <c r="F29" s="12">
        <f t="shared" si="0"/>
        <v>0</v>
      </c>
      <c r="G29" s="4">
        <f t="shared" si="1"/>
        <v>0</v>
      </c>
      <c r="H29" s="11"/>
      <c r="I29" s="12">
        <f t="shared" si="7"/>
        <v>0</v>
      </c>
      <c r="J29" s="4">
        <f t="shared" si="8"/>
        <v>0</v>
      </c>
      <c r="K29" s="11">
        <f t="shared" si="9"/>
        <v>0</v>
      </c>
      <c r="L29" s="13">
        <f t="shared" si="10"/>
        <v>0</v>
      </c>
      <c r="M29" s="85">
        <f t="shared" si="6"/>
        <v>0</v>
      </c>
      <c r="N29" s="84"/>
    </row>
    <row r="30" spans="1:14" ht="17.100000000000001" customHeight="1" x14ac:dyDescent="0.25">
      <c r="A30" s="80"/>
      <c r="B30" s="77">
        <v>23</v>
      </c>
      <c r="C30" s="37"/>
      <c r="D30" s="37"/>
      <c r="E30" s="11"/>
      <c r="F30" s="12">
        <f t="shared" si="0"/>
        <v>0</v>
      </c>
      <c r="G30" s="4">
        <f t="shared" si="1"/>
        <v>0</v>
      </c>
      <c r="H30" s="11"/>
      <c r="I30" s="12">
        <f t="shared" si="7"/>
        <v>0</v>
      </c>
      <c r="J30" s="4">
        <f t="shared" si="8"/>
        <v>0</v>
      </c>
      <c r="K30" s="11">
        <f t="shared" si="9"/>
        <v>0</v>
      </c>
      <c r="L30" s="13">
        <f t="shared" si="10"/>
        <v>0</v>
      </c>
      <c r="M30" s="85">
        <f t="shared" si="6"/>
        <v>0</v>
      </c>
      <c r="N30" s="84"/>
    </row>
    <row r="31" spans="1:14" ht="17.100000000000001" customHeight="1" x14ac:dyDescent="0.25">
      <c r="A31" s="80"/>
      <c r="B31" s="77">
        <v>24</v>
      </c>
      <c r="C31" s="37"/>
      <c r="D31" s="37"/>
      <c r="E31" s="11"/>
      <c r="F31" s="12">
        <f t="shared" si="0"/>
        <v>0</v>
      </c>
      <c r="G31" s="4">
        <f t="shared" si="1"/>
        <v>0</v>
      </c>
      <c r="H31" s="11"/>
      <c r="I31" s="12">
        <f t="shared" si="7"/>
        <v>0</v>
      </c>
      <c r="J31" s="4">
        <f t="shared" si="8"/>
        <v>0</v>
      </c>
      <c r="K31" s="11">
        <f t="shared" si="9"/>
        <v>0</v>
      </c>
      <c r="L31" s="13">
        <f t="shared" si="10"/>
        <v>0</v>
      </c>
      <c r="M31" s="85">
        <f t="shared" si="6"/>
        <v>0</v>
      </c>
      <c r="N31" s="84"/>
    </row>
    <row r="32" spans="1:14" ht="17.100000000000001" customHeight="1" x14ac:dyDescent="0.25">
      <c r="A32" s="80"/>
      <c r="B32" s="77">
        <v>25</v>
      </c>
      <c r="C32" s="37"/>
      <c r="D32" s="37"/>
      <c r="E32" s="11"/>
      <c r="F32" s="12">
        <f t="shared" si="0"/>
        <v>0</v>
      </c>
      <c r="G32" s="4">
        <f t="shared" si="1"/>
        <v>0</v>
      </c>
      <c r="H32" s="11"/>
      <c r="I32" s="12">
        <f t="shared" si="7"/>
        <v>0</v>
      </c>
      <c r="J32" s="4">
        <f t="shared" si="8"/>
        <v>0</v>
      </c>
      <c r="K32" s="11">
        <f t="shared" si="9"/>
        <v>0</v>
      </c>
      <c r="L32" s="13">
        <f t="shared" si="10"/>
        <v>0</v>
      </c>
      <c r="M32" s="85">
        <f t="shared" si="6"/>
        <v>0</v>
      </c>
      <c r="N32" s="84"/>
    </row>
    <row r="33" spans="1:16" ht="17.100000000000001" customHeight="1" x14ac:dyDescent="0.25">
      <c r="A33" s="80"/>
      <c r="B33" s="77">
        <v>26</v>
      </c>
      <c r="C33" s="37"/>
      <c r="D33" s="37"/>
      <c r="E33" s="11"/>
      <c r="F33" s="12">
        <f t="shared" si="0"/>
        <v>0</v>
      </c>
      <c r="G33" s="4">
        <f t="shared" si="1"/>
        <v>0</v>
      </c>
      <c r="H33" s="11"/>
      <c r="I33" s="12">
        <f t="shared" si="7"/>
        <v>0</v>
      </c>
      <c r="J33" s="4">
        <f t="shared" si="8"/>
        <v>0</v>
      </c>
      <c r="K33" s="11">
        <f t="shared" si="9"/>
        <v>0</v>
      </c>
      <c r="L33" s="13">
        <f t="shared" si="10"/>
        <v>0</v>
      </c>
      <c r="M33" s="85">
        <f t="shared" si="6"/>
        <v>0</v>
      </c>
      <c r="N33" s="84"/>
    </row>
    <row r="34" spans="1:16" ht="17.100000000000001" customHeight="1" x14ac:dyDescent="0.25">
      <c r="A34" s="80"/>
      <c r="B34" s="77">
        <v>27</v>
      </c>
      <c r="C34" s="37"/>
      <c r="D34" s="37"/>
      <c r="E34" s="11"/>
      <c r="F34" s="12">
        <f t="shared" si="0"/>
        <v>0</v>
      </c>
      <c r="G34" s="4">
        <f t="shared" si="1"/>
        <v>0</v>
      </c>
      <c r="H34" s="11"/>
      <c r="I34" s="12">
        <f t="shared" si="7"/>
        <v>0</v>
      </c>
      <c r="J34" s="4">
        <f t="shared" si="8"/>
        <v>0</v>
      </c>
      <c r="K34" s="11">
        <f t="shared" si="9"/>
        <v>0</v>
      </c>
      <c r="L34" s="13">
        <f t="shared" si="10"/>
        <v>0</v>
      </c>
      <c r="M34" s="85">
        <f t="shared" si="6"/>
        <v>0</v>
      </c>
      <c r="N34" s="84"/>
    </row>
    <row r="35" spans="1:16" ht="17.100000000000001" customHeight="1" x14ac:dyDescent="0.25">
      <c r="A35" s="80"/>
      <c r="B35" s="77">
        <v>28</v>
      </c>
      <c r="C35" s="37"/>
      <c r="D35" s="37"/>
      <c r="E35" s="11"/>
      <c r="F35" s="12">
        <f t="shared" si="0"/>
        <v>0</v>
      </c>
      <c r="G35" s="4">
        <f t="shared" si="1"/>
        <v>0</v>
      </c>
      <c r="H35" s="11"/>
      <c r="I35" s="12">
        <f t="shared" si="7"/>
        <v>0</v>
      </c>
      <c r="J35" s="4">
        <f t="shared" si="8"/>
        <v>0</v>
      </c>
      <c r="K35" s="11">
        <f t="shared" si="9"/>
        <v>0</v>
      </c>
      <c r="L35" s="13">
        <f t="shared" si="10"/>
        <v>0</v>
      </c>
      <c r="M35" s="85">
        <f t="shared" si="6"/>
        <v>0</v>
      </c>
      <c r="N35" s="84"/>
    </row>
    <row r="36" spans="1:16" ht="17.100000000000001" customHeight="1" x14ac:dyDescent="0.25">
      <c r="A36" s="80"/>
      <c r="B36" s="77"/>
      <c r="C36" s="37"/>
      <c r="D36" s="37"/>
      <c r="E36" s="11"/>
      <c r="F36" s="12"/>
      <c r="G36" s="4"/>
      <c r="H36" s="11"/>
      <c r="I36" s="12"/>
      <c r="J36" s="4"/>
      <c r="K36" s="11"/>
      <c r="L36" s="13"/>
      <c r="M36" s="85"/>
      <c r="N36" s="84"/>
    </row>
    <row r="37" spans="1:16" ht="17.100000000000001" customHeight="1" x14ac:dyDescent="0.25">
      <c r="A37" s="80"/>
      <c r="B37" s="77"/>
      <c r="C37" s="37"/>
      <c r="D37" s="37"/>
      <c r="E37" s="11"/>
      <c r="F37" s="12"/>
      <c r="G37" s="4"/>
      <c r="H37" s="11"/>
      <c r="I37" s="12"/>
      <c r="J37" s="4"/>
      <c r="K37" s="11"/>
      <c r="L37" s="13"/>
      <c r="M37" s="85"/>
      <c r="N37" s="84"/>
    </row>
    <row r="38" spans="1:16" ht="17.100000000000001" customHeight="1" x14ac:dyDescent="0.25">
      <c r="A38" s="80"/>
      <c r="B38" s="77"/>
      <c r="C38" s="37"/>
      <c r="D38" s="37"/>
      <c r="E38" s="11"/>
      <c r="F38" s="12"/>
      <c r="G38" s="4"/>
      <c r="H38" s="11"/>
      <c r="I38" s="12"/>
      <c r="J38" s="4"/>
      <c r="K38" s="11"/>
      <c r="L38" s="13"/>
      <c r="M38" s="85"/>
      <c r="N38" s="84"/>
    </row>
    <row r="39" spans="1:16" ht="15" x14ac:dyDescent="0.25">
      <c r="C39" s="19">
        <f>SUM(C8:C38)</f>
        <v>30</v>
      </c>
      <c r="D39" s="19">
        <f>SUM(D8:D38)</f>
        <v>157</v>
      </c>
      <c r="F39" s="19">
        <f>SUM(F8:F38)</f>
        <v>33539.999999999964</v>
      </c>
      <c r="I39" s="19">
        <f>SUM(I8:I38)</f>
        <v>6519.9999999999818</v>
      </c>
      <c r="K39" s="2" t="s">
        <v>42</v>
      </c>
      <c r="L39" s="54">
        <f>SUM(L8:L38)</f>
        <v>49343645.999999925</v>
      </c>
      <c r="M39" s="55">
        <f>SUM(M8:M38)</f>
        <v>3512.0032740213469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40059.999999999942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J6:J7"/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13" activePane="bottomRight" state="frozen"/>
      <selection activeCell="A3" sqref="A3"/>
      <selection pane="topRight" activeCell="C3" sqref="C3"/>
      <selection pane="bottomLeft" activeCell="A9" sqref="A9"/>
      <selection pane="bottomRight" activeCell="U31" sqref="U31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8" t="s">
        <v>17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9" ht="15.75" x14ac:dyDescent="0.25">
      <c r="B2" s="88" t="s">
        <v>2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1">
        <v>44228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8"/>
    </row>
    <row r="5" spans="1:19" ht="23.25" customHeight="1" x14ac:dyDescent="0.2">
      <c r="A5" s="79"/>
      <c r="B5" s="87" t="s">
        <v>1</v>
      </c>
      <c r="C5" s="87" t="s">
        <v>38</v>
      </c>
      <c r="D5" s="87" t="s">
        <v>39</v>
      </c>
      <c r="E5" s="93" t="s">
        <v>19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20</v>
      </c>
      <c r="R5" s="92"/>
      <c r="S5" s="69"/>
    </row>
    <row r="6" spans="1:19" s="7" customFormat="1" ht="48" customHeight="1" x14ac:dyDescent="0.2">
      <c r="A6" s="79"/>
      <c r="B6" s="87"/>
      <c r="C6" s="87"/>
      <c r="D6" s="87"/>
      <c r="E6" s="93" t="s">
        <v>21</v>
      </c>
      <c r="F6" s="93"/>
      <c r="G6" s="93"/>
      <c r="H6" s="93" t="s">
        <v>22</v>
      </c>
      <c r="I6" s="93"/>
      <c r="J6" s="93"/>
      <c r="K6" s="93" t="s">
        <v>23</v>
      </c>
      <c r="L6" s="93"/>
      <c r="M6" s="93"/>
      <c r="N6" s="94" t="s">
        <v>24</v>
      </c>
      <c r="O6" s="94"/>
      <c r="P6" s="94"/>
      <c r="Q6" s="92"/>
      <c r="R6" s="92"/>
      <c r="S6" s="69"/>
    </row>
    <row r="7" spans="1:19" ht="36" customHeight="1" x14ac:dyDescent="0.2">
      <c r="A7" s="80"/>
      <c r="B7" s="87"/>
      <c r="C7" s="87"/>
      <c r="D7" s="87"/>
      <c r="E7" s="87" t="s">
        <v>10</v>
      </c>
      <c r="F7" s="95" t="s">
        <v>29</v>
      </c>
      <c r="G7" s="73" t="s">
        <v>57</v>
      </c>
      <c r="H7" s="87" t="s">
        <v>27</v>
      </c>
      <c r="I7" s="87" t="s">
        <v>29</v>
      </c>
      <c r="J7" s="73" t="s">
        <v>57</v>
      </c>
      <c r="K7" s="87" t="s">
        <v>10</v>
      </c>
      <c r="L7" s="87" t="s">
        <v>29</v>
      </c>
      <c r="M7" s="73" t="s">
        <v>26</v>
      </c>
      <c r="N7" s="87" t="s">
        <v>28</v>
      </c>
      <c r="O7" s="87" t="s">
        <v>29</v>
      </c>
      <c r="P7" s="73" t="s">
        <v>26</v>
      </c>
      <c r="Q7" s="92"/>
      <c r="R7" s="92"/>
      <c r="S7" s="70"/>
    </row>
    <row r="8" spans="1:19" ht="15.75" customHeight="1" x14ac:dyDescent="0.2">
      <c r="A8" s="80"/>
      <c r="B8" s="87"/>
      <c r="C8" s="87"/>
      <c r="D8" s="87"/>
      <c r="E8" s="87"/>
      <c r="F8" s="96"/>
      <c r="G8" s="82">
        <v>10630</v>
      </c>
      <c r="H8" s="87"/>
      <c r="I8" s="87"/>
      <c r="J8" s="82">
        <f>G8</f>
        <v>10630</v>
      </c>
      <c r="K8" s="87"/>
      <c r="L8" s="87"/>
      <c r="M8" s="82">
        <f>J8</f>
        <v>10630</v>
      </c>
      <c r="N8" s="87"/>
      <c r="O8" s="87"/>
      <c r="P8" s="82">
        <f>J8</f>
        <v>10630</v>
      </c>
      <c r="Q8" s="83" t="s">
        <v>30</v>
      </c>
      <c r="R8" s="73" t="s">
        <v>9</v>
      </c>
      <c r="S8" s="70"/>
    </row>
    <row r="9" spans="1:19" ht="17.100000000000001" customHeight="1" x14ac:dyDescent="0.25">
      <c r="A9" s="80"/>
      <c r="B9" s="77">
        <v>1</v>
      </c>
      <c r="C9" s="16">
        <f>Electricity!C8</f>
        <v>2</v>
      </c>
      <c r="D9" s="16">
        <f>Electricity!D8</f>
        <v>7</v>
      </c>
      <c r="E9" s="3">
        <v>8</v>
      </c>
      <c r="F9" s="11">
        <v>12.92369426751592</v>
      </c>
      <c r="G9" s="25">
        <f>F9*$G$8</f>
        <v>137378.87006369422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75898.2</v>
      </c>
      <c r="Q9" s="17">
        <f>P9+G9+J9+M9</f>
        <v>213277.07006369421</v>
      </c>
      <c r="R9" s="78">
        <f>Q9/14050</f>
        <v>15.179862637985353</v>
      </c>
      <c r="S9" s="70"/>
    </row>
    <row r="10" spans="1:19" ht="17.100000000000001" customHeight="1" x14ac:dyDescent="0.25">
      <c r="A10" s="80"/>
      <c r="B10" s="77">
        <v>2</v>
      </c>
      <c r="C10" s="16">
        <f>Electricity!C9</f>
        <v>3</v>
      </c>
      <c r="D10" s="16">
        <f>Electricity!D9</f>
        <v>15</v>
      </c>
      <c r="E10" s="3">
        <v>8</v>
      </c>
      <c r="F10" s="11">
        <v>35.85363057324841</v>
      </c>
      <c r="G10" s="25">
        <f>F10*$G$8</f>
        <v>381124.09299363062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75898.2</v>
      </c>
      <c r="Q10" s="17">
        <f>J10+M10+G10+P10</f>
        <v>457022.29299363063</v>
      </c>
      <c r="R10" s="78">
        <f t="shared" ref="R10:R39" si="1">Q10/14050</f>
        <v>32.528277081397199</v>
      </c>
      <c r="S10" s="70"/>
    </row>
    <row r="11" spans="1:19" ht="17.100000000000001" customHeight="1" x14ac:dyDescent="0.25">
      <c r="A11" s="80"/>
      <c r="B11" s="77">
        <v>3</v>
      </c>
      <c r="C11" s="16">
        <f>Electricity!C10</f>
        <v>5</v>
      </c>
      <c r="D11" s="16">
        <f>Electricity!D10</f>
        <v>31</v>
      </c>
      <c r="E11" s="3">
        <v>8</v>
      </c>
      <c r="F11" s="11">
        <v>81.713503184713375</v>
      </c>
      <c r="G11" s="25">
        <f t="shared" ref="G11:G39" si="2">F11*$G$8</f>
        <v>868614.53885350318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9" si="4">O11*$P$8</f>
        <v>75898.2</v>
      </c>
      <c r="Q11" s="17">
        <f t="shared" ref="Q11:Q39" si="5">J11+M11+G11+P11</f>
        <v>944512.73885350314</v>
      </c>
      <c r="R11" s="78">
        <f t="shared" si="1"/>
        <v>67.225105968220859</v>
      </c>
      <c r="S11" s="70"/>
    </row>
    <row r="12" spans="1:19" ht="17.100000000000001" customHeight="1" x14ac:dyDescent="0.25">
      <c r="A12" s="80"/>
      <c r="B12" s="77">
        <v>4</v>
      </c>
      <c r="C12" s="16">
        <f>Electricity!C11</f>
        <v>4</v>
      </c>
      <c r="D12" s="16">
        <f>Electricity!D11</f>
        <v>34</v>
      </c>
      <c r="E12" s="3">
        <v>8</v>
      </c>
      <c r="F12" s="11">
        <v>90.312229299363054</v>
      </c>
      <c r="G12" s="25">
        <f t="shared" si="2"/>
        <v>960018.99745222926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75898.2</v>
      </c>
      <c r="Q12" s="17">
        <f t="shared" si="5"/>
        <v>1035917.1974522292</v>
      </c>
      <c r="R12" s="78">
        <f t="shared" si="1"/>
        <v>73.730761384500298</v>
      </c>
      <c r="S12" s="70"/>
    </row>
    <row r="13" spans="1:19" ht="17.100000000000001" customHeight="1" x14ac:dyDescent="0.25">
      <c r="A13" s="80"/>
      <c r="B13" s="77">
        <v>5</v>
      </c>
      <c r="C13" s="16">
        <f>Electricity!C12</f>
        <v>6</v>
      </c>
      <c r="D13" s="16">
        <f>Electricity!D12</f>
        <v>18</v>
      </c>
      <c r="E13" s="3">
        <v>8</v>
      </c>
      <c r="F13" s="11">
        <v>44.452356687898089</v>
      </c>
      <c r="G13" s="25">
        <f t="shared" si="2"/>
        <v>472528.5515923567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75898.2</v>
      </c>
      <c r="Q13" s="17">
        <f t="shared" si="5"/>
        <v>548426.75159235671</v>
      </c>
      <c r="R13" s="78">
        <f t="shared" si="1"/>
        <v>39.033932497676638</v>
      </c>
      <c r="S13" s="70"/>
    </row>
    <row r="14" spans="1:19" ht="17.100000000000001" customHeight="1" x14ac:dyDescent="0.25">
      <c r="A14" s="80"/>
      <c r="B14" s="77">
        <v>6</v>
      </c>
      <c r="C14" s="16">
        <f>Electricity!C13</f>
        <v>6</v>
      </c>
      <c r="D14" s="16">
        <f>Electricity!D13</f>
        <v>34</v>
      </c>
      <c r="E14" s="3">
        <v>8</v>
      </c>
      <c r="F14" s="11">
        <v>90.312229299363054</v>
      </c>
      <c r="G14" s="25">
        <f t="shared" si="2"/>
        <v>960018.99745222926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75898.2</v>
      </c>
      <c r="Q14" s="17">
        <f t="shared" si="5"/>
        <v>1035917.1974522292</v>
      </c>
      <c r="R14" s="78">
        <f t="shared" si="1"/>
        <v>73.730761384500298</v>
      </c>
      <c r="S14" s="70"/>
    </row>
    <row r="15" spans="1:19" ht="17.100000000000001" customHeight="1" x14ac:dyDescent="0.25">
      <c r="A15" s="80"/>
      <c r="B15" s="77">
        <v>7</v>
      </c>
      <c r="C15" s="16">
        <f>Electricity!C14</f>
        <v>4</v>
      </c>
      <c r="D15" s="16">
        <f>Electricity!D14</f>
        <v>18</v>
      </c>
      <c r="E15" s="3">
        <v>8</v>
      </c>
      <c r="F15" s="11">
        <v>44.452356687898089</v>
      </c>
      <c r="G15" s="25">
        <f t="shared" si="2"/>
        <v>472528.5515923567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75898.2</v>
      </c>
      <c r="Q15" s="17">
        <f t="shared" si="5"/>
        <v>548426.75159235671</v>
      </c>
      <c r="R15" s="78">
        <f t="shared" si="1"/>
        <v>39.033932497676638</v>
      </c>
      <c r="S15" s="70"/>
    </row>
    <row r="16" spans="1:19" ht="17.100000000000001" customHeight="1" x14ac:dyDescent="0.25">
      <c r="A16" s="80"/>
      <c r="B16" s="77">
        <v>8</v>
      </c>
      <c r="C16" s="16">
        <f>Electricity!C15</f>
        <v>0</v>
      </c>
      <c r="D16" s="16">
        <f>Electricity!D15</f>
        <v>0</v>
      </c>
      <c r="E16" s="3">
        <v>8</v>
      </c>
      <c r="F16" s="11"/>
      <c r="G16" s="25">
        <f t="shared" si="2"/>
        <v>0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/>
      <c r="P16" s="24">
        <f t="shared" si="4"/>
        <v>0</v>
      </c>
      <c r="Q16" s="17">
        <f t="shared" si="5"/>
        <v>0</v>
      </c>
      <c r="R16" s="78">
        <f t="shared" si="1"/>
        <v>0</v>
      </c>
      <c r="S16" s="70"/>
    </row>
    <row r="17" spans="1:19" ht="17.100000000000001" customHeight="1" x14ac:dyDescent="0.25">
      <c r="A17" s="80"/>
      <c r="B17" s="77">
        <v>9</v>
      </c>
      <c r="C17" s="16">
        <f>Electricity!C16</f>
        <v>0</v>
      </c>
      <c r="D17" s="16">
        <f>Electricity!D16</f>
        <v>0</v>
      </c>
      <c r="E17" s="3">
        <v>8</v>
      </c>
      <c r="F17" s="11"/>
      <c r="G17" s="25">
        <f t="shared" si="2"/>
        <v>0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/>
      <c r="P17" s="24">
        <f t="shared" si="4"/>
        <v>0</v>
      </c>
      <c r="Q17" s="17">
        <f t="shared" si="5"/>
        <v>0</v>
      </c>
      <c r="R17" s="78">
        <f t="shared" si="1"/>
        <v>0</v>
      </c>
      <c r="S17" s="70"/>
    </row>
    <row r="18" spans="1:19" ht="17.100000000000001" customHeight="1" x14ac:dyDescent="0.25">
      <c r="A18" s="80"/>
      <c r="B18" s="77">
        <v>10</v>
      </c>
      <c r="C18" s="16">
        <f>Electricity!C17</f>
        <v>0</v>
      </c>
      <c r="D18" s="16">
        <f>Electricity!D17</f>
        <v>0</v>
      </c>
      <c r="E18" s="3">
        <v>8</v>
      </c>
      <c r="F18" s="11"/>
      <c r="G18" s="25">
        <f t="shared" si="2"/>
        <v>0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/>
      <c r="P18" s="24">
        <f t="shared" si="4"/>
        <v>0</v>
      </c>
      <c r="Q18" s="17">
        <f t="shared" si="5"/>
        <v>0</v>
      </c>
      <c r="R18" s="78">
        <f t="shared" si="1"/>
        <v>0</v>
      </c>
      <c r="S18" s="70"/>
    </row>
    <row r="19" spans="1:19" ht="17.100000000000001" customHeight="1" x14ac:dyDescent="0.25">
      <c r="A19" s="80"/>
      <c r="B19" s="77">
        <v>11</v>
      </c>
      <c r="C19" s="16">
        <f>Electricity!C18</f>
        <v>0</v>
      </c>
      <c r="D19" s="16">
        <f>Electricity!D18</f>
        <v>0</v>
      </c>
      <c r="E19" s="3">
        <v>8</v>
      </c>
      <c r="F19" s="11"/>
      <c r="G19" s="25">
        <f t="shared" si="2"/>
        <v>0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/>
      <c r="P19" s="24">
        <f t="shared" si="4"/>
        <v>0</v>
      </c>
      <c r="Q19" s="17">
        <f t="shared" si="5"/>
        <v>0</v>
      </c>
      <c r="R19" s="78">
        <f t="shared" si="1"/>
        <v>0</v>
      </c>
      <c r="S19" s="70"/>
    </row>
    <row r="20" spans="1:19" ht="17.100000000000001" customHeight="1" x14ac:dyDescent="0.25">
      <c r="A20" s="80"/>
      <c r="B20" s="77">
        <v>12</v>
      </c>
      <c r="C20" s="16">
        <f>Electricity!C19</f>
        <v>0</v>
      </c>
      <c r="D20" s="16">
        <f>Electricity!D19</f>
        <v>0</v>
      </c>
      <c r="E20" s="3">
        <v>8</v>
      </c>
      <c r="F20" s="11"/>
      <c r="G20" s="25">
        <f t="shared" si="2"/>
        <v>0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/>
      <c r="P20" s="24">
        <f t="shared" si="4"/>
        <v>0</v>
      </c>
      <c r="Q20" s="17">
        <f t="shared" si="5"/>
        <v>0</v>
      </c>
      <c r="R20" s="78">
        <f t="shared" si="1"/>
        <v>0</v>
      </c>
      <c r="S20" s="70"/>
    </row>
    <row r="21" spans="1:19" ht="17.100000000000001" customHeight="1" x14ac:dyDescent="0.25">
      <c r="A21" s="80"/>
      <c r="B21" s="77">
        <v>13</v>
      </c>
      <c r="C21" s="16">
        <f>Electricity!C20</f>
        <v>0</v>
      </c>
      <c r="D21" s="16">
        <f>Electricity!D20</f>
        <v>0</v>
      </c>
      <c r="E21" s="3">
        <v>8</v>
      </c>
      <c r="F21" s="11"/>
      <c r="G21" s="25">
        <f t="shared" si="2"/>
        <v>0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/>
      <c r="P21" s="24">
        <f t="shared" si="4"/>
        <v>0</v>
      </c>
      <c r="Q21" s="17">
        <f t="shared" si="5"/>
        <v>0</v>
      </c>
      <c r="R21" s="78">
        <f t="shared" si="1"/>
        <v>0</v>
      </c>
      <c r="S21" s="70"/>
    </row>
    <row r="22" spans="1:19" ht="17.100000000000001" customHeight="1" x14ac:dyDescent="0.25">
      <c r="A22" s="80"/>
      <c r="B22" s="77">
        <v>14</v>
      </c>
      <c r="C22" s="16">
        <f>Electricity!C21</f>
        <v>0</v>
      </c>
      <c r="D22" s="16">
        <f>Electricity!D21</f>
        <v>0</v>
      </c>
      <c r="E22" s="3">
        <v>8</v>
      </c>
      <c r="F22" s="11"/>
      <c r="G22" s="25">
        <f t="shared" si="2"/>
        <v>0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/>
      <c r="P22" s="24">
        <f t="shared" si="4"/>
        <v>0</v>
      </c>
      <c r="Q22" s="17">
        <f t="shared" si="5"/>
        <v>0</v>
      </c>
      <c r="R22" s="78">
        <f t="shared" si="1"/>
        <v>0</v>
      </c>
      <c r="S22" s="70"/>
    </row>
    <row r="23" spans="1:19" ht="17.100000000000001" customHeight="1" x14ac:dyDescent="0.25">
      <c r="A23" s="80"/>
      <c r="B23" s="77">
        <v>15</v>
      </c>
      <c r="C23" s="16">
        <f>Electricity!C22</f>
        <v>0</v>
      </c>
      <c r="D23" s="16">
        <f>Electricity!D22</f>
        <v>0</v>
      </c>
      <c r="E23" s="3">
        <v>8</v>
      </c>
      <c r="F23" s="11"/>
      <c r="G23" s="25">
        <f t="shared" si="2"/>
        <v>0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/>
      <c r="P23" s="24">
        <f t="shared" si="4"/>
        <v>0</v>
      </c>
      <c r="Q23" s="17">
        <f t="shared" si="5"/>
        <v>0</v>
      </c>
      <c r="R23" s="78">
        <f t="shared" si="1"/>
        <v>0</v>
      </c>
      <c r="S23" s="70"/>
    </row>
    <row r="24" spans="1:19" ht="17.100000000000001" customHeight="1" x14ac:dyDescent="0.25">
      <c r="A24" s="80"/>
      <c r="B24" s="77">
        <v>16</v>
      </c>
      <c r="C24" s="16">
        <f>Electricity!C23</f>
        <v>0</v>
      </c>
      <c r="D24" s="16">
        <f>Electricity!D23</f>
        <v>0</v>
      </c>
      <c r="E24" s="3">
        <v>8</v>
      </c>
      <c r="F24" s="11"/>
      <c r="G24" s="25">
        <f t="shared" si="2"/>
        <v>0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/>
      <c r="P24" s="24">
        <f t="shared" si="4"/>
        <v>0</v>
      </c>
      <c r="Q24" s="17">
        <f t="shared" si="5"/>
        <v>0</v>
      </c>
      <c r="R24" s="78">
        <f t="shared" si="1"/>
        <v>0</v>
      </c>
      <c r="S24" s="70"/>
    </row>
    <row r="25" spans="1:19" ht="17.100000000000001" customHeight="1" x14ac:dyDescent="0.25">
      <c r="A25" s="80"/>
      <c r="B25" s="77">
        <v>17</v>
      </c>
      <c r="C25" s="16">
        <f>Electricity!C24</f>
        <v>0</v>
      </c>
      <c r="D25" s="16">
        <f>Electricity!D24</f>
        <v>0</v>
      </c>
      <c r="E25" s="3">
        <v>8</v>
      </c>
      <c r="F25" s="11"/>
      <c r="G25" s="25">
        <f t="shared" si="2"/>
        <v>0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/>
      <c r="P25" s="24">
        <f t="shared" si="4"/>
        <v>0</v>
      </c>
      <c r="Q25" s="17">
        <f t="shared" si="5"/>
        <v>0</v>
      </c>
      <c r="R25" s="78">
        <f t="shared" si="1"/>
        <v>0</v>
      </c>
      <c r="S25" s="70"/>
    </row>
    <row r="26" spans="1:19" ht="17.100000000000001" customHeight="1" x14ac:dyDescent="0.25">
      <c r="A26" s="80"/>
      <c r="B26" s="77">
        <v>18</v>
      </c>
      <c r="C26" s="16">
        <f>Electricity!C25</f>
        <v>0</v>
      </c>
      <c r="D26" s="16">
        <f>Electricity!D25</f>
        <v>0</v>
      </c>
      <c r="E26" s="3">
        <v>8</v>
      </c>
      <c r="F26" s="11"/>
      <c r="G26" s="25">
        <f t="shared" si="2"/>
        <v>0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/>
      <c r="P26" s="24">
        <f t="shared" si="4"/>
        <v>0</v>
      </c>
      <c r="Q26" s="17">
        <f t="shared" si="5"/>
        <v>0</v>
      </c>
      <c r="R26" s="78">
        <f t="shared" si="1"/>
        <v>0</v>
      </c>
      <c r="S26" s="70"/>
    </row>
    <row r="27" spans="1:19" ht="17.100000000000001" customHeight="1" x14ac:dyDescent="0.25">
      <c r="A27" s="80"/>
      <c r="B27" s="77">
        <v>19</v>
      </c>
      <c r="C27" s="16">
        <f>Electricity!C26</f>
        <v>0</v>
      </c>
      <c r="D27" s="16">
        <f>Electricity!D26</f>
        <v>0</v>
      </c>
      <c r="E27" s="3">
        <v>8</v>
      </c>
      <c r="F27" s="11"/>
      <c r="G27" s="25">
        <f t="shared" si="2"/>
        <v>0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/>
      <c r="P27" s="24">
        <f t="shared" si="4"/>
        <v>0</v>
      </c>
      <c r="Q27" s="17">
        <f t="shared" si="5"/>
        <v>0</v>
      </c>
      <c r="R27" s="78">
        <f t="shared" si="1"/>
        <v>0</v>
      </c>
      <c r="S27" s="70"/>
    </row>
    <row r="28" spans="1:19" ht="17.100000000000001" customHeight="1" x14ac:dyDescent="0.25">
      <c r="A28" s="80"/>
      <c r="B28" s="77">
        <v>20</v>
      </c>
      <c r="C28" s="16">
        <f>Electricity!C27</f>
        <v>0</v>
      </c>
      <c r="D28" s="16">
        <f>Electricity!D27</f>
        <v>0</v>
      </c>
      <c r="E28" s="3">
        <v>8</v>
      </c>
      <c r="F28" s="11"/>
      <c r="G28" s="25">
        <f t="shared" si="2"/>
        <v>0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/>
      <c r="P28" s="24">
        <f t="shared" si="4"/>
        <v>0</v>
      </c>
      <c r="Q28" s="17">
        <f t="shared" si="5"/>
        <v>0</v>
      </c>
      <c r="R28" s="78">
        <f t="shared" si="1"/>
        <v>0</v>
      </c>
      <c r="S28" s="70"/>
    </row>
    <row r="29" spans="1:19" ht="17.100000000000001" customHeight="1" x14ac:dyDescent="0.25">
      <c r="A29" s="80"/>
      <c r="B29" s="77">
        <v>21</v>
      </c>
      <c r="C29" s="16">
        <f>Electricity!C28</f>
        <v>0</v>
      </c>
      <c r="D29" s="16">
        <f>Electricity!D28</f>
        <v>0</v>
      </c>
      <c r="E29" s="3">
        <v>8</v>
      </c>
      <c r="F29" s="11"/>
      <c r="G29" s="25">
        <f t="shared" si="2"/>
        <v>0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/>
      <c r="P29" s="24">
        <f t="shared" si="4"/>
        <v>0</v>
      </c>
      <c r="Q29" s="17">
        <f t="shared" si="5"/>
        <v>0</v>
      </c>
      <c r="R29" s="78">
        <f t="shared" si="1"/>
        <v>0</v>
      </c>
      <c r="S29" s="70"/>
    </row>
    <row r="30" spans="1:19" ht="17.100000000000001" customHeight="1" x14ac:dyDescent="0.25">
      <c r="A30" s="80"/>
      <c r="B30" s="77">
        <v>22</v>
      </c>
      <c r="C30" s="16">
        <f>Electricity!C29</f>
        <v>0</v>
      </c>
      <c r="D30" s="16">
        <f>Electricity!D29</f>
        <v>0</v>
      </c>
      <c r="E30" s="3">
        <v>8</v>
      </c>
      <c r="F30" s="11"/>
      <c r="G30" s="25">
        <f t="shared" si="2"/>
        <v>0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/>
      <c r="P30" s="24">
        <f t="shared" si="4"/>
        <v>0</v>
      </c>
      <c r="Q30" s="17">
        <f t="shared" si="5"/>
        <v>0</v>
      </c>
      <c r="R30" s="78">
        <f t="shared" si="1"/>
        <v>0</v>
      </c>
      <c r="S30" s="70"/>
    </row>
    <row r="31" spans="1:19" ht="17.100000000000001" customHeight="1" x14ac:dyDescent="0.25">
      <c r="A31" s="80"/>
      <c r="B31" s="77">
        <v>23</v>
      </c>
      <c r="C31" s="16">
        <f>Electricity!C30</f>
        <v>0</v>
      </c>
      <c r="D31" s="16">
        <f>Electricity!D30</f>
        <v>0</v>
      </c>
      <c r="E31" s="3">
        <v>8</v>
      </c>
      <c r="F31" s="11"/>
      <c r="G31" s="25">
        <f t="shared" si="2"/>
        <v>0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/>
      <c r="P31" s="24">
        <f t="shared" si="4"/>
        <v>0</v>
      </c>
      <c r="Q31" s="17">
        <f t="shared" si="5"/>
        <v>0</v>
      </c>
      <c r="R31" s="78">
        <f t="shared" si="1"/>
        <v>0</v>
      </c>
      <c r="S31" s="70"/>
    </row>
    <row r="32" spans="1:19" ht="17.100000000000001" customHeight="1" x14ac:dyDescent="0.25">
      <c r="A32" s="80"/>
      <c r="B32" s="77">
        <v>24</v>
      </c>
      <c r="C32" s="16">
        <f>Electricity!C31</f>
        <v>0</v>
      </c>
      <c r="D32" s="16">
        <f>Electricity!D31</f>
        <v>0</v>
      </c>
      <c r="E32" s="3">
        <v>8</v>
      </c>
      <c r="F32" s="11"/>
      <c r="G32" s="25">
        <f t="shared" si="2"/>
        <v>0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/>
      <c r="P32" s="24">
        <f t="shared" si="4"/>
        <v>0</v>
      </c>
      <c r="Q32" s="17">
        <f t="shared" si="5"/>
        <v>0</v>
      </c>
      <c r="R32" s="78">
        <f t="shared" si="1"/>
        <v>0</v>
      </c>
      <c r="S32" s="70"/>
    </row>
    <row r="33" spans="1:21" ht="17.100000000000001" customHeight="1" x14ac:dyDescent="0.25">
      <c r="A33" s="80"/>
      <c r="B33" s="77">
        <v>25</v>
      </c>
      <c r="C33" s="16">
        <f>Electricity!C32</f>
        <v>0</v>
      </c>
      <c r="D33" s="16">
        <f>Electricity!D32</f>
        <v>0</v>
      </c>
      <c r="E33" s="3">
        <v>8</v>
      </c>
      <c r="F33" s="11"/>
      <c r="G33" s="25">
        <f t="shared" si="2"/>
        <v>0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/>
      <c r="P33" s="24">
        <f t="shared" si="4"/>
        <v>0</v>
      </c>
      <c r="Q33" s="17">
        <f t="shared" si="5"/>
        <v>0</v>
      </c>
      <c r="R33" s="78">
        <f t="shared" si="1"/>
        <v>0</v>
      </c>
      <c r="S33" s="70"/>
    </row>
    <row r="34" spans="1:21" ht="17.100000000000001" customHeight="1" x14ac:dyDescent="0.25">
      <c r="A34" s="80"/>
      <c r="B34" s="77">
        <v>26</v>
      </c>
      <c r="C34" s="16">
        <f>Electricity!C33</f>
        <v>0</v>
      </c>
      <c r="D34" s="16">
        <f>Electricity!D33</f>
        <v>0</v>
      </c>
      <c r="E34" s="3">
        <v>8</v>
      </c>
      <c r="F34" s="11"/>
      <c r="G34" s="25">
        <f t="shared" si="2"/>
        <v>0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/>
      <c r="P34" s="24">
        <f t="shared" si="4"/>
        <v>0</v>
      </c>
      <c r="Q34" s="17">
        <f t="shared" si="5"/>
        <v>0</v>
      </c>
      <c r="R34" s="78">
        <f t="shared" si="1"/>
        <v>0</v>
      </c>
      <c r="S34" s="70"/>
    </row>
    <row r="35" spans="1:21" ht="17.100000000000001" customHeight="1" x14ac:dyDescent="0.25">
      <c r="A35" s="80"/>
      <c r="B35" s="77">
        <v>27</v>
      </c>
      <c r="C35" s="16">
        <f>Electricity!C34</f>
        <v>0</v>
      </c>
      <c r="D35" s="16">
        <f>Electricity!D34</f>
        <v>0</v>
      </c>
      <c r="E35" s="3">
        <v>8</v>
      </c>
      <c r="F35" s="11"/>
      <c r="G35" s="25">
        <f t="shared" si="2"/>
        <v>0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/>
      <c r="P35" s="24">
        <f t="shared" si="4"/>
        <v>0</v>
      </c>
      <c r="Q35" s="17">
        <f t="shared" si="5"/>
        <v>0</v>
      </c>
      <c r="R35" s="78">
        <f t="shared" si="1"/>
        <v>0</v>
      </c>
      <c r="S35" s="70"/>
    </row>
    <row r="36" spans="1:21" ht="17.100000000000001" customHeight="1" x14ac:dyDescent="0.25">
      <c r="A36" s="80"/>
      <c r="B36" s="77">
        <v>28</v>
      </c>
      <c r="C36" s="16">
        <f>Electricity!C35</f>
        <v>0</v>
      </c>
      <c r="D36" s="16">
        <f>Electricity!D35</f>
        <v>0</v>
      </c>
      <c r="E36" s="3">
        <v>8</v>
      </c>
      <c r="F36" s="11"/>
      <c r="G36" s="25">
        <f t="shared" si="2"/>
        <v>0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/>
      <c r="P36" s="24">
        <f t="shared" si="4"/>
        <v>0</v>
      </c>
      <c r="Q36" s="17">
        <f t="shared" si="5"/>
        <v>0</v>
      </c>
      <c r="R36" s="78">
        <f t="shared" si="1"/>
        <v>0</v>
      </c>
      <c r="S36" s="70"/>
    </row>
    <row r="37" spans="1:21" ht="17.100000000000001" customHeight="1" x14ac:dyDescent="0.25">
      <c r="A37" s="80"/>
      <c r="B37" s="77">
        <v>29</v>
      </c>
      <c r="C37" s="16">
        <f>Electricity!C36</f>
        <v>0</v>
      </c>
      <c r="D37" s="16">
        <f>Electricity!D36</f>
        <v>0</v>
      </c>
      <c r="E37" s="3">
        <v>8</v>
      </c>
      <c r="F37" s="11"/>
      <c r="G37" s="25">
        <f t="shared" si="2"/>
        <v>0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/>
      <c r="P37" s="24">
        <f t="shared" si="4"/>
        <v>0</v>
      </c>
      <c r="Q37" s="17">
        <f t="shared" si="5"/>
        <v>0</v>
      </c>
      <c r="R37" s="78">
        <f t="shared" si="1"/>
        <v>0</v>
      </c>
      <c r="S37" s="70"/>
    </row>
    <row r="38" spans="1:21" ht="17.100000000000001" customHeight="1" x14ac:dyDescent="0.25">
      <c r="A38" s="80"/>
      <c r="B38" s="77">
        <v>30</v>
      </c>
      <c r="C38" s="16">
        <f>Electricity!C37</f>
        <v>0</v>
      </c>
      <c r="D38" s="16">
        <f>Electricity!D37</f>
        <v>0</v>
      </c>
      <c r="E38" s="3">
        <v>8</v>
      </c>
      <c r="F38" s="11"/>
      <c r="G38" s="25">
        <f t="shared" si="2"/>
        <v>0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/>
      <c r="P38" s="24">
        <f t="shared" si="4"/>
        <v>0</v>
      </c>
      <c r="Q38" s="17">
        <f t="shared" si="5"/>
        <v>0</v>
      </c>
      <c r="R38" s="78">
        <f t="shared" si="1"/>
        <v>0</v>
      </c>
      <c r="S38" s="70"/>
    </row>
    <row r="39" spans="1:21" ht="15" x14ac:dyDescent="0.25">
      <c r="B39" s="77">
        <v>31</v>
      </c>
      <c r="C39" s="16">
        <f>Electricity!C38</f>
        <v>0</v>
      </c>
      <c r="D39" s="16">
        <f>Electricity!D38</f>
        <v>0</v>
      </c>
      <c r="E39" s="3">
        <v>8</v>
      </c>
      <c r="F39" s="11"/>
      <c r="G39" s="25">
        <f t="shared" si="2"/>
        <v>0</v>
      </c>
      <c r="H39" s="3"/>
      <c r="I39" s="25"/>
      <c r="J39" s="25"/>
      <c r="K39" s="25"/>
      <c r="L39" s="25"/>
      <c r="M39" s="25"/>
      <c r="N39" s="3"/>
      <c r="O39" s="11"/>
      <c r="P39" s="24">
        <f t="shared" si="4"/>
        <v>0</v>
      </c>
      <c r="Q39" s="17">
        <f t="shared" si="5"/>
        <v>0</v>
      </c>
      <c r="R39" s="78">
        <f t="shared" si="1"/>
        <v>0</v>
      </c>
    </row>
    <row r="40" spans="1:21" s="1" customFormat="1" ht="15.75" x14ac:dyDescent="0.25">
      <c r="C40" s="49">
        <f>SUM(C9:C39)</f>
        <v>30</v>
      </c>
      <c r="D40" s="49">
        <f>SUM(D9:D39)</f>
        <v>157</v>
      </c>
      <c r="E40" s="19"/>
      <c r="F40" s="19">
        <f>SUM(F9:F39)</f>
        <v>400.01999999999992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49.98</v>
      </c>
      <c r="P40" s="10"/>
      <c r="Q40" s="41">
        <f>F40+O40</f>
        <v>449.99999999999994</v>
      </c>
      <c r="R40" s="52">
        <f>SUM(R9:R39)</f>
        <v>340.46263345195723</v>
      </c>
      <c r="U40" s="40" t="e">
        <f>#REF!+#REF!+#REF!+#REF!+#REF!+#REF!+#REF!+#REF!+#REF!+#REF!+R40+#REF!</f>
        <v>#REF!</v>
      </c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20"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  <mergeCell ref="N7:N8"/>
    <mergeCell ref="O7:O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15" sqref="K15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8" t="s">
        <v>36</v>
      </c>
      <c r="C1" s="88"/>
      <c r="D1" s="88"/>
      <c r="E1" s="88"/>
      <c r="F1" s="88"/>
      <c r="G1" s="88"/>
      <c r="H1" s="88"/>
    </row>
    <row r="2" spans="1:9" ht="15.75" x14ac:dyDescent="0.25">
      <c r="B2" s="88" t="s">
        <v>2</v>
      </c>
      <c r="C2" s="88"/>
      <c r="D2" s="88"/>
      <c r="E2" s="88"/>
      <c r="F2" s="88"/>
      <c r="G2" s="88"/>
      <c r="H2" s="88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1"/>
      <c r="B4" s="91">
        <v>44228</v>
      </c>
      <c r="C4" s="91"/>
      <c r="D4" s="91"/>
      <c r="E4" s="91"/>
      <c r="F4" s="91"/>
      <c r="G4" s="91"/>
      <c r="H4" s="91"/>
      <c r="I4" s="8"/>
    </row>
    <row r="5" spans="1:9" ht="12.75" customHeight="1" x14ac:dyDescent="0.2">
      <c r="A5" s="72"/>
      <c r="B5" s="87" t="s">
        <v>1</v>
      </c>
      <c r="C5" s="87" t="s">
        <v>38</v>
      </c>
      <c r="D5" s="87" t="s">
        <v>39</v>
      </c>
      <c r="E5" s="87" t="s">
        <v>18</v>
      </c>
      <c r="F5" s="87"/>
      <c r="G5" s="87"/>
      <c r="H5" s="87" t="s">
        <v>9</v>
      </c>
      <c r="I5" s="69"/>
    </row>
    <row r="6" spans="1:9" x14ac:dyDescent="0.2">
      <c r="A6" s="72"/>
      <c r="B6" s="87"/>
      <c r="C6" s="87"/>
      <c r="D6" s="87"/>
      <c r="E6" s="87"/>
      <c r="F6" s="87"/>
      <c r="G6" s="87"/>
      <c r="H6" s="87"/>
      <c r="I6" s="69"/>
    </row>
    <row r="7" spans="1:9" s="7" customFormat="1" ht="31.5" customHeight="1" x14ac:dyDescent="0.2">
      <c r="A7" s="72"/>
      <c r="B7" s="87"/>
      <c r="C7" s="87"/>
      <c r="D7" s="87"/>
      <c r="E7" s="73" t="s">
        <v>10</v>
      </c>
      <c r="F7" s="97" t="s">
        <v>25</v>
      </c>
      <c r="G7" s="74" t="s">
        <v>26</v>
      </c>
      <c r="H7" s="87"/>
      <c r="I7" s="69"/>
    </row>
    <row r="8" spans="1:9" s="7" customFormat="1" x14ac:dyDescent="0.2">
      <c r="A8" s="72"/>
      <c r="B8" s="87"/>
      <c r="C8" s="87"/>
      <c r="D8" s="87"/>
      <c r="E8" s="75"/>
      <c r="F8" s="97"/>
      <c r="G8" s="74">
        <v>10700</v>
      </c>
      <c r="H8" s="87"/>
      <c r="I8" s="69"/>
    </row>
    <row r="9" spans="1:9" ht="17.100000000000001" customHeight="1" x14ac:dyDescent="0.25">
      <c r="A9" s="76"/>
      <c r="B9" s="77">
        <v>1</v>
      </c>
      <c r="C9" s="37">
        <f>Electricity!C8</f>
        <v>2</v>
      </c>
      <c r="D9" s="37">
        <f>Electricity!D8</f>
        <v>7</v>
      </c>
      <c r="E9" s="15"/>
      <c r="F9" s="28">
        <v>53</v>
      </c>
      <c r="G9" s="28">
        <f t="shared" ref="G9:G39" si="0">F9*$G$8</f>
        <v>567100</v>
      </c>
      <c r="H9" s="78">
        <f>G9/14050</f>
        <v>40.362989323843415</v>
      </c>
      <c r="I9" s="70"/>
    </row>
    <row r="10" spans="1:9" ht="17.100000000000001" customHeight="1" x14ac:dyDescent="0.25">
      <c r="A10" s="76"/>
      <c r="B10" s="77">
        <v>2</v>
      </c>
      <c r="C10" s="37">
        <f>Electricity!C9</f>
        <v>3</v>
      </c>
      <c r="D10" s="37">
        <f>Electricity!D9</f>
        <v>15</v>
      </c>
      <c r="E10" s="15"/>
      <c r="F10" s="28"/>
      <c r="G10" s="28">
        <f>F10*$G$8</f>
        <v>0</v>
      </c>
      <c r="H10" s="78">
        <f t="shared" ref="H10:H39" si="1">G10/14050</f>
        <v>0</v>
      </c>
      <c r="I10" s="70"/>
    </row>
    <row r="11" spans="1:9" ht="17.100000000000001" customHeight="1" x14ac:dyDescent="0.25">
      <c r="A11" s="76"/>
      <c r="B11" s="77">
        <v>3</v>
      </c>
      <c r="C11" s="37">
        <f>Electricity!C10</f>
        <v>5</v>
      </c>
      <c r="D11" s="37">
        <f>Electricity!D10</f>
        <v>31</v>
      </c>
      <c r="E11" s="15"/>
      <c r="F11" s="28"/>
      <c r="G11" s="28">
        <f t="shared" si="0"/>
        <v>0</v>
      </c>
      <c r="H11" s="78">
        <f t="shared" si="1"/>
        <v>0</v>
      </c>
      <c r="I11" s="70"/>
    </row>
    <row r="12" spans="1:9" ht="17.100000000000001" customHeight="1" x14ac:dyDescent="0.25">
      <c r="A12" s="76"/>
      <c r="B12" s="77">
        <v>4</v>
      </c>
      <c r="C12" s="37">
        <f>Electricity!C11</f>
        <v>4</v>
      </c>
      <c r="D12" s="37">
        <f>Electricity!D11</f>
        <v>34</v>
      </c>
      <c r="E12" s="15"/>
      <c r="F12" s="28"/>
      <c r="G12" s="28">
        <f t="shared" si="0"/>
        <v>0</v>
      </c>
      <c r="H12" s="78">
        <f t="shared" si="1"/>
        <v>0</v>
      </c>
      <c r="I12" s="70"/>
    </row>
    <row r="13" spans="1:9" ht="17.100000000000001" customHeight="1" x14ac:dyDescent="0.25">
      <c r="A13" s="76"/>
      <c r="B13" s="77">
        <v>5</v>
      </c>
      <c r="C13" s="37">
        <f>Electricity!C12</f>
        <v>6</v>
      </c>
      <c r="D13" s="37">
        <f>Electricity!D12</f>
        <v>18</v>
      </c>
      <c r="E13" s="15"/>
      <c r="F13" s="28"/>
      <c r="G13" s="28">
        <f t="shared" si="0"/>
        <v>0</v>
      </c>
      <c r="H13" s="78">
        <f t="shared" si="1"/>
        <v>0</v>
      </c>
      <c r="I13" s="70"/>
    </row>
    <row r="14" spans="1:9" ht="17.100000000000001" customHeight="1" x14ac:dyDescent="0.25">
      <c r="A14" s="76"/>
      <c r="B14" s="77">
        <v>6</v>
      </c>
      <c r="C14" s="37">
        <f>Electricity!C13</f>
        <v>6</v>
      </c>
      <c r="D14" s="37">
        <f>Electricity!D13</f>
        <v>34</v>
      </c>
      <c r="E14" s="15"/>
      <c r="F14" s="28"/>
      <c r="G14" s="28">
        <f t="shared" si="0"/>
        <v>0</v>
      </c>
      <c r="H14" s="78">
        <f t="shared" si="1"/>
        <v>0</v>
      </c>
      <c r="I14" s="70"/>
    </row>
    <row r="15" spans="1:9" ht="17.100000000000001" customHeight="1" x14ac:dyDescent="0.25">
      <c r="A15" s="76"/>
      <c r="B15" s="77">
        <v>7</v>
      </c>
      <c r="C15" s="37">
        <f>Electricity!C14</f>
        <v>4</v>
      </c>
      <c r="D15" s="37">
        <f>Electricity!D14</f>
        <v>18</v>
      </c>
      <c r="E15" s="15"/>
      <c r="F15" s="28"/>
      <c r="G15" s="28">
        <f t="shared" si="0"/>
        <v>0</v>
      </c>
      <c r="H15" s="78">
        <f t="shared" si="1"/>
        <v>0</v>
      </c>
      <c r="I15" s="70"/>
    </row>
    <row r="16" spans="1:9" ht="17.100000000000001" customHeight="1" x14ac:dyDescent="0.25">
      <c r="A16" s="76"/>
      <c r="B16" s="77">
        <v>8</v>
      </c>
      <c r="C16" s="37">
        <f>Electricity!C15</f>
        <v>0</v>
      </c>
      <c r="D16" s="37">
        <f>Electricity!D15</f>
        <v>0</v>
      </c>
      <c r="E16" s="15"/>
      <c r="F16" s="28"/>
      <c r="G16" s="28">
        <f t="shared" si="0"/>
        <v>0</v>
      </c>
      <c r="H16" s="78">
        <f t="shared" si="1"/>
        <v>0</v>
      </c>
      <c r="I16" s="70"/>
    </row>
    <row r="17" spans="1:9" ht="17.100000000000001" customHeight="1" x14ac:dyDescent="0.25">
      <c r="A17" s="76"/>
      <c r="B17" s="77">
        <v>9</v>
      </c>
      <c r="C17" s="37">
        <f>Electricity!C16</f>
        <v>0</v>
      </c>
      <c r="D17" s="37">
        <f>Electricity!D16</f>
        <v>0</v>
      </c>
      <c r="E17" s="15"/>
      <c r="F17" s="28"/>
      <c r="G17" s="28">
        <f t="shared" si="0"/>
        <v>0</v>
      </c>
      <c r="H17" s="78">
        <f t="shared" si="1"/>
        <v>0</v>
      </c>
      <c r="I17" s="70"/>
    </row>
    <row r="18" spans="1:9" ht="17.100000000000001" customHeight="1" x14ac:dyDescent="0.25">
      <c r="A18" s="76"/>
      <c r="B18" s="77">
        <v>10</v>
      </c>
      <c r="C18" s="37">
        <f>Electricity!C17</f>
        <v>0</v>
      </c>
      <c r="D18" s="37">
        <f>Electricity!D17</f>
        <v>0</v>
      </c>
      <c r="E18" s="15"/>
      <c r="F18" s="28"/>
      <c r="G18" s="28">
        <f t="shared" si="0"/>
        <v>0</v>
      </c>
      <c r="H18" s="78">
        <f t="shared" si="1"/>
        <v>0</v>
      </c>
      <c r="I18" s="70"/>
    </row>
    <row r="19" spans="1:9" ht="17.100000000000001" customHeight="1" x14ac:dyDescent="0.25">
      <c r="A19" s="76"/>
      <c r="B19" s="77">
        <v>11</v>
      </c>
      <c r="C19" s="37">
        <f>Electricity!C18</f>
        <v>0</v>
      </c>
      <c r="D19" s="37">
        <f>Electricity!D18</f>
        <v>0</v>
      </c>
      <c r="E19" s="15"/>
      <c r="F19" s="28"/>
      <c r="G19" s="28">
        <f t="shared" si="0"/>
        <v>0</v>
      </c>
      <c r="H19" s="78">
        <f t="shared" si="1"/>
        <v>0</v>
      </c>
      <c r="I19" s="70"/>
    </row>
    <row r="20" spans="1:9" ht="17.100000000000001" customHeight="1" x14ac:dyDescent="0.25">
      <c r="A20" s="76"/>
      <c r="B20" s="77">
        <v>12</v>
      </c>
      <c r="C20" s="37">
        <f>Electricity!C19</f>
        <v>0</v>
      </c>
      <c r="D20" s="37">
        <f>Electricity!D19</f>
        <v>0</v>
      </c>
      <c r="E20" s="15"/>
      <c r="F20" s="28"/>
      <c r="G20" s="28">
        <f t="shared" si="0"/>
        <v>0</v>
      </c>
      <c r="H20" s="78">
        <f t="shared" si="1"/>
        <v>0</v>
      </c>
      <c r="I20" s="70"/>
    </row>
    <row r="21" spans="1:9" ht="17.100000000000001" customHeight="1" x14ac:dyDescent="0.25">
      <c r="A21" s="76"/>
      <c r="B21" s="77">
        <v>13</v>
      </c>
      <c r="C21" s="37">
        <f>Electricity!C20</f>
        <v>0</v>
      </c>
      <c r="D21" s="37">
        <f>Electricity!D20</f>
        <v>0</v>
      </c>
      <c r="E21" s="15"/>
      <c r="F21" s="28"/>
      <c r="G21" s="28">
        <f t="shared" si="0"/>
        <v>0</v>
      </c>
      <c r="H21" s="78">
        <f t="shared" si="1"/>
        <v>0</v>
      </c>
      <c r="I21" s="70"/>
    </row>
    <row r="22" spans="1:9" ht="17.100000000000001" customHeight="1" x14ac:dyDescent="0.25">
      <c r="A22" s="76"/>
      <c r="B22" s="77">
        <v>14</v>
      </c>
      <c r="C22" s="37">
        <f>Electricity!C21</f>
        <v>0</v>
      </c>
      <c r="D22" s="37">
        <f>Electricity!D21</f>
        <v>0</v>
      </c>
      <c r="E22" s="15"/>
      <c r="F22" s="28"/>
      <c r="G22" s="28">
        <f t="shared" si="0"/>
        <v>0</v>
      </c>
      <c r="H22" s="78">
        <f t="shared" si="1"/>
        <v>0</v>
      </c>
      <c r="I22" s="70"/>
    </row>
    <row r="23" spans="1:9" ht="17.100000000000001" customHeight="1" x14ac:dyDescent="0.25">
      <c r="A23" s="76"/>
      <c r="B23" s="77">
        <v>15</v>
      </c>
      <c r="C23" s="37">
        <f>Electricity!C22</f>
        <v>0</v>
      </c>
      <c r="D23" s="37">
        <f>Electricity!D22</f>
        <v>0</v>
      </c>
      <c r="E23" s="15"/>
      <c r="F23" s="28"/>
      <c r="G23" s="28">
        <f t="shared" si="0"/>
        <v>0</v>
      </c>
      <c r="H23" s="78">
        <f t="shared" si="1"/>
        <v>0</v>
      </c>
      <c r="I23" s="70"/>
    </row>
    <row r="24" spans="1:9" ht="17.100000000000001" customHeight="1" x14ac:dyDescent="0.25">
      <c r="A24" s="76"/>
      <c r="B24" s="77">
        <v>16</v>
      </c>
      <c r="C24" s="37">
        <f>Electricity!C23</f>
        <v>0</v>
      </c>
      <c r="D24" s="37">
        <f>Electricity!D23</f>
        <v>0</v>
      </c>
      <c r="E24" s="15"/>
      <c r="F24" s="28"/>
      <c r="G24" s="28">
        <f t="shared" si="0"/>
        <v>0</v>
      </c>
      <c r="H24" s="78">
        <f t="shared" si="1"/>
        <v>0</v>
      </c>
      <c r="I24" s="70"/>
    </row>
    <row r="25" spans="1:9" ht="17.100000000000001" customHeight="1" x14ac:dyDescent="0.25">
      <c r="A25" s="76"/>
      <c r="B25" s="77">
        <v>17</v>
      </c>
      <c r="C25" s="37">
        <f>Electricity!C24</f>
        <v>0</v>
      </c>
      <c r="D25" s="37">
        <f>Electricity!D24</f>
        <v>0</v>
      </c>
      <c r="E25" s="15"/>
      <c r="F25" s="28"/>
      <c r="G25" s="28">
        <f t="shared" si="0"/>
        <v>0</v>
      </c>
      <c r="H25" s="78">
        <f t="shared" si="1"/>
        <v>0</v>
      </c>
      <c r="I25" s="70"/>
    </row>
    <row r="26" spans="1:9" ht="17.100000000000001" customHeight="1" x14ac:dyDescent="0.25">
      <c r="A26" s="76"/>
      <c r="B26" s="77">
        <v>18</v>
      </c>
      <c r="C26" s="37">
        <f>Electricity!C25</f>
        <v>0</v>
      </c>
      <c r="D26" s="37">
        <f>Electricity!D25</f>
        <v>0</v>
      </c>
      <c r="E26" s="15"/>
      <c r="F26" s="28"/>
      <c r="G26" s="28">
        <f t="shared" si="0"/>
        <v>0</v>
      </c>
      <c r="H26" s="78">
        <f t="shared" si="1"/>
        <v>0</v>
      </c>
      <c r="I26" s="70"/>
    </row>
    <row r="27" spans="1:9" ht="17.100000000000001" customHeight="1" x14ac:dyDescent="0.25">
      <c r="A27" s="76"/>
      <c r="B27" s="77">
        <v>19</v>
      </c>
      <c r="C27" s="37">
        <f>Electricity!C26</f>
        <v>0</v>
      </c>
      <c r="D27" s="37">
        <f>Electricity!D26</f>
        <v>0</v>
      </c>
      <c r="E27" s="15"/>
      <c r="F27" s="28"/>
      <c r="G27" s="28">
        <f t="shared" si="0"/>
        <v>0</v>
      </c>
      <c r="H27" s="78">
        <f t="shared" si="1"/>
        <v>0</v>
      </c>
      <c r="I27" s="70"/>
    </row>
    <row r="28" spans="1:9" ht="17.100000000000001" customHeight="1" x14ac:dyDescent="0.25">
      <c r="A28" s="76"/>
      <c r="B28" s="77">
        <v>20</v>
      </c>
      <c r="C28" s="37">
        <f>Electricity!C27</f>
        <v>0</v>
      </c>
      <c r="D28" s="37">
        <f>Electricity!D27</f>
        <v>0</v>
      </c>
      <c r="E28" s="15"/>
      <c r="F28" s="28"/>
      <c r="G28" s="28">
        <f t="shared" si="0"/>
        <v>0</v>
      </c>
      <c r="H28" s="78">
        <f t="shared" si="1"/>
        <v>0</v>
      </c>
      <c r="I28" s="70"/>
    </row>
    <row r="29" spans="1:9" ht="17.100000000000001" customHeight="1" x14ac:dyDescent="0.25">
      <c r="A29" s="76"/>
      <c r="B29" s="77">
        <v>21</v>
      </c>
      <c r="C29" s="37">
        <f>Electricity!C28</f>
        <v>0</v>
      </c>
      <c r="D29" s="37">
        <f>Electricity!D28</f>
        <v>0</v>
      </c>
      <c r="E29" s="15"/>
      <c r="F29" s="28"/>
      <c r="G29" s="28">
        <f t="shared" si="0"/>
        <v>0</v>
      </c>
      <c r="H29" s="78">
        <f t="shared" si="1"/>
        <v>0</v>
      </c>
      <c r="I29" s="70"/>
    </row>
    <row r="30" spans="1:9" ht="17.100000000000001" customHeight="1" x14ac:dyDescent="0.25">
      <c r="A30" s="76"/>
      <c r="B30" s="77">
        <v>22</v>
      </c>
      <c r="C30" s="37">
        <f>Electricity!C29</f>
        <v>0</v>
      </c>
      <c r="D30" s="37">
        <f>Electricity!D29</f>
        <v>0</v>
      </c>
      <c r="E30" s="15"/>
      <c r="F30" s="28"/>
      <c r="G30" s="28">
        <f t="shared" si="0"/>
        <v>0</v>
      </c>
      <c r="H30" s="78">
        <f t="shared" si="1"/>
        <v>0</v>
      </c>
      <c r="I30" s="70"/>
    </row>
    <row r="31" spans="1:9" ht="17.100000000000001" customHeight="1" x14ac:dyDescent="0.25">
      <c r="A31" s="76"/>
      <c r="B31" s="77">
        <v>23</v>
      </c>
      <c r="C31" s="37">
        <f>Electricity!C30</f>
        <v>0</v>
      </c>
      <c r="D31" s="37">
        <f>Electricity!D30</f>
        <v>0</v>
      </c>
      <c r="E31" s="15"/>
      <c r="F31" s="28"/>
      <c r="G31" s="28">
        <f t="shared" si="0"/>
        <v>0</v>
      </c>
      <c r="H31" s="78">
        <f t="shared" si="1"/>
        <v>0</v>
      </c>
      <c r="I31" s="70"/>
    </row>
    <row r="32" spans="1:9" ht="17.100000000000001" customHeight="1" x14ac:dyDescent="0.25">
      <c r="A32" s="76"/>
      <c r="B32" s="77">
        <v>24</v>
      </c>
      <c r="C32" s="37">
        <f>Electricity!C31</f>
        <v>0</v>
      </c>
      <c r="D32" s="37">
        <f>Electricity!D31</f>
        <v>0</v>
      </c>
      <c r="E32" s="15"/>
      <c r="F32" s="28"/>
      <c r="G32" s="28">
        <f t="shared" si="0"/>
        <v>0</v>
      </c>
      <c r="H32" s="78">
        <f t="shared" si="1"/>
        <v>0</v>
      </c>
      <c r="I32" s="70"/>
    </row>
    <row r="33" spans="1:11" ht="17.100000000000001" customHeight="1" x14ac:dyDescent="0.25">
      <c r="A33" s="76"/>
      <c r="B33" s="77">
        <v>25</v>
      </c>
      <c r="C33" s="37">
        <f>Electricity!C32</f>
        <v>0</v>
      </c>
      <c r="D33" s="37">
        <f>Electricity!D32</f>
        <v>0</v>
      </c>
      <c r="E33" s="15"/>
      <c r="F33" s="28"/>
      <c r="G33" s="28">
        <f t="shared" si="0"/>
        <v>0</v>
      </c>
      <c r="H33" s="78">
        <f t="shared" si="1"/>
        <v>0</v>
      </c>
      <c r="I33" s="70"/>
    </row>
    <row r="34" spans="1:11" ht="17.100000000000001" customHeight="1" x14ac:dyDescent="0.25">
      <c r="A34" s="76"/>
      <c r="B34" s="77">
        <v>26</v>
      </c>
      <c r="C34" s="37">
        <f>Electricity!C33</f>
        <v>0</v>
      </c>
      <c r="D34" s="37">
        <f>Electricity!D33</f>
        <v>0</v>
      </c>
      <c r="E34" s="15"/>
      <c r="F34" s="28"/>
      <c r="G34" s="28">
        <f t="shared" si="0"/>
        <v>0</v>
      </c>
      <c r="H34" s="78">
        <f t="shared" si="1"/>
        <v>0</v>
      </c>
      <c r="I34" s="70"/>
    </row>
    <row r="35" spans="1:11" ht="17.100000000000001" customHeight="1" x14ac:dyDescent="0.25">
      <c r="A35" s="76"/>
      <c r="B35" s="77">
        <v>27</v>
      </c>
      <c r="C35" s="37">
        <f>Electricity!C34</f>
        <v>0</v>
      </c>
      <c r="D35" s="37">
        <f>Electricity!D34</f>
        <v>0</v>
      </c>
      <c r="E35" s="15"/>
      <c r="F35" s="28"/>
      <c r="G35" s="28">
        <f t="shared" si="0"/>
        <v>0</v>
      </c>
      <c r="H35" s="78">
        <f t="shared" si="1"/>
        <v>0</v>
      </c>
      <c r="I35" s="70"/>
    </row>
    <row r="36" spans="1:11" ht="17.100000000000001" customHeight="1" x14ac:dyDescent="0.25">
      <c r="A36" s="76"/>
      <c r="B36" s="77">
        <v>28</v>
      </c>
      <c r="C36" s="37">
        <f>Electricity!C35</f>
        <v>0</v>
      </c>
      <c r="D36" s="37">
        <f>Electricity!D35</f>
        <v>0</v>
      </c>
      <c r="E36" s="15"/>
      <c r="F36" s="28"/>
      <c r="G36" s="28">
        <f t="shared" si="0"/>
        <v>0</v>
      </c>
      <c r="H36" s="78">
        <f t="shared" si="1"/>
        <v>0</v>
      </c>
      <c r="I36" s="70"/>
    </row>
    <row r="37" spans="1:11" ht="17.100000000000001" customHeight="1" x14ac:dyDescent="0.25">
      <c r="A37" s="76"/>
      <c r="B37" s="77">
        <v>29</v>
      </c>
      <c r="C37" s="37">
        <f>Electricity!C36</f>
        <v>0</v>
      </c>
      <c r="D37" s="37">
        <f>Electricity!D36</f>
        <v>0</v>
      </c>
      <c r="E37" s="15"/>
      <c r="F37" s="28"/>
      <c r="G37" s="28">
        <f t="shared" si="0"/>
        <v>0</v>
      </c>
      <c r="H37" s="78">
        <f t="shared" si="1"/>
        <v>0</v>
      </c>
      <c r="I37" s="70"/>
    </row>
    <row r="38" spans="1:11" ht="17.100000000000001" customHeight="1" x14ac:dyDescent="0.25">
      <c r="A38" s="76"/>
      <c r="B38" s="77">
        <v>30</v>
      </c>
      <c r="C38" s="37">
        <f>Electricity!C37</f>
        <v>0</v>
      </c>
      <c r="D38" s="37">
        <f>Electricity!D37</f>
        <v>0</v>
      </c>
      <c r="E38" s="15"/>
      <c r="F38" s="28"/>
      <c r="G38" s="28">
        <f t="shared" si="0"/>
        <v>0</v>
      </c>
      <c r="H38" s="78">
        <f t="shared" si="1"/>
        <v>0</v>
      </c>
      <c r="I38" s="70"/>
    </row>
    <row r="39" spans="1:11" ht="15" x14ac:dyDescent="0.25">
      <c r="A39" s="76"/>
      <c r="B39" s="77">
        <v>31</v>
      </c>
      <c r="C39" s="37">
        <f>Electricity!C38</f>
        <v>0</v>
      </c>
      <c r="D39" s="37">
        <f>Electricity!D38</f>
        <v>0</v>
      </c>
      <c r="E39" s="15"/>
      <c r="F39" s="28"/>
      <c r="G39" s="28">
        <f t="shared" si="0"/>
        <v>0</v>
      </c>
      <c r="H39" s="78">
        <f t="shared" si="1"/>
        <v>0</v>
      </c>
    </row>
    <row r="40" spans="1:11" s="1" customFormat="1" ht="21.6" customHeight="1" x14ac:dyDescent="0.2">
      <c r="C40" s="19">
        <f>SUM(C9:C39)</f>
        <v>30</v>
      </c>
      <c r="D40" s="19">
        <f>SUM(D9:D39)</f>
        <v>157</v>
      </c>
      <c r="E40" s="19"/>
      <c r="F40" s="19">
        <f>SUM(F9:F39)</f>
        <v>53</v>
      </c>
      <c r="G40" s="19"/>
      <c r="H40" s="48">
        <f>SUM(H9:H39)</f>
        <v>40.362989323843415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9" zoomScaleNormal="100" workbookViewId="0">
      <selection activeCell="O35" sqref="O35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8" t="s">
        <v>16</v>
      </c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3" ht="15.75" x14ac:dyDescent="0.25">
      <c r="B3" s="88" t="s">
        <v>2</v>
      </c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90">
        <v>44197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9"/>
      <c r="B6" s="87" t="s">
        <v>1</v>
      </c>
      <c r="C6" s="87" t="s">
        <v>5</v>
      </c>
      <c r="D6" s="87" t="s">
        <v>39</v>
      </c>
      <c r="E6" s="93" t="s">
        <v>32</v>
      </c>
      <c r="F6" s="93"/>
      <c r="G6" s="94" t="s">
        <v>33</v>
      </c>
      <c r="H6" s="94"/>
      <c r="I6" s="94"/>
      <c r="J6" s="94"/>
      <c r="K6" s="87" t="s">
        <v>15</v>
      </c>
      <c r="L6" s="87" t="s">
        <v>31</v>
      </c>
      <c r="M6" s="69"/>
    </row>
    <row r="7" spans="1:13" s="7" customFormat="1" ht="48" customHeight="1" x14ac:dyDescent="0.2">
      <c r="A7" s="79"/>
      <c r="B7" s="87"/>
      <c r="C7" s="87"/>
      <c r="D7" s="87"/>
      <c r="E7" s="87" t="s">
        <v>0</v>
      </c>
      <c r="F7" s="87" t="s">
        <v>13</v>
      </c>
      <c r="G7" s="87" t="s">
        <v>0</v>
      </c>
      <c r="H7" s="87" t="s">
        <v>12</v>
      </c>
      <c r="I7" s="87" t="s">
        <v>0</v>
      </c>
      <c r="J7" s="87" t="s">
        <v>14</v>
      </c>
      <c r="K7" s="87"/>
      <c r="L7" s="87"/>
      <c r="M7" s="69"/>
    </row>
    <row r="8" spans="1:13" ht="15.75" customHeight="1" x14ac:dyDescent="0.2">
      <c r="A8" s="80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70"/>
    </row>
    <row r="9" spans="1:13" ht="15.75" customHeight="1" x14ac:dyDescent="0.25">
      <c r="A9" s="80"/>
      <c r="B9" s="77">
        <v>1</v>
      </c>
      <c r="C9" s="37">
        <f>Electricity!C8</f>
        <v>2</v>
      </c>
      <c r="D9" s="37">
        <f>Electricity!D8</f>
        <v>7</v>
      </c>
      <c r="E9" s="11">
        <v>0</v>
      </c>
      <c r="F9" s="4">
        <f>E9*13582</f>
        <v>0</v>
      </c>
      <c r="G9" s="11">
        <v>0</v>
      </c>
      <c r="H9" s="4">
        <f>G9*4000</f>
        <v>0</v>
      </c>
      <c r="I9" s="11">
        <v>160</v>
      </c>
      <c r="J9" s="4">
        <f>I9*4000</f>
        <v>640000</v>
      </c>
      <c r="K9" s="11">
        <f t="shared" ref="K9:K39" si="0">F9+H9+J9</f>
        <v>640000</v>
      </c>
      <c r="L9" s="81">
        <f>K9/14050</f>
        <v>45.551601423487547</v>
      </c>
      <c r="M9" s="70"/>
    </row>
    <row r="10" spans="1:13" ht="17.100000000000001" customHeight="1" x14ac:dyDescent="0.25">
      <c r="A10" s="80"/>
      <c r="B10" s="77">
        <v>2</v>
      </c>
      <c r="C10" s="37">
        <f>Electricity!C9</f>
        <v>3</v>
      </c>
      <c r="D10" s="37">
        <f>Electricity!D9</f>
        <v>15</v>
      </c>
      <c r="E10" s="11">
        <v>0</v>
      </c>
      <c r="F10" s="4">
        <f>E10*13582</f>
        <v>0</v>
      </c>
      <c r="G10" s="11">
        <v>0</v>
      </c>
      <c r="H10" s="4">
        <f>G10*4000</f>
        <v>0</v>
      </c>
      <c r="I10" s="11">
        <v>172</v>
      </c>
      <c r="J10" s="4">
        <f>I10*4000</f>
        <v>688000</v>
      </c>
      <c r="K10" s="11">
        <f t="shared" si="0"/>
        <v>688000</v>
      </c>
      <c r="L10" s="81">
        <f t="shared" ref="L10:L39" si="1">K10/14050</f>
        <v>48.967971530249109</v>
      </c>
      <c r="M10" s="70"/>
    </row>
    <row r="11" spans="1:13" ht="17.100000000000001" customHeight="1" x14ac:dyDescent="0.25">
      <c r="A11" s="80"/>
      <c r="B11" s="77">
        <v>3</v>
      </c>
      <c r="C11" s="37">
        <f>Electricity!C10</f>
        <v>5</v>
      </c>
      <c r="D11" s="37">
        <f>Electricity!D10</f>
        <v>31</v>
      </c>
      <c r="E11" s="11">
        <v>0</v>
      </c>
      <c r="F11" s="4">
        <f t="shared" ref="F11:F39" si="2">E11*13582</f>
        <v>0</v>
      </c>
      <c r="G11" s="11">
        <v>0</v>
      </c>
      <c r="H11" s="4">
        <f t="shared" ref="H11:H39" si="3">G11*4000</f>
        <v>0</v>
      </c>
      <c r="I11" s="11">
        <v>142</v>
      </c>
      <c r="J11" s="4">
        <f t="shared" ref="J11:J38" si="4">I11*4000</f>
        <v>568000</v>
      </c>
      <c r="K11" s="11">
        <f t="shared" si="0"/>
        <v>568000</v>
      </c>
      <c r="L11" s="81">
        <f t="shared" si="1"/>
        <v>40.427046263345197</v>
      </c>
      <c r="M11" s="70"/>
    </row>
    <row r="12" spans="1:13" ht="17.100000000000001" customHeight="1" x14ac:dyDescent="0.25">
      <c r="A12" s="80"/>
      <c r="B12" s="77">
        <v>4</v>
      </c>
      <c r="C12" s="37">
        <f>Electricity!C11</f>
        <v>4</v>
      </c>
      <c r="D12" s="37">
        <f>Electricity!D11</f>
        <v>34</v>
      </c>
      <c r="E12" s="11">
        <v>0</v>
      </c>
      <c r="F12" s="4">
        <f t="shared" si="2"/>
        <v>0</v>
      </c>
      <c r="G12" s="11">
        <v>0</v>
      </c>
      <c r="H12" s="4">
        <f t="shared" si="3"/>
        <v>0</v>
      </c>
      <c r="I12" s="11">
        <v>150</v>
      </c>
      <c r="J12" s="4">
        <f t="shared" si="4"/>
        <v>600000</v>
      </c>
      <c r="K12" s="11">
        <f t="shared" si="0"/>
        <v>600000</v>
      </c>
      <c r="L12" s="81">
        <f t="shared" si="1"/>
        <v>42.704626334519574</v>
      </c>
      <c r="M12" s="70"/>
    </row>
    <row r="13" spans="1:13" ht="17.100000000000001" customHeight="1" x14ac:dyDescent="0.25">
      <c r="A13" s="80"/>
      <c r="B13" s="77">
        <v>5</v>
      </c>
      <c r="C13" s="37">
        <f>Electricity!C12</f>
        <v>6</v>
      </c>
      <c r="D13" s="37">
        <f>Electricity!D12</f>
        <v>18</v>
      </c>
      <c r="E13" s="11">
        <v>0</v>
      </c>
      <c r="F13" s="4">
        <f t="shared" si="2"/>
        <v>0</v>
      </c>
      <c r="G13" s="11">
        <v>0</v>
      </c>
      <c r="H13" s="4">
        <f t="shared" si="3"/>
        <v>0</v>
      </c>
      <c r="I13" s="11">
        <v>151</v>
      </c>
      <c r="J13" s="4">
        <f t="shared" si="4"/>
        <v>604000</v>
      </c>
      <c r="K13" s="11">
        <f t="shared" si="0"/>
        <v>604000</v>
      </c>
      <c r="L13" s="81">
        <f t="shared" si="1"/>
        <v>42.989323843416372</v>
      </c>
      <c r="M13" s="70"/>
    </row>
    <row r="14" spans="1:13" ht="17.100000000000001" customHeight="1" x14ac:dyDescent="0.25">
      <c r="A14" s="80"/>
      <c r="B14" s="77">
        <v>6</v>
      </c>
      <c r="C14" s="37">
        <f>Electricity!C13</f>
        <v>6</v>
      </c>
      <c r="D14" s="37">
        <f>Electricity!D13</f>
        <v>34</v>
      </c>
      <c r="E14" s="11">
        <v>0</v>
      </c>
      <c r="F14" s="4">
        <f t="shared" si="2"/>
        <v>0</v>
      </c>
      <c r="G14" s="11">
        <v>0</v>
      </c>
      <c r="H14" s="4">
        <f t="shared" si="3"/>
        <v>0</v>
      </c>
      <c r="I14" s="11">
        <v>153</v>
      </c>
      <c r="J14" s="4">
        <f t="shared" si="4"/>
        <v>612000</v>
      </c>
      <c r="K14" s="11">
        <f t="shared" si="0"/>
        <v>612000</v>
      </c>
      <c r="L14" s="81">
        <f t="shared" si="1"/>
        <v>43.558718861209961</v>
      </c>
      <c r="M14" s="70"/>
    </row>
    <row r="15" spans="1:13" ht="17.100000000000001" customHeight="1" x14ac:dyDescent="0.25">
      <c r="A15" s="80"/>
      <c r="B15" s="77">
        <v>7</v>
      </c>
      <c r="C15" s="37">
        <f>Electricity!C14</f>
        <v>4</v>
      </c>
      <c r="D15" s="37">
        <f>Electricity!D14</f>
        <v>18</v>
      </c>
      <c r="E15" s="11">
        <v>0</v>
      </c>
      <c r="F15" s="4">
        <f t="shared" si="2"/>
        <v>0</v>
      </c>
      <c r="G15" s="11">
        <v>0</v>
      </c>
      <c r="H15" s="4">
        <f t="shared" si="3"/>
        <v>0</v>
      </c>
      <c r="I15" s="11">
        <v>176</v>
      </c>
      <c r="J15" s="4">
        <f t="shared" si="4"/>
        <v>704000</v>
      </c>
      <c r="K15" s="11">
        <f t="shared" si="0"/>
        <v>704000</v>
      </c>
      <c r="L15" s="81">
        <f t="shared" si="1"/>
        <v>50.106761565836301</v>
      </c>
      <c r="M15" s="70"/>
    </row>
    <row r="16" spans="1:13" ht="17.100000000000001" customHeight="1" x14ac:dyDescent="0.25">
      <c r="A16" s="80"/>
      <c r="B16" s="77">
        <v>8</v>
      </c>
      <c r="C16" s="37">
        <f>Electricity!C15</f>
        <v>0</v>
      </c>
      <c r="D16" s="37">
        <f>Electricity!D15</f>
        <v>0</v>
      </c>
      <c r="E16" s="11">
        <v>0</v>
      </c>
      <c r="F16" s="4">
        <f t="shared" si="2"/>
        <v>0</v>
      </c>
      <c r="G16" s="11">
        <v>0</v>
      </c>
      <c r="H16" s="4">
        <f t="shared" si="3"/>
        <v>0</v>
      </c>
      <c r="I16" s="11"/>
      <c r="J16" s="4">
        <f t="shared" si="4"/>
        <v>0</v>
      </c>
      <c r="K16" s="11">
        <f t="shared" si="0"/>
        <v>0</v>
      </c>
      <c r="L16" s="81">
        <f t="shared" si="1"/>
        <v>0</v>
      </c>
      <c r="M16" s="70"/>
    </row>
    <row r="17" spans="1:13" ht="17.100000000000001" customHeight="1" x14ac:dyDescent="0.25">
      <c r="A17" s="80"/>
      <c r="B17" s="77">
        <v>9</v>
      </c>
      <c r="C17" s="37">
        <f>Electricity!C16</f>
        <v>0</v>
      </c>
      <c r="D17" s="37">
        <f>Electricity!D16</f>
        <v>0</v>
      </c>
      <c r="E17" s="11">
        <v>0</v>
      </c>
      <c r="F17" s="4">
        <f t="shared" si="2"/>
        <v>0</v>
      </c>
      <c r="G17" s="11">
        <v>0</v>
      </c>
      <c r="H17" s="4">
        <f t="shared" si="3"/>
        <v>0</v>
      </c>
      <c r="I17" s="11"/>
      <c r="J17" s="4">
        <f t="shared" si="4"/>
        <v>0</v>
      </c>
      <c r="K17" s="11">
        <f t="shared" si="0"/>
        <v>0</v>
      </c>
      <c r="L17" s="81">
        <f t="shared" si="1"/>
        <v>0</v>
      </c>
      <c r="M17" s="70"/>
    </row>
    <row r="18" spans="1:13" ht="17.100000000000001" customHeight="1" x14ac:dyDescent="0.25">
      <c r="A18" s="80"/>
      <c r="B18" s="77">
        <v>10</v>
      </c>
      <c r="C18" s="37">
        <f>Electricity!C17</f>
        <v>0</v>
      </c>
      <c r="D18" s="37">
        <f>Electricity!D17</f>
        <v>0</v>
      </c>
      <c r="E18" s="11">
        <v>0</v>
      </c>
      <c r="F18" s="4">
        <f t="shared" si="2"/>
        <v>0</v>
      </c>
      <c r="G18" s="11">
        <v>0</v>
      </c>
      <c r="H18" s="4">
        <f t="shared" si="3"/>
        <v>0</v>
      </c>
      <c r="I18" s="11"/>
      <c r="J18" s="4">
        <f t="shared" si="4"/>
        <v>0</v>
      </c>
      <c r="K18" s="11">
        <f t="shared" si="0"/>
        <v>0</v>
      </c>
      <c r="L18" s="81">
        <f t="shared" si="1"/>
        <v>0</v>
      </c>
      <c r="M18" s="70"/>
    </row>
    <row r="19" spans="1:13" ht="17.100000000000001" customHeight="1" x14ac:dyDescent="0.25">
      <c r="A19" s="80"/>
      <c r="B19" s="77">
        <v>11</v>
      </c>
      <c r="C19" s="37">
        <f>Electricity!C18</f>
        <v>0</v>
      </c>
      <c r="D19" s="37">
        <f>Electricity!D18</f>
        <v>0</v>
      </c>
      <c r="E19" s="11">
        <v>0</v>
      </c>
      <c r="F19" s="4">
        <f t="shared" si="2"/>
        <v>0</v>
      </c>
      <c r="G19" s="11">
        <v>0</v>
      </c>
      <c r="H19" s="4">
        <f t="shared" si="3"/>
        <v>0</v>
      </c>
      <c r="I19" s="11"/>
      <c r="J19" s="4">
        <f t="shared" si="4"/>
        <v>0</v>
      </c>
      <c r="K19" s="11">
        <f t="shared" si="0"/>
        <v>0</v>
      </c>
      <c r="L19" s="81">
        <f t="shared" si="1"/>
        <v>0</v>
      </c>
      <c r="M19" s="70"/>
    </row>
    <row r="20" spans="1:13" ht="17.100000000000001" customHeight="1" x14ac:dyDescent="0.25">
      <c r="A20" s="80"/>
      <c r="B20" s="77">
        <v>12</v>
      </c>
      <c r="C20" s="37">
        <f>Electricity!C19</f>
        <v>0</v>
      </c>
      <c r="D20" s="37">
        <f>Electricity!D19</f>
        <v>0</v>
      </c>
      <c r="E20" s="11">
        <v>0</v>
      </c>
      <c r="F20" s="4">
        <f t="shared" si="2"/>
        <v>0</v>
      </c>
      <c r="G20" s="11">
        <v>0</v>
      </c>
      <c r="H20" s="4">
        <f t="shared" si="3"/>
        <v>0</v>
      </c>
      <c r="I20" s="11"/>
      <c r="J20" s="4">
        <f t="shared" si="4"/>
        <v>0</v>
      </c>
      <c r="K20" s="11">
        <f t="shared" si="0"/>
        <v>0</v>
      </c>
      <c r="L20" s="81">
        <f t="shared" si="1"/>
        <v>0</v>
      </c>
      <c r="M20" s="70"/>
    </row>
    <row r="21" spans="1:13" ht="17.100000000000001" customHeight="1" x14ac:dyDescent="0.25">
      <c r="A21" s="80"/>
      <c r="B21" s="77">
        <v>13</v>
      </c>
      <c r="C21" s="37">
        <f>Electricity!C20</f>
        <v>0</v>
      </c>
      <c r="D21" s="37">
        <f>Electricity!D20</f>
        <v>0</v>
      </c>
      <c r="E21" s="11">
        <v>0</v>
      </c>
      <c r="F21" s="4">
        <f t="shared" si="2"/>
        <v>0</v>
      </c>
      <c r="G21" s="11">
        <v>0</v>
      </c>
      <c r="H21" s="4">
        <f t="shared" si="3"/>
        <v>0</v>
      </c>
      <c r="I21" s="11"/>
      <c r="J21" s="4">
        <f t="shared" si="4"/>
        <v>0</v>
      </c>
      <c r="K21" s="11">
        <f t="shared" si="0"/>
        <v>0</v>
      </c>
      <c r="L21" s="81">
        <f t="shared" si="1"/>
        <v>0</v>
      </c>
      <c r="M21" s="70"/>
    </row>
    <row r="22" spans="1:13" ht="17.100000000000001" customHeight="1" x14ac:dyDescent="0.25">
      <c r="A22" s="80"/>
      <c r="B22" s="77">
        <v>14</v>
      </c>
      <c r="C22" s="37">
        <f>Electricity!C21</f>
        <v>0</v>
      </c>
      <c r="D22" s="37">
        <f>Electricity!D21</f>
        <v>0</v>
      </c>
      <c r="E22" s="11">
        <v>0</v>
      </c>
      <c r="F22" s="4">
        <f t="shared" si="2"/>
        <v>0</v>
      </c>
      <c r="G22" s="11">
        <v>0</v>
      </c>
      <c r="H22" s="4">
        <f t="shared" si="3"/>
        <v>0</v>
      </c>
      <c r="I22" s="11"/>
      <c r="J22" s="4">
        <f t="shared" si="4"/>
        <v>0</v>
      </c>
      <c r="K22" s="11">
        <f t="shared" si="0"/>
        <v>0</v>
      </c>
      <c r="L22" s="81">
        <f t="shared" si="1"/>
        <v>0</v>
      </c>
      <c r="M22" s="70"/>
    </row>
    <row r="23" spans="1:13" ht="17.100000000000001" customHeight="1" x14ac:dyDescent="0.25">
      <c r="A23" s="80"/>
      <c r="B23" s="77">
        <v>15</v>
      </c>
      <c r="C23" s="37">
        <f>Electricity!C22</f>
        <v>0</v>
      </c>
      <c r="D23" s="37">
        <f>Electricity!D22</f>
        <v>0</v>
      </c>
      <c r="E23" s="11">
        <v>0</v>
      </c>
      <c r="F23" s="4">
        <f t="shared" si="2"/>
        <v>0</v>
      </c>
      <c r="G23" s="11">
        <v>0</v>
      </c>
      <c r="H23" s="4">
        <f t="shared" si="3"/>
        <v>0</v>
      </c>
      <c r="I23" s="11"/>
      <c r="J23" s="4">
        <f t="shared" si="4"/>
        <v>0</v>
      </c>
      <c r="K23" s="11">
        <f t="shared" si="0"/>
        <v>0</v>
      </c>
      <c r="L23" s="81">
        <f t="shared" si="1"/>
        <v>0</v>
      </c>
      <c r="M23" s="70"/>
    </row>
    <row r="24" spans="1:13" ht="17.100000000000001" customHeight="1" x14ac:dyDescent="0.25">
      <c r="A24" s="80"/>
      <c r="B24" s="77">
        <v>16</v>
      </c>
      <c r="C24" s="37">
        <f>Electricity!C23</f>
        <v>0</v>
      </c>
      <c r="D24" s="37">
        <f>Electricity!D23</f>
        <v>0</v>
      </c>
      <c r="E24" s="11">
        <v>0</v>
      </c>
      <c r="F24" s="4">
        <f t="shared" si="2"/>
        <v>0</v>
      </c>
      <c r="G24" s="11">
        <v>0</v>
      </c>
      <c r="H24" s="4">
        <f t="shared" si="3"/>
        <v>0</v>
      </c>
      <c r="I24" s="11"/>
      <c r="J24" s="4">
        <f t="shared" si="4"/>
        <v>0</v>
      </c>
      <c r="K24" s="11">
        <f t="shared" si="0"/>
        <v>0</v>
      </c>
      <c r="L24" s="81">
        <f t="shared" si="1"/>
        <v>0</v>
      </c>
      <c r="M24" s="70"/>
    </row>
    <row r="25" spans="1:13" ht="17.100000000000001" customHeight="1" x14ac:dyDescent="0.25">
      <c r="A25" s="80"/>
      <c r="B25" s="77">
        <v>17</v>
      </c>
      <c r="C25" s="37">
        <f>Electricity!C24</f>
        <v>0</v>
      </c>
      <c r="D25" s="37">
        <f>Electricity!D24</f>
        <v>0</v>
      </c>
      <c r="E25" s="11">
        <v>0</v>
      </c>
      <c r="F25" s="4">
        <f t="shared" si="2"/>
        <v>0</v>
      </c>
      <c r="G25" s="11">
        <v>0</v>
      </c>
      <c r="H25" s="4">
        <f t="shared" si="3"/>
        <v>0</v>
      </c>
      <c r="I25" s="11"/>
      <c r="J25" s="4">
        <f t="shared" si="4"/>
        <v>0</v>
      </c>
      <c r="K25" s="11">
        <f t="shared" si="0"/>
        <v>0</v>
      </c>
      <c r="L25" s="81">
        <f t="shared" si="1"/>
        <v>0</v>
      </c>
      <c r="M25" s="70"/>
    </row>
    <row r="26" spans="1:13" ht="17.100000000000001" customHeight="1" x14ac:dyDescent="0.25">
      <c r="A26" s="80"/>
      <c r="B26" s="77">
        <v>18</v>
      </c>
      <c r="C26" s="37">
        <f>Electricity!C25</f>
        <v>0</v>
      </c>
      <c r="D26" s="37">
        <f>Electricity!D25</f>
        <v>0</v>
      </c>
      <c r="E26" s="11">
        <v>0</v>
      </c>
      <c r="F26" s="4">
        <f t="shared" si="2"/>
        <v>0</v>
      </c>
      <c r="G26" s="11">
        <v>0</v>
      </c>
      <c r="H26" s="4">
        <f t="shared" si="3"/>
        <v>0</v>
      </c>
      <c r="I26" s="11"/>
      <c r="J26" s="4">
        <f t="shared" si="4"/>
        <v>0</v>
      </c>
      <c r="K26" s="11">
        <f t="shared" si="0"/>
        <v>0</v>
      </c>
      <c r="L26" s="81">
        <f t="shared" si="1"/>
        <v>0</v>
      </c>
      <c r="M26" s="70"/>
    </row>
    <row r="27" spans="1:13" ht="17.100000000000001" customHeight="1" x14ac:dyDescent="0.25">
      <c r="A27" s="80"/>
      <c r="B27" s="77">
        <v>19</v>
      </c>
      <c r="C27" s="37">
        <f>Electricity!C26</f>
        <v>0</v>
      </c>
      <c r="D27" s="37">
        <f>Electricity!D26</f>
        <v>0</v>
      </c>
      <c r="E27" s="11">
        <v>0</v>
      </c>
      <c r="F27" s="4">
        <f t="shared" si="2"/>
        <v>0</v>
      </c>
      <c r="G27" s="11">
        <v>0</v>
      </c>
      <c r="H27" s="4">
        <f t="shared" si="3"/>
        <v>0</v>
      </c>
      <c r="I27" s="11"/>
      <c r="J27" s="4">
        <f t="shared" si="4"/>
        <v>0</v>
      </c>
      <c r="K27" s="11">
        <f t="shared" si="0"/>
        <v>0</v>
      </c>
      <c r="L27" s="81">
        <f t="shared" si="1"/>
        <v>0</v>
      </c>
      <c r="M27" s="70"/>
    </row>
    <row r="28" spans="1:13" ht="17.100000000000001" customHeight="1" x14ac:dyDescent="0.25">
      <c r="A28" s="80"/>
      <c r="B28" s="77">
        <v>20</v>
      </c>
      <c r="C28" s="37">
        <f>Electricity!C27</f>
        <v>0</v>
      </c>
      <c r="D28" s="37">
        <f>Electricity!D27</f>
        <v>0</v>
      </c>
      <c r="E28" s="11">
        <v>0</v>
      </c>
      <c r="F28" s="4">
        <f t="shared" si="2"/>
        <v>0</v>
      </c>
      <c r="G28" s="11">
        <v>0</v>
      </c>
      <c r="H28" s="4">
        <f t="shared" si="3"/>
        <v>0</v>
      </c>
      <c r="I28" s="11"/>
      <c r="J28" s="4">
        <f t="shared" si="4"/>
        <v>0</v>
      </c>
      <c r="K28" s="11">
        <f t="shared" si="0"/>
        <v>0</v>
      </c>
      <c r="L28" s="81">
        <f t="shared" si="1"/>
        <v>0</v>
      </c>
      <c r="M28" s="70"/>
    </row>
    <row r="29" spans="1:13" ht="17.100000000000001" customHeight="1" x14ac:dyDescent="0.25">
      <c r="A29" s="80"/>
      <c r="B29" s="77">
        <v>21</v>
      </c>
      <c r="C29" s="37">
        <f>Electricity!C28</f>
        <v>0</v>
      </c>
      <c r="D29" s="37">
        <f>Electricity!D28</f>
        <v>0</v>
      </c>
      <c r="E29" s="11">
        <v>0</v>
      </c>
      <c r="F29" s="4">
        <f t="shared" si="2"/>
        <v>0</v>
      </c>
      <c r="G29" s="11">
        <v>0</v>
      </c>
      <c r="H29" s="4">
        <f t="shared" si="3"/>
        <v>0</v>
      </c>
      <c r="I29" s="11"/>
      <c r="J29" s="4">
        <f t="shared" si="4"/>
        <v>0</v>
      </c>
      <c r="K29" s="11">
        <f t="shared" si="0"/>
        <v>0</v>
      </c>
      <c r="L29" s="81">
        <f t="shared" si="1"/>
        <v>0</v>
      </c>
      <c r="M29" s="70"/>
    </row>
    <row r="30" spans="1:13" ht="17.100000000000001" customHeight="1" x14ac:dyDescent="0.25">
      <c r="A30" s="80"/>
      <c r="B30" s="77">
        <v>22</v>
      </c>
      <c r="C30" s="37">
        <f>Electricity!C29</f>
        <v>0</v>
      </c>
      <c r="D30" s="37">
        <f>Electricity!D29</f>
        <v>0</v>
      </c>
      <c r="E30" s="11">
        <v>0</v>
      </c>
      <c r="F30" s="4">
        <f t="shared" si="2"/>
        <v>0</v>
      </c>
      <c r="G30" s="11">
        <v>0</v>
      </c>
      <c r="H30" s="4">
        <f t="shared" si="3"/>
        <v>0</v>
      </c>
      <c r="I30" s="11"/>
      <c r="J30" s="4">
        <f t="shared" si="4"/>
        <v>0</v>
      </c>
      <c r="K30" s="11">
        <f t="shared" si="0"/>
        <v>0</v>
      </c>
      <c r="L30" s="81">
        <f t="shared" si="1"/>
        <v>0</v>
      </c>
      <c r="M30" s="70"/>
    </row>
    <row r="31" spans="1:13" ht="17.100000000000001" customHeight="1" x14ac:dyDescent="0.25">
      <c r="A31" s="80"/>
      <c r="B31" s="77">
        <v>23</v>
      </c>
      <c r="C31" s="37">
        <f>Electricity!C30</f>
        <v>0</v>
      </c>
      <c r="D31" s="37">
        <f>Electricity!D30</f>
        <v>0</v>
      </c>
      <c r="E31" s="11">
        <v>0</v>
      </c>
      <c r="F31" s="4">
        <f t="shared" si="2"/>
        <v>0</v>
      </c>
      <c r="G31" s="11">
        <v>0</v>
      </c>
      <c r="H31" s="4">
        <f t="shared" si="3"/>
        <v>0</v>
      </c>
      <c r="I31" s="11"/>
      <c r="J31" s="4">
        <f t="shared" si="4"/>
        <v>0</v>
      </c>
      <c r="K31" s="11">
        <f t="shared" si="0"/>
        <v>0</v>
      </c>
      <c r="L31" s="81">
        <f t="shared" si="1"/>
        <v>0</v>
      </c>
      <c r="M31" s="70"/>
    </row>
    <row r="32" spans="1:13" ht="17.100000000000001" customHeight="1" x14ac:dyDescent="0.25">
      <c r="A32" s="80"/>
      <c r="B32" s="77">
        <v>24</v>
      </c>
      <c r="C32" s="37">
        <f>Electricity!C31</f>
        <v>0</v>
      </c>
      <c r="D32" s="37">
        <f>Electricity!D31</f>
        <v>0</v>
      </c>
      <c r="E32" s="11">
        <v>0</v>
      </c>
      <c r="F32" s="4">
        <f t="shared" si="2"/>
        <v>0</v>
      </c>
      <c r="G32" s="11">
        <v>0</v>
      </c>
      <c r="H32" s="4">
        <f t="shared" si="3"/>
        <v>0</v>
      </c>
      <c r="I32" s="11"/>
      <c r="J32" s="4">
        <f t="shared" si="4"/>
        <v>0</v>
      </c>
      <c r="K32" s="11">
        <f t="shared" si="0"/>
        <v>0</v>
      </c>
      <c r="L32" s="81">
        <f t="shared" si="1"/>
        <v>0</v>
      </c>
      <c r="M32" s="70"/>
    </row>
    <row r="33" spans="1:15" ht="17.100000000000001" customHeight="1" x14ac:dyDescent="0.25">
      <c r="A33" s="80"/>
      <c r="B33" s="77">
        <v>25</v>
      </c>
      <c r="C33" s="37">
        <f>Electricity!C32</f>
        <v>0</v>
      </c>
      <c r="D33" s="37">
        <f>Electricity!D32</f>
        <v>0</v>
      </c>
      <c r="E33" s="11">
        <v>0</v>
      </c>
      <c r="F33" s="4">
        <f t="shared" si="2"/>
        <v>0</v>
      </c>
      <c r="G33" s="11">
        <v>0</v>
      </c>
      <c r="H33" s="4">
        <f t="shared" si="3"/>
        <v>0</v>
      </c>
      <c r="I33" s="11"/>
      <c r="J33" s="4">
        <f t="shared" si="4"/>
        <v>0</v>
      </c>
      <c r="K33" s="11">
        <f t="shared" si="0"/>
        <v>0</v>
      </c>
      <c r="L33" s="81">
        <f t="shared" si="1"/>
        <v>0</v>
      </c>
      <c r="M33" s="70"/>
    </row>
    <row r="34" spans="1:15" ht="17.100000000000001" customHeight="1" x14ac:dyDescent="0.25">
      <c r="A34" s="80"/>
      <c r="B34" s="77">
        <v>26</v>
      </c>
      <c r="C34" s="37">
        <f>Electricity!C33</f>
        <v>0</v>
      </c>
      <c r="D34" s="37">
        <f>Electricity!D33</f>
        <v>0</v>
      </c>
      <c r="E34" s="11">
        <v>0</v>
      </c>
      <c r="F34" s="4">
        <f t="shared" si="2"/>
        <v>0</v>
      </c>
      <c r="G34" s="11">
        <v>0</v>
      </c>
      <c r="H34" s="4">
        <f t="shared" si="3"/>
        <v>0</v>
      </c>
      <c r="I34" s="11"/>
      <c r="J34" s="4">
        <f t="shared" si="4"/>
        <v>0</v>
      </c>
      <c r="K34" s="11">
        <f t="shared" si="0"/>
        <v>0</v>
      </c>
      <c r="L34" s="81">
        <f t="shared" si="1"/>
        <v>0</v>
      </c>
      <c r="M34" s="70"/>
    </row>
    <row r="35" spans="1:15" ht="17.100000000000001" customHeight="1" x14ac:dyDescent="0.25">
      <c r="A35" s="80"/>
      <c r="B35" s="77">
        <v>27</v>
      </c>
      <c r="C35" s="37">
        <f>Electricity!C34</f>
        <v>0</v>
      </c>
      <c r="D35" s="37">
        <f>Electricity!D34</f>
        <v>0</v>
      </c>
      <c r="E35" s="11"/>
      <c r="F35" s="4">
        <f t="shared" si="2"/>
        <v>0</v>
      </c>
      <c r="G35" s="11">
        <v>0</v>
      </c>
      <c r="H35" s="4">
        <f t="shared" si="3"/>
        <v>0</v>
      </c>
      <c r="I35" s="11"/>
      <c r="J35" s="4">
        <f t="shared" si="4"/>
        <v>0</v>
      </c>
      <c r="K35" s="11">
        <f t="shared" si="0"/>
        <v>0</v>
      </c>
      <c r="L35" s="81">
        <f t="shared" si="1"/>
        <v>0</v>
      </c>
      <c r="M35" s="70"/>
    </row>
    <row r="36" spans="1:15" ht="17.100000000000001" customHeight="1" x14ac:dyDescent="0.25">
      <c r="A36" s="80"/>
      <c r="B36" s="77">
        <v>28</v>
      </c>
      <c r="C36" s="37">
        <f>Electricity!C35</f>
        <v>0</v>
      </c>
      <c r="D36" s="37">
        <f>Electricity!D35</f>
        <v>0</v>
      </c>
      <c r="E36" s="11"/>
      <c r="F36" s="4">
        <f t="shared" si="2"/>
        <v>0</v>
      </c>
      <c r="G36" s="11">
        <v>0</v>
      </c>
      <c r="H36" s="4">
        <f t="shared" si="3"/>
        <v>0</v>
      </c>
      <c r="I36" s="11"/>
      <c r="J36" s="4">
        <f t="shared" si="4"/>
        <v>0</v>
      </c>
      <c r="K36" s="11">
        <f t="shared" si="0"/>
        <v>0</v>
      </c>
      <c r="L36" s="81">
        <f t="shared" si="1"/>
        <v>0</v>
      </c>
      <c r="M36" s="70"/>
    </row>
    <row r="37" spans="1:15" ht="17.100000000000001" customHeight="1" x14ac:dyDescent="0.25">
      <c r="A37" s="80"/>
      <c r="B37" s="77">
        <v>29</v>
      </c>
      <c r="C37" s="37">
        <f>Electricity!C36</f>
        <v>0</v>
      </c>
      <c r="D37" s="37">
        <f>Electricity!D36</f>
        <v>0</v>
      </c>
      <c r="E37" s="11"/>
      <c r="F37" s="4">
        <f t="shared" si="2"/>
        <v>0</v>
      </c>
      <c r="G37" s="11">
        <v>0</v>
      </c>
      <c r="H37" s="4">
        <f t="shared" si="3"/>
        <v>0</v>
      </c>
      <c r="I37" s="11"/>
      <c r="J37" s="4">
        <f t="shared" si="4"/>
        <v>0</v>
      </c>
      <c r="K37" s="11">
        <f t="shared" si="0"/>
        <v>0</v>
      </c>
      <c r="L37" s="81">
        <f t="shared" si="1"/>
        <v>0</v>
      </c>
      <c r="M37" s="70"/>
    </row>
    <row r="38" spans="1:15" ht="17.100000000000001" customHeight="1" x14ac:dyDescent="0.25">
      <c r="A38" s="80"/>
      <c r="B38" s="77">
        <v>30</v>
      </c>
      <c r="C38" s="37">
        <f>Electricity!C37</f>
        <v>0</v>
      </c>
      <c r="D38" s="37">
        <f>Electricity!D37</f>
        <v>0</v>
      </c>
      <c r="E38" s="11"/>
      <c r="F38" s="4">
        <f t="shared" si="2"/>
        <v>0</v>
      </c>
      <c r="G38" s="11">
        <v>0</v>
      </c>
      <c r="H38" s="4">
        <f t="shared" si="3"/>
        <v>0</v>
      </c>
      <c r="I38" s="11"/>
      <c r="J38" s="4">
        <f t="shared" si="4"/>
        <v>0</v>
      </c>
      <c r="K38" s="11">
        <f t="shared" si="0"/>
        <v>0</v>
      </c>
      <c r="L38" s="81">
        <f t="shared" si="1"/>
        <v>0</v>
      </c>
      <c r="M38" s="70"/>
    </row>
    <row r="39" spans="1:15" ht="17.100000000000001" customHeight="1" x14ac:dyDescent="0.25">
      <c r="A39" s="80"/>
      <c r="B39" s="77">
        <v>31</v>
      </c>
      <c r="C39" s="37">
        <f>Electricity!C38</f>
        <v>0</v>
      </c>
      <c r="D39" s="37">
        <f>Electricity!D38</f>
        <v>0</v>
      </c>
      <c r="E39" s="11"/>
      <c r="F39" s="4">
        <f t="shared" si="2"/>
        <v>0</v>
      </c>
      <c r="G39" s="11">
        <v>0</v>
      </c>
      <c r="H39" s="4">
        <f t="shared" si="3"/>
        <v>0</v>
      </c>
      <c r="I39" s="11"/>
      <c r="J39" s="4">
        <f>I39*13582</f>
        <v>0</v>
      </c>
      <c r="K39" s="11">
        <f t="shared" si="0"/>
        <v>0</v>
      </c>
      <c r="L39" s="81">
        <f t="shared" si="1"/>
        <v>0</v>
      </c>
      <c r="M39" s="70"/>
    </row>
    <row r="40" spans="1:15" ht="15.75" x14ac:dyDescent="0.25">
      <c r="C40" s="19">
        <f>SUM(C9:C39)</f>
        <v>30</v>
      </c>
      <c r="D40" s="19">
        <f>SUM(D9:D39)</f>
        <v>157</v>
      </c>
      <c r="E40" s="19">
        <f>SUM(E9:E39)</f>
        <v>0</v>
      </c>
      <c r="G40" s="19">
        <f>SUM(G9:G39)</f>
        <v>0</v>
      </c>
      <c r="I40" s="19">
        <f>SUM(I9:I39)</f>
        <v>1104</v>
      </c>
      <c r="J40" s="39">
        <f>G40+I40</f>
        <v>1104</v>
      </c>
      <c r="K40" s="46"/>
      <c r="L40" s="51">
        <f>SUM(L9:L39)</f>
        <v>314.30604982206404</v>
      </c>
      <c r="O40" s="40" t="e">
        <f>#REF!+#REF!+#REF!+#REF!+#REF!+#REF!+#REF!+#REF!+#REF!+#REF!+L40+#REF!</f>
        <v>#REF!</v>
      </c>
    </row>
    <row r="41" spans="1:15" x14ac:dyDescent="0.2">
      <c r="I41" s="43">
        <f>G40+I40</f>
        <v>1104</v>
      </c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2021-02-08T06:55:19Z</dcterms:modified>
</cp:coreProperties>
</file>