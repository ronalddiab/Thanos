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20" yWindow="-120" windowWidth="29040" windowHeight="15840"/>
  </bookViews>
  <sheets>
    <sheet name="Submetering" sheetId="3" r:id="rId1"/>
    <sheet name="TOTAL" sheetId="1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J5" i="2" l="1"/>
  <c r="J6" i="2" s="1"/>
  <c r="J7" i="2" s="1"/>
  <c r="I6" i="2"/>
  <c r="I7" i="2" s="1"/>
  <c r="I5" i="2"/>
  <c r="H2" i="3" s="1"/>
  <c r="J38" i="2"/>
  <c r="I38" i="2"/>
  <c r="H31" i="3"/>
  <c r="K5" i="2"/>
  <c r="J2" i="3" s="1"/>
  <c r="N33" i="2"/>
  <c r="M30" i="3" s="1"/>
  <c r="S2" i="3"/>
  <c r="T2" i="3"/>
  <c r="U2" i="3"/>
  <c r="V2" i="3"/>
  <c r="W2" i="3"/>
  <c r="X2" i="3"/>
  <c r="S3" i="3"/>
  <c r="T3" i="3"/>
  <c r="U3" i="3"/>
  <c r="V3" i="3"/>
  <c r="W3" i="3"/>
  <c r="X3" i="3"/>
  <c r="S4" i="3"/>
  <c r="T4" i="3"/>
  <c r="U4" i="3"/>
  <c r="V4" i="3"/>
  <c r="W4" i="3"/>
  <c r="X4" i="3"/>
  <c r="S5" i="3"/>
  <c r="T5" i="3"/>
  <c r="U5" i="3"/>
  <c r="V5" i="3"/>
  <c r="W5" i="3"/>
  <c r="X5" i="3"/>
  <c r="S6" i="3"/>
  <c r="T6" i="3"/>
  <c r="U6" i="3"/>
  <c r="V6" i="3"/>
  <c r="W6" i="3"/>
  <c r="X6" i="3"/>
  <c r="S7" i="3"/>
  <c r="T7" i="3"/>
  <c r="U7" i="3"/>
  <c r="V7" i="3"/>
  <c r="W7" i="3"/>
  <c r="X7" i="3"/>
  <c r="S8" i="3"/>
  <c r="T8" i="3"/>
  <c r="U8" i="3"/>
  <c r="V8" i="3"/>
  <c r="W8" i="3"/>
  <c r="X8" i="3"/>
  <c r="S9" i="3"/>
  <c r="T9" i="3"/>
  <c r="U9" i="3"/>
  <c r="V9" i="3"/>
  <c r="W9" i="3"/>
  <c r="X9" i="3"/>
  <c r="S10" i="3"/>
  <c r="T10" i="3"/>
  <c r="U10" i="3"/>
  <c r="V10" i="3"/>
  <c r="W10" i="3"/>
  <c r="X10" i="3"/>
  <c r="S11" i="3"/>
  <c r="T11" i="3"/>
  <c r="U11" i="3"/>
  <c r="V11" i="3"/>
  <c r="W11" i="3"/>
  <c r="X11" i="3"/>
  <c r="S12" i="3"/>
  <c r="T12" i="3"/>
  <c r="U12" i="3"/>
  <c r="V12" i="3"/>
  <c r="W12" i="3"/>
  <c r="X12" i="3"/>
  <c r="S13" i="3"/>
  <c r="T13" i="3"/>
  <c r="U13" i="3"/>
  <c r="V13" i="3"/>
  <c r="W13" i="3"/>
  <c r="X13" i="3"/>
  <c r="S14" i="3"/>
  <c r="T14" i="3"/>
  <c r="U14" i="3"/>
  <c r="V14" i="3"/>
  <c r="W14" i="3"/>
  <c r="X14" i="3"/>
  <c r="S15" i="3"/>
  <c r="T15" i="3"/>
  <c r="U15" i="3"/>
  <c r="V15" i="3"/>
  <c r="W15" i="3"/>
  <c r="X15" i="3"/>
  <c r="S16" i="3"/>
  <c r="T16" i="3"/>
  <c r="U16" i="3"/>
  <c r="V16" i="3"/>
  <c r="W16" i="3"/>
  <c r="X16" i="3"/>
  <c r="S17" i="3"/>
  <c r="T17" i="3"/>
  <c r="U17" i="3"/>
  <c r="V17" i="3"/>
  <c r="W17" i="3"/>
  <c r="X17" i="3"/>
  <c r="S18" i="3"/>
  <c r="T18" i="3"/>
  <c r="U18" i="3"/>
  <c r="V18" i="3"/>
  <c r="W18" i="3"/>
  <c r="X18" i="3"/>
  <c r="S19" i="3"/>
  <c r="T19" i="3"/>
  <c r="U19" i="3"/>
  <c r="V19" i="3"/>
  <c r="W19" i="3"/>
  <c r="X19" i="3"/>
  <c r="S20" i="3"/>
  <c r="T20" i="3"/>
  <c r="U20" i="3"/>
  <c r="V20" i="3"/>
  <c r="W20" i="3"/>
  <c r="X20" i="3"/>
  <c r="S21" i="3"/>
  <c r="T21" i="3"/>
  <c r="U21" i="3"/>
  <c r="V21" i="3"/>
  <c r="W21" i="3"/>
  <c r="X21" i="3"/>
  <c r="S22" i="3"/>
  <c r="T22" i="3"/>
  <c r="U22" i="3"/>
  <c r="V22" i="3"/>
  <c r="W22" i="3"/>
  <c r="X22" i="3"/>
  <c r="S23" i="3"/>
  <c r="T23" i="3"/>
  <c r="U23" i="3"/>
  <c r="V23" i="3"/>
  <c r="W23" i="3"/>
  <c r="X23" i="3"/>
  <c r="S24" i="3"/>
  <c r="T24" i="3"/>
  <c r="U24" i="3"/>
  <c r="V24" i="3"/>
  <c r="W24" i="3"/>
  <c r="X24" i="3"/>
  <c r="S25" i="3"/>
  <c r="T25" i="3"/>
  <c r="U25" i="3"/>
  <c r="V25" i="3"/>
  <c r="W25" i="3"/>
  <c r="X25" i="3"/>
  <c r="S26" i="3"/>
  <c r="T26" i="3"/>
  <c r="U26" i="3"/>
  <c r="V26" i="3"/>
  <c r="W26" i="3"/>
  <c r="X26" i="3"/>
  <c r="S27" i="3"/>
  <c r="T27" i="3"/>
  <c r="U27" i="3"/>
  <c r="V27" i="3"/>
  <c r="W27" i="3"/>
  <c r="X27" i="3"/>
  <c r="S28" i="3"/>
  <c r="T28" i="3"/>
  <c r="U28" i="3"/>
  <c r="V28" i="3"/>
  <c r="W28" i="3"/>
  <c r="X28" i="3"/>
  <c r="S29" i="3"/>
  <c r="T29" i="3"/>
  <c r="U29" i="3"/>
  <c r="V29" i="3"/>
  <c r="W29" i="3"/>
  <c r="X29" i="3"/>
  <c r="S30" i="3"/>
  <c r="T30" i="3"/>
  <c r="U30" i="3"/>
  <c r="V30" i="3"/>
  <c r="W30" i="3"/>
  <c r="X30" i="3"/>
  <c r="S31" i="3"/>
  <c r="T31" i="3"/>
  <c r="U31" i="3"/>
  <c r="V31" i="3"/>
  <c r="W31" i="3"/>
  <c r="X3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O22" i="3"/>
  <c r="P22" i="3"/>
  <c r="Q22" i="3"/>
  <c r="L23" i="3"/>
  <c r="M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N30" i="3"/>
  <c r="O30" i="3"/>
  <c r="P30" i="3"/>
  <c r="Q30" i="3"/>
  <c r="L31" i="3"/>
  <c r="M31" i="3"/>
  <c r="N31" i="3"/>
  <c r="O31" i="3"/>
  <c r="P31" i="3"/>
  <c r="Q31" i="3"/>
  <c r="K3" i="3"/>
  <c r="K4" i="3"/>
  <c r="K9" i="3"/>
  <c r="K22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L26" i="2"/>
  <c r="L27" i="2" s="1"/>
  <c r="L23" i="2"/>
  <c r="K20" i="3" s="1"/>
  <c r="L22" i="2"/>
  <c r="K19" i="3" s="1"/>
  <c r="L13" i="2"/>
  <c r="K10" i="3" s="1"/>
  <c r="L8" i="2"/>
  <c r="K5" i="3" s="1"/>
  <c r="O25" i="2"/>
  <c r="N22" i="3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L14" i="2" l="1"/>
  <c r="K11" i="3" s="1"/>
  <c r="L9" i="2"/>
  <c r="L10" i="2" s="1"/>
  <c r="K8" i="3"/>
  <c r="K7" i="3"/>
  <c r="L28" i="2"/>
  <c r="K24" i="3"/>
  <c r="L15" i="2"/>
  <c r="K6" i="3"/>
  <c r="N23" i="3"/>
  <c r="K6" i="2"/>
  <c r="K23" i="3"/>
  <c r="H3" i="3"/>
  <c r="K21" i="3"/>
  <c r="J8" i="2"/>
  <c r="I4" i="3"/>
  <c r="I3" i="3"/>
  <c r="I2" i="3"/>
  <c r="I8" i="2"/>
  <c r="H4" i="3"/>
  <c r="K31" i="1"/>
  <c r="L29" i="2" l="1"/>
  <c r="K25" i="3"/>
  <c r="J3" i="3"/>
  <c r="K7" i="2"/>
  <c r="L16" i="2"/>
  <c r="K12" i="3"/>
  <c r="I5" i="3"/>
  <c r="J9" i="2"/>
  <c r="H5" i="3"/>
  <c r="I9" i="2"/>
  <c r="K29" i="1"/>
  <c r="K30" i="1"/>
  <c r="K8" i="2" l="1"/>
  <c r="J4" i="3"/>
  <c r="L30" i="2"/>
  <c r="K26" i="3"/>
  <c r="L17" i="2"/>
  <c r="K13" i="3"/>
  <c r="I6" i="3"/>
  <c r="J10" i="2"/>
  <c r="H6" i="3"/>
  <c r="I10" i="2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G30" i="1"/>
  <c r="I30" i="1"/>
  <c r="G31" i="1"/>
  <c r="I31" i="1"/>
  <c r="L31" i="2" l="1"/>
  <c r="K27" i="3"/>
  <c r="K9" i="2"/>
  <c r="J5" i="3"/>
  <c r="K14" i="3"/>
  <c r="L18" i="2"/>
  <c r="I7" i="3"/>
  <c r="J11" i="2"/>
  <c r="I11" i="2"/>
  <c r="H7" i="3"/>
  <c r="E31" i="1"/>
  <c r="E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9" i="1"/>
  <c r="I29" i="1"/>
  <c r="E29" i="1"/>
  <c r="K10" i="2" l="1"/>
  <c r="J6" i="3"/>
  <c r="L32" i="2"/>
  <c r="K28" i="3"/>
  <c r="L19" i="2"/>
  <c r="K15" i="3"/>
  <c r="J12" i="2"/>
  <c r="I8" i="3"/>
  <c r="I12" i="2"/>
  <c r="H8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L33" i="2" l="1"/>
  <c r="K29" i="3"/>
  <c r="K11" i="2"/>
  <c r="J7" i="3"/>
  <c r="K16" i="3"/>
  <c r="L20" i="2"/>
  <c r="J13" i="2"/>
  <c r="I9" i="3"/>
  <c r="I13" i="2"/>
  <c r="H9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K12" i="2" l="1"/>
  <c r="J8" i="3"/>
  <c r="L34" i="2"/>
  <c r="K31" i="3" s="1"/>
  <c r="K30" i="3"/>
  <c r="K17" i="3"/>
  <c r="K18" i="3"/>
  <c r="J14" i="2"/>
  <c r="I10" i="3"/>
  <c r="H10" i="3"/>
  <c r="I14" i="2"/>
  <c r="K13" i="2" l="1"/>
  <c r="J9" i="3"/>
  <c r="J15" i="2"/>
  <c r="I11" i="3"/>
  <c r="H11" i="3"/>
  <c r="I15" i="2"/>
  <c r="K14" i="2" l="1"/>
  <c r="J10" i="3"/>
  <c r="I12" i="3"/>
  <c r="J16" i="2"/>
  <c r="H12" i="3"/>
  <c r="I16" i="2"/>
  <c r="K15" i="2" l="1"/>
  <c r="J11" i="3"/>
  <c r="I13" i="3"/>
  <c r="J17" i="2"/>
  <c r="I17" i="2"/>
  <c r="H13" i="3"/>
  <c r="K16" i="2" l="1"/>
  <c r="J12" i="3"/>
  <c r="J18" i="2"/>
  <c r="I14" i="3"/>
  <c r="I18" i="2"/>
  <c r="H14" i="3"/>
  <c r="K17" i="2" l="1"/>
  <c r="J13" i="3"/>
  <c r="J19" i="2"/>
  <c r="I15" i="3"/>
  <c r="I19" i="2"/>
  <c r="H15" i="3"/>
  <c r="K18" i="2" l="1"/>
  <c r="J14" i="3"/>
  <c r="J20" i="2"/>
  <c r="I16" i="3"/>
  <c r="I20" i="2"/>
  <c r="H16" i="3"/>
  <c r="K19" i="2" l="1"/>
  <c r="J15" i="3"/>
  <c r="I17" i="3"/>
  <c r="J21" i="2"/>
  <c r="H17" i="3"/>
  <c r="I21" i="2"/>
  <c r="K20" i="2" l="1"/>
  <c r="J16" i="3"/>
  <c r="I18" i="3"/>
  <c r="J22" i="2"/>
  <c r="H18" i="3"/>
  <c r="I22" i="2"/>
  <c r="K21" i="2" l="1"/>
  <c r="J17" i="3"/>
  <c r="I19" i="3"/>
  <c r="J23" i="2"/>
  <c r="H19" i="3"/>
  <c r="I23" i="2"/>
  <c r="K22" i="2" l="1"/>
  <c r="J18" i="3"/>
  <c r="J24" i="2"/>
  <c r="I20" i="3"/>
  <c r="I24" i="2"/>
  <c r="H20" i="3"/>
  <c r="K23" i="2" l="1"/>
  <c r="J19" i="3"/>
  <c r="J25" i="2"/>
  <c r="I21" i="3"/>
  <c r="I25" i="2"/>
  <c r="H21" i="3"/>
  <c r="K24" i="2" l="1"/>
  <c r="J20" i="3"/>
  <c r="J26" i="2"/>
  <c r="I22" i="3"/>
  <c r="I26" i="2"/>
  <c r="H22" i="3"/>
  <c r="K25" i="2" l="1"/>
  <c r="J21" i="3"/>
  <c r="J27" i="2"/>
  <c r="I23" i="3"/>
  <c r="H23" i="3"/>
  <c r="I27" i="2"/>
  <c r="K26" i="2" l="1"/>
  <c r="J22" i="3"/>
  <c r="I24" i="3"/>
  <c r="J28" i="2"/>
  <c r="H24" i="3"/>
  <c r="I28" i="2"/>
  <c r="K27" i="2" l="1"/>
  <c r="J23" i="3"/>
  <c r="I25" i="3"/>
  <c r="J29" i="2"/>
  <c r="I29" i="2"/>
  <c r="H25" i="3"/>
  <c r="K28" i="2" l="1"/>
  <c r="J24" i="3"/>
  <c r="J30" i="2"/>
  <c r="I26" i="3"/>
  <c r="I30" i="2"/>
  <c r="H26" i="3"/>
  <c r="K29" i="2" l="1"/>
  <c r="J25" i="3"/>
  <c r="J31" i="2"/>
  <c r="I27" i="3"/>
  <c r="I31" i="2"/>
  <c r="H27" i="3"/>
  <c r="K30" i="2" l="1"/>
  <c r="J26" i="3"/>
  <c r="J32" i="2"/>
  <c r="I28" i="3"/>
  <c r="I32" i="2"/>
  <c r="H28" i="3"/>
  <c r="K31" i="2" l="1"/>
  <c r="J27" i="3"/>
  <c r="I29" i="3"/>
  <c r="J33" i="2"/>
  <c r="I31" i="3" s="1"/>
  <c r="H29" i="3"/>
  <c r="I33" i="2"/>
  <c r="K32" i="2" l="1"/>
  <c r="J28" i="3"/>
  <c r="I30" i="3"/>
  <c r="J31" i="3"/>
  <c r="H30" i="3"/>
  <c r="K33" i="2" l="1"/>
  <c r="J30" i="3" s="1"/>
  <c r="J29" i="3"/>
</calcChain>
</file>

<file path=xl/sharedStrings.xml><?xml version="1.0" encoding="utf-8"?>
<sst xmlns="http://schemas.openxmlformats.org/spreadsheetml/2006/main" count="131" uniqueCount="59">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</sst>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1" xfId="0" applyFont="1" applyBorder="1"/>
    <xf numFmtId="0" fontId="0" fillId="0" borderId="7" xfId="0" applyBorder="1" applyAlignment="1">
      <alignment horizontal="left"/>
    </xf>
    <xf numFmtId="1" fontId="8" fillId="0" borderId="7" xfId="0" applyNumberFormat="1" applyFont="1" applyBorder="1"/>
    <xf numFmtId="2" fontId="0" fillId="0" borderId="0" xfId="0" applyNumberFormat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1"/>
  <sheetViews>
    <sheetView tabSelected="1" zoomScale="85" zoomScaleNormal="8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Y2" sqref="Y2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11</v>
      </c>
      <c r="D2" s="1">
        <v>2021</v>
      </c>
      <c r="E2" s="4">
        <f>IF(('Hampshire Daily'!D5-'Hampshire Daily'!D4&lt;0),"0",('Hampshire Daily'!D5-'Hampshire Daily'!D4))</f>
        <v>2470</v>
      </c>
      <c r="F2" s="4">
        <f>IF(('Hampshire Daily'!F5-'Hampshire Daily'!F4&lt;0),"0",('Hampshire Daily'!F5-'Hampshire Daily'!F4))</f>
        <v>1587</v>
      </c>
      <c r="G2" s="4">
        <f>IF(('Hampshire Daily'!G5-'Hampshire Daily'!G4&lt;0),"0",('Hampshire Daily'!G5-'Hampshire Daily'!G4))</f>
        <v>1585</v>
      </c>
      <c r="H2" s="4">
        <f>IF(('Hampshire Daily'!I5-'Hampshire Daily'!I4&lt;0),"0",('Hampshire Daily'!I5-'Hampshire Daily'!I4))</f>
        <v>1974.9670000001788</v>
      </c>
      <c r="I2" s="33">
        <f>IF(('Hampshire Daily'!J5-'Hampshire Daily'!J4&lt;0),"0",('Hampshire Daily'!J5-'Hampshire Daily'!J4))</f>
        <v>0.26666700000350829</v>
      </c>
      <c r="J2" s="4">
        <f>IF(('Hampshire Daily'!K5-'Hampshire Daily'!K4&lt;0),"0",('Hampshire Daily'!K5-'Hampshire Daily'!K4))</f>
        <v>295.4332999996841</v>
      </c>
      <c r="K2" s="4">
        <f>IF(('Hampshire Daily'!L5-'Hampshire Daily'!L4&lt;0),"0",('Hampshire Daily'!L5-'Hampshire Daily'!L4))</f>
        <v>1163</v>
      </c>
      <c r="L2" s="4">
        <f>IF(('Hampshire Daily'!M5-'Hampshire Daily'!M4&lt;0),"0",('Hampshire Daily'!M5-'Hampshire Daily'!M4))</f>
        <v>1</v>
      </c>
      <c r="M2" s="4">
        <f>IF(('Hampshire Daily'!N5-'Hampshire Daily'!N4&lt;0),"0",('Hampshire Daily'!N5-'Hampshire Daily'!N4))</f>
        <v>2362</v>
      </c>
      <c r="N2" s="4">
        <f>IF(('Hampshire Daily'!O5-'Hampshire Daily'!O4&lt;0),"0",('Hampshire Daily'!O5-'Hampshire Daily'!O4))</f>
        <v>98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110</v>
      </c>
      <c r="Q2" s="4">
        <f>IF(('Hampshire Daily'!R5-'Hampshire Daily'!R4&lt;0),"0",('Hampshire Daily'!R5-'Hampshire Daily'!R4))</f>
        <v>2</v>
      </c>
      <c r="R2" s="4">
        <f>IF(('Hampshire Daily'!U5-'Hampshire Daily'!U4&lt;0),"0",('Hampshire Daily'!U5-'Hampshire Daily'!U4))</f>
        <v>10</v>
      </c>
      <c r="S2" s="4">
        <f>IF(('Hampshire Daily'!V5-'Hampshire Daily'!V4&lt;0),"0",('Hampshire Daily'!V5-'Hampshire Daily'!V4))</f>
        <v>5</v>
      </c>
      <c r="T2" s="4">
        <f>IF(('Hampshire Daily'!W5-'Hampshire Daily'!W4&lt;0),"0",('Hampshire Daily'!W5-'Hampshire Daily'!W4))</f>
        <v>9.9999999997635314E-4</v>
      </c>
      <c r="U2" s="4">
        <f>IF(('Hampshire Daily'!X5-'Hampshire Daily'!X4&lt;0),"0",('Hampshire Daily'!X5-'Hampshire Daily'!X4))</f>
        <v>0.1430000000000291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6</v>
      </c>
      <c r="Y2" s="4">
        <f>'Hampshire Daily'!B5</f>
        <v>123</v>
      </c>
      <c r="Z2" s="4">
        <f>'Hampshire Daily'!C5</f>
        <v>158</v>
      </c>
    </row>
    <row r="3" spans="1:30" x14ac:dyDescent="0.25">
      <c r="A3" s="3" t="s">
        <v>40</v>
      </c>
      <c r="B3" s="1">
        <f>B2+1</f>
        <v>2</v>
      </c>
      <c r="C3" s="17">
        <v>11</v>
      </c>
      <c r="D3" s="1">
        <v>2021</v>
      </c>
      <c r="E3" s="4">
        <f>IF(('Hampshire Daily'!D6-'Hampshire Daily'!D5&lt;0),"0",('Hampshire Daily'!D6-'Hampshire Daily'!D5))</f>
        <v>2570</v>
      </c>
      <c r="F3" s="4">
        <f>IF(('Hampshire Daily'!F6-'Hampshire Daily'!F5&lt;0),"0",('Hampshire Daily'!F6-'Hampshire Daily'!F5))</f>
        <v>2293</v>
      </c>
      <c r="G3" s="4">
        <f>IF(('Hampshire Daily'!G6-'Hampshire Daily'!G5&lt;0),"0",('Hampshire Daily'!G6-'Hampshire Daily'!G5))</f>
        <v>2291</v>
      </c>
      <c r="H3" s="4">
        <f>IF(('Hampshire Daily'!I6-'Hampshire Daily'!I5&lt;0),"0",('Hampshire Daily'!I6-'Hampshire Daily'!I5))</f>
        <v>1974.9670000001788</v>
      </c>
      <c r="I3" s="33">
        <f>IF(('Hampshire Daily'!J6-'Hampshire Daily'!J5&lt;0),"0",('Hampshire Daily'!J6-'Hampshire Daily'!J5))</f>
        <v>0.26666700000350829</v>
      </c>
      <c r="J3" s="4">
        <f>IF(('Hampshire Daily'!K6-'Hampshire Daily'!K5&lt;0),"0",('Hampshire Daily'!K6-'Hampshire Daily'!K5))</f>
        <v>295.4332999996841</v>
      </c>
      <c r="K3" s="4">
        <f>IF(('Hampshire Daily'!L6-'Hampshire Daily'!L5&lt;0),"0",('Hampshire Daily'!L6-'Hampshire Daily'!L5))</f>
        <v>954</v>
      </c>
      <c r="L3" s="4">
        <f>IF(('Hampshire Daily'!M6-'Hampshire Daily'!M5&lt;0),"0",('Hampshire Daily'!M6-'Hampshire Daily'!M5))</f>
        <v>4</v>
      </c>
      <c r="M3" s="4">
        <f>IF(('Hampshire Daily'!N6-'Hampshire Daily'!N5&lt;0),"0",('Hampshire Daily'!N6-'Hampshire Daily'!N5))</f>
        <v>2320</v>
      </c>
      <c r="N3" s="4">
        <f>IF(('Hampshire Daily'!O6-'Hampshire Daily'!O5&lt;0),"0",('Hampshire Daily'!O6-'Hampshire Daily'!O5))</f>
        <v>82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88</v>
      </c>
      <c r="Q3" s="4">
        <f>IF(('Hampshire Daily'!R6-'Hampshire Daily'!R5&lt;0),"0",('Hampshire Daily'!R6-'Hampshire Daily'!R5))</f>
        <v>2</v>
      </c>
      <c r="R3" s="4">
        <f>IF(('Hampshire Daily'!U6-'Hampshire Daily'!U5&lt;0),"0",('Hampshire Daily'!U6-'Hampshire Daily'!U5))</f>
        <v>10</v>
      </c>
      <c r="S3" s="4">
        <f>IF(('Hampshire Daily'!V6-'Hampshire Daily'!V5&lt;0),"0",('Hampshire Daily'!V6-'Hampshire Daily'!V5))</f>
        <v>1</v>
      </c>
      <c r="T3" s="4" t="str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0.19899999999995543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4</v>
      </c>
      <c r="Y3" s="4">
        <f>'Hampshire Daily'!B6</f>
        <v>32</v>
      </c>
      <c r="Z3" s="4">
        <f>'Hampshire Daily'!C6</f>
        <v>58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11</v>
      </c>
      <c r="D4" s="1">
        <v>2021</v>
      </c>
      <c r="E4" s="4">
        <f>IF(('Hampshire Daily'!D7-'Hampshire Daily'!D6&lt;0),"0",('Hampshire Daily'!D7-'Hampshire Daily'!D6))</f>
        <v>2574</v>
      </c>
      <c r="F4" s="4">
        <f>IF(('Hampshire Daily'!F7-'Hampshire Daily'!F6&lt;0),"0",('Hampshire Daily'!F7-'Hampshire Daily'!F6))</f>
        <v>2144</v>
      </c>
      <c r="G4" s="4">
        <f>IF(('Hampshire Daily'!G7-'Hampshire Daily'!G6&lt;0),"0",('Hampshire Daily'!G7-'Hampshire Daily'!G6))</f>
        <v>2143</v>
      </c>
      <c r="H4" s="4">
        <f>IF(('Hampshire Daily'!I7-'Hampshire Daily'!I6&lt;0),"0",('Hampshire Daily'!I7-'Hampshire Daily'!I6))</f>
        <v>1974.9670000001788</v>
      </c>
      <c r="I4" s="33">
        <f>IF(('Hampshire Daily'!J7-'Hampshire Daily'!J6&lt;0),"0",('Hampshire Daily'!J7-'Hampshire Daily'!J6))</f>
        <v>0.26666700000350829</v>
      </c>
      <c r="J4" s="4">
        <f>IF(('Hampshire Daily'!K7-'Hampshire Daily'!K6&lt;0),"0",('Hampshire Daily'!K7-'Hampshire Daily'!K6))</f>
        <v>295.4332999996841</v>
      </c>
      <c r="K4" s="4">
        <f>IF(('Hampshire Daily'!L7-'Hampshire Daily'!L6&lt;0),"0",('Hampshire Daily'!L7-'Hampshire Daily'!L6))</f>
        <v>1039</v>
      </c>
      <c r="L4" s="4">
        <f>IF(('Hampshire Daily'!M7-'Hampshire Daily'!M6&lt;0),"0",('Hampshire Daily'!M7-'Hampshire Daily'!M6))</f>
        <v>19</v>
      </c>
      <c r="M4" s="4">
        <f>IF(('Hampshire Daily'!N7-'Hampshire Daily'!N6&lt;0),"0",('Hampshire Daily'!N7-'Hampshire Daily'!N6))</f>
        <v>2505</v>
      </c>
      <c r="N4" s="4">
        <f>IF(('Hampshire Daily'!O7-'Hampshire Daily'!O6&lt;0),"0",('Hampshire Daily'!O7-'Hampshire Daily'!O6))</f>
        <v>77</v>
      </c>
      <c r="O4" s="4">
        <f>IF(('Hampshire Daily'!P7-'Hampshire Daily'!P6&lt;0),"0",('Hampshire Daily'!P7-'Hampshire Daily'!P6))</f>
        <v>4</v>
      </c>
      <c r="P4" s="4">
        <f>IF(('Hampshire Daily'!Q7-'Hampshire Daily'!Q6&lt;0),"0",('Hampshire Daily'!Q7-'Hampshire Daily'!Q6))</f>
        <v>113</v>
      </c>
      <c r="Q4" s="4">
        <f>IF(('Hampshire Daily'!R7-'Hampshire Daily'!R6&lt;0),"0",('Hampshire Daily'!R7-'Hampshire Daily'!R6))</f>
        <v>1</v>
      </c>
      <c r="R4" s="4">
        <f>IF(('Hampshire Daily'!U7-'Hampshire Daily'!U6&lt;0),"0",('Hampshire Daily'!U7-'Hampshire Daily'!U6))</f>
        <v>10</v>
      </c>
      <c r="S4" s="4">
        <f>IF(('Hampshire Daily'!V7-'Hampshire Daily'!V6&lt;0),"0",('Hampshire Daily'!V7-'Hampshire Daily'!V6))</f>
        <v>1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0.16000000000008185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3</v>
      </c>
      <c r="Y4" s="4">
        <f>'Hampshire Daily'!B7</f>
        <v>35</v>
      </c>
      <c r="Z4" s="4">
        <f>'Hampshire Daily'!C7</f>
        <v>62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11</v>
      </c>
      <c r="D5" s="1">
        <v>2021</v>
      </c>
      <c r="E5" s="4">
        <f>IF(('Hampshire Daily'!D8-'Hampshire Daily'!D7&lt;0),"0",('Hampshire Daily'!D8-'Hampshire Daily'!D7))</f>
        <v>1917</v>
      </c>
      <c r="F5" s="4">
        <f>IF(('Hampshire Daily'!F8-'Hampshire Daily'!F7&lt;0),"0",('Hampshire Daily'!F8-'Hampshire Daily'!F7))</f>
        <v>1678</v>
      </c>
      <c r="G5" s="4">
        <f>IF(('Hampshire Daily'!G8-'Hampshire Daily'!G7&lt;0),"0",('Hampshire Daily'!G8-'Hampshire Daily'!G7))</f>
        <v>1675</v>
      </c>
      <c r="H5" s="4">
        <f>IF(('Hampshire Daily'!I8-'Hampshire Daily'!I7&lt;0),"0",('Hampshire Daily'!I8-'Hampshire Daily'!I7))</f>
        <v>1974.9670000001788</v>
      </c>
      <c r="I5" s="33">
        <f>IF(('Hampshire Daily'!J8-'Hampshire Daily'!J7&lt;0),"0",('Hampshire Daily'!J8-'Hampshire Daily'!J7))</f>
        <v>0.26666700000350829</v>
      </c>
      <c r="J5" s="4">
        <f>IF(('Hampshire Daily'!K8-'Hampshire Daily'!K7&lt;0),"0",('Hampshire Daily'!K8-'Hampshire Daily'!K7))</f>
        <v>295.4332999996841</v>
      </c>
      <c r="K5" s="4">
        <f>IF(('Hampshire Daily'!L8-'Hampshire Daily'!L7&lt;0),"0",('Hampshire Daily'!L8-'Hampshire Daily'!L7))</f>
        <v>1089</v>
      </c>
      <c r="L5" s="4">
        <f>IF(('Hampshire Daily'!M8-'Hampshire Daily'!M7&lt;0),"0",('Hampshire Daily'!M8-'Hampshire Daily'!M7))</f>
        <v>0</v>
      </c>
      <c r="M5" s="4">
        <f>IF(('Hampshire Daily'!N8-'Hampshire Daily'!N7&lt;0),"0",('Hampshire Daily'!N8-'Hampshire Daily'!N7))</f>
        <v>2339</v>
      </c>
      <c r="N5" s="4">
        <f>IF(('Hampshire Daily'!O8-'Hampshire Daily'!O7&lt;0),"0",('Hampshire Daily'!O8-'Hampshire Daily'!O7))</f>
        <v>86</v>
      </c>
      <c r="O5" s="4">
        <f>IF(('Hampshire Daily'!P8-'Hampshire Daily'!P7&lt;0),"0",('Hampshire Daily'!P8-'Hampshire Daily'!P7))</f>
        <v>189</v>
      </c>
      <c r="P5" s="4">
        <f>IF(('Hampshire Daily'!Q8-'Hampshire Daily'!Q7&lt;0),"0",('Hampshire Daily'!Q8-'Hampshire Daily'!Q7))</f>
        <v>303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8</v>
      </c>
      <c r="S5" s="4">
        <f>IF(('Hampshire Daily'!V8-'Hampshire Daily'!V7&lt;0),"0",('Hampshire Daily'!V8-'Hampshire Daily'!V7))</f>
        <v>2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0.1089999999999236</v>
      </c>
      <c r="V5" s="4">
        <f>IF(('Hampshire Daily'!Y8-'Hampshire Daily'!Y7&lt;0),"0",('Hampshire Daily'!Y8-'Hampshire Daily'!Y7))</f>
        <v>5.9999999998581188E-3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5</v>
      </c>
      <c r="Y5" s="4">
        <f>'Hampshire Daily'!B8</f>
        <v>41</v>
      </c>
      <c r="Z5" s="4">
        <f>'Hampshire Daily'!C8</f>
        <v>70</v>
      </c>
    </row>
    <row r="6" spans="1:30" x14ac:dyDescent="0.25">
      <c r="A6" s="3" t="s">
        <v>40</v>
      </c>
      <c r="B6" s="1">
        <f t="shared" si="0"/>
        <v>5</v>
      </c>
      <c r="C6" s="17">
        <v>11</v>
      </c>
      <c r="D6" s="1">
        <v>2021</v>
      </c>
      <c r="E6" s="4">
        <f>IF(('Hampshire Daily'!D9-'Hampshire Daily'!D8&lt;0),"0",('Hampshire Daily'!D9-'Hampshire Daily'!D8))</f>
        <v>1956</v>
      </c>
      <c r="F6" s="4">
        <f>IF(('Hampshire Daily'!F9-'Hampshire Daily'!F8&lt;0),"0",('Hampshire Daily'!F9-'Hampshire Daily'!F8))</f>
        <v>1684</v>
      </c>
      <c r="G6" s="4">
        <f>IF(('Hampshire Daily'!G9-'Hampshire Daily'!G8&lt;0),"0",('Hampshire Daily'!G9-'Hampshire Daily'!G8))</f>
        <v>1682</v>
      </c>
      <c r="H6" s="4">
        <f>IF(('Hampshire Daily'!I9-'Hampshire Daily'!I8&lt;0),"0",('Hampshire Daily'!I9-'Hampshire Daily'!I8))</f>
        <v>1974.9670000001788</v>
      </c>
      <c r="I6" s="33">
        <f>IF(('Hampshire Daily'!J9-'Hampshire Daily'!J8&lt;0),"0",('Hampshire Daily'!J9-'Hampshire Daily'!J8))</f>
        <v>0.26666700000350829</v>
      </c>
      <c r="J6" s="4">
        <f>IF(('Hampshire Daily'!K9-'Hampshire Daily'!K8&lt;0),"0",('Hampshire Daily'!K9-'Hampshire Daily'!K8))</f>
        <v>295.4332999996841</v>
      </c>
      <c r="K6" s="4">
        <f>IF(('Hampshire Daily'!L9-'Hampshire Daily'!L8&lt;0),"0",('Hampshire Daily'!L9-'Hampshire Daily'!L8))</f>
        <v>1089</v>
      </c>
      <c r="L6" s="4">
        <f>IF(('Hampshire Daily'!M9-'Hampshire Daily'!M8&lt;0),"0",('Hampshire Daily'!M9-'Hampshire Daily'!M8))</f>
        <v>1</v>
      </c>
      <c r="M6" s="4">
        <f>IF(('Hampshire Daily'!N9-'Hampshire Daily'!N8&lt;0),"0",('Hampshire Daily'!N9-'Hampshire Daily'!N8))</f>
        <v>2485</v>
      </c>
      <c r="N6" s="4">
        <f>IF(('Hampshire Daily'!O9-'Hampshire Daily'!O8&lt;0),"0",('Hampshire Daily'!O9-'Hampshire Daily'!O8))</f>
        <v>83</v>
      </c>
      <c r="O6" s="4">
        <f>IF(('Hampshire Daily'!P9-'Hampshire Daily'!P8&lt;0),"0",('Hampshire Daily'!P9-'Hampshire Daily'!P8))</f>
        <v>153</v>
      </c>
      <c r="P6" s="4">
        <f>IF(('Hampshire Daily'!Q9-'Hampshire Daily'!Q8&lt;0),"0",('Hampshire Daily'!Q9-'Hampshire Daily'!Q8))</f>
        <v>18</v>
      </c>
      <c r="Q6" s="4">
        <f>IF(('Hampshire Daily'!R9-'Hampshire Daily'!R8&lt;0),"0",('Hampshire Daily'!R9-'Hampshire Daily'!R8))</f>
        <v>1</v>
      </c>
      <c r="R6" s="4">
        <f>IF(('Hampshire Daily'!U9-'Hampshire Daily'!U8&lt;0),"0",('Hampshire Daily'!U9-'Hampshire Daily'!U8))</f>
        <v>9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0.22599999999999909</v>
      </c>
      <c r="V6" s="4">
        <f>IF(('Hampshire Daily'!Y9-'Hampshire Daily'!Y8&lt;0),"0",('Hampshire Daily'!Y9-'Hampshire Daily'!Y8))</f>
        <v>5.0000000001091394E-3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4</v>
      </c>
      <c r="Y6" s="4">
        <f>'Hampshire Daily'!B9</f>
        <v>60</v>
      </c>
      <c r="Z6" s="4">
        <f>'Hampshire Daily'!C9</f>
        <v>137</v>
      </c>
    </row>
    <row r="7" spans="1:30" x14ac:dyDescent="0.25">
      <c r="A7" s="3" t="s">
        <v>40</v>
      </c>
      <c r="B7" s="1">
        <f t="shared" si="0"/>
        <v>6</v>
      </c>
      <c r="C7" s="17">
        <v>11</v>
      </c>
      <c r="D7" s="1">
        <v>2021</v>
      </c>
      <c r="E7" s="4">
        <f>IF(('Hampshire Daily'!D10-'Hampshire Daily'!D9&lt;0),"0",('Hampshire Daily'!D10-'Hampshire Daily'!D9))</f>
        <v>2517</v>
      </c>
      <c r="F7" s="4">
        <f>IF(('Hampshire Daily'!F10-'Hampshire Daily'!F9&lt;0),"0",('Hampshire Daily'!F10-'Hampshire Daily'!F9))</f>
        <v>1917</v>
      </c>
      <c r="G7" s="4">
        <f>IF(('Hampshire Daily'!G10-'Hampshire Daily'!G9&lt;0),"0",('Hampshire Daily'!G10-'Hampshire Daily'!G9))</f>
        <v>1915</v>
      </c>
      <c r="H7" s="4">
        <f>IF(('Hampshire Daily'!I10-'Hampshire Daily'!I9&lt;0),"0",('Hampshire Daily'!I10-'Hampshire Daily'!I9))</f>
        <v>1974.9670000001788</v>
      </c>
      <c r="I7" s="33">
        <f>IF(('Hampshire Daily'!J10-'Hampshire Daily'!J9&lt;0),"0",('Hampshire Daily'!J10-'Hampshire Daily'!J9))</f>
        <v>0.26666700000350829</v>
      </c>
      <c r="J7" s="4">
        <f>IF(('Hampshire Daily'!K10-'Hampshire Daily'!K9&lt;0),"0",('Hampshire Daily'!K10-'Hampshire Daily'!K9))</f>
        <v>295.4332999996841</v>
      </c>
      <c r="K7" s="4">
        <f>IF(('Hampshire Daily'!L10-'Hampshire Daily'!L9&lt;0),"0",('Hampshire Daily'!L10-'Hampshire Daily'!L9))</f>
        <v>1089</v>
      </c>
      <c r="L7" s="4">
        <f>IF(('Hampshire Daily'!M10-'Hampshire Daily'!M9&lt;0),"0",('Hampshire Daily'!M10-'Hampshire Daily'!M9))</f>
        <v>2</v>
      </c>
      <c r="M7" s="4">
        <f>IF(('Hampshire Daily'!N10-'Hampshire Daily'!N9&lt;0),"0",('Hampshire Daily'!N10-'Hampshire Daily'!N9))</f>
        <v>2593</v>
      </c>
      <c r="N7" s="4">
        <f>IF(('Hampshire Daily'!O10-'Hampshire Daily'!O9&lt;0),"0",('Hampshire Daily'!O10-'Hampshire Daily'!O9))</f>
        <v>68</v>
      </c>
      <c r="O7" s="4">
        <f>IF(('Hampshire Daily'!P10-'Hampshire Daily'!P9&lt;0),"0",('Hampshire Daily'!P10-'Hampshire Daily'!P9))</f>
        <v>71</v>
      </c>
      <c r="P7" s="4">
        <f>IF(('Hampshire Daily'!Q10-'Hampshire Daily'!Q9&lt;0),"0",('Hampshire Daily'!Q10-'Hampshire Daily'!Q9))</f>
        <v>18</v>
      </c>
      <c r="Q7" s="4">
        <f>IF(('Hampshire Daily'!R10-'Hampshire Daily'!R9&lt;0),"0",('Hampshire Daily'!R10-'Hampshire Daily'!R9))</f>
        <v>2</v>
      </c>
      <c r="R7" s="4">
        <f>IF(('Hampshire Daily'!U10-'Hampshire Daily'!U9&lt;0),"0",('Hampshire Daily'!U10-'Hampshire Daily'!U9))</f>
        <v>9</v>
      </c>
      <c r="S7" s="4">
        <f>IF(('Hampshire Daily'!V10-'Hampshire Daily'!V9&lt;0),"0",('Hampshire Daily'!V10-'Hampshire Daily'!V9))</f>
        <v>1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0.1290000000000191</v>
      </c>
      <c r="V7" s="4">
        <f>IF(('Hampshire Daily'!Y10-'Hampshire Daily'!Y9&lt;0),"0",('Hampshire Daily'!Y10-'Hampshire Daily'!Y9))</f>
        <v>0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4</v>
      </c>
      <c r="Y7" s="4">
        <f>'Hampshire Daily'!B10</f>
        <v>74</v>
      </c>
      <c r="Z7" s="4">
        <f>'Hampshire Daily'!C10</f>
        <v>163</v>
      </c>
    </row>
    <row r="8" spans="1:30" x14ac:dyDescent="0.25">
      <c r="A8" s="3" t="s">
        <v>40</v>
      </c>
      <c r="B8" s="1">
        <f t="shared" si="0"/>
        <v>7</v>
      </c>
      <c r="C8" s="17">
        <v>11</v>
      </c>
      <c r="D8" s="1">
        <v>2021</v>
      </c>
      <c r="E8" s="4">
        <f>IF(('Hampshire Daily'!D11-'Hampshire Daily'!D10&lt;0),"0",('Hampshire Daily'!D11-'Hampshire Daily'!D10))</f>
        <v>1872</v>
      </c>
      <c r="F8" s="4">
        <f>IF(('Hampshire Daily'!F11-'Hampshire Daily'!F10&lt;0),"0",('Hampshire Daily'!F11-'Hampshire Daily'!F10))</f>
        <v>2912</v>
      </c>
      <c r="G8" s="4">
        <f>IF(('Hampshire Daily'!G11-'Hampshire Daily'!G10&lt;0),"0",('Hampshire Daily'!G11-'Hampshire Daily'!G10))</f>
        <v>2909</v>
      </c>
      <c r="H8" s="4">
        <f>IF(('Hampshire Daily'!I11-'Hampshire Daily'!I10&lt;0),"0",('Hampshire Daily'!I11-'Hampshire Daily'!I10))</f>
        <v>1974.9670000001788</v>
      </c>
      <c r="I8" s="33">
        <f>IF(('Hampshire Daily'!J11-'Hampshire Daily'!J10&lt;0),"0",('Hampshire Daily'!J11-'Hampshire Daily'!J10))</f>
        <v>0.26666700000350829</v>
      </c>
      <c r="J8" s="4">
        <f>IF(('Hampshire Daily'!K11-'Hampshire Daily'!K10&lt;0),"0",('Hampshire Daily'!K11-'Hampshire Daily'!K10))</f>
        <v>295.4332999996841</v>
      </c>
      <c r="K8" s="4">
        <f>IF(('Hampshire Daily'!L11-'Hampshire Daily'!L10&lt;0),"0",('Hampshire Daily'!L11-'Hampshire Daily'!L10))</f>
        <v>1290</v>
      </c>
      <c r="L8" s="4">
        <f>IF(('Hampshire Daily'!M11-'Hampshire Daily'!M10&lt;0),"0",('Hampshire Daily'!M11-'Hampshire Daily'!M10))</f>
        <v>1</v>
      </c>
      <c r="M8" s="4">
        <f>IF(('Hampshire Daily'!N11-'Hampshire Daily'!N10&lt;0),"0",('Hampshire Daily'!N11-'Hampshire Daily'!N10))</f>
        <v>2422</v>
      </c>
      <c r="N8" s="4">
        <f>IF(('Hampshire Daily'!O11-'Hampshire Daily'!O10&lt;0),"0",('Hampshire Daily'!O11-'Hampshire Daily'!O10))</f>
        <v>89</v>
      </c>
      <c r="O8" s="4">
        <f>IF(('Hampshire Daily'!P11-'Hampshire Daily'!P10&lt;0),"0",('Hampshire Daily'!P11-'Hampshire Daily'!P10))</f>
        <v>708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11</v>
      </c>
      <c r="S8" s="4">
        <f>IF(('Hampshire Daily'!V11-'Hampshire Daily'!V10&lt;0),"0",('Hampshire Daily'!V11-'Hampshire Daily'!V10))</f>
        <v>4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6.7999999999983629E-2</v>
      </c>
      <c r="V8" s="4">
        <f>IF(('Hampshire Daily'!Y11-'Hampshire Daily'!Y10&lt;0),"0",('Hampshire Daily'!Y11-'Hampshire Daily'!Y10))</f>
        <v>5.9999999998581188E-3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4</v>
      </c>
      <c r="Y8" s="4">
        <f>'Hampshire Daily'!B11</f>
        <v>50</v>
      </c>
      <c r="Z8" s="4">
        <f>'Hampshire Daily'!C11</f>
        <v>89</v>
      </c>
    </row>
    <row r="9" spans="1:30" x14ac:dyDescent="0.25">
      <c r="A9" s="3" t="s">
        <v>40</v>
      </c>
      <c r="B9" s="1">
        <f t="shared" si="0"/>
        <v>8</v>
      </c>
      <c r="C9" s="17">
        <v>11</v>
      </c>
      <c r="D9" s="1">
        <v>2021</v>
      </c>
      <c r="E9" s="4">
        <f>IF(('Hampshire Daily'!D12-'Hampshire Daily'!D11&lt;0),"0",('Hampshire Daily'!D12-'Hampshire Daily'!D11))</f>
        <v>2393</v>
      </c>
      <c r="F9" s="4">
        <f>IF(('Hampshire Daily'!F12-'Hampshire Daily'!F11&lt;0),"0",('Hampshire Daily'!F12-'Hampshire Daily'!F11))</f>
        <v>2635</v>
      </c>
      <c r="G9" s="4">
        <f>IF(('Hampshire Daily'!G12-'Hampshire Daily'!G11&lt;0),"0",('Hampshire Daily'!G12-'Hampshire Daily'!G11))</f>
        <v>2632</v>
      </c>
      <c r="H9" s="4">
        <f>IF(('Hampshire Daily'!I12-'Hampshire Daily'!I11&lt;0),"0",('Hampshire Daily'!I12-'Hampshire Daily'!I11))</f>
        <v>1974.9670000001788</v>
      </c>
      <c r="I9" s="33">
        <f>IF(('Hampshire Daily'!J12-'Hampshire Daily'!J11&lt;0),"0",('Hampshire Daily'!J12-'Hampshire Daily'!J11))</f>
        <v>0.26666700000350829</v>
      </c>
      <c r="J9" s="4">
        <f>IF(('Hampshire Daily'!K12-'Hampshire Daily'!K11&lt;0),"0",('Hampshire Daily'!K12-'Hampshire Daily'!K11))</f>
        <v>295.4332999996841</v>
      </c>
      <c r="K9" s="4">
        <f>IF(('Hampshire Daily'!L12-'Hampshire Daily'!L11&lt;0),"0",('Hampshire Daily'!L12-'Hampshire Daily'!L11))</f>
        <v>1114</v>
      </c>
      <c r="L9" s="4">
        <f>IF(('Hampshire Daily'!M12-'Hampshire Daily'!M11&lt;0),"0",('Hampshire Daily'!M12-'Hampshire Daily'!M11))</f>
        <v>100</v>
      </c>
      <c r="M9" s="4">
        <f>IF(('Hampshire Daily'!N12-'Hampshire Daily'!N11&lt;0),"0",('Hampshire Daily'!N12-'Hampshire Daily'!N11))</f>
        <v>2494</v>
      </c>
      <c r="N9" s="4" t="str">
        <f>IF(('Hampshire Daily'!O12-'Hampshire Daily'!O11&lt;0),"0",('Hampshire Daily'!O12-'Hampshire Daily'!O11))</f>
        <v>0</v>
      </c>
      <c r="O9" s="4">
        <f>IF(('Hampshire Daily'!P12-'Hampshire Daily'!P11&lt;0),"0",('Hampshire Daily'!P12-'Hampshire Daily'!P11))</f>
        <v>456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11</v>
      </c>
      <c r="S9" s="4">
        <f>IF(('Hampshire Daily'!V12-'Hampshire Daily'!V11&lt;0),"0",('Hampshire Daily'!V12-'Hampshire Daily'!V11))</f>
        <v>14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0.1410000000000764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6</v>
      </c>
      <c r="Y9" s="4">
        <f>'Hampshire Daily'!B12</f>
        <v>37</v>
      </c>
      <c r="Z9" s="4">
        <f>'Hampshire Daily'!C12</f>
        <v>68</v>
      </c>
    </row>
    <row r="10" spans="1:30" x14ac:dyDescent="0.25">
      <c r="A10" s="3" t="s">
        <v>40</v>
      </c>
      <c r="B10" s="1">
        <f t="shared" si="0"/>
        <v>9</v>
      </c>
      <c r="C10" s="17">
        <v>11</v>
      </c>
      <c r="D10" s="1">
        <v>2021</v>
      </c>
      <c r="E10" s="4">
        <f>IF(('Hampshire Daily'!D13-'Hampshire Daily'!D12&lt;0),"0",('Hampshire Daily'!D13-'Hampshire Daily'!D12))</f>
        <v>4496</v>
      </c>
      <c r="F10" s="4">
        <f>IF(('Hampshire Daily'!F13-'Hampshire Daily'!F12&lt;0),"0",('Hampshire Daily'!F13-'Hampshire Daily'!F12))</f>
        <v>5498</v>
      </c>
      <c r="G10" s="4">
        <f>IF(('Hampshire Daily'!G13-'Hampshire Daily'!G12&lt;0),"0",('Hampshire Daily'!G13-'Hampshire Daily'!G12))</f>
        <v>5493</v>
      </c>
      <c r="H10" s="4">
        <f>IF(('Hampshire Daily'!I13-'Hampshire Daily'!I12&lt;0),"0",('Hampshire Daily'!I13-'Hampshire Daily'!I12))</f>
        <v>1974.9670000001788</v>
      </c>
      <c r="I10" s="33">
        <f>IF(('Hampshire Daily'!J13-'Hampshire Daily'!J12&lt;0),"0",('Hampshire Daily'!J13-'Hampshire Daily'!J12))</f>
        <v>0.26666700000350829</v>
      </c>
      <c r="J10" s="4">
        <f>IF(('Hampshire Daily'!K13-'Hampshire Daily'!K12&lt;0),"0",('Hampshire Daily'!K13-'Hampshire Daily'!K12))</f>
        <v>295.4332999996841</v>
      </c>
      <c r="K10" s="4">
        <f>IF(('Hampshire Daily'!L13-'Hampshire Daily'!L12&lt;0),"0",('Hampshire Daily'!L13-'Hampshire Daily'!L12))</f>
        <v>1089</v>
      </c>
      <c r="L10" s="4">
        <f>IF(('Hampshire Daily'!M13-'Hampshire Daily'!M12&lt;0),"0",('Hampshire Daily'!M13-'Hampshire Daily'!M12))</f>
        <v>757</v>
      </c>
      <c r="M10" s="4">
        <f>IF(('Hampshire Daily'!N13-'Hampshire Daily'!N12&lt;0),"0",('Hampshire Daily'!N13-'Hampshire Daily'!N12))</f>
        <v>1484</v>
      </c>
      <c r="N10" s="4">
        <f>IF(('Hampshire Daily'!O13-'Hampshire Daily'!O12&lt;0),"0",('Hampshire Daily'!O13-'Hampshire Daily'!O12))</f>
        <v>392</v>
      </c>
      <c r="O10" s="4">
        <f>IF(('Hampshire Daily'!P13-'Hampshire Daily'!P12&lt;0),"0",('Hampshire Daily'!P13-'Hampshire Daily'!P12))</f>
        <v>675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9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5.3999999999973625E-2</v>
      </c>
      <c r="V10" s="4">
        <f>IF(('Hampshire Daily'!Y13-'Hampshire Daily'!Y12&lt;0),"0",('Hampshire Daily'!Y13-'Hampshire Daily'!Y12))</f>
        <v>1.0000000002037268E-3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4</v>
      </c>
      <c r="Y10" s="4">
        <f>'Hampshire Daily'!B13</f>
        <v>30</v>
      </c>
      <c r="Z10" s="4">
        <f>'Hampshire Daily'!C13</f>
        <v>62</v>
      </c>
    </row>
    <row r="11" spans="1:30" x14ac:dyDescent="0.25">
      <c r="A11" s="3" t="s">
        <v>40</v>
      </c>
      <c r="B11" s="1">
        <f t="shared" si="0"/>
        <v>10</v>
      </c>
      <c r="C11" s="17">
        <v>11</v>
      </c>
      <c r="D11" s="1">
        <v>2021</v>
      </c>
      <c r="E11" s="4">
        <f>IF(('Hampshire Daily'!D14-'Hampshire Daily'!D13&lt;0),"0",('Hampshire Daily'!D14-'Hampshire Daily'!D13))</f>
        <v>5188</v>
      </c>
      <c r="F11" s="4">
        <f>IF(('Hampshire Daily'!F14-'Hampshire Daily'!F13&lt;0),"0",('Hampshire Daily'!F14-'Hampshire Daily'!F13))</f>
        <v>4923</v>
      </c>
      <c r="G11" s="4">
        <f>IF(('Hampshire Daily'!G14-'Hampshire Daily'!G13&lt;0),"0",('Hampshire Daily'!G14-'Hampshire Daily'!G13))</f>
        <v>4918</v>
      </c>
      <c r="H11" s="4">
        <f>IF(('Hampshire Daily'!I14-'Hampshire Daily'!I13&lt;0),"0",('Hampshire Daily'!I14-'Hampshire Daily'!I13))</f>
        <v>1974.9670000001788</v>
      </c>
      <c r="I11" s="33">
        <f>IF(('Hampshire Daily'!J14-'Hampshire Daily'!J13&lt;0),"0",('Hampshire Daily'!J14-'Hampshire Daily'!J13))</f>
        <v>0.26666700000350829</v>
      </c>
      <c r="J11" s="4">
        <f>IF(('Hampshire Daily'!K14-'Hampshire Daily'!K13&lt;0),"0",('Hampshire Daily'!K14-'Hampshire Daily'!K13))</f>
        <v>295.4332999996841</v>
      </c>
      <c r="K11" s="4">
        <f>IF(('Hampshire Daily'!L14-'Hampshire Daily'!L13&lt;0),"0",('Hampshire Daily'!L14-'Hampshire Daily'!L13))</f>
        <v>1089</v>
      </c>
      <c r="L11" s="4">
        <f>IF(('Hampshire Daily'!M14-'Hampshire Daily'!M13&lt;0),"0",('Hampshire Daily'!M14-'Hampshire Daily'!M13))</f>
        <v>3560</v>
      </c>
      <c r="M11" s="4">
        <f>IF(('Hampshire Daily'!N14-'Hampshire Daily'!N13&lt;0),"0",('Hampshire Daily'!N14-'Hampshire Daily'!N13))</f>
        <v>1282</v>
      </c>
      <c r="N11" s="4">
        <f>IF(('Hampshire Daily'!O14-'Hampshire Daily'!O13&lt;0),"0",('Hampshire Daily'!O14-'Hampshire Daily'!O13))</f>
        <v>61</v>
      </c>
      <c r="O11" s="4">
        <f>IF(('Hampshire Daily'!P14-'Hampshire Daily'!P13&lt;0),"0",('Hampshire Daily'!P14-'Hampshire Daily'!P13))</f>
        <v>191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2</v>
      </c>
      <c r="R11" s="4">
        <f>IF(('Hampshire Daily'!U14-'Hampshire Daily'!U13&lt;0),"0",('Hampshire Daily'!U14-'Hampshire Daily'!U13))</f>
        <v>8</v>
      </c>
      <c r="S11" s="4">
        <f>IF(('Hampshire Daily'!V14-'Hampshire Daily'!V13&lt;0),"0",('Hampshire Daily'!V14-'Hampshire Daily'!V13))</f>
        <v>1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0.15800000000001546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4</v>
      </c>
      <c r="Y11" s="4">
        <f>'Hampshire Daily'!B14</f>
        <v>27</v>
      </c>
      <c r="Z11" s="4">
        <f>'Hampshire Daily'!C14</f>
        <v>40</v>
      </c>
    </row>
    <row r="12" spans="1:30" x14ac:dyDescent="0.25">
      <c r="A12" s="3" t="s">
        <v>40</v>
      </c>
      <c r="B12" s="1">
        <f t="shared" si="0"/>
        <v>11</v>
      </c>
      <c r="C12" s="17">
        <v>11</v>
      </c>
      <c r="D12" s="1">
        <v>2021</v>
      </c>
      <c r="E12" s="4">
        <f>IF(('Hampshire Daily'!D15-'Hampshire Daily'!D14&lt;0),"0",('Hampshire Daily'!D15-'Hampshire Daily'!D14))</f>
        <v>3068</v>
      </c>
      <c r="F12" s="4">
        <f>IF(('Hampshire Daily'!F15-'Hampshire Daily'!F14&lt;0),"0",('Hampshire Daily'!F15-'Hampshire Daily'!F14))</f>
        <v>2883</v>
      </c>
      <c r="G12" s="4">
        <f>IF(('Hampshire Daily'!G15-'Hampshire Daily'!G14&lt;0),"0",('Hampshire Daily'!G15-'Hampshire Daily'!G14))</f>
        <v>2879</v>
      </c>
      <c r="H12" s="4">
        <f>IF(('Hampshire Daily'!I15-'Hampshire Daily'!I14&lt;0),"0",('Hampshire Daily'!I15-'Hampshire Daily'!I14))</f>
        <v>1974.9670000001788</v>
      </c>
      <c r="I12" s="33">
        <f>IF(('Hampshire Daily'!J15-'Hampshire Daily'!J14&lt;0),"0",('Hampshire Daily'!J15-'Hampshire Daily'!J14))</f>
        <v>0.26666700000350829</v>
      </c>
      <c r="J12" s="4">
        <f>IF(('Hampshire Daily'!K15-'Hampshire Daily'!K14&lt;0),"0",('Hampshire Daily'!K15-'Hampshire Daily'!K14))</f>
        <v>295.4332999996841</v>
      </c>
      <c r="K12" s="4">
        <f>IF(('Hampshire Daily'!L15-'Hampshire Daily'!L14&lt;0),"0",('Hampshire Daily'!L15-'Hampshire Daily'!L14))</f>
        <v>1089</v>
      </c>
      <c r="L12" s="4" t="str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2045</v>
      </c>
      <c r="N12" s="4">
        <f>IF(('Hampshire Daily'!O15-'Hampshire Daily'!O14&lt;0),"0",('Hampshire Daily'!O15-'Hampshire Daily'!O14))</f>
        <v>69</v>
      </c>
      <c r="O12" s="4">
        <f>IF(('Hampshire Daily'!P15-'Hampshire Daily'!P14&lt;0),"0",('Hampshire Daily'!P15-'Hampshire Daily'!P14))</f>
        <v>327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10</v>
      </c>
      <c r="S12" s="4">
        <f>IF(('Hampshire Daily'!V15-'Hampshire Daily'!V14&lt;0),"0",('Hampshire Daily'!V15-'Hampshire Daily'!V14))</f>
        <v>2</v>
      </c>
      <c r="T12" s="4">
        <f>IF(('Hampshire Daily'!W15-'Hampshire Daily'!W14&lt;0),"0",('Hampshire Daily'!W15-'Hampshire Daily'!W14))</f>
        <v>1.9999999999527063E-3</v>
      </c>
      <c r="U12" s="4">
        <f>IF(('Hampshire Daily'!X15-'Hampshire Daily'!X14&lt;0),"0",('Hampshire Daily'!X15-'Hampshire Daily'!X14))</f>
        <v>3.8999999999987267E-2</v>
      </c>
      <c r="V12" s="4">
        <f>IF(('Hampshire Daily'!Y15-'Hampshire Daily'!Y14&lt;0),"0",('Hampshire Daily'!Y15-'Hampshire Daily'!Y14))</f>
        <v>4.09999999997126E-2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3</v>
      </c>
      <c r="Y12" s="4">
        <f>'Hampshire Daily'!B15</f>
        <v>68</v>
      </c>
      <c r="Z12" s="4">
        <f>'Hampshire Daily'!C15</f>
        <v>94</v>
      </c>
    </row>
    <row r="13" spans="1:30" x14ac:dyDescent="0.25">
      <c r="A13" s="3" t="s">
        <v>40</v>
      </c>
      <c r="B13" s="1">
        <f t="shared" si="0"/>
        <v>12</v>
      </c>
      <c r="C13" s="17">
        <v>11</v>
      </c>
      <c r="D13" s="1">
        <v>2021</v>
      </c>
      <c r="E13" s="4">
        <f>IF(('Hampshire Daily'!D16-'Hampshire Daily'!D15&lt;0),"0",('Hampshire Daily'!D16-'Hampshire Daily'!D15))</f>
        <v>2096</v>
      </c>
      <c r="F13" s="4">
        <f>IF(('Hampshire Daily'!F16-'Hampshire Daily'!F15&lt;0),"0",('Hampshire Daily'!F16-'Hampshire Daily'!F15))</f>
        <v>2792</v>
      </c>
      <c r="G13" s="4">
        <f>IF(('Hampshire Daily'!G16-'Hampshire Daily'!G15&lt;0),"0",('Hampshire Daily'!G16-'Hampshire Daily'!G15))</f>
        <v>2790</v>
      </c>
      <c r="H13" s="4">
        <f>IF(('Hampshire Daily'!I16-'Hampshire Daily'!I15&lt;0),"0",('Hampshire Daily'!I16-'Hampshire Daily'!I15))</f>
        <v>1974.9670000001788</v>
      </c>
      <c r="I13" s="33">
        <f>IF(('Hampshire Daily'!J16-'Hampshire Daily'!J15&lt;0),"0",('Hampshire Daily'!J16-'Hampshire Daily'!J15))</f>
        <v>0.26666700000350829</v>
      </c>
      <c r="J13" s="4">
        <f>IF(('Hampshire Daily'!K16-'Hampshire Daily'!K15&lt;0),"0",('Hampshire Daily'!K16-'Hampshire Daily'!K15))</f>
        <v>295.4332999996841</v>
      </c>
      <c r="K13" s="4">
        <f>IF(('Hampshire Daily'!L16-'Hampshire Daily'!L15&lt;0),"0",('Hampshire Daily'!L16-'Hampshire Daily'!L15))</f>
        <v>1089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2580</v>
      </c>
      <c r="N13" s="4">
        <f>IF(('Hampshire Daily'!O16-'Hampshire Daily'!O15&lt;0),"0",('Hampshire Daily'!O16-'Hampshire Daily'!O15))</f>
        <v>113</v>
      </c>
      <c r="O13" s="4">
        <f>IF(('Hampshire Daily'!P16-'Hampshire Daily'!P15&lt;0),"0",('Hampshire Daily'!P16-'Hampshire Daily'!P15))</f>
        <v>761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10</v>
      </c>
      <c r="S13" s="4">
        <f>IF(('Hampshire Daily'!V16-'Hampshire Daily'!V15&lt;0),"0",('Hampshire Daily'!V16-'Hampshire Daily'!V15))</f>
        <v>1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0.13900000000001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4</v>
      </c>
      <c r="Y13" s="4">
        <f>'Hampshire Daily'!B16</f>
        <v>48</v>
      </c>
      <c r="Z13" s="4">
        <f>'Hampshire Daily'!C16</f>
        <v>110</v>
      </c>
    </row>
    <row r="14" spans="1:30" x14ac:dyDescent="0.25">
      <c r="A14" s="3" t="s">
        <v>40</v>
      </c>
      <c r="B14" s="1">
        <f t="shared" si="0"/>
        <v>13</v>
      </c>
      <c r="C14" s="17">
        <v>11</v>
      </c>
      <c r="D14" s="1">
        <v>2021</v>
      </c>
      <c r="E14" s="4">
        <f>IF(('Hampshire Daily'!D17-'Hampshire Daily'!D16&lt;0),"0",('Hampshire Daily'!D17-'Hampshire Daily'!D16))</f>
        <v>1903</v>
      </c>
      <c r="F14" s="4">
        <f>IF(('Hampshire Daily'!F17-'Hampshire Daily'!F16&lt;0),"0",('Hampshire Daily'!F17-'Hampshire Daily'!F16))</f>
        <v>2965</v>
      </c>
      <c r="G14" s="4">
        <f>IF(('Hampshire Daily'!G17-'Hampshire Daily'!G16&lt;0),"0",('Hampshire Daily'!G17-'Hampshire Daily'!G16))</f>
        <v>2961</v>
      </c>
      <c r="H14" s="4">
        <f>IF(('Hampshire Daily'!I17-'Hampshire Daily'!I16&lt;0),"0",('Hampshire Daily'!I17-'Hampshire Daily'!I16))</f>
        <v>1974.9670000001788</v>
      </c>
      <c r="I14" s="33">
        <f>IF(('Hampshire Daily'!J17-'Hampshire Daily'!J16&lt;0),"0",('Hampshire Daily'!J17-'Hampshire Daily'!J16))</f>
        <v>0.26666700000350829</v>
      </c>
      <c r="J14" s="4">
        <f>IF(('Hampshire Daily'!K17-'Hampshire Daily'!K16&lt;0),"0",('Hampshire Daily'!K17-'Hampshire Daily'!K16))</f>
        <v>295.4332999996841</v>
      </c>
      <c r="K14" s="4">
        <f>IF(('Hampshire Daily'!L17-'Hampshire Daily'!L16&lt;0),"0",('Hampshire Daily'!L17-'Hampshire Daily'!L16))</f>
        <v>1089</v>
      </c>
      <c r="L14" s="4">
        <f>IF(('Hampshire Daily'!M17-'Hampshire Daily'!M16&lt;0),"0",('Hampshire Daily'!M17-'Hampshire Daily'!M16))</f>
        <v>1</v>
      </c>
      <c r="M14" s="4">
        <f>IF(('Hampshire Daily'!N17-'Hampshire Daily'!N16&lt;0),"0",('Hampshire Daily'!N17-'Hampshire Daily'!N16))</f>
        <v>2481</v>
      </c>
      <c r="N14" s="4">
        <f>IF(('Hampshire Daily'!O17-'Hampshire Daily'!O16&lt;0),"0",('Hampshire Daily'!O17-'Hampshire Daily'!O16))</f>
        <v>87</v>
      </c>
      <c r="O14" s="4">
        <f>IF(('Hampshire Daily'!P17-'Hampshire Daily'!P16&lt;0),"0",('Hampshire Daily'!P17-'Hampshire Daily'!P16))</f>
        <v>750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9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9.4999999999913598E-2</v>
      </c>
      <c r="V14" s="4">
        <f>IF(('Hampshire Daily'!Y17-'Hampshire Daily'!Y16&lt;0),"0",('Hampshire Daily'!Y17-'Hampshire Daily'!Y16))</f>
        <v>0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4</v>
      </c>
      <c r="Y14" s="4">
        <f>'Hampshire Daily'!B17</f>
        <v>85</v>
      </c>
      <c r="Z14" s="4">
        <f>'Hampshire Daily'!C17</f>
        <v>187</v>
      </c>
    </row>
    <row r="15" spans="1:30" x14ac:dyDescent="0.25">
      <c r="A15" s="3" t="s">
        <v>40</v>
      </c>
      <c r="B15" s="1">
        <f t="shared" si="0"/>
        <v>14</v>
      </c>
      <c r="C15" s="17">
        <v>11</v>
      </c>
      <c r="D15" s="1">
        <v>2021</v>
      </c>
      <c r="E15" s="4">
        <f>IF(('Hampshire Daily'!D18-'Hampshire Daily'!D17&lt;0),"0",('Hampshire Daily'!D18-'Hampshire Daily'!D17))</f>
        <v>1929</v>
      </c>
      <c r="F15" s="4">
        <f>IF(('Hampshire Daily'!F18-'Hampshire Daily'!F17&lt;0),"0",('Hampshire Daily'!F18-'Hampshire Daily'!F17))</f>
        <v>3096</v>
      </c>
      <c r="G15" s="4">
        <f>IF(('Hampshire Daily'!G18-'Hampshire Daily'!G17&lt;0),"0",('Hampshire Daily'!G18-'Hampshire Daily'!G17))</f>
        <v>3093</v>
      </c>
      <c r="H15" s="4">
        <f>IF(('Hampshire Daily'!I18-'Hampshire Daily'!I17&lt;0),"0",('Hampshire Daily'!I18-'Hampshire Daily'!I17))</f>
        <v>1974.9670000001788</v>
      </c>
      <c r="I15" s="33">
        <f>IF(('Hampshire Daily'!J18-'Hampshire Daily'!J17&lt;0),"0",('Hampshire Daily'!J18-'Hampshire Daily'!J17))</f>
        <v>0.26666700000350829</v>
      </c>
      <c r="J15" s="4">
        <f>IF(('Hampshire Daily'!K18-'Hampshire Daily'!K17&lt;0),"0",('Hampshire Daily'!K18-'Hampshire Daily'!K17))</f>
        <v>295.4332999996841</v>
      </c>
      <c r="K15" s="4">
        <f>IF(('Hampshire Daily'!L18-'Hampshire Daily'!L17&lt;0),"0",('Hampshire Daily'!L18-'Hampshire Daily'!L17))</f>
        <v>1089</v>
      </c>
      <c r="L15" s="4">
        <f>IF(('Hampshire Daily'!M18-'Hampshire Daily'!M17&lt;0),"0",('Hampshire Daily'!M18-'Hampshire Daily'!M17))</f>
        <v>62</v>
      </c>
      <c r="M15" s="4">
        <f>IF(('Hampshire Daily'!N18-'Hampshire Daily'!N17&lt;0),"0",('Hampshire Daily'!N18-'Hampshire Daily'!N17))</f>
        <v>2612</v>
      </c>
      <c r="N15" s="4">
        <f>IF(('Hampshire Daily'!O18-'Hampshire Daily'!O17&lt;0),"0",('Hampshire Daily'!O18-'Hampshire Daily'!O17))</f>
        <v>59</v>
      </c>
      <c r="O15" s="4">
        <f>IF(('Hampshire Daily'!P18-'Hampshire Daily'!P17&lt;0),"0",('Hampshire Daily'!P18-'Hampshire Daily'!P17))</f>
        <v>781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11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8.4000000000060027E-2</v>
      </c>
      <c r="V15" s="4">
        <f>IF(('Hampshire Daily'!Y18-'Hampshire Daily'!Y17&lt;0),"0",('Hampshire Daily'!Y18-'Hampshire Daily'!Y17))</f>
        <v>3.9999999999054126E-3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7</v>
      </c>
      <c r="Y15" s="4">
        <f>'Hampshire Daily'!B18</f>
        <v>51</v>
      </c>
      <c r="Z15" s="4">
        <f>'Hampshire Daily'!C18</f>
        <v>89</v>
      </c>
    </row>
    <row r="16" spans="1:30" x14ac:dyDescent="0.25">
      <c r="A16" s="3" t="s">
        <v>40</v>
      </c>
      <c r="B16" s="1">
        <f t="shared" si="0"/>
        <v>15</v>
      </c>
      <c r="C16" s="17">
        <v>11</v>
      </c>
      <c r="D16" s="1">
        <v>2021</v>
      </c>
      <c r="E16" s="4">
        <f>IF(('Hampshire Daily'!D19-'Hampshire Daily'!D18&lt;0),"0",('Hampshire Daily'!D19-'Hampshire Daily'!D18))</f>
        <v>4481</v>
      </c>
      <c r="F16" s="4">
        <f>IF(('Hampshire Daily'!F19-'Hampshire Daily'!F18&lt;0),"0",('Hampshire Daily'!F19-'Hampshire Daily'!F18))</f>
        <v>2917</v>
      </c>
      <c r="G16" s="4">
        <f>IF(('Hampshire Daily'!G19-'Hampshire Daily'!G18&lt;0),"0",('Hampshire Daily'!G19-'Hampshire Daily'!G18))</f>
        <v>2919</v>
      </c>
      <c r="H16" s="4">
        <f>IF(('Hampshire Daily'!I19-'Hampshire Daily'!I18&lt;0),"0",('Hampshire Daily'!I19-'Hampshire Daily'!I18))</f>
        <v>1974.9670000001788</v>
      </c>
      <c r="I16" s="33">
        <f>IF(('Hampshire Daily'!J19-'Hampshire Daily'!J18&lt;0),"0",('Hampshire Daily'!J19-'Hampshire Daily'!J18))</f>
        <v>0.26666700000350829</v>
      </c>
      <c r="J16" s="4">
        <f>IF(('Hampshire Daily'!K19-'Hampshire Daily'!K18&lt;0),"0",('Hampshire Daily'!K19-'Hampshire Daily'!K18))</f>
        <v>295.4332999996841</v>
      </c>
      <c r="K16" s="4">
        <f>IF(('Hampshire Daily'!L19-'Hampshire Daily'!L18&lt;0),"0",('Hampshire Daily'!L19-'Hampshire Daily'!L18))</f>
        <v>1089</v>
      </c>
      <c r="L16" s="4">
        <f>IF(('Hampshire Daily'!M19-'Hampshire Daily'!M18&lt;0),"0",('Hampshire Daily'!M19-'Hampshire Daily'!M18))</f>
        <v>734</v>
      </c>
      <c r="M16" s="4">
        <f>IF(('Hampshire Daily'!N19-'Hampshire Daily'!N18&lt;0),"0",('Hampshire Daily'!N19-'Hampshire Daily'!N18))</f>
        <v>2187</v>
      </c>
      <c r="N16" s="4">
        <f>IF(('Hampshire Daily'!O19-'Hampshire Daily'!O18&lt;0),"0",('Hampshire Daily'!O19-'Hampshire Daily'!O18))</f>
        <v>105</v>
      </c>
      <c r="O16" s="4">
        <f>IF(('Hampshire Daily'!P19-'Hampshire Daily'!P18&lt;0),"0",('Hampshire Daily'!P19-'Hampshire Daily'!P18))</f>
        <v>752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10</v>
      </c>
      <c r="S16" s="4">
        <f>IF(('Hampshire Daily'!V19-'Hampshire Daily'!V18&lt;0),"0",('Hampshire Daily'!V19-'Hampshire Daily'!V18))</f>
        <v>14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9.1999999999984539E-2</v>
      </c>
      <c r="V16" s="4">
        <f>IF(('Hampshire Daily'!Y19-'Hampshire Daily'!Y18&lt;0),"0",('Hampshire Daily'!Y19-'Hampshire Daily'!Y18))</f>
        <v>3.0000000001564331E-3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7</v>
      </c>
      <c r="Y16" s="4">
        <f>'Hampshire Daily'!B19</f>
        <v>62</v>
      </c>
      <c r="Z16" s="4">
        <f>'Hampshire Daily'!C19</f>
        <v>91</v>
      </c>
    </row>
    <row r="17" spans="1:26" x14ac:dyDescent="0.25">
      <c r="A17" s="3" t="s">
        <v>40</v>
      </c>
      <c r="B17" s="1">
        <f t="shared" si="0"/>
        <v>16</v>
      </c>
      <c r="C17" s="17">
        <v>11</v>
      </c>
      <c r="D17" s="1">
        <v>2021</v>
      </c>
      <c r="E17" s="4">
        <f>IF(('Hampshire Daily'!D20-'Hampshire Daily'!D19&lt;0),"0",('Hampshire Daily'!D20-'Hampshire Daily'!D19))</f>
        <v>4867</v>
      </c>
      <c r="F17" s="4">
        <f>IF(('Hampshire Daily'!F20-'Hampshire Daily'!F19&lt;0),"0",('Hampshire Daily'!F20-'Hampshire Daily'!F19))</f>
        <v>2600</v>
      </c>
      <c r="G17" s="4">
        <f>IF(('Hampshire Daily'!G20-'Hampshire Daily'!G19&lt;0),"0",('Hampshire Daily'!G20-'Hampshire Daily'!G19))</f>
        <v>2592</v>
      </c>
      <c r="H17" s="4">
        <f>IF(('Hampshire Daily'!I20-'Hampshire Daily'!I19&lt;0),"0",('Hampshire Daily'!I20-'Hampshire Daily'!I19))</f>
        <v>1974.9670000001788</v>
      </c>
      <c r="I17" s="33">
        <f>IF(('Hampshire Daily'!J20-'Hampshire Daily'!J19&lt;0),"0",('Hampshire Daily'!J20-'Hampshire Daily'!J19))</f>
        <v>0.26666700000350829</v>
      </c>
      <c r="J17" s="4">
        <f>IF(('Hampshire Daily'!K20-'Hampshire Daily'!K19&lt;0),"0",('Hampshire Daily'!K20-'Hampshire Daily'!K19))</f>
        <v>295.4332999996841</v>
      </c>
      <c r="K17" s="4">
        <f>IF(('Hampshire Daily'!L20-'Hampshire Daily'!L19&lt;0),"0",('Hampshire Daily'!L20-'Hampshire Daily'!L19))</f>
        <v>1089</v>
      </c>
      <c r="L17" s="4">
        <f>IF(('Hampshire Daily'!M20-'Hampshire Daily'!M19&lt;0),"0",('Hampshire Daily'!M20-'Hampshire Daily'!M19))</f>
        <v>754</v>
      </c>
      <c r="M17" s="4">
        <f>IF(('Hampshire Daily'!N20-'Hampshire Daily'!N19&lt;0),"0",('Hampshire Daily'!N20-'Hampshire Daily'!N19))</f>
        <v>2407</v>
      </c>
      <c r="N17" s="4">
        <f>IF(('Hampshire Daily'!O20-'Hampshire Daily'!O19&lt;0),"0",('Hampshire Daily'!O20-'Hampshire Daily'!O19))</f>
        <v>81</v>
      </c>
      <c r="O17" s="4">
        <f>IF(('Hampshire Daily'!P20-'Hampshire Daily'!P19&lt;0),"0",('Hampshire Daily'!P20-'Hampshire Daily'!P19))</f>
        <v>523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10</v>
      </c>
      <c r="S17" s="4">
        <f>IF(('Hampshire Daily'!V20-'Hampshire Daily'!V19&lt;0),"0",('Hampshire Daily'!V20-'Hampshire Daily'!V19))</f>
        <v>0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9.5000000000027285E-2</v>
      </c>
      <c r="V17" s="4">
        <f>IF(('Hampshire Daily'!Y20-'Hampshire Daily'!Y19&lt;0),"0",('Hampshire Daily'!Y20-'Hampshire Daily'!Y19))</f>
        <v>5.0000000001091394E-3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4</v>
      </c>
      <c r="Y17" s="4">
        <f>'Hampshire Daily'!B20</f>
        <v>49</v>
      </c>
      <c r="Z17" s="4">
        <f>'Hampshire Daily'!C20</f>
        <v>86</v>
      </c>
    </row>
    <row r="18" spans="1:26" x14ac:dyDescent="0.25">
      <c r="A18" s="3" t="s">
        <v>40</v>
      </c>
      <c r="B18" s="1">
        <f t="shared" si="0"/>
        <v>17</v>
      </c>
      <c r="C18" s="17">
        <v>11</v>
      </c>
      <c r="D18" s="1">
        <v>2021</v>
      </c>
      <c r="E18" s="4">
        <f>IF(('Hampshire Daily'!D21-'Hampshire Daily'!D20&lt;0),"0",('Hampshire Daily'!D21-'Hampshire Daily'!D20))</f>
        <v>4744</v>
      </c>
      <c r="F18" s="4">
        <f>IF(('Hampshire Daily'!F21-'Hampshire Daily'!F20&lt;0),"0",('Hampshire Daily'!F21-'Hampshire Daily'!F20))</f>
        <v>2955</v>
      </c>
      <c r="G18" s="4">
        <f>IF(('Hampshire Daily'!G21-'Hampshire Daily'!G20&lt;0),"0",('Hampshire Daily'!G21-'Hampshire Daily'!G20))</f>
        <v>2952</v>
      </c>
      <c r="H18" s="4">
        <f>IF(('Hampshire Daily'!I21-'Hampshire Daily'!I20&lt;0),"0",('Hampshire Daily'!I21-'Hampshire Daily'!I20))</f>
        <v>1974.9670000001788</v>
      </c>
      <c r="I18" s="33">
        <f>IF(('Hampshire Daily'!J21-'Hampshire Daily'!J20&lt;0),"0",('Hampshire Daily'!J21-'Hampshire Daily'!J20))</f>
        <v>0.26666700000350829</v>
      </c>
      <c r="J18" s="4">
        <f>IF(('Hampshire Daily'!K21-'Hampshire Daily'!K20&lt;0),"0",('Hampshire Daily'!K21-'Hampshire Daily'!K20))</f>
        <v>295.4332999996841</v>
      </c>
      <c r="K18" s="4">
        <f>IF(('Hampshire Daily'!L21-'Hampshire Daily'!L20&lt;0),"0",('Hampshire Daily'!L21-'Hampshire Daily'!L20))</f>
        <v>1096</v>
      </c>
      <c r="L18" s="4">
        <f>IF(('Hampshire Daily'!M21-'Hampshire Daily'!M20&lt;0),"0",('Hampshire Daily'!M21-'Hampshire Daily'!M20))</f>
        <v>752</v>
      </c>
      <c r="M18" s="4">
        <f>IF(('Hampshire Daily'!N21-'Hampshire Daily'!N20&lt;0),"0",('Hampshire Daily'!N21-'Hampshire Daily'!N20))</f>
        <v>2266</v>
      </c>
      <c r="N18" s="4">
        <f>IF(('Hampshire Daily'!O21-'Hampshire Daily'!O20&lt;0),"0",('Hampshire Daily'!O21-'Hampshire Daily'!O20))</f>
        <v>82</v>
      </c>
      <c r="O18" s="4">
        <f>IF(('Hampshire Daily'!P21-'Hampshire Daily'!P20&lt;0),"0",('Hampshire Daily'!P21-'Hampshire Daily'!P20))</f>
        <v>465</v>
      </c>
      <c r="P18" s="4">
        <f>IF(('Hampshire Daily'!Q21-'Hampshire Daily'!Q20&lt;0),"0",('Hampshire Daily'!Q21-'Hampshire Daily'!Q20))</f>
        <v>124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9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7.7999999999974534E-2</v>
      </c>
      <c r="V18" s="4">
        <f>IF(('Hampshire Daily'!Y21-'Hampshire Daily'!Y20&lt;0),"0",('Hampshire Daily'!Y21-'Hampshire Daily'!Y20))</f>
        <v>3.0999999999949068E-2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4</v>
      </c>
      <c r="Y18" s="4">
        <f>'Hampshire Daily'!B21</f>
        <v>100</v>
      </c>
      <c r="Z18" s="4">
        <f>'Hampshire Daily'!C21</f>
        <v>138</v>
      </c>
    </row>
    <row r="19" spans="1:26" x14ac:dyDescent="0.25">
      <c r="A19" s="3" t="s">
        <v>40</v>
      </c>
      <c r="B19" s="1">
        <f t="shared" si="0"/>
        <v>18</v>
      </c>
      <c r="C19" s="17">
        <v>11</v>
      </c>
      <c r="D19" s="1">
        <v>2021</v>
      </c>
      <c r="E19" s="4">
        <f>IF(('Hampshire Daily'!D22-'Hampshire Daily'!D21&lt;0),"0",('Hampshire Daily'!D22-'Hampshire Daily'!D21))</f>
        <v>5241</v>
      </c>
      <c r="F19" s="4">
        <f>IF(('Hampshire Daily'!F22-'Hampshire Daily'!F21&lt;0),"0",('Hampshire Daily'!F22-'Hampshire Daily'!F21))</f>
        <v>1695</v>
      </c>
      <c r="G19" s="4">
        <f>IF(('Hampshire Daily'!G22-'Hampshire Daily'!G21&lt;0),"0",('Hampshire Daily'!G22-'Hampshire Daily'!G21))</f>
        <v>1694</v>
      </c>
      <c r="H19" s="4">
        <f>IF(('Hampshire Daily'!I22-'Hampshire Daily'!I21&lt;0),"0",('Hampshire Daily'!I22-'Hampshire Daily'!I21))</f>
        <v>1974.9670000001788</v>
      </c>
      <c r="I19" s="33">
        <f>IF(('Hampshire Daily'!J22-'Hampshire Daily'!J21&lt;0),"0",('Hampshire Daily'!J22-'Hampshire Daily'!J21))</f>
        <v>0.26666700000350829</v>
      </c>
      <c r="J19" s="4">
        <f>IF(('Hampshire Daily'!K22-'Hampshire Daily'!K21&lt;0),"0",('Hampshire Daily'!K22-'Hampshire Daily'!K21))</f>
        <v>295.4332999996841</v>
      </c>
      <c r="K19" s="4">
        <f>IF(('Hampshire Daily'!L22-'Hampshire Daily'!L21&lt;0),"0",('Hampshire Daily'!L22-'Hampshire Daily'!L21))</f>
        <v>1089</v>
      </c>
      <c r="L19" s="4">
        <f>IF(('Hampshire Daily'!M22-'Hampshire Daily'!M21&lt;0),"0",('Hampshire Daily'!M22-'Hampshire Daily'!M21))</f>
        <v>721</v>
      </c>
      <c r="M19" s="4">
        <f>IF(('Hampshire Daily'!N22-'Hampshire Daily'!N21&lt;0),"0",('Hampshire Daily'!N22-'Hampshire Daily'!N21))</f>
        <v>2175</v>
      </c>
      <c r="N19" s="4">
        <f>IF(('Hampshire Daily'!O22-'Hampshire Daily'!O21&lt;0),"0",('Hampshire Daily'!O22-'Hampshire Daily'!O21))</f>
        <v>103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501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10</v>
      </c>
      <c r="S19" s="4">
        <f>IF(('Hampshire Daily'!V22-'Hampshire Daily'!V21&lt;0),"0",('Hampshire Daily'!V22-'Hampshire Daily'!V21))</f>
        <v>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6.7999999999983629E-2</v>
      </c>
      <c r="V19" s="4">
        <f>IF(('Hampshire Daily'!Y22-'Hampshire Daily'!Y21&lt;0),"0",('Hampshire Daily'!Y22-'Hampshire Daily'!Y21))</f>
        <v>3.9999999999054126E-3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4</v>
      </c>
      <c r="Y19" s="4">
        <f>'Hampshire Daily'!B22</f>
        <v>109</v>
      </c>
      <c r="Z19" s="4">
        <f>'Hampshire Daily'!C22</f>
        <v>205</v>
      </c>
    </row>
    <row r="20" spans="1:26" x14ac:dyDescent="0.25">
      <c r="A20" s="3" t="s">
        <v>40</v>
      </c>
      <c r="B20" s="1">
        <f t="shared" si="0"/>
        <v>19</v>
      </c>
      <c r="C20" s="17">
        <v>11</v>
      </c>
      <c r="D20" s="1">
        <v>2021</v>
      </c>
      <c r="E20" s="4">
        <f>IF(('Hampshire Daily'!D23-'Hampshire Daily'!D22&lt;0),"0",('Hampshire Daily'!D23-'Hampshire Daily'!D22))</f>
        <v>5702</v>
      </c>
      <c r="F20" s="4">
        <f>IF(('Hampshire Daily'!F23-'Hampshire Daily'!F22&lt;0),"0",('Hampshire Daily'!F23-'Hampshire Daily'!F22))</f>
        <v>4684</v>
      </c>
      <c r="G20" s="4">
        <f>IF(('Hampshire Daily'!G23-'Hampshire Daily'!G22&lt;0),"0",('Hampshire Daily'!G23-'Hampshire Daily'!G22))</f>
        <v>4680</v>
      </c>
      <c r="H20" s="4">
        <f>IF(('Hampshire Daily'!I23-'Hampshire Daily'!I22&lt;0),"0",('Hampshire Daily'!I23-'Hampshire Daily'!I22))</f>
        <v>1974.9670000001788</v>
      </c>
      <c r="I20" s="33">
        <f>IF(('Hampshire Daily'!J23-'Hampshire Daily'!J22&lt;0),"0",('Hampshire Daily'!J23-'Hampshire Daily'!J22))</f>
        <v>0.26666700000350829</v>
      </c>
      <c r="J20" s="4">
        <f>IF(('Hampshire Daily'!K23-'Hampshire Daily'!K22&lt;0),"0",('Hampshire Daily'!K23-'Hampshire Daily'!K22))</f>
        <v>295.4332999996841</v>
      </c>
      <c r="K20" s="4">
        <f>IF(('Hampshire Daily'!L23-'Hampshire Daily'!L22&lt;0),"0",('Hampshire Daily'!L23-'Hampshire Daily'!L22))</f>
        <v>1089</v>
      </c>
      <c r="L20" s="4">
        <f>IF(('Hampshire Daily'!M23-'Hampshire Daily'!M22&lt;0),"0",('Hampshire Daily'!M23-'Hampshire Daily'!M22))</f>
        <v>732</v>
      </c>
      <c r="M20" s="4">
        <f>IF(('Hampshire Daily'!N23-'Hampshire Daily'!N22&lt;0),"0",('Hampshire Daily'!N23-'Hampshire Daily'!N22))</f>
        <v>1843</v>
      </c>
      <c r="N20" s="4">
        <f>IF(('Hampshire Daily'!O23-'Hampshire Daily'!O22&lt;0),"0",('Hampshire Daily'!O23-'Hampshire Daily'!O22))</f>
        <v>103</v>
      </c>
      <c r="O20" s="4">
        <f>IF(('Hampshire Daily'!P23-'Hampshire Daily'!P22&lt;0),"0",('Hampshire Daily'!P23-'Hampshire Daily'!P22))</f>
        <v>7</v>
      </c>
      <c r="P20" s="4">
        <f>IF(('Hampshire Daily'!Q23-'Hampshire Daily'!Q22&lt;0),"0",('Hampshire Daily'!Q23-'Hampshire Daily'!Q22))</f>
        <v>625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9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0.16500000000007731</v>
      </c>
      <c r="V20" s="4">
        <f>IF(('Hampshire Daily'!Y23-'Hampshire Daily'!Y22&lt;0),"0",('Hampshire Daily'!Y23-'Hampshire Daily'!Y22))</f>
        <v>1.2999999999919964E-2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4</v>
      </c>
      <c r="Y20" s="4">
        <f>'Hampshire Daily'!B23</f>
        <v>109</v>
      </c>
      <c r="Z20" s="4">
        <f>'Hampshire Daily'!C23</f>
        <v>258</v>
      </c>
    </row>
    <row r="21" spans="1:26" x14ac:dyDescent="0.25">
      <c r="A21" s="3" t="s">
        <v>40</v>
      </c>
      <c r="B21" s="1">
        <f t="shared" si="0"/>
        <v>20</v>
      </c>
      <c r="C21" s="17">
        <v>11</v>
      </c>
      <c r="D21" s="1">
        <v>2021</v>
      </c>
      <c r="E21" s="4">
        <f>IF(('Hampshire Daily'!D24-'Hampshire Daily'!D23&lt;0),"0",('Hampshire Daily'!D24-'Hampshire Daily'!D23))</f>
        <v>5105</v>
      </c>
      <c r="F21" s="4">
        <f>IF(('Hampshire Daily'!F24-'Hampshire Daily'!F23&lt;0),"0",('Hampshire Daily'!F24-'Hampshire Daily'!F23))</f>
        <v>6536</v>
      </c>
      <c r="G21" s="4">
        <f>IF(('Hampshire Daily'!G24-'Hampshire Daily'!G23&lt;0),"0",('Hampshire Daily'!G24-'Hampshire Daily'!G23))</f>
        <v>6528</v>
      </c>
      <c r="H21" s="4">
        <f>IF(('Hampshire Daily'!I24-'Hampshire Daily'!I23&lt;0),"0",('Hampshire Daily'!I24-'Hampshire Daily'!I23))</f>
        <v>1974.9670000001788</v>
      </c>
      <c r="I21" s="33">
        <f>IF(('Hampshire Daily'!J24-'Hampshire Daily'!J23&lt;0),"0",('Hampshire Daily'!J24-'Hampshire Daily'!J23))</f>
        <v>0.26666700000350829</v>
      </c>
      <c r="J21" s="4">
        <f>IF(('Hampshire Daily'!K24-'Hampshire Daily'!K23&lt;0),"0",('Hampshire Daily'!K24-'Hampshire Daily'!K23))</f>
        <v>295.4332999996841</v>
      </c>
      <c r="K21" s="4">
        <f>IF(('Hampshire Daily'!L24-'Hampshire Daily'!L23&lt;0),"0",('Hampshire Daily'!L24-'Hampshire Daily'!L23))</f>
        <v>1360</v>
      </c>
      <c r="L21" s="4">
        <f>IF(('Hampshire Daily'!M24-'Hampshire Daily'!M23&lt;0),"0",('Hampshire Daily'!M24-'Hampshire Daily'!M23))</f>
        <v>763</v>
      </c>
      <c r="M21" s="4">
        <f>IF(('Hampshire Daily'!N24-'Hampshire Daily'!N23&lt;0),"0",('Hampshire Daily'!N24-'Hampshire Daily'!N23))</f>
        <v>1872</v>
      </c>
      <c r="N21" s="4">
        <f>IF(('Hampshire Daily'!O24-'Hampshire Daily'!O23&lt;0),"0",('Hampshire Daily'!O24-'Hampshire Daily'!O23))</f>
        <v>110</v>
      </c>
      <c r="O21" s="4">
        <f>IF(('Hampshire Daily'!P24-'Hampshire Daily'!P23&lt;0),"0",('Hampshire Daily'!P24-'Hampshire Daily'!P23))</f>
        <v>773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12</v>
      </c>
      <c r="S21" s="4">
        <f>IF(('Hampshire Daily'!V24-'Hampshire Daily'!V23&lt;0),"0",('Hampshire Daily'!V24-'Hampshire Daily'!V23))</f>
        <v>1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1.5999999999962711E-2</v>
      </c>
      <c r="V21" s="4">
        <f>IF(('Hampshire Daily'!Y24-'Hampshire Daily'!Y23&lt;0),"0",('Hampshire Daily'!Y24-'Hampshire Daily'!Y23))</f>
        <v>2.3000000000138243E-2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4</v>
      </c>
      <c r="Y21" s="4">
        <f>'Hampshire Daily'!B24</f>
        <v>71</v>
      </c>
      <c r="Z21" s="4">
        <f>'Hampshire Daily'!C24</f>
        <v>178</v>
      </c>
    </row>
    <row r="22" spans="1:26" x14ac:dyDescent="0.25">
      <c r="A22" s="3" t="s">
        <v>40</v>
      </c>
      <c r="B22" s="1">
        <f t="shared" si="0"/>
        <v>21</v>
      </c>
      <c r="C22" s="17">
        <v>11</v>
      </c>
      <c r="D22" s="1">
        <v>2021</v>
      </c>
      <c r="E22" s="4">
        <f>IF(('Hampshire Daily'!D25-'Hampshire Daily'!D24&lt;0),"0",('Hampshire Daily'!D25-'Hampshire Daily'!D24))</f>
        <v>2706</v>
      </c>
      <c r="F22" s="4">
        <f>IF(('Hampshire Daily'!F25-'Hampshire Daily'!F24&lt;0),"0",('Hampshire Daily'!F25-'Hampshire Daily'!F24))</f>
        <v>6900</v>
      </c>
      <c r="G22" s="4">
        <f>IF(('Hampshire Daily'!G25-'Hampshire Daily'!G24&lt;0),"0",('Hampshire Daily'!G25-'Hampshire Daily'!G24))</f>
        <v>6893</v>
      </c>
      <c r="H22" s="4">
        <f>IF(('Hampshire Daily'!I25-'Hampshire Daily'!I24&lt;0),"0",('Hampshire Daily'!I25-'Hampshire Daily'!I24))</f>
        <v>1974.9670000001788</v>
      </c>
      <c r="I22" s="33">
        <f>IF(('Hampshire Daily'!J25-'Hampshire Daily'!J24&lt;0),"0",('Hampshire Daily'!J25-'Hampshire Daily'!J24))</f>
        <v>0.26666700000350829</v>
      </c>
      <c r="J22" s="4">
        <f>IF(('Hampshire Daily'!K25-'Hampshire Daily'!K24&lt;0),"0",('Hampshire Daily'!K25-'Hampshire Daily'!K24))</f>
        <v>295.4332999996841</v>
      </c>
      <c r="K22" s="4">
        <f>IF(('Hampshire Daily'!L25-'Hampshire Daily'!L24&lt;0),"0",('Hampshire Daily'!L25-'Hampshire Daily'!L24))</f>
        <v>1251</v>
      </c>
      <c r="L22" s="4">
        <f>IF(('Hampshire Daily'!M25-'Hampshire Daily'!M24&lt;0),"0",('Hampshire Daily'!M25-'Hampshire Daily'!M24))</f>
        <v>183</v>
      </c>
      <c r="M22" s="4">
        <f>IF(('Hampshire Daily'!N25-'Hampshire Daily'!N24&lt;0),"0",('Hampshire Daily'!N25-'Hampshire Daily'!N24))</f>
        <v>2335</v>
      </c>
      <c r="N22" s="4">
        <f>IF(('Hampshire Daily'!O25-'Hampshire Daily'!O24&lt;0),"0",('Hampshire Daily'!O25-'Hampshire Daily'!O24))</f>
        <v>104</v>
      </c>
      <c r="O22" s="4">
        <f>IF(('Hampshire Daily'!P25-'Hampshire Daily'!P24&lt;0),"0",('Hampshire Daily'!P25-'Hampshire Daily'!P24))</f>
        <v>773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10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0.24900000000002365</v>
      </c>
      <c r="V22" s="4">
        <f>IF(('Hampshire Daily'!Y25-'Hampshire Daily'!Y24&lt;0),"0",('Hampshire Daily'!Y25-'Hampshire Daily'!Y24))</f>
        <v>9.0000000000145519E-3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6</v>
      </c>
      <c r="Y22" s="4">
        <f>'Hampshire Daily'!B25</f>
        <v>11</v>
      </c>
      <c r="Z22" s="4">
        <f>'Hampshire Daily'!C25</f>
        <v>28</v>
      </c>
    </row>
    <row r="23" spans="1:26" x14ac:dyDescent="0.25">
      <c r="A23" s="3" t="s">
        <v>40</v>
      </c>
      <c r="B23" s="1">
        <f t="shared" si="0"/>
        <v>22</v>
      </c>
      <c r="C23" s="17">
        <v>11</v>
      </c>
      <c r="D23" s="1">
        <v>2021</v>
      </c>
      <c r="E23" s="4">
        <f>IF(('Hampshire Daily'!D26-'Hampshire Daily'!D25&lt;0),"0",('Hampshire Daily'!D26-'Hampshire Daily'!D25))</f>
        <v>1959</v>
      </c>
      <c r="F23" s="4">
        <f>IF(('Hampshire Daily'!F26-'Hampshire Daily'!F25&lt;0),"0",('Hampshire Daily'!F26-'Hampshire Daily'!F25))</f>
        <v>5688</v>
      </c>
      <c r="G23" s="4">
        <f>IF(('Hampshire Daily'!G26-'Hampshire Daily'!G25&lt;0),"0",('Hampshire Daily'!G26-'Hampshire Daily'!G25))</f>
        <v>5683</v>
      </c>
      <c r="H23" s="4">
        <f>IF(('Hampshire Daily'!I26-'Hampshire Daily'!I25&lt;0),"0",('Hampshire Daily'!I26-'Hampshire Daily'!I25))</f>
        <v>1974.9670000001788</v>
      </c>
      <c r="I23" s="33">
        <f>IF(('Hampshire Daily'!J26-'Hampshire Daily'!J25&lt;0),"0",('Hampshire Daily'!J26-'Hampshire Daily'!J25))</f>
        <v>0.26666700000350829</v>
      </c>
      <c r="J23" s="4">
        <f>IF(('Hampshire Daily'!K26-'Hampshire Daily'!K25&lt;0),"0",('Hampshire Daily'!K26-'Hampshire Daily'!K25))</f>
        <v>295.4332999996841</v>
      </c>
      <c r="K23" s="4">
        <f>IF(('Hampshire Daily'!L26-'Hampshire Daily'!L25&lt;0),"0",('Hampshire Daily'!L26-'Hampshire Daily'!L25))</f>
        <v>1089</v>
      </c>
      <c r="L23" s="4">
        <f>IF(('Hampshire Daily'!M26-'Hampshire Daily'!M25&lt;0),"0",('Hampshire Daily'!M26-'Hampshire Daily'!M25))</f>
        <v>2</v>
      </c>
      <c r="M23" s="4">
        <f>IF(('Hampshire Daily'!N26-'Hampshire Daily'!N25&lt;0),"0",('Hampshire Daily'!N26-'Hampshire Daily'!N25))</f>
        <v>2537</v>
      </c>
      <c r="N23" s="4">
        <f>IF(('Hampshire Daily'!O26-'Hampshire Daily'!O25&lt;0),"0",('Hampshire Daily'!O26-'Hampshire Daily'!O25))</f>
        <v>104</v>
      </c>
      <c r="O23" s="4">
        <f>IF(('Hampshire Daily'!P26-'Hampshire Daily'!P25&lt;0),"0",('Hampshire Daily'!P26-'Hampshire Daily'!P25))</f>
        <v>310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9</v>
      </c>
      <c r="S23" s="4">
        <f>IF(('Hampshire Daily'!V26-'Hampshire Daily'!V25&lt;0),"0",('Hampshire Daily'!V26-'Hampshire Daily'!V25))</f>
        <v>14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0.12899999999990541</v>
      </c>
      <c r="V23" s="4">
        <f>IF(('Hampshire Daily'!Y26-'Hampshire Daily'!Y25&lt;0),"0",('Hampshire Daily'!Y26-'Hampshire Daily'!Y25))</f>
        <v>3.0000000001564331E-3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33</v>
      </c>
      <c r="Z23" s="4">
        <f>'Hampshire Daily'!C26</f>
        <v>53</v>
      </c>
    </row>
    <row r="24" spans="1:26" x14ac:dyDescent="0.25">
      <c r="A24" s="3" t="s">
        <v>40</v>
      </c>
      <c r="B24" s="1">
        <f t="shared" si="0"/>
        <v>23</v>
      </c>
      <c r="C24" s="17">
        <v>11</v>
      </c>
      <c r="D24" s="1">
        <v>2021</v>
      </c>
      <c r="E24" s="4">
        <f>IF(('Hampshire Daily'!D27-'Hampshire Daily'!D26&lt;0),"0",('Hampshire Daily'!D27-'Hampshire Daily'!D26))</f>
        <v>1849</v>
      </c>
      <c r="F24" s="4">
        <f>IF(('Hampshire Daily'!F27-'Hampshire Daily'!F26&lt;0),"0",('Hampshire Daily'!F27-'Hampshire Daily'!F26))</f>
        <v>5099</v>
      </c>
      <c r="G24" s="4">
        <f>IF(('Hampshire Daily'!G27-'Hampshire Daily'!G26&lt;0),"0",('Hampshire Daily'!G27-'Hampshire Daily'!G26))</f>
        <v>5092</v>
      </c>
      <c r="H24" s="4">
        <f>IF(('Hampshire Daily'!I27-'Hampshire Daily'!I26&lt;0),"0",('Hampshire Daily'!I27-'Hampshire Daily'!I26))</f>
        <v>1974.9670000001788</v>
      </c>
      <c r="I24" s="33">
        <f>IF(('Hampshire Daily'!J27-'Hampshire Daily'!J26&lt;0),"0",('Hampshire Daily'!J27-'Hampshire Daily'!J26))</f>
        <v>0.26666700000350829</v>
      </c>
      <c r="J24" s="4">
        <f>IF(('Hampshire Daily'!K27-'Hampshire Daily'!K26&lt;0),"0",('Hampshire Daily'!K27-'Hampshire Daily'!K26))</f>
        <v>295.4332999996841</v>
      </c>
      <c r="K24" s="4">
        <f>IF(('Hampshire Daily'!L27-'Hampshire Daily'!L26&lt;0),"0",('Hampshire Daily'!L27-'Hampshire Daily'!L26))</f>
        <v>1114</v>
      </c>
      <c r="L24" s="4">
        <f>IF(('Hampshire Daily'!M27-'Hampshire Daily'!M26&lt;0),"0",('Hampshire Daily'!M27-'Hampshire Daily'!M26))</f>
        <v>331</v>
      </c>
      <c r="M24" s="4">
        <f>IF(('Hampshire Daily'!N27-'Hampshire Daily'!N26&lt;0),"0",('Hampshire Daily'!N27-'Hampshire Daily'!N26))</f>
        <v>2558</v>
      </c>
      <c r="N24" s="4">
        <f>IF(('Hampshire Daily'!O27-'Hampshire Daily'!O26&lt;0),"0",('Hampshire Daily'!O27-'Hampshire Daily'!O26))</f>
        <v>78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9</v>
      </c>
      <c r="S24" s="4">
        <f>IF(('Hampshire Daily'!V27-'Hampshire Daily'!V26&lt;0),"0",('Hampshire Daily'!V27-'Hampshire Daily'!V26))</f>
        <v>1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7.1000000000026375E-2</v>
      </c>
      <c r="V24" s="4">
        <f>IF(('Hampshire Daily'!Y27-'Hampshire Daily'!Y26&lt;0),"0",('Hampshire Daily'!Y27-'Hampshire Daily'!Y26))</f>
        <v>7.9999999998108251E-3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28</v>
      </c>
      <c r="Z24" s="4">
        <f>'Hampshire Daily'!C27</f>
        <v>52</v>
      </c>
    </row>
    <row r="25" spans="1:26" x14ac:dyDescent="0.25">
      <c r="A25" s="3" t="s">
        <v>40</v>
      </c>
      <c r="B25" s="1">
        <f t="shared" si="0"/>
        <v>24</v>
      </c>
      <c r="C25" s="17">
        <v>11</v>
      </c>
      <c r="D25" s="1">
        <v>2021</v>
      </c>
      <c r="E25" s="4">
        <f>IF(('Hampshire Daily'!D28-'Hampshire Daily'!D27&lt;0),"0",('Hampshire Daily'!D28-'Hampshire Daily'!D27))</f>
        <v>2563</v>
      </c>
      <c r="F25" s="4">
        <f>IF(('Hampshire Daily'!F28-'Hampshire Daily'!F27&lt;0),"0",('Hampshire Daily'!F28-'Hampshire Daily'!F27))</f>
        <v>5459</v>
      </c>
      <c r="G25" s="4">
        <f>IF(('Hampshire Daily'!G28-'Hampshire Daily'!G27&lt;0),"0",('Hampshire Daily'!G28-'Hampshire Daily'!G27))</f>
        <v>5454</v>
      </c>
      <c r="H25" s="4">
        <f>IF(('Hampshire Daily'!I28-'Hampshire Daily'!I27&lt;0),"0",('Hampshire Daily'!I28-'Hampshire Daily'!I27))</f>
        <v>1974.9670000001788</v>
      </c>
      <c r="I25" s="33">
        <f>IF(('Hampshire Daily'!J28-'Hampshire Daily'!J27&lt;0),"0",('Hampshire Daily'!J28-'Hampshire Daily'!J27))</f>
        <v>0.26666700000350829</v>
      </c>
      <c r="J25" s="4">
        <f>IF(('Hampshire Daily'!K28-'Hampshire Daily'!K27&lt;0),"0",('Hampshire Daily'!K28-'Hampshire Daily'!K27))</f>
        <v>295.4332999996841</v>
      </c>
      <c r="K25" s="4">
        <f>IF(('Hampshire Daily'!L28-'Hampshire Daily'!L27&lt;0),"0",('Hampshire Daily'!L28-'Hampshire Daily'!L27))</f>
        <v>1114</v>
      </c>
      <c r="L25" s="4" t="str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2592</v>
      </c>
      <c r="N25" s="4">
        <f>IF(('Hampshire Daily'!O28-'Hampshire Daily'!O27&lt;0),"0",('Hampshire Daily'!O28-'Hampshire Daily'!O27))</f>
        <v>78</v>
      </c>
      <c r="O25" s="4">
        <f>IF(('Hampshire Daily'!P28-'Hampshire Daily'!P27&lt;0),"0",('Hampshire Daily'!P28-'Hampshire Daily'!P27))</f>
        <v>186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9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7.2999999999979082E-2</v>
      </c>
      <c r="V25" s="4">
        <f>IF(('Hampshire Daily'!Y28-'Hampshire Daily'!Y27&lt;0),"0",('Hampshire Daily'!Y28-'Hampshire Daily'!Y27))</f>
        <v>3.0000000001564331E-3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8</v>
      </c>
      <c r="Y25" s="4">
        <f>'Hampshire Daily'!B28</f>
        <v>32</v>
      </c>
      <c r="Z25" s="4">
        <f>'Hampshire Daily'!C28</f>
        <v>56</v>
      </c>
    </row>
    <row r="26" spans="1:26" x14ac:dyDescent="0.25">
      <c r="A26" s="3" t="s">
        <v>40</v>
      </c>
      <c r="B26" s="29">
        <f>B25+1</f>
        <v>25</v>
      </c>
      <c r="C26" s="17">
        <v>11</v>
      </c>
      <c r="D26" s="1">
        <v>2021</v>
      </c>
      <c r="E26" s="4">
        <f>IF(('Hampshire Daily'!D29-'Hampshire Daily'!D28&lt;0),"0",('Hampshire Daily'!D29-'Hampshire Daily'!D28))</f>
        <v>2707</v>
      </c>
      <c r="F26" s="4">
        <f>IF(('Hampshire Daily'!F29-'Hampshire Daily'!F28&lt;0),"0",('Hampshire Daily'!F29-'Hampshire Daily'!F28))</f>
        <v>6116</v>
      </c>
      <c r="G26" s="4">
        <f>IF(('Hampshire Daily'!G29-'Hampshire Daily'!G28&lt;0),"0",('Hampshire Daily'!G29-'Hampshire Daily'!G28))</f>
        <v>6109</v>
      </c>
      <c r="H26" s="4">
        <f>IF(('Hampshire Daily'!I29-'Hampshire Daily'!I28&lt;0),"0",('Hampshire Daily'!I29-'Hampshire Daily'!I28))</f>
        <v>1974.9670000001788</v>
      </c>
      <c r="I26" s="33">
        <f>IF(('Hampshire Daily'!J29-'Hampshire Daily'!J28&lt;0),"0",('Hampshire Daily'!J29-'Hampshire Daily'!J28))</f>
        <v>0.26666700000350829</v>
      </c>
      <c r="J26" s="4">
        <f>IF(('Hampshire Daily'!K29-'Hampshire Daily'!K28&lt;0),"0",('Hampshire Daily'!K29-'Hampshire Daily'!K28))</f>
        <v>295.4332999996841</v>
      </c>
      <c r="K26" s="4">
        <f>IF(('Hampshire Daily'!L29-'Hampshire Daily'!L28&lt;0),"0",('Hampshire Daily'!L29-'Hampshire Daily'!L28))</f>
        <v>1114</v>
      </c>
      <c r="L26" s="4">
        <f>IF(('Hampshire Daily'!M29-'Hampshire Daily'!M28&lt;0),"0",('Hampshire Daily'!M29-'Hampshire Daily'!M28))</f>
        <v>1</v>
      </c>
      <c r="M26" s="4">
        <f>IF(('Hampshire Daily'!N29-'Hampshire Daily'!N28&lt;0),"0",('Hampshire Daily'!N29-'Hampshire Daily'!N28))</f>
        <v>2890</v>
      </c>
      <c r="N26" s="4">
        <f>IF(('Hampshire Daily'!O29-'Hampshire Daily'!O28&lt;0),"0",('Hampshire Daily'!O29-'Hampshire Daily'!O28))</f>
        <v>78</v>
      </c>
      <c r="O26" s="4">
        <f>IF(('Hampshire Daily'!P29-'Hampshire Daily'!P28&lt;0),"0",('Hampshire Daily'!P29-'Hampshire Daily'!P28))</f>
        <v>180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11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0.18299999999999272</v>
      </c>
      <c r="V26" s="4">
        <f>IF(('Hampshire Daily'!Y29-'Hampshire Daily'!Y28&lt;0),"0",('Hampshire Daily'!Y29-'Hampshire Daily'!Y28))</f>
        <v>1.6000000000076398E-2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10</v>
      </c>
      <c r="Z26" s="4">
        <f>'Hampshire Daily'!C29</f>
        <v>24</v>
      </c>
    </row>
    <row r="27" spans="1:26" x14ac:dyDescent="0.25">
      <c r="A27" s="3" t="s">
        <v>40</v>
      </c>
      <c r="B27" s="1">
        <f t="shared" si="0"/>
        <v>26</v>
      </c>
      <c r="C27" s="17">
        <v>11</v>
      </c>
      <c r="D27" s="1">
        <v>2021</v>
      </c>
      <c r="E27" s="4">
        <f>IF(('Hampshire Daily'!D30-'Hampshire Daily'!D29&lt;0),"0",('Hampshire Daily'!D30-'Hampshire Daily'!D29))</f>
        <v>1829</v>
      </c>
      <c r="F27" s="4">
        <f>IF(('Hampshire Daily'!F30-'Hampshire Daily'!F29&lt;0),"0",('Hampshire Daily'!F30-'Hampshire Daily'!F29))</f>
        <v>4449</v>
      </c>
      <c r="G27" s="4">
        <f>IF(('Hampshire Daily'!G30-'Hampshire Daily'!G29&lt;0),"0",('Hampshire Daily'!G30-'Hampshire Daily'!G29))</f>
        <v>4444</v>
      </c>
      <c r="H27" s="4">
        <f>IF(('Hampshire Daily'!I30-'Hampshire Daily'!I29&lt;0),"0",('Hampshire Daily'!I30-'Hampshire Daily'!I29))</f>
        <v>1974.9670000001788</v>
      </c>
      <c r="I27" s="33">
        <f>IF(('Hampshire Daily'!J30-'Hampshire Daily'!J29&lt;0),"0",('Hampshire Daily'!J30-'Hampshire Daily'!J29))</f>
        <v>0.26666700000350829</v>
      </c>
      <c r="J27" s="4">
        <f>IF(('Hampshire Daily'!K30-'Hampshire Daily'!K29&lt;0),"0",('Hampshire Daily'!K30-'Hampshire Daily'!K29))</f>
        <v>295.4332999996841</v>
      </c>
      <c r="K27" s="4">
        <f>IF(('Hampshire Daily'!L30-'Hampshire Daily'!L29&lt;0),"0",('Hampshire Daily'!L30-'Hampshire Daily'!L29))</f>
        <v>1114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2201</v>
      </c>
      <c r="N27" s="4">
        <f>IF(('Hampshire Daily'!O30-'Hampshire Daily'!O29&lt;0),"0",('Hampshire Daily'!O30-'Hampshire Daily'!O29))</f>
        <v>78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277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8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0.17700000000002092</v>
      </c>
      <c r="V27" s="4">
        <f>IF(('Hampshire Daily'!Y30-'Hampshire Daily'!Y29&lt;0),"0",('Hampshire Daily'!Y30-'Hampshire Daily'!Y29))</f>
        <v>1.599999999962165E-2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7</v>
      </c>
      <c r="Y27" s="4">
        <f>'Hampshire Daily'!B30</f>
        <v>58</v>
      </c>
      <c r="Z27" s="4">
        <f>'Hampshire Daily'!C30</f>
        <v>157</v>
      </c>
    </row>
    <row r="28" spans="1:26" x14ac:dyDescent="0.25">
      <c r="A28" s="3" t="s">
        <v>40</v>
      </c>
      <c r="B28" s="1">
        <f t="shared" si="0"/>
        <v>27</v>
      </c>
      <c r="C28" s="17">
        <v>11</v>
      </c>
      <c r="D28" s="1">
        <v>2021</v>
      </c>
      <c r="E28" s="4">
        <f>IF(('Hampshire Daily'!D31-'Hampshire Daily'!D30&lt;0),"0",('Hampshire Daily'!D31-'Hampshire Daily'!D30))</f>
        <v>2739</v>
      </c>
      <c r="F28" s="4">
        <f>IF(('Hampshire Daily'!F31-'Hampshire Daily'!F30&lt;0),"0",('Hampshire Daily'!F31-'Hampshire Daily'!F30))</f>
        <v>5425</v>
      </c>
      <c r="G28" s="4">
        <f>IF(('Hampshire Daily'!G31-'Hampshire Daily'!G30&lt;0),"0",('Hampshire Daily'!G31-'Hampshire Daily'!G30))</f>
        <v>5419</v>
      </c>
      <c r="H28" s="4">
        <f>IF(('Hampshire Daily'!I31-'Hampshire Daily'!I30&lt;0),"0",('Hampshire Daily'!I31-'Hampshire Daily'!I30))</f>
        <v>1974.9670000001788</v>
      </c>
      <c r="I28" s="33">
        <f>IF(('Hampshire Daily'!J31-'Hampshire Daily'!J30&lt;0),"0",('Hampshire Daily'!J31-'Hampshire Daily'!J30))</f>
        <v>0.26666700000350829</v>
      </c>
      <c r="J28" s="4">
        <f>IF(('Hampshire Daily'!K31-'Hampshire Daily'!K30&lt;0),"0",('Hampshire Daily'!K31-'Hampshire Daily'!K30))</f>
        <v>295.4332999996841</v>
      </c>
      <c r="K28" s="4">
        <f>IF(('Hampshire Daily'!L31-'Hampshire Daily'!L30&lt;0),"0",('Hampshire Daily'!L31-'Hampshire Daily'!L30))</f>
        <v>1114</v>
      </c>
      <c r="L28" s="4">
        <f>IF(('Hampshire Daily'!M31-'Hampshire Daily'!M30&lt;0),"0",('Hampshire Daily'!M31-'Hampshire Daily'!M30))</f>
        <v>2</v>
      </c>
      <c r="M28" s="4">
        <f>IF(('Hampshire Daily'!N31-'Hampshire Daily'!N30&lt;0),"0",('Hampshire Daily'!N31-'Hampshire Daily'!N30))</f>
        <v>2722</v>
      </c>
      <c r="N28" s="4">
        <f>IF(('Hampshire Daily'!O31-'Hampshire Daily'!O30&lt;0),"0",('Hampshire Daily'!O31-'Hampshire Daily'!O30))</f>
        <v>78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416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0.43900000000007822</v>
      </c>
      <c r="V28" s="4">
        <f>IF(('Hampshire Daily'!Y31-'Hampshire Daily'!Y30&lt;0),"0",('Hampshire Daily'!Y31-'Hampshire Daily'!Y30))</f>
        <v>1.2000000000170985E-2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8</v>
      </c>
      <c r="Y28" s="4">
        <f>'Hampshire Daily'!B31</f>
        <v>84</v>
      </c>
      <c r="Z28" s="4">
        <f>'Hampshire Daily'!C31</f>
        <v>223</v>
      </c>
    </row>
    <row r="29" spans="1:26" x14ac:dyDescent="0.25">
      <c r="A29" s="3" t="s">
        <v>40</v>
      </c>
      <c r="B29" s="1">
        <f t="shared" si="0"/>
        <v>28</v>
      </c>
      <c r="C29" s="17">
        <v>11</v>
      </c>
      <c r="D29" s="1">
        <v>2021</v>
      </c>
      <c r="E29" s="4">
        <f>IF(('Hampshire Daily'!D32-'Hampshire Daily'!D31&lt;0),"0",('Hampshire Daily'!D32-'Hampshire Daily'!D31))</f>
        <v>2796</v>
      </c>
      <c r="F29" s="4">
        <f>IF(('Hampshire Daily'!F32-'Hampshire Daily'!F31&lt;0),"0",('Hampshire Daily'!F32-'Hampshire Daily'!F31))</f>
        <v>5879</v>
      </c>
      <c r="G29" s="4">
        <f>IF(('Hampshire Daily'!G32-'Hampshire Daily'!G31&lt;0),"0",('Hampshire Daily'!G32-'Hampshire Daily'!G31))</f>
        <v>5870</v>
      </c>
      <c r="H29" s="4">
        <f>IF(('Hampshire Daily'!I32-'Hampshire Daily'!I31&lt;0),"0",('Hampshire Daily'!I32-'Hampshire Daily'!I31))</f>
        <v>1974.9670000001788</v>
      </c>
      <c r="I29" s="33">
        <f>IF(('Hampshire Daily'!J32-'Hampshire Daily'!J31&lt;0),"0",('Hampshire Daily'!J32-'Hampshire Daily'!J31))</f>
        <v>0.26666700000350829</v>
      </c>
      <c r="J29" s="4">
        <f>IF(('Hampshire Daily'!K32-'Hampshire Daily'!K31&lt;0),"0",('Hampshire Daily'!K32-'Hampshire Daily'!K31))</f>
        <v>295.4332999996841</v>
      </c>
      <c r="K29" s="4">
        <f>IF(('Hampshire Daily'!L32-'Hampshire Daily'!L31&lt;0),"0",('Hampshire Daily'!L32-'Hampshire Daily'!L31))</f>
        <v>1114</v>
      </c>
      <c r="L29" s="4">
        <f>IF(('Hampshire Daily'!M32-'Hampshire Daily'!M31&lt;0),"0",('Hampshire Daily'!M32-'Hampshire Daily'!M31))</f>
        <v>18</v>
      </c>
      <c r="M29" s="4">
        <f>IF(('Hampshire Daily'!N32-'Hampshire Daily'!N31&lt;0),"0",('Hampshire Daily'!N32-'Hampshire Daily'!N31))</f>
        <v>3121</v>
      </c>
      <c r="N29" s="4">
        <f>IF(('Hampshire Daily'!O32-'Hampshire Daily'!O31&lt;0),"0",('Hampshire Daily'!O32-'Hampshire Daily'!O31))</f>
        <v>99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559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25</v>
      </c>
      <c r="S29" s="4">
        <f>IF(('Hampshire Daily'!V32-'Hampshire Daily'!V31&lt;0),"0",('Hampshire Daily'!V32-'Hampshire Daily'!V31))</f>
        <v>2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0.26599999999996271</v>
      </c>
      <c r="V29" s="4">
        <f>IF(('Hampshire Daily'!Y32-'Hampshire Daily'!Y31&lt;0),"0",('Hampshire Daily'!Y32-'Hampshire Daily'!Y31))</f>
        <v>1.6999999999825377E-2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20</v>
      </c>
      <c r="Z29" s="4">
        <f>'Hampshire Daily'!C32</f>
        <v>59</v>
      </c>
    </row>
    <row r="30" spans="1:26" x14ac:dyDescent="0.25">
      <c r="A30" s="3" t="s">
        <v>40</v>
      </c>
      <c r="B30" s="1">
        <f t="shared" si="0"/>
        <v>29</v>
      </c>
      <c r="C30" s="17">
        <v>11</v>
      </c>
      <c r="D30" s="1">
        <v>2021</v>
      </c>
      <c r="E30" s="4">
        <f>IF(('Hampshire Daily'!D33-'Hampshire Daily'!D32&lt;0),"0",('Hampshire Daily'!D33-'Hampshire Daily'!D32))</f>
        <v>2591</v>
      </c>
      <c r="F30" s="4">
        <f>IF(('Hampshire Daily'!F33-'Hampshire Daily'!F32&lt;0),"0",('Hampshire Daily'!F33-'Hampshire Daily'!F32))</f>
        <v>5333</v>
      </c>
      <c r="G30" s="4">
        <f>IF(('Hampshire Daily'!G33-'Hampshire Daily'!G32&lt;0),"0",('Hampshire Daily'!G33-'Hampshire Daily'!G32))</f>
        <v>5329</v>
      </c>
      <c r="H30" s="4">
        <f>IF(('Hampshire Daily'!I33-'Hampshire Daily'!I32&lt;0),"0",('Hampshire Daily'!I33-'Hampshire Daily'!I32))</f>
        <v>1974.9670000001788</v>
      </c>
      <c r="I30" s="33">
        <f>IF(('Hampshire Daily'!J33-'Hampshire Daily'!J32&lt;0),"0",('Hampshire Daily'!J33-'Hampshire Daily'!J32))</f>
        <v>0.26666700000350829</v>
      </c>
      <c r="J30" s="4">
        <f>IF(('Hampshire Daily'!K33-'Hampshire Daily'!K32&lt;0),"0",('Hampshire Daily'!K33-'Hampshire Daily'!K32))</f>
        <v>295.4332999996841</v>
      </c>
      <c r="K30" s="4">
        <f>IF(('Hampshire Daily'!L33-'Hampshire Daily'!L32&lt;0),"0",('Hampshire Daily'!L33-'Hampshire Daily'!L32))</f>
        <v>1114</v>
      </c>
      <c r="L30" s="4">
        <f>IF(('Hampshire Daily'!M33-'Hampshire Daily'!M32&lt;0),"0",('Hampshire Daily'!M33-'Hampshire Daily'!M32))</f>
        <v>12</v>
      </c>
      <c r="M30" s="4">
        <f>IF(('Hampshire Daily'!N33-'Hampshire Daily'!N32&lt;0),"0",('Hampshire Daily'!N33-'Hampshire Daily'!N32))</f>
        <v>2821.5</v>
      </c>
      <c r="N30" s="4">
        <f>IF(('Hampshire Daily'!O33-'Hampshire Daily'!O32&lt;0),"0",('Hampshire Daily'!O33-'Hampshire Daily'!O32))</f>
        <v>99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445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11</v>
      </c>
      <c r="S30" s="4">
        <f>IF(('Hampshire Daily'!V33-'Hampshire Daily'!V32&lt;0),"0",('Hampshire Daily'!V33-'Hampshire Daily'!V32))</f>
        <v>5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0.2279999999999518</v>
      </c>
      <c r="V30" s="4">
        <f>IF(('Hampshire Daily'!Y33-'Hampshire Daily'!Y32&lt;0),"0",('Hampshire Daily'!Y33-'Hampshire Daily'!Y32))</f>
        <v>1.1000000000422006E-2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6</v>
      </c>
      <c r="Y30" s="4">
        <f>'Hampshire Daily'!B33</f>
        <v>15</v>
      </c>
      <c r="Z30" s="4">
        <f>'Hampshire Daily'!C33</f>
        <v>37</v>
      </c>
    </row>
    <row r="31" spans="1:26" x14ac:dyDescent="0.25">
      <c r="A31" s="3" t="s">
        <v>40</v>
      </c>
      <c r="B31" s="1">
        <f t="shared" si="0"/>
        <v>30</v>
      </c>
      <c r="C31" s="17">
        <v>11</v>
      </c>
      <c r="D31" s="1">
        <v>2021</v>
      </c>
      <c r="E31" s="4">
        <f>IF(('Hampshire Daily'!D34-'Hampshire Daily'!D33&lt;0),"0",('Hampshire Daily'!D34-'Hampshire Daily'!D33))</f>
        <v>2749</v>
      </c>
      <c r="F31" s="4">
        <f>IF(('Hampshire Daily'!F34-'Hampshire Daily'!F33&lt;0),"0",('Hampshire Daily'!F34-'Hampshire Daily'!F33))</f>
        <v>5178</v>
      </c>
      <c r="G31" s="4">
        <f>IF(('Hampshire Daily'!G34-'Hampshire Daily'!G33&lt;0),"0",('Hampshire Daily'!G34-'Hampshire Daily'!G33))</f>
        <v>5172</v>
      </c>
      <c r="H31" s="4">
        <f>IF(('Hampshire Daily'!H34-'Hampshire Daily'!H33&lt;0),"0",('Hampshire Daily'!H34-'Hampshire Daily'!H33))</f>
        <v>874</v>
      </c>
      <c r="I31" s="33">
        <f>IF(('Hampshire Daily'!J34-'Hampshire Daily'!J33&lt;0),"0",('Hampshire Daily'!J34-'Hampshire Daily'!J33))</f>
        <v>0.26665699989825953</v>
      </c>
      <c r="J31" s="4">
        <f>IF(('Hampshire Daily'!J34-'Hampshire Daily'!J33&lt;0),"0",('Hampshire Daily'!J34-'Hampshire Daily'!J33))</f>
        <v>0.26665699989825953</v>
      </c>
      <c r="K31" s="4">
        <f>IF(('Hampshire Daily'!L34-'Hampshire Daily'!L33&lt;0),"0",('Hampshire Daily'!L34-'Hampshire Daily'!L33))</f>
        <v>1114</v>
      </c>
      <c r="L31" s="4">
        <f>IF(('Hampshire Daily'!M34-'Hampshire Daily'!M33&lt;0),"0",('Hampshire Daily'!M34-'Hampshire Daily'!M33))</f>
        <v>6</v>
      </c>
      <c r="M31" s="4">
        <f>IF(('Hampshire Daily'!N34-'Hampshire Daily'!N33&lt;0),"0",('Hampshire Daily'!N34-'Hampshire Daily'!N33))</f>
        <v>2821.5</v>
      </c>
      <c r="N31" s="4">
        <f>IF(('Hampshire Daily'!O34-'Hampshire Daily'!O33&lt;0),"0",('Hampshire Daily'!O34-'Hampshire Daily'!O33))</f>
        <v>100</v>
      </c>
      <c r="O31" s="4" t="str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481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>
        <f>IF(('Hampshire Daily'!W34-'Hampshire Daily'!W33&lt;0),"0",('Hampshire Daily'!W34-'Hampshire Daily'!W33))</f>
        <v>1.0000000000331966E-3</v>
      </c>
      <c r="U31" s="4">
        <f>IF(('Hampshire Daily'!X34-'Hampshire Daily'!X33&lt;0),"0",('Hampshire Daily'!X34-'Hampshire Daily'!X33))</f>
        <v>1.4999999999986358E-2</v>
      </c>
      <c r="V31" s="4">
        <f>IF(('Hampshire Daily'!Y34-'Hampshire Daily'!Y33&lt;0),"0",('Hampshire Daily'!Y34-'Hampshire Daily'!Y33))</f>
        <v>9.9999999997635314E-3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6</v>
      </c>
      <c r="Y31" s="4">
        <f>'Hampshire Daily'!B34</f>
        <v>27</v>
      </c>
      <c r="Z31" s="4">
        <f>'Hampshire Daily'!C34</f>
        <v>51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B36" sqref="B3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11</v>
      </c>
      <c r="D2" s="2">
        <v>2021</v>
      </c>
      <c r="E2" s="4">
        <f>(Submetering!E2+Submetering!F2)</f>
        <v>4057</v>
      </c>
      <c r="F2" s="12">
        <v>0.28999999999999998</v>
      </c>
      <c r="G2" s="4">
        <f>Submetering!M2</f>
        <v>2362</v>
      </c>
      <c r="H2" s="12">
        <v>0.4</v>
      </c>
      <c r="I2" s="4">
        <f>Submetering!N2</f>
        <v>98</v>
      </c>
      <c r="J2" s="13">
        <v>2.06</v>
      </c>
      <c r="K2" s="4">
        <f>'Hampshire Daily'!B5</f>
        <v>123</v>
      </c>
      <c r="L2" s="4">
        <f>'Hampshire Daily'!C5</f>
        <v>158</v>
      </c>
    </row>
    <row r="3" spans="1:24" x14ac:dyDescent="0.25">
      <c r="A3" s="3" t="s">
        <v>40</v>
      </c>
      <c r="B3" s="2">
        <f>B2+1</f>
        <v>2</v>
      </c>
      <c r="C3" s="2">
        <v>11</v>
      </c>
      <c r="D3" s="2">
        <v>2021</v>
      </c>
      <c r="E3" s="4">
        <f>Submetering!E3+Submetering!F3</f>
        <v>4863</v>
      </c>
      <c r="F3" s="12">
        <v>0.28999999999999998</v>
      </c>
      <c r="G3" s="4">
        <f>Submetering!M3</f>
        <v>2320</v>
      </c>
      <c r="H3" s="12">
        <v>0.4</v>
      </c>
      <c r="I3" s="4">
        <f>Submetering!N3</f>
        <v>82</v>
      </c>
      <c r="J3" s="13">
        <v>2.06</v>
      </c>
      <c r="K3" s="4">
        <f>'Hampshire Daily'!B6</f>
        <v>32</v>
      </c>
      <c r="L3" s="4">
        <f>'Hampshire Daily'!C6</f>
        <v>58</v>
      </c>
    </row>
    <row r="4" spans="1:24" x14ac:dyDescent="0.25">
      <c r="A4" s="3" t="s">
        <v>40</v>
      </c>
      <c r="B4" s="2">
        <f t="shared" ref="B4:B31" si="0">B3+1</f>
        <v>3</v>
      </c>
      <c r="C4" s="2">
        <v>11</v>
      </c>
      <c r="D4" s="2">
        <v>2021</v>
      </c>
      <c r="E4" s="4">
        <f>Submetering!E4+Submetering!F4</f>
        <v>4718</v>
      </c>
      <c r="F4" s="12">
        <v>0.28999999999999998</v>
      </c>
      <c r="G4" s="4">
        <f>Submetering!M4</f>
        <v>2505</v>
      </c>
      <c r="H4" s="12">
        <v>0.4</v>
      </c>
      <c r="I4" s="4">
        <f>Submetering!N4</f>
        <v>77</v>
      </c>
      <c r="J4" s="13">
        <v>2.06</v>
      </c>
      <c r="K4" s="4">
        <f>'Hampshire Daily'!B7</f>
        <v>35</v>
      </c>
      <c r="L4" s="4">
        <f>'Hampshire Daily'!C7</f>
        <v>62</v>
      </c>
    </row>
    <row r="5" spans="1:24" x14ac:dyDescent="0.25">
      <c r="A5" s="3" t="s">
        <v>40</v>
      </c>
      <c r="B5" s="2">
        <f t="shared" si="0"/>
        <v>4</v>
      </c>
      <c r="C5" s="2">
        <v>11</v>
      </c>
      <c r="D5" s="2">
        <v>2021</v>
      </c>
      <c r="E5" s="4">
        <f>Submetering!E5+Submetering!F5</f>
        <v>3595</v>
      </c>
      <c r="F5" s="12">
        <v>0.28999999999999998</v>
      </c>
      <c r="G5" s="4">
        <f>Submetering!M5</f>
        <v>2339</v>
      </c>
      <c r="H5" s="12">
        <v>0.4</v>
      </c>
      <c r="I5" s="4">
        <f>Submetering!N5</f>
        <v>86</v>
      </c>
      <c r="J5" s="13">
        <v>2.06</v>
      </c>
      <c r="K5" s="4">
        <f>'Hampshire Daily'!B8</f>
        <v>41</v>
      </c>
      <c r="L5" s="4">
        <f>'Hampshire Daily'!C8</f>
        <v>70</v>
      </c>
    </row>
    <row r="6" spans="1:24" x14ac:dyDescent="0.25">
      <c r="A6" s="3" t="s">
        <v>40</v>
      </c>
      <c r="B6" s="2">
        <f t="shared" si="0"/>
        <v>5</v>
      </c>
      <c r="C6" s="2">
        <v>11</v>
      </c>
      <c r="D6" s="2">
        <v>2021</v>
      </c>
      <c r="E6" s="4">
        <f>Submetering!E6+Submetering!F6</f>
        <v>3640</v>
      </c>
      <c r="F6" s="12">
        <v>0.28999999999999998</v>
      </c>
      <c r="G6" s="4">
        <f>Submetering!M6</f>
        <v>2485</v>
      </c>
      <c r="H6" s="12">
        <v>0.4</v>
      </c>
      <c r="I6" s="4">
        <f>Submetering!N6</f>
        <v>83</v>
      </c>
      <c r="J6" s="13">
        <v>2.06</v>
      </c>
      <c r="K6" s="4">
        <f>'Hampshire Daily'!B9</f>
        <v>60</v>
      </c>
      <c r="L6" s="4">
        <f>'Hampshire Daily'!C9</f>
        <v>137</v>
      </c>
    </row>
    <row r="7" spans="1:24" x14ac:dyDescent="0.25">
      <c r="A7" s="3" t="s">
        <v>40</v>
      </c>
      <c r="B7" s="2">
        <f t="shared" si="0"/>
        <v>6</v>
      </c>
      <c r="C7" s="2">
        <v>11</v>
      </c>
      <c r="D7" s="2">
        <v>2021</v>
      </c>
      <c r="E7" s="4">
        <f>Submetering!E7+Submetering!F7</f>
        <v>4434</v>
      </c>
      <c r="F7" s="12">
        <v>0.28999999999999998</v>
      </c>
      <c r="G7" s="4">
        <f>Submetering!M7</f>
        <v>2593</v>
      </c>
      <c r="H7" s="12">
        <v>0.4</v>
      </c>
      <c r="I7" s="4">
        <f>Submetering!N7</f>
        <v>68</v>
      </c>
      <c r="J7" s="13">
        <v>2.06</v>
      </c>
      <c r="K7" s="4">
        <f>'Hampshire Daily'!B10</f>
        <v>74</v>
      </c>
      <c r="L7" s="4">
        <f>'Hampshire Daily'!C10</f>
        <v>163</v>
      </c>
    </row>
    <row r="8" spans="1:24" x14ac:dyDescent="0.25">
      <c r="A8" s="3" t="s">
        <v>40</v>
      </c>
      <c r="B8" s="2">
        <f t="shared" si="0"/>
        <v>7</v>
      </c>
      <c r="C8" s="2">
        <v>11</v>
      </c>
      <c r="D8" s="2">
        <v>2021</v>
      </c>
      <c r="E8" s="4">
        <f>Submetering!E8+Submetering!F8</f>
        <v>4784</v>
      </c>
      <c r="F8" s="12">
        <v>0.28999999999999998</v>
      </c>
      <c r="G8" s="4">
        <f>Submetering!M8</f>
        <v>2422</v>
      </c>
      <c r="H8" s="12">
        <v>0.4</v>
      </c>
      <c r="I8" s="4">
        <f>Submetering!N8</f>
        <v>89</v>
      </c>
      <c r="J8" s="13">
        <v>2.06</v>
      </c>
      <c r="K8" s="4">
        <f>'Hampshire Daily'!B11</f>
        <v>50</v>
      </c>
      <c r="L8" s="4">
        <f>'Hampshire Daily'!C11</f>
        <v>89</v>
      </c>
    </row>
    <row r="9" spans="1:24" x14ac:dyDescent="0.25">
      <c r="A9" s="3" t="s">
        <v>40</v>
      </c>
      <c r="B9" s="2">
        <f t="shared" si="0"/>
        <v>8</v>
      </c>
      <c r="C9" s="2">
        <v>11</v>
      </c>
      <c r="D9" s="2">
        <v>2021</v>
      </c>
      <c r="E9" s="4">
        <f>Submetering!E9+Submetering!F9</f>
        <v>5028</v>
      </c>
      <c r="F9" s="12">
        <v>0.28999999999999998</v>
      </c>
      <c r="G9" s="4">
        <f>Submetering!M9</f>
        <v>2494</v>
      </c>
      <c r="H9" s="12">
        <v>0.4</v>
      </c>
      <c r="I9" s="4" t="str">
        <f>Submetering!N9</f>
        <v>0</v>
      </c>
      <c r="J9" s="13">
        <v>2.06</v>
      </c>
      <c r="K9" s="4">
        <f>'Hampshire Daily'!B12</f>
        <v>37</v>
      </c>
      <c r="L9" s="4">
        <f>'Hampshire Daily'!C12</f>
        <v>68</v>
      </c>
    </row>
    <row r="10" spans="1:24" x14ac:dyDescent="0.25">
      <c r="A10" s="3" t="s">
        <v>40</v>
      </c>
      <c r="B10" s="2">
        <f t="shared" si="0"/>
        <v>9</v>
      </c>
      <c r="C10" s="2">
        <v>11</v>
      </c>
      <c r="D10" s="2">
        <v>2021</v>
      </c>
      <c r="E10" s="4">
        <f>Submetering!E10+Submetering!F10</f>
        <v>9994</v>
      </c>
      <c r="F10" s="12">
        <v>0.28999999999999998</v>
      </c>
      <c r="G10" s="4">
        <f>Submetering!M10</f>
        <v>1484</v>
      </c>
      <c r="H10" s="12">
        <v>0.4</v>
      </c>
      <c r="I10" s="4">
        <f>Submetering!N10</f>
        <v>392</v>
      </c>
      <c r="J10" s="13">
        <v>2.06</v>
      </c>
      <c r="K10" s="4">
        <f>'Hampshire Daily'!B13</f>
        <v>30</v>
      </c>
      <c r="L10" s="4">
        <f>'Hampshire Daily'!C13</f>
        <v>62</v>
      </c>
    </row>
    <row r="11" spans="1:24" x14ac:dyDescent="0.25">
      <c r="A11" s="3" t="s">
        <v>40</v>
      </c>
      <c r="B11" s="2">
        <f t="shared" si="0"/>
        <v>10</v>
      </c>
      <c r="C11" s="2">
        <v>11</v>
      </c>
      <c r="D11" s="2">
        <v>2021</v>
      </c>
      <c r="E11" s="4">
        <f>Submetering!E11+Submetering!F11</f>
        <v>10111</v>
      </c>
      <c r="F11" s="12">
        <v>0.28999999999999998</v>
      </c>
      <c r="G11" s="4">
        <f>Submetering!M11</f>
        <v>1282</v>
      </c>
      <c r="H11" s="12">
        <v>0.4</v>
      </c>
      <c r="I11" s="4">
        <f>Submetering!N11</f>
        <v>61</v>
      </c>
      <c r="J11" s="13">
        <v>2.06</v>
      </c>
      <c r="K11" s="4">
        <f>'Hampshire Daily'!B14</f>
        <v>27</v>
      </c>
      <c r="L11" s="4">
        <f>'Hampshire Daily'!C14</f>
        <v>40</v>
      </c>
    </row>
    <row r="12" spans="1:24" x14ac:dyDescent="0.25">
      <c r="A12" s="3" t="s">
        <v>40</v>
      </c>
      <c r="B12" s="2">
        <f t="shared" si="0"/>
        <v>11</v>
      </c>
      <c r="C12" s="2">
        <v>11</v>
      </c>
      <c r="D12" s="2">
        <v>2021</v>
      </c>
      <c r="E12" s="4">
        <f>Submetering!E12+Submetering!F12</f>
        <v>5951</v>
      </c>
      <c r="F12" s="12">
        <v>0.28999999999999998</v>
      </c>
      <c r="G12" s="4">
        <f>Submetering!M12</f>
        <v>2045</v>
      </c>
      <c r="H12" s="12">
        <v>0.4</v>
      </c>
      <c r="I12" s="4">
        <f>Submetering!N12</f>
        <v>69</v>
      </c>
      <c r="J12" s="13">
        <v>2.06</v>
      </c>
      <c r="K12" s="4">
        <f>'Hampshire Daily'!B15</f>
        <v>68</v>
      </c>
      <c r="L12" s="4">
        <f>'Hampshire Daily'!C15</f>
        <v>94</v>
      </c>
    </row>
    <row r="13" spans="1:24" x14ac:dyDescent="0.25">
      <c r="A13" s="3" t="s">
        <v>40</v>
      </c>
      <c r="B13" s="2">
        <f t="shared" si="0"/>
        <v>12</v>
      </c>
      <c r="C13" s="2">
        <v>11</v>
      </c>
      <c r="D13" s="2">
        <v>2021</v>
      </c>
      <c r="E13" s="4">
        <f>Submetering!E13+Submetering!F13</f>
        <v>4888</v>
      </c>
      <c r="F13" s="12">
        <v>0.28999999999999998</v>
      </c>
      <c r="G13" s="4">
        <f>Submetering!M13</f>
        <v>2580</v>
      </c>
      <c r="H13" s="12">
        <v>0.4</v>
      </c>
      <c r="I13" s="4">
        <f>Submetering!N13</f>
        <v>113</v>
      </c>
      <c r="J13" s="13">
        <v>2.06</v>
      </c>
      <c r="K13" s="4">
        <f>'Hampshire Daily'!B16</f>
        <v>48</v>
      </c>
      <c r="L13" s="4">
        <f>'Hampshire Daily'!C16</f>
        <v>110</v>
      </c>
    </row>
    <row r="14" spans="1:24" x14ac:dyDescent="0.25">
      <c r="A14" s="3" t="s">
        <v>40</v>
      </c>
      <c r="B14" s="2">
        <f t="shared" si="0"/>
        <v>13</v>
      </c>
      <c r="C14" s="2">
        <v>11</v>
      </c>
      <c r="D14" s="2">
        <v>2021</v>
      </c>
      <c r="E14" s="4">
        <f>Submetering!E14+Submetering!F14</f>
        <v>4868</v>
      </c>
      <c r="F14" s="12">
        <v>0.28999999999999998</v>
      </c>
      <c r="G14" s="4">
        <f>Submetering!M14</f>
        <v>2481</v>
      </c>
      <c r="H14" s="12">
        <v>0.4</v>
      </c>
      <c r="I14" s="4">
        <f>Submetering!N14</f>
        <v>87</v>
      </c>
      <c r="J14" s="13">
        <v>2.06</v>
      </c>
      <c r="K14" s="4">
        <f>'Hampshire Daily'!B17</f>
        <v>85</v>
      </c>
      <c r="L14" s="4">
        <f>'Hampshire Daily'!C17</f>
        <v>187</v>
      </c>
    </row>
    <row r="15" spans="1:24" x14ac:dyDescent="0.25">
      <c r="A15" s="3" t="s">
        <v>40</v>
      </c>
      <c r="B15" s="2">
        <f t="shared" si="0"/>
        <v>14</v>
      </c>
      <c r="C15" s="2">
        <v>11</v>
      </c>
      <c r="D15" s="2">
        <v>2021</v>
      </c>
      <c r="E15" s="4">
        <f>Submetering!E15+Submetering!F15</f>
        <v>5025</v>
      </c>
      <c r="F15" s="12">
        <v>0.28999999999999998</v>
      </c>
      <c r="G15" s="4">
        <f>Submetering!M15</f>
        <v>2612</v>
      </c>
      <c r="H15" s="12">
        <v>0.4</v>
      </c>
      <c r="I15" s="4">
        <f>Submetering!N15</f>
        <v>59</v>
      </c>
      <c r="J15" s="13">
        <v>2.06</v>
      </c>
      <c r="K15" s="4">
        <f>'Hampshire Daily'!B18</f>
        <v>51</v>
      </c>
      <c r="L15" s="4">
        <f>'Hampshire Daily'!C18</f>
        <v>89</v>
      </c>
    </row>
    <row r="16" spans="1:24" x14ac:dyDescent="0.25">
      <c r="A16" s="3" t="s">
        <v>40</v>
      </c>
      <c r="B16" s="2">
        <f t="shared" si="0"/>
        <v>15</v>
      </c>
      <c r="C16" s="2">
        <v>11</v>
      </c>
      <c r="D16" s="2">
        <v>2021</v>
      </c>
      <c r="E16" s="4">
        <f>Submetering!E16+Submetering!F16</f>
        <v>7398</v>
      </c>
      <c r="F16" s="12">
        <v>0.28999999999999998</v>
      </c>
      <c r="G16" s="4">
        <f>Submetering!M16</f>
        <v>2187</v>
      </c>
      <c r="H16" s="12">
        <v>0.4</v>
      </c>
      <c r="I16" s="4">
        <f>Submetering!N16</f>
        <v>105</v>
      </c>
      <c r="J16" s="13">
        <v>2.06</v>
      </c>
      <c r="K16" s="4">
        <f>'Hampshire Daily'!B19</f>
        <v>62</v>
      </c>
      <c r="L16" s="4">
        <f>'Hampshire Daily'!C19</f>
        <v>91</v>
      </c>
    </row>
    <row r="17" spans="1:12" x14ac:dyDescent="0.25">
      <c r="A17" s="3" t="s">
        <v>40</v>
      </c>
      <c r="B17" s="2">
        <f t="shared" si="0"/>
        <v>16</v>
      </c>
      <c r="C17" s="2">
        <v>11</v>
      </c>
      <c r="D17" s="2">
        <v>2021</v>
      </c>
      <c r="E17" s="4">
        <f>Submetering!E17+Submetering!F17</f>
        <v>7467</v>
      </c>
      <c r="F17" s="12">
        <v>0.28999999999999998</v>
      </c>
      <c r="G17" s="4">
        <f>Submetering!M17</f>
        <v>2407</v>
      </c>
      <c r="H17" s="12">
        <v>0.4</v>
      </c>
      <c r="I17" s="4">
        <f>Submetering!N17</f>
        <v>81</v>
      </c>
      <c r="J17" s="13">
        <v>2.06</v>
      </c>
      <c r="K17" s="4">
        <f>'Hampshire Daily'!B20</f>
        <v>49</v>
      </c>
      <c r="L17" s="4">
        <f>'Hampshire Daily'!C20</f>
        <v>86</v>
      </c>
    </row>
    <row r="18" spans="1:12" x14ac:dyDescent="0.25">
      <c r="A18" s="3" t="s">
        <v>40</v>
      </c>
      <c r="B18" s="2">
        <f t="shared" si="0"/>
        <v>17</v>
      </c>
      <c r="C18" s="2">
        <v>11</v>
      </c>
      <c r="D18" s="2">
        <v>2021</v>
      </c>
      <c r="E18" s="4">
        <f>Submetering!E18+Submetering!F18</f>
        <v>7699</v>
      </c>
      <c r="F18" s="12">
        <v>0.28999999999999998</v>
      </c>
      <c r="G18" s="4">
        <f>Submetering!M18</f>
        <v>2266</v>
      </c>
      <c r="H18" s="12">
        <v>0.4</v>
      </c>
      <c r="I18" s="4">
        <f>Submetering!N18</f>
        <v>82</v>
      </c>
      <c r="J18" s="13">
        <v>2.06</v>
      </c>
      <c r="K18" s="4">
        <f>'Hampshire Daily'!B21</f>
        <v>100</v>
      </c>
      <c r="L18" s="4">
        <f>'Hampshire Daily'!C21</f>
        <v>138</v>
      </c>
    </row>
    <row r="19" spans="1:12" x14ac:dyDescent="0.25">
      <c r="A19" s="3" t="s">
        <v>40</v>
      </c>
      <c r="B19" s="2">
        <f t="shared" si="0"/>
        <v>18</v>
      </c>
      <c r="C19" s="2">
        <v>11</v>
      </c>
      <c r="D19" s="2">
        <v>2021</v>
      </c>
      <c r="E19" s="4">
        <f>Submetering!E19+Submetering!F19</f>
        <v>6936</v>
      </c>
      <c r="F19" s="12">
        <v>0.28999999999999998</v>
      </c>
      <c r="G19" s="4">
        <f>Submetering!M19</f>
        <v>2175</v>
      </c>
      <c r="H19" s="12">
        <v>0.4</v>
      </c>
      <c r="I19" s="4">
        <f>Submetering!N19</f>
        <v>103</v>
      </c>
      <c r="J19" s="13">
        <v>2.06</v>
      </c>
      <c r="K19" s="4">
        <f>'Hampshire Daily'!B22</f>
        <v>109</v>
      </c>
      <c r="L19" s="4">
        <f>'Hampshire Daily'!C22</f>
        <v>205</v>
      </c>
    </row>
    <row r="20" spans="1:12" x14ac:dyDescent="0.25">
      <c r="A20" s="3" t="s">
        <v>40</v>
      </c>
      <c r="B20" s="2">
        <f t="shared" si="0"/>
        <v>19</v>
      </c>
      <c r="C20" s="2">
        <v>11</v>
      </c>
      <c r="D20" s="2">
        <v>2021</v>
      </c>
      <c r="E20" s="4">
        <f>Submetering!E20+Submetering!F20</f>
        <v>10386</v>
      </c>
      <c r="F20" s="12">
        <v>0.28999999999999998</v>
      </c>
      <c r="G20" s="4">
        <f>Submetering!M20</f>
        <v>1843</v>
      </c>
      <c r="H20" s="12">
        <v>0.4</v>
      </c>
      <c r="I20" s="4">
        <f>Submetering!N20</f>
        <v>103</v>
      </c>
      <c r="J20" s="13">
        <v>2.06</v>
      </c>
      <c r="K20" s="4">
        <f>'Hampshire Daily'!B23</f>
        <v>109</v>
      </c>
      <c r="L20" s="4">
        <f>'Hampshire Daily'!C23</f>
        <v>258</v>
      </c>
    </row>
    <row r="21" spans="1:12" x14ac:dyDescent="0.25">
      <c r="A21" s="3" t="s">
        <v>40</v>
      </c>
      <c r="B21" s="2">
        <f t="shared" si="0"/>
        <v>20</v>
      </c>
      <c r="C21" s="2">
        <v>11</v>
      </c>
      <c r="D21" s="2">
        <v>2021</v>
      </c>
      <c r="E21" s="4">
        <f>Submetering!E21+Submetering!F21</f>
        <v>11641</v>
      </c>
      <c r="F21" s="12">
        <v>0.28999999999999998</v>
      </c>
      <c r="G21" s="4">
        <f>Submetering!M21</f>
        <v>1872</v>
      </c>
      <c r="H21" s="12">
        <v>0.4</v>
      </c>
      <c r="I21" s="4">
        <f>Submetering!N21</f>
        <v>110</v>
      </c>
      <c r="J21" s="13">
        <v>2.06</v>
      </c>
      <c r="K21" s="4">
        <f>'Hampshire Daily'!B24</f>
        <v>71</v>
      </c>
      <c r="L21" s="4">
        <f>'Hampshire Daily'!C24</f>
        <v>178</v>
      </c>
    </row>
    <row r="22" spans="1:12" x14ac:dyDescent="0.25">
      <c r="A22" s="3" t="s">
        <v>40</v>
      </c>
      <c r="B22" s="2">
        <f t="shared" si="0"/>
        <v>21</v>
      </c>
      <c r="C22" s="2">
        <v>11</v>
      </c>
      <c r="D22" s="2">
        <v>2021</v>
      </c>
      <c r="E22" s="4">
        <f>Submetering!E22+Submetering!F22</f>
        <v>9606</v>
      </c>
      <c r="F22" s="12">
        <v>0.28999999999999998</v>
      </c>
      <c r="G22" s="4">
        <f>Submetering!M22</f>
        <v>2335</v>
      </c>
      <c r="H22" s="12">
        <v>0.4</v>
      </c>
      <c r="I22" s="4">
        <f>Submetering!N22</f>
        <v>104</v>
      </c>
      <c r="J22" s="13">
        <v>2.06</v>
      </c>
      <c r="K22" s="4">
        <f>'Hampshire Daily'!B25</f>
        <v>11</v>
      </c>
      <c r="L22" s="4">
        <f>'Hampshire Daily'!C25</f>
        <v>28</v>
      </c>
    </row>
    <row r="23" spans="1:12" x14ac:dyDescent="0.25">
      <c r="A23" s="3" t="s">
        <v>40</v>
      </c>
      <c r="B23" s="2">
        <f t="shared" si="0"/>
        <v>22</v>
      </c>
      <c r="C23" s="2">
        <v>11</v>
      </c>
      <c r="D23" s="2">
        <v>2021</v>
      </c>
      <c r="E23" s="4">
        <f>Submetering!E23+Submetering!F23</f>
        <v>7647</v>
      </c>
      <c r="F23" s="12">
        <v>0.28999999999999998</v>
      </c>
      <c r="G23" s="4">
        <f>Submetering!M23</f>
        <v>2537</v>
      </c>
      <c r="H23" s="12">
        <v>0.4</v>
      </c>
      <c r="I23" s="4">
        <f>Submetering!N23</f>
        <v>104</v>
      </c>
      <c r="J23" s="13">
        <v>2.06</v>
      </c>
      <c r="K23" s="4">
        <f>'Hampshire Daily'!B26</f>
        <v>33</v>
      </c>
      <c r="L23" s="4">
        <f>'Hampshire Daily'!C26</f>
        <v>53</v>
      </c>
    </row>
    <row r="24" spans="1:12" x14ac:dyDescent="0.25">
      <c r="A24" s="3" t="s">
        <v>40</v>
      </c>
      <c r="B24" s="2">
        <f t="shared" si="0"/>
        <v>23</v>
      </c>
      <c r="C24" s="2">
        <v>11</v>
      </c>
      <c r="D24" s="2">
        <v>2021</v>
      </c>
      <c r="E24" s="4">
        <f>Submetering!E24+Submetering!F24</f>
        <v>6948</v>
      </c>
      <c r="F24" s="12">
        <v>0.28999999999999998</v>
      </c>
      <c r="G24" s="4">
        <f>Submetering!M24</f>
        <v>2558</v>
      </c>
      <c r="H24" s="12">
        <v>0.4</v>
      </c>
      <c r="I24" s="4">
        <f>Submetering!N24</f>
        <v>78</v>
      </c>
      <c r="J24" s="13">
        <v>2.06</v>
      </c>
      <c r="K24" s="4">
        <f>'Hampshire Daily'!B27</f>
        <v>28</v>
      </c>
      <c r="L24" s="4">
        <f>'Hampshire Daily'!C27</f>
        <v>52</v>
      </c>
    </row>
    <row r="25" spans="1:12" x14ac:dyDescent="0.25">
      <c r="A25" s="3" t="s">
        <v>40</v>
      </c>
      <c r="B25" s="2">
        <f t="shared" si="0"/>
        <v>24</v>
      </c>
      <c r="C25" s="2">
        <v>11</v>
      </c>
      <c r="D25" s="2">
        <v>2021</v>
      </c>
      <c r="E25" s="4">
        <f>Submetering!E25+Submetering!F25</f>
        <v>8022</v>
      </c>
      <c r="F25" s="12">
        <v>0.28999999999999998</v>
      </c>
      <c r="G25" s="4">
        <f>Submetering!M25</f>
        <v>2592</v>
      </c>
      <c r="H25" s="12">
        <v>0.4</v>
      </c>
      <c r="I25" s="4">
        <f>Submetering!N25</f>
        <v>78</v>
      </c>
      <c r="J25" s="13">
        <v>2.06</v>
      </c>
      <c r="K25" s="4">
        <f>'Hampshire Daily'!B28</f>
        <v>32</v>
      </c>
      <c r="L25" s="4">
        <f>'Hampshire Daily'!C28</f>
        <v>56</v>
      </c>
    </row>
    <row r="26" spans="1:12" x14ac:dyDescent="0.25">
      <c r="A26" s="3" t="s">
        <v>40</v>
      </c>
      <c r="B26" s="2">
        <f>B25+1</f>
        <v>25</v>
      </c>
      <c r="C26" s="2">
        <v>11</v>
      </c>
      <c r="D26" s="2">
        <v>2021</v>
      </c>
      <c r="E26" s="4">
        <f>Submetering!E26+Submetering!F26</f>
        <v>8823</v>
      </c>
      <c r="F26" s="12">
        <v>0.28999999999999998</v>
      </c>
      <c r="G26" s="4">
        <f>Submetering!M26</f>
        <v>2890</v>
      </c>
      <c r="H26" s="12">
        <v>0.4</v>
      </c>
      <c r="I26" s="4">
        <f>Submetering!N26</f>
        <v>78</v>
      </c>
      <c r="J26" s="13">
        <v>2.06</v>
      </c>
      <c r="K26" s="4">
        <f>'Hampshire Daily'!B29</f>
        <v>10</v>
      </c>
      <c r="L26" s="4">
        <f>'Hampshire Daily'!C29</f>
        <v>24</v>
      </c>
    </row>
    <row r="27" spans="1:12" x14ac:dyDescent="0.25">
      <c r="A27" s="3" t="s">
        <v>40</v>
      </c>
      <c r="B27" s="2">
        <f t="shared" si="0"/>
        <v>26</v>
      </c>
      <c r="C27" s="2">
        <v>11</v>
      </c>
      <c r="D27" s="2">
        <v>2021</v>
      </c>
      <c r="E27" s="4">
        <f>Submetering!E27+Submetering!F27</f>
        <v>6278</v>
      </c>
      <c r="F27" s="12">
        <v>0.28999999999999998</v>
      </c>
      <c r="G27" s="4">
        <f>Submetering!M27</f>
        <v>2201</v>
      </c>
      <c r="H27" s="12">
        <v>0.4</v>
      </c>
      <c r="I27" s="4">
        <f>Submetering!N27</f>
        <v>78</v>
      </c>
      <c r="J27" s="13">
        <v>2.06</v>
      </c>
      <c r="K27" s="4">
        <f>'Hampshire Daily'!B30</f>
        <v>58</v>
      </c>
      <c r="L27" s="4">
        <f>'Hampshire Daily'!C30</f>
        <v>157</v>
      </c>
    </row>
    <row r="28" spans="1:12" x14ac:dyDescent="0.25">
      <c r="A28" s="3" t="s">
        <v>40</v>
      </c>
      <c r="B28" s="2">
        <f t="shared" si="0"/>
        <v>27</v>
      </c>
      <c r="C28" s="2">
        <v>11</v>
      </c>
      <c r="D28" s="2">
        <v>2021</v>
      </c>
      <c r="E28" s="4">
        <f>Submetering!E28+Submetering!F28</f>
        <v>8164</v>
      </c>
      <c r="F28" s="12">
        <v>0.28999999999999998</v>
      </c>
      <c r="G28" s="4">
        <f>Submetering!M28</f>
        <v>2722</v>
      </c>
      <c r="H28" s="12">
        <v>0.4</v>
      </c>
      <c r="I28" s="4">
        <f>Submetering!N28</f>
        <v>78</v>
      </c>
      <c r="J28" s="13">
        <v>2.06</v>
      </c>
      <c r="K28" s="4">
        <f>'Hampshire Daily'!B31</f>
        <v>84</v>
      </c>
      <c r="L28" s="4">
        <f>'Hampshire Daily'!C31</f>
        <v>223</v>
      </c>
    </row>
    <row r="29" spans="1:12" x14ac:dyDescent="0.25">
      <c r="A29" s="3" t="s">
        <v>40</v>
      </c>
      <c r="B29" s="2">
        <f t="shared" si="0"/>
        <v>28</v>
      </c>
      <c r="C29" s="2">
        <v>11</v>
      </c>
      <c r="D29" s="2">
        <v>2021</v>
      </c>
      <c r="E29" s="4">
        <f>Submetering!E29+Submetering!F29</f>
        <v>8675</v>
      </c>
      <c r="F29" s="12">
        <v>0.28999999999999998</v>
      </c>
      <c r="G29" s="4">
        <f>Submetering!M29</f>
        <v>3121</v>
      </c>
      <c r="H29" s="12">
        <v>0.4</v>
      </c>
      <c r="I29" s="4">
        <f>Submetering!N29</f>
        <v>99</v>
      </c>
      <c r="J29" s="13">
        <v>2.06</v>
      </c>
      <c r="K29" s="4">
        <f>'Hampshire Daily'!B32</f>
        <v>20</v>
      </c>
      <c r="L29" s="4">
        <f>'Hampshire Daily'!C32</f>
        <v>59</v>
      </c>
    </row>
    <row r="30" spans="1:12" x14ac:dyDescent="0.25">
      <c r="A30" s="3" t="s">
        <v>40</v>
      </c>
      <c r="B30" s="2">
        <f t="shared" si="0"/>
        <v>29</v>
      </c>
      <c r="C30" s="2">
        <v>11</v>
      </c>
      <c r="D30" s="2">
        <v>2021</v>
      </c>
      <c r="E30" s="4">
        <f>Submetering!E30+Submetering!F30</f>
        <v>7924</v>
      </c>
      <c r="F30" s="12">
        <v>0.28999999999999998</v>
      </c>
      <c r="G30" s="4">
        <f>Submetering!M30</f>
        <v>2821.5</v>
      </c>
      <c r="H30" s="12">
        <v>0.4</v>
      </c>
      <c r="I30" s="4">
        <f>Submetering!N30</f>
        <v>99</v>
      </c>
      <c r="J30" s="13">
        <v>2.06</v>
      </c>
      <c r="K30" s="4">
        <f>'Hampshire Daily'!B33</f>
        <v>15</v>
      </c>
      <c r="L30" s="4">
        <f>'Hampshire Daily'!C33</f>
        <v>37</v>
      </c>
    </row>
    <row r="31" spans="1:12" x14ac:dyDescent="0.25">
      <c r="A31" s="3" t="s">
        <v>40</v>
      </c>
      <c r="B31" s="2">
        <f t="shared" si="0"/>
        <v>30</v>
      </c>
      <c r="C31" s="2">
        <v>11</v>
      </c>
      <c r="D31" s="2">
        <v>2021</v>
      </c>
      <c r="E31" s="4">
        <f>Submetering!E31+Submetering!F31</f>
        <v>7927</v>
      </c>
      <c r="F31" s="12">
        <v>0.28999999999999998</v>
      </c>
      <c r="G31" s="4">
        <f>Submetering!M31</f>
        <v>2821.5</v>
      </c>
      <c r="H31" s="12">
        <v>0.4</v>
      </c>
      <c r="I31" s="4">
        <f>Submetering!N31</f>
        <v>100</v>
      </c>
      <c r="J31" s="13">
        <v>2.06</v>
      </c>
      <c r="K31" s="4">
        <f>'Hampshire Daily'!B34</f>
        <v>27</v>
      </c>
      <c r="L31" s="4">
        <f>'Hampshire Daily'!C34</f>
        <v>51</v>
      </c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8"/>
  <sheetViews>
    <sheetView zoomScaleNormal="100" workbookViewId="0">
      <pane xSplit="1" topLeftCell="B1" activePane="topRight" state="frozen"/>
      <selection pane="topRight" activeCell="C5" sqref="C5:C33"/>
    </sheetView>
  </sheetViews>
  <sheetFormatPr defaultRowHeight="15" x14ac:dyDescent="0.25"/>
  <cols>
    <col min="1" max="1" width="8.7109375" style="16" customWidth="1"/>
    <col min="2" max="3" width="8.7109375" style="22" customWidth="1"/>
    <col min="10" max="10" width="9.5703125" bestFit="1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4"/>
      <c r="B1" s="21"/>
      <c r="C1" s="21"/>
      <c r="D1" s="37" t="s">
        <v>12</v>
      </c>
      <c r="E1" s="37"/>
      <c r="F1" s="37"/>
      <c r="G1" s="37"/>
      <c r="H1" s="37"/>
      <c r="I1" s="37"/>
      <c r="J1" s="37"/>
      <c r="K1" s="37"/>
      <c r="L1" s="37"/>
      <c r="M1" s="37"/>
      <c r="N1" s="43" t="s">
        <v>13</v>
      </c>
      <c r="O1" s="45" t="s">
        <v>14</v>
      </c>
      <c r="P1" s="23"/>
      <c r="Q1" s="23"/>
      <c r="R1" s="23"/>
      <c r="S1" s="45" t="s">
        <v>15</v>
      </c>
      <c r="T1" s="47"/>
      <c r="U1" s="45" t="s">
        <v>16</v>
      </c>
      <c r="V1" s="48" t="s">
        <v>17</v>
      </c>
      <c r="W1" s="45" t="s">
        <v>18</v>
      </c>
      <c r="X1" s="45" t="s">
        <v>19</v>
      </c>
      <c r="Y1" s="54" t="s">
        <v>20</v>
      </c>
      <c r="Z1" s="45" t="s">
        <v>54</v>
      </c>
      <c r="AA1" s="50" t="s">
        <v>55</v>
      </c>
      <c r="AB1" s="1">
        <v>42</v>
      </c>
      <c r="AC1" s="1">
        <v>41</v>
      </c>
    </row>
    <row r="2" spans="1:29" ht="15" customHeight="1" x14ac:dyDescent="0.25">
      <c r="A2" s="35"/>
      <c r="B2" s="40" t="s">
        <v>52</v>
      </c>
      <c r="C2" s="40" t="s">
        <v>53</v>
      </c>
      <c r="D2" s="38" t="s">
        <v>21</v>
      </c>
      <c r="E2" s="38" t="s">
        <v>22</v>
      </c>
      <c r="F2" s="38" t="s">
        <v>23</v>
      </c>
      <c r="G2" s="38" t="s">
        <v>24</v>
      </c>
      <c r="H2" s="38" t="s">
        <v>25</v>
      </c>
      <c r="I2" s="38" t="s">
        <v>26</v>
      </c>
      <c r="J2" s="38" t="s">
        <v>27</v>
      </c>
      <c r="K2" s="38" t="s">
        <v>28</v>
      </c>
      <c r="L2" s="38" t="s">
        <v>29</v>
      </c>
      <c r="M2" s="38" t="s">
        <v>30</v>
      </c>
      <c r="N2" s="44"/>
      <c r="O2" s="45"/>
      <c r="P2" s="23" t="s">
        <v>31</v>
      </c>
      <c r="Q2" s="23" t="s">
        <v>31</v>
      </c>
      <c r="R2" s="23" t="s">
        <v>31</v>
      </c>
      <c r="S2" s="45"/>
      <c r="T2" s="47"/>
      <c r="U2" s="45"/>
      <c r="V2" s="48"/>
      <c r="W2" s="45"/>
      <c r="X2" s="45"/>
      <c r="Y2" s="54"/>
      <c r="Z2" s="45"/>
      <c r="AA2" s="51"/>
      <c r="AB2" s="53" t="s">
        <v>57</v>
      </c>
      <c r="AC2" s="53" t="s">
        <v>58</v>
      </c>
    </row>
    <row r="3" spans="1:29" ht="27" customHeight="1" thickBot="1" x14ac:dyDescent="0.3">
      <c r="A3" s="36"/>
      <c r="B3" s="41"/>
      <c r="C3" s="41"/>
      <c r="D3" s="42"/>
      <c r="E3" s="42"/>
      <c r="F3" s="42"/>
      <c r="G3" s="42"/>
      <c r="H3" s="38"/>
      <c r="I3" s="38"/>
      <c r="J3" s="38"/>
      <c r="K3" s="38"/>
      <c r="L3" s="38"/>
      <c r="M3" s="39"/>
      <c r="N3" s="44"/>
      <c r="O3" s="46"/>
      <c r="P3" s="24">
        <v>2</v>
      </c>
      <c r="Q3" s="24">
        <v>3</v>
      </c>
      <c r="R3" s="24">
        <v>4</v>
      </c>
      <c r="S3" s="47"/>
      <c r="T3" s="47"/>
      <c r="U3" s="46"/>
      <c r="V3" s="49"/>
      <c r="W3" s="45"/>
      <c r="X3" s="45"/>
      <c r="Y3" s="54"/>
      <c r="Z3" s="45"/>
      <c r="AA3" s="52"/>
      <c r="AB3" s="53"/>
      <c r="AC3" s="53"/>
    </row>
    <row r="4" spans="1:29" s="18" customFormat="1" ht="19.899999999999999" customHeight="1" x14ac:dyDescent="0.25">
      <c r="A4" s="20">
        <v>44500</v>
      </c>
      <c r="B4" s="27">
        <v>21</v>
      </c>
      <c r="C4" s="27">
        <v>72</v>
      </c>
      <c r="D4" s="30">
        <v>926429</v>
      </c>
      <c r="E4" s="25">
        <v>927873</v>
      </c>
      <c r="F4" s="25">
        <v>898061</v>
      </c>
      <c r="G4" s="25">
        <v>897155</v>
      </c>
      <c r="H4" s="25">
        <v>263746</v>
      </c>
      <c r="I4" s="25">
        <v>7374388</v>
      </c>
      <c r="J4" s="25">
        <v>32795</v>
      </c>
      <c r="K4" s="25">
        <v>5418699</v>
      </c>
      <c r="L4" s="25">
        <v>858754</v>
      </c>
      <c r="M4" s="25">
        <v>2638350</v>
      </c>
      <c r="N4" s="25">
        <v>1314256</v>
      </c>
      <c r="O4" s="25">
        <v>375933</v>
      </c>
      <c r="P4" s="25">
        <v>1519787</v>
      </c>
      <c r="Q4" s="25">
        <v>682013</v>
      </c>
      <c r="R4" s="25">
        <v>1153</v>
      </c>
      <c r="S4" s="25">
        <v>342811</v>
      </c>
      <c r="T4" s="25">
        <v>45448</v>
      </c>
      <c r="U4" s="25">
        <v>52259</v>
      </c>
      <c r="V4" s="25">
        <v>30932</v>
      </c>
      <c r="W4" s="25">
        <v>490.32600000000002</v>
      </c>
      <c r="X4" s="25">
        <v>950.72199999999998</v>
      </c>
      <c r="Y4" s="25">
        <v>3889.34</v>
      </c>
      <c r="Z4" s="25">
        <v>4398</v>
      </c>
      <c r="AA4" s="25">
        <v>2485</v>
      </c>
      <c r="AB4" s="26">
        <v>0</v>
      </c>
      <c r="AC4" s="26">
        <v>3509</v>
      </c>
    </row>
    <row r="5" spans="1:29" x14ac:dyDescent="0.25">
      <c r="A5" s="20">
        <v>44501</v>
      </c>
      <c r="B5" s="28">
        <v>123</v>
      </c>
      <c r="C5" s="27">
        <v>158</v>
      </c>
      <c r="D5" s="30">
        <v>928899</v>
      </c>
      <c r="E5" s="25">
        <v>930341</v>
      </c>
      <c r="F5" s="25">
        <v>899648</v>
      </c>
      <c r="G5" s="25">
        <v>898740</v>
      </c>
      <c r="H5" s="25">
        <v>263746</v>
      </c>
      <c r="I5" s="25">
        <f>I4+1974.967</f>
        <v>7376362.9670000002</v>
      </c>
      <c r="J5" s="32">
        <f>J4+0.266667</f>
        <v>32795.266667000004</v>
      </c>
      <c r="K5" s="25">
        <f>K4+295.4333</f>
        <v>5418994.4332999997</v>
      </c>
      <c r="L5" s="25">
        <v>859917</v>
      </c>
      <c r="M5" s="25">
        <v>2638351</v>
      </c>
      <c r="N5" s="25">
        <v>1316618</v>
      </c>
      <c r="O5" s="25">
        <v>376031</v>
      </c>
      <c r="P5" s="25">
        <v>1519787</v>
      </c>
      <c r="Q5" s="25">
        <v>682123</v>
      </c>
      <c r="R5" s="25">
        <v>1155</v>
      </c>
      <c r="S5" s="25">
        <v>342861</v>
      </c>
      <c r="T5" s="25">
        <v>45506</v>
      </c>
      <c r="U5" s="25">
        <v>52269</v>
      </c>
      <c r="V5" s="25">
        <v>30937</v>
      </c>
      <c r="W5" s="25">
        <v>490.327</v>
      </c>
      <c r="X5" s="25">
        <v>950.86500000000001</v>
      </c>
      <c r="Y5" s="25">
        <v>3889.34</v>
      </c>
      <c r="Z5" s="25">
        <v>4398</v>
      </c>
      <c r="AA5" s="25">
        <v>2491</v>
      </c>
      <c r="AB5" s="26">
        <v>168</v>
      </c>
      <c r="AC5" s="26">
        <v>3393</v>
      </c>
    </row>
    <row r="6" spans="1:29" x14ac:dyDescent="0.25">
      <c r="A6" s="20">
        <v>44502</v>
      </c>
      <c r="B6" s="28">
        <v>32</v>
      </c>
      <c r="C6" s="27">
        <v>58</v>
      </c>
      <c r="D6" s="30">
        <v>931469</v>
      </c>
      <c r="E6" s="25">
        <v>932922</v>
      </c>
      <c r="F6" s="25">
        <v>901941</v>
      </c>
      <c r="G6" s="25">
        <v>901031</v>
      </c>
      <c r="H6" s="25">
        <v>263922</v>
      </c>
      <c r="I6" s="25">
        <f t="shared" ref="I6:I33" si="0">I5+1974.967</f>
        <v>7378337.9340000004</v>
      </c>
      <c r="J6" s="32">
        <f t="shared" ref="J6:J33" si="1">J5+0.266667</f>
        <v>32795.533334000007</v>
      </c>
      <c r="K6" s="25">
        <f t="shared" ref="K6:K33" si="2">K5+295.4333</f>
        <v>5419289.8665999994</v>
      </c>
      <c r="L6" s="25">
        <v>860871</v>
      </c>
      <c r="M6" s="25">
        <v>2638355</v>
      </c>
      <c r="N6" s="25">
        <v>1318938</v>
      </c>
      <c r="O6" s="25">
        <v>376113</v>
      </c>
      <c r="P6" s="25">
        <v>1519787</v>
      </c>
      <c r="Q6" s="25">
        <v>682211</v>
      </c>
      <c r="R6" s="25">
        <v>1157</v>
      </c>
      <c r="S6" s="25">
        <v>342918</v>
      </c>
      <c r="T6" s="25">
        <v>45567</v>
      </c>
      <c r="U6" s="25">
        <v>52279</v>
      </c>
      <c r="V6" s="25">
        <v>30938</v>
      </c>
      <c r="W6" s="25">
        <v>490.32600000000002</v>
      </c>
      <c r="X6" s="25">
        <v>951.06399999999996</v>
      </c>
      <c r="Y6" s="25">
        <v>3889.34</v>
      </c>
      <c r="Z6" s="25">
        <v>4398</v>
      </c>
      <c r="AA6" s="25">
        <v>2495</v>
      </c>
      <c r="AB6" s="26">
        <v>2757</v>
      </c>
      <c r="AC6" s="26">
        <v>1781</v>
      </c>
    </row>
    <row r="7" spans="1:29" x14ac:dyDescent="0.25">
      <c r="A7" s="20">
        <v>44503</v>
      </c>
      <c r="B7" s="28">
        <v>35</v>
      </c>
      <c r="C7" s="27">
        <v>62</v>
      </c>
      <c r="D7" s="30">
        <v>934043</v>
      </c>
      <c r="E7" s="25">
        <v>935501</v>
      </c>
      <c r="F7" s="25">
        <v>904085</v>
      </c>
      <c r="G7" s="25">
        <v>903174</v>
      </c>
      <c r="H7" s="25">
        <v>264068</v>
      </c>
      <c r="I7" s="25">
        <f t="shared" si="0"/>
        <v>7380312.9010000005</v>
      </c>
      <c r="J7" s="32">
        <f t="shared" si="1"/>
        <v>32795.800001000011</v>
      </c>
      <c r="K7" s="25">
        <f t="shared" si="2"/>
        <v>5419585.2998999991</v>
      </c>
      <c r="L7" s="25">
        <v>861910</v>
      </c>
      <c r="M7" s="25">
        <v>2638374</v>
      </c>
      <c r="N7" s="25">
        <v>1321443</v>
      </c>
      <c r="O7" s="25">
        <v>376190</v>
      </c>
      <c r="P7" s="25">
        <v>1519791</v>
      </c>
      <c r="Q7" s="25">
        <v>682324</v>
      </c>
      <c r="R7" s="25">
        <v>1158</v>
      </c>
      <c r="S7" s="25">
        <v>342963</v>
      </c>
      <c r="T7" s="25">
        <v>45621</v>
      </c>
      <c r="U7" s="25">
        <v>52289</v>
      </c>
      <c r="V7" s="25">
        <v>30939</v>
      </c>
      <c r="W7" s="25">
        <v>490.32600000000002</v>
      </c>
      <c r="X7" s="25">
        <v>951.22400000000005</v>
      </c>
      <c r="Y7" s="25">
        <v>3889.34</v>
      </c>
      <c r="Z7" s="25">
        <v>4398</v>
      </c>
      <c r="AA7" s="25">
        <v>2498</v>
      </c>
      <c r="AB7" s="26">
        <v>2880</v>
      </c>
      <c r="AC7" s="26">
        <v>3436</v>
      </c>
    </row>
    <row r="8" spans="1:29" x14ac:dyDescent="0.25">
      <c r="A8" s="20">
        <v>44504</v>
      </c>
      <c r="B8" s="28">
        <v>41</v>
      </c>
      <c r="C8" s="27">
        <v>70</v>
      </c>
      <c r="D8" s="30">
        <v>935960</v>
      </c>
      <c r="E8" s="25">
        <v>937421</v>
      </c>
      <c r="F8" s="25">
        <v>905763</v>
      </c>
      <c r="G8" s="25">
        <v>904849</v>
      </c>
      <c r="H8" s="25">
        <v>264070</v>
      </c>
      <c r="I8" s="25">
        <f t="shared" si="0"/>
        <v>7382287.8680000007</v>
      </c>
      <c r="J8" s="32">
        <f t="shared" si="1"/>
        <v>32796.066668000014</v>
      </c>
      <c r="K8" s="25">
        <f t="shared" si="2"/>
        <v>5419880.7331999987</v>
      </c>
      <c r="L8" s="25">
        <f>L7+1089</f>
        <v>862999</v>
      </c>
      <c r="M8" s="25">
        <v>2638374</v>
      </c>
      <c r="N8" s="25">
        <v>1323782</v>
      </c>
      <c r="O8" s="25">
        <v>376276</v>
      </c>
      <c r="P8" s="25">
        <v>1519980</v>
      </c>
      <c r="Q8" s="25">
        <v>682627</v>
      </c>
      <c r="R8" s="25">
        <v>1158</v>
      </c>
      <c r="S8" s="25">
        <v>342999</v>
      </c>
      <c r="T8" s="25">
        <v>45665</v>
      </c>
      <c r="U8" s="25">
        <v>52297</v>
      </c>
      <c r="V8" s="25">
        <v>30941</v>
      </c>
      <c r="W8" s="25">
        <v>490.32600000000002</v>
      </c>
      <c r="X8" s="25">
        <v>951.33299999999997</v>
      </c>
      <c r="Y8" s="25">
        <v>3889.346</v>
      </c>
      <c r="Z8" s="25">
        <v>4398</v>
      </c>
      <c r="AA8" s="25">
        <v>2503</v>
      </c>
      <c r="AB8" s="26">
        <v>2865</v>
      </c>
      <c r="AC8" s="26">
        <v>3475</v>
      </c>
    </row>
    <row r="9" spans="1:29" x14ac:dyDescent="0.25">
      <c r="A9" s="20">
        <v>44505</v>
      </c>
      <c r="B9" s="28">
        <v>60</v>
      </c>
      <c r="C9" s="27">
        <v>137</v>
      </c>
      <c r="D9" s="30">
        <v>937916</v>
      </c>
      <c r="E9" s="25">
        <v>939381</v>
      </c>
      <c r="F9" s="25">
        <v>907447</v>
      </c>
      <c r="G9" s="25">
        <v>906531</v>
      </c>
      <c r="H9" s="25">
        <v>264070</v>
      </c>
      <c r="I9" s="25">
        <f t="shared" si="0"/>
        <v>7384262.8350000009</v>
      </c>
      <c r="J9" s="32">
        <f t="shared" si="1"/>
        <v>32796.333335000018</v>
      </c>
      <c r="K9" s="25">
        <f t="shared" si="2"/>
        <v>5420176.1664999984</v>
      </c>
      <c r="L9" s="25">
        <f>L8+1089</f>
        <v>864088</v>
      </c>
      <c r="M9" s="25">
        <v>2638375</v>
      </c>
      <c r="N9" s="25">
        <v>1326267</v>
      </c>
      <c r="O9" s="25">
        <v>376359</v>
      </c>
      <c r="P9" s="25">
        <v>1520133</v>
      </c>
      <c r="Q9" s="25">
        <v>682645</v>
      </c>
      <c r="R9" s="25">
        <v>1159</v>
      </c>
      <c r="S9" s="25">
        <v>343039</v>
      </c>
      <c r="T9" s="25">
        <v>45709</v>
      </c>
      <c r="U9" s="25">
        <v>52306</v>
      </c>
      <c r="V9" s="25">
        <v>30942</v>
      </c>
      <c r="W9" s="25">
        <v>490.32600000000002</v>
      </c>
      <c r="X9" s="25">
        <v>951.55899999999997</v>
      </c>
      <c r="Y9" s="25">
        <v>3889.3510000000001</v>
      </c>
      <c r="Z9" s="25">
        <v>4398</v>
      </c>
      <c r="AA9" s="25">
        <v>2507</v>
      </c>
      <c r="AB9" s="26">
        <v>1200</v>
      </c>
      <c r="AC9" s="26">
        <v>3528</v>
      </c>
    </row>
    <row r="10" spans="1:29" x14ac:dyDescent="0.25">
      <c r="A10" s="20">
        <v>44506</v>
      </c>
      <c r="B10" s="28">
        <v>74</v>
      </c>
      <c r="C10" s="27">
        <v>163</v>
      </c>
      <c r="D10" s="30">
        <v>940433</v>
      </c>
      <c r="E10" s="25">
        <v>941902</v>
      </c>
      <c r="F10" s="25">
        <v>909364</v>
      </c>
      <c r="G10" s="25">
        <v>908446</v>
      </c>
      <c r="H10" s="25">
        <v>264070</v>
      </c>
      <c r="I10" s="25">
        <f t="shared" si="0"/>
        <v>7386237.8020000011</v>
      </c>
      <c r="J10" s="32">
        <f t="shared" si="1"/>
        <v>32796.600002000021</v>
      </c>
      <c r="K10" s="25">
        <f t="shared" si="2"/>
        <v>5420471.5997999981</v>
      </c>
      <c r="L10" s="25">
        <f>L9+1089</f>
        <v>865177</v>
      </c>
      <c r="M10" s="25">
        <v>2638377</v>
      </c>
      <c r="N10" s="25">
        <v>1328860</v>
      </c>
      <c r="O10" s="25">
        <v>376427</v>
      </c>
      <c r="P10" s="25">
        <v>1520204</v>
      </c>
      <c r="Q10" s="25">
        <v>682663</v>
      </c>
      <c r="R10" s="25">
        <v>1161</v>
      </c>
      <c r="S10" s="25">
        <v>343083</v>
      </c>
      <c r="T10" s="25">
        <v>45760</v>
      </c>
      <c r="U10" s="25">
        <v>52315</v>
      </c>
      <c r="V10" s="25">
        <v>30943</v>
      </c>
      <c r="W10" s="25">
        <v>490.32600000000002</v>
      </c>
      <c r="X10" s="25">
        <v>951.68799999999999</v>
      </c>
      <c r="Y10" s="25">
        <v>3889.3510000000001</v>
      </c>
      <c r="Z10" s="25">
        <v>4398</v>
      </c>
      <c r="AA10" s="25">
        <v>2511</v>
      </c>
      <c r="AB10" s="26">
        <v>0</v>
      </c>
      <c r="AC10" s="26">
        <v>3531</v>
      </c>
    </row>
    <row r="11" spans="1:29" x14ac:dyDescent="0.25">
      <c r="A11" s="20">
        <v>44507</v>
      </c>
      <c r="B11" s="28">
        <v>50</v>
      </c>
      <c r="C11" s="27">
        <v>89</v>
      </c>
      <c r="D11" s="30">
        <v>942305</v>
      </c>
      <c r="E11" s="25">
        <v>943778</v>
      </c>
      <c r="F11" s="25">
        <v>912276</v>
      </c>
      <c r="G11" s="25">
        <v>911355</v>
      </c>
      <c r="H11" s="25">
        <v>264070</v>
      </c>
      <c r="I11" s="25">
        <f t="shared" si="0"/>
        <v>7388212.7690000013</v>
      </c>
      <c r="J11" s="32">
        <f t="shared" si="1"/>
        <v>32796.866669000025</v>
      </c>
      <c r="K11" s="25">
        <f t="shared" si="2"/>
        <v>5420767.0330999978</v>
      </c>
      <c r="L11" s="25">
        <v>866467</v>
      </c>
      <c r="M11" s="25">
        <v>2638378</v>
      </c>
      <c r="N11" s="25">
        <v>1331282</v>
      </c>
      <c r="O11" s="25">
        <v>376516</v>
      </c>
      <c r="P11" s="25">
        <v>1520912</v>
      </c>
      <c r="Q11" s="25">
        <v>682663</v>
      </c>
      <c r="R11" s="25">
        <v>1161</v>
      </c>
      <c r="S11" s="25">
        <v>343136</v>
      </c>
      <c r="T11" s="25">
        <v>45821</v>
      </c>
      <c r="U11" s="25">
        <v>52326</v>
      </c>
      <c r="V11" s="25">
        <v>30947</v>
      </c>
      <c r="W11" s="25">
        <v>490.32600000000002</v>
      </c>
      <c r="X11" s="25">
        <v>951.75599999999997</v>
      </c>
      <c r="Y11" s="25">
        <v>3889.357</v>
      </c>
      <c r="Z11" s="25">
        <v>4398</v>
      </c>
      <c r="AA11" s="25">
        <v>2515</v>
      </c>
      <c r="AB11" s="26">
        <v>0</v>
      </c>
      <c r="AC11" s="26">
        <v>3589</v>
      </c>
    </row>
    <row r="12" spans="1:29" x14ac:dyDescent="0.25">
      <c r="A12" s="20">
        <v>44508</v>
      </c>
      <c r="B12" s="28">
        <v>37</v>
      </c>
      <c r="C12" s="27">
        <v>68</v>
      </c>
      <c r="D12" s="30">
        <v>944698</v>
      </c>
      <c r="E12" s="25">
        <v>946175</v>
      </c>
      <c r="F12" s="25">
        <v>914911</v>
      </c>
      <c r="G12" s="25">
        <v>913987</v>
      </c>
      <c r="H12" s="25">
        <v>264070</v>
      </c>
      <c r="I12" s="25">
        <f t="shared" si="0"/>
        <v>7390187.7360000014</v>
      </c>
      <c r="J12" s="32">
        <f t="shared" si="1"/>
        <v>32797.133336000028</v>
      </c>
      <c r="K12" s="25">
        <f t="shared" si="2"/>
        <v>5421062.4663999975</v>
      </c>
      <c r="L12" s="25">
        <v>867581</v>
      </c>
      <c r="M12" s="25">
        <v>2638478</v>
      </c>
      <c r="N12" s="25">
        <v>1333776</v>
      </c>
      <c r="O12" s="25">
        <v>376290</v>
      </c>
      <c r="P12" s="25">
        <v>1521368</v>
      </c>
      <c r="Q12" s="25">
        <v>682663</v>
      </c>
      <c r="R12" s="25">
        <v>1161</v>
      </c>
      <c r="S12" s="25">
        <v>343183</v>
      </c>
      <c r="T12" s="25">
        <v>45877</v>
      </c>
      <c r="U12" s="25">
        <v>52337</v>
      </c>
      <c r="V12" s="25">
        <v>30961</v>
      </c>
      <c r="W12" s="25">
        <v>490.32600000000002</v>
      </c>
      <c r="X12" s="25">
        <v>951.89700000000005</v>
      </c>
      <c r="Y12" s="25">
        <v>3889.357</v>
      </c>
      <c r="Z12" s="25">
        <v>4398</v>
      </c>
      <c r="AA12" s="25">
        <v>2521</v>
      </c>
      <c r="AB12" s="26">
        <v>0</v>
      </c>
      <c r="AC12" s="26">
        <v>1617</v>
      </c>
    </row>
    <row r="13" spans="1:29" x14ac:dyDescent="0.25">
      <c r="A13" s="20">
        <v>44509</v>
      </c>
      <c r="B13" s="28">
        <v>30</v>
      </c>
      <c r="C13" s="27">
        <v>62</v>
      </c>
      <c r="D13" s="30">
        <v>949194</v>
      </c>
      <c r="E13" s="25">
        <v>950678</v>
      </c>
      <c r="F13" s="25">
        <v>920409</v>
      </c>
      <c r="G13" s="25">
        <v>919480</v>
      </c>
      <c r="H13" s="25">
        <v>264640</v>
      </c>
      <c r="I13" s="25">
        <f t="shared" si="0"/>
        <v>7392162.7030000016</v>
      </c>
      <c r="J13" s="32">
        <f t="shared" si="1"/>
        <v>32797.400003000032</v>
      </c>
      <c r="K13" s="25">
        <f t="shared" si="2"/>
        <v>5421357.8996999972</v>
      </c>
      <c r="L13" s="25">
        <f t="shared" ref="L13:L20" si="3">L12+1089</f>
        <v>868670</v>
      </c>
      <c r="M13" s="25">
        <v>2639235</v>
      </c>
      <c r="N13" s="25">
        <v>1335260</v>
      </c>
      <c r="O13" s="25">
        <v>376682</v>
      </c>
      <c r="P13" s="25">
        <v>1522043</v>
      </c>
      <c r="Q13" s="25">
        <v>682663</v>
      </c>
      <c r="R13" s="25">
        <v>1161</v>
      </c>
      <c r="S13" s="25">
        <v>343222</v>
      </c>
      <c r="T13" s="25">
        <v>45923</v>
      </c>
      <c r="U13" s="25">
        <v>52346</v>
      </c>
      <c r="V13" s="25">
        <v>30961</v>
      </c>
      <c r="W13" s="25">
        <v>490.32600000000002</v>
      </c>
      <c r="X13" s="25">
        <v>951.95100000000002</v>
      </c>
      <c r="Y13" s="25">
        <v>3889.3580000000002</v>
      </c>
      <c r="Z13" s="25">
        <v>4398</v>
      </c>
      <c r="AA13" s="25">
        <v>2525</v>
      </c>
      <c r="AB13" s="26">
        <v>0</v>
      </c>
      <c r="AC13" s="26">
        <v>0</v>
      </c>
    </row>
    <row r="14" spans="1:29" x14ac:dyDescent="0.25">
      <c r="A14" s="20">
        <v>44510</v>
      </c>
      <c r="B14" s="28">
        <v>27</v>
      </c>
      <c r="C14" s="27">
        <v>40</v>
      </c>
      <c r="D14" s="30">
        <v>954382</v>
      </c>
      <c r="E14" s="25">
        <v>955876</v>
      </c>
      <c r="F14" s="25">
        <v>925332</v>
      </c>
      <c r="G14" s="25">
        <v>924398</v>
      </c>
      <c r="H14" s="25">
        <v>265279</v>
      </c>
      <c r="I14" s="25">
        <f t="shared" si="0"/>
        <v>7394137.6700000018</v>
      </c>
      <c r="J14" s="32">
        <f t="shared" si="1"/>
        <v>32797.666670000035</v>
      </c>
      <c r="K14" s="25">
        <f t="shared" si="2"/>
        <v>5421653.3329999968</v>
      </c>
      <c r="L14" s="25">
        <f t="shared" si="3"/>
        <v>869759</v>
      </c>
      <c r="M14" s="25">
        <v>2642795</v>
      </c>
      <c r="N14" s="25">
        <v>1336542</v>
      </c>
      <c r="O14" s="25">
        <v>376743</v>
      </c>
      <c r="P14" s="25">
        <v>1522234</v>
      </c>
      <c r="Q14" s="25">
        <v>682663</v>
      </c>
      <c r="R14" s="25">
        <v>1163</v>
      </c>
      <c r="S14" s="25">
        <v>343260</v>
      </c>
      <c r="T14" s="25">
        <v>45968</v>
      </c>
      <c r="U14" s="25">
        <v>52354</v>
      </c>
      <c r="V14" s="25">
        <v>30962</v>
      </c>
      <c r="W14" s="25">
        <v>490.32600000000002</v>
      </c>
      <c r="X14" s="25">
        <v>952.10900000000004</v>
      </c>
      <c r="Y14" s="25">
        <v>3889.3580000000002</v>
      </c>
      <c r="Z14" s="25">
        <v>4398</v>
      </c>
      <c r="AA14" s="25">
        <v>2529</v>
      </c>
      <c r="AB14" s="26">
        <v>947</v>
      </c>
      <c r="AC14" s="26">
        <v>1317</v>
      </c>
    </row>
    <row r="15" spans="1:29" x14ac:dyDescent="0.25">
      <c r="A15" s="20">
        <v>44511</v>
      </c>
      <c r="B15" s="28">
        <v>68</v>
      </c>
      <c r="C15" s="27">
        <v>94</v>
      </c>
      <c r="D15" s="30">
        <v>957450</v>
      </c>
      <c r="E15" s="25">
        <v>958947</v>
      </c>
      <c r="F15" s="25">
        <v>928215</v>
      </c>
      <c r="G15" s="25">
        <v>927277</v>
      </c>
      <c r="H15" s="25">
        <v>265506</v>
      </c>
      <c r="I15" s="25">
        <f t="shared" si="0"/>
        <v>7396112.637000002</v>
      </c>
      <c r="J15" s="32">
        <f t="shared" si="1"/>
        <v>32797.933337000039</v>
      </c>
      <c r="K15" s="25">
        <f t="shared" si="2"/>
        <v>5421948.7662999965</v>
      </c>
      <c r="L15" s="25">
        <f t="shared" si="3"/>
        <v>870848</v>
      </c>
      <c r="M15" s="25">
        <v>2640301</v>
      </c>
      <c r="N15" s="25">
        <v>1338587</v>
      </c>
      <c r="O15" s="25">
        <v>376812</v>
      </c>
      <c r="P15" s="25">
        <v>1522561</v>
      </c>
      <c r="Q15" s="25">
        <v>682663</v>
      </c>
      <c r="R15" s="25">
        <v>1163</v>
      </c>
      <c r="S15" s="25">
        <v>343299</v>
      </c>
      <c r="T15" s="25">
        <v>46015</v>
      </c>
      <c r="U15" s="25">
        <v>52364</v>
      </c>
      <c r="V15" s="25">
        <v>30964</v>
      </c>
      <c r="W15" s="25">
        <v>490.32799999999997</v>
      </c>
      <c r="X15" s="25">
        <v>952.14800000000002</v>
      </c>
      <c r="Y15" s="25">
        <v>3889.3989999999999</v>
      </c>
      <c r="Z15" s="25">
        <v>4398</v>
      </c>
      <c r="AA15" s="25">
        <v>2532</v>
      </c>
      <c r="AB15" s="26">
        <v>2816</v>
      </c>
      <c r="AC15" s="26">
        <v>3581</v>
      </c>
    </row>
    <row r="16" spans="1:29" x14ac:dyDescent="0.25">
      <c r="A16" s="20">
        <v>44512</v>
      </c>
      <c r="B16" s="28">
        <v>48</v>
      </c>
      <c r="C16" s="27">
        <v>110</v>
      </c>
      <c r="D16" s="30">
        <v>959546</v>
      </c>
      <c r="E16" s="25">
        <v>961047</v>
      </c>
      <c r="F16" s="25">
        <v>931007</v>
      </c>
      <c r="G16" s="25">
        <v>930067</v>
      </c>
      <c r="H16" s="25">
        <v>265506</v>
      </c>
      <c r="I16" s="25">
        <f t="shared" si="0"/>
        <v>7398087.6040000021</v>
      </c>
      <c r="J16" s="32">
        <f t="shared" si="1"/>
        <v>32798.200004000042</v>
      </c>
      <c r="K16" s="25">
        <f t="shared" si="2"/>
        <v>5422244.1995999962</v>
      </c>
      <c r="L16" s="25">
        <f t="shared" si="3"/>
        <v>871937</v>
      </c>
      <c r="M16" s="25">
        <v>2640301</v>
      </c>
      <c r="N16" s="25">
        <v>1341167</v>
      </c>
      <c r="O16" s="25">
        <v>376925</v>
      </c>
      <c r="P16" s="25">
        <v>1523322</v>
      </c>
      <c r="Q16" s="25">
        <v>682663</v>
      </c>
      <c r="R16" s="25">
        <v>1163</v>
      </c>
      <c r="S16" s="25">
        <v>343343</v>
      </c>
      <c r="T16" s="25">
        <v>46067</v>
      </c>
      <c r="U16" s="25">
        <v>52374</v>
      </c>
      <c r="V16" s="25">
        <v>30965</v>
      </c>
      <c r="W16" s="25">
        <v>490.32799999999997</v>
      </c>
      <c r="X16" s="25">
        <v>952.28700000000003</v>
      </c>
      <c r="Y16" s="25">
        <v>3889.3989999999999</v>
      </c>
      <c r="Z16" s="25">
        <v>4398</v>
      </c>
      <c r="AA16" s="25">
        <v>2536</v>
      </c>
      <c r="AB16" s="26">
        <v>2831</v>
      </c>
      <c r="AC16" s="26">
        <v>3538</v>
      </c>
    </row>
    <row r="17" spans="1:29" x14ac:dyDescent="0.25">
      <c r="A17" s="20">
        <v>44513</v>
      </c>
      <c r="B17" s="28">
        <v>85</v>
      </c>
      <c r="C17" s="27">
        <v>187</v>
      </c>
      <c r="D17" s="30">
        <v>961449</v>
      </c>
      <c r="E17" s="25">
        <v>962952</v>
      </c>
      <c r="F17" s="25">
        <v>933972</v>
      </c>
      <c r="G17" s="25">
        <v>933028</v>
      </c>
      <c r="H17" s="25">
        <v>265506</v>
      </c>
      <c r="I17" s="25">
        <f t="shared" si="0"/>
        <v>7400062.5710000023</v>
      </c>
      <c r="J17" s="32">
        <f t="shared" si="1"/>
        <v>32798.466671000046</v>
      </c>
      <c r="K17" s="25">
        <f t="shared" si="2"/>
        <v>5422539.6328999959</v>
      </c>
      <c r="L17" s="25">
        <f t="shared" si="3"/>
        <v>873026</v>
      </c>
      <c r="M17" s="25">
        <v>2640302</v>
      </c>
      <c r="N17" s="25">
        <v>1343648</v>
      </c>
      <c r="O17" s="25">
        <v>377012</v>
      </c>
      <c r="P17" s="25">
        <v>1524072</v>
      </c>
      <c r="Q17" s="25">
        <v>682663</v>
      </c>
      <c r="R17" s="25">
        <v>1163</v>
      </c>
      <c r="S17" s="25">
        <v>343390</v>
      </c>
      <c r="T17" s="25">
        <v>46124</v>
      </c>
      <c r="U17" s="25">
        <v>52383</v>
      </c>
      <c r="V17" s="25">
        <v>30966</v>
      </c>
      <c r="W17" s="25">
        <v>490.32799999999997</v>
      </c>
      <c r="X17" s="25">
        <v>952.38199999999995</v>
      </c>
      <c r="Y17" s="25">
        <v>3889.3989999999999</v>
      </c>
      <c r="Z17" s="25">
        <v>4398</v>
      </c>
      <c r="AA17" s="25">
        <v>2540</v>
      </c>
      <c r="AB17" s="26">
        <v>2451</v>
      </c>
      <c r="AC17" s="26">
        <v>3550</v>
      </c>
    </row>
    <row r="18" spans="1:29" x14ac:dyDescent="0.25">
      <c r="A18" s="20">
        <v>44514</v>
      </c>
      <c r="B18" s="28">
        <v>51</v>
      </c>
      <c r="C18" s="27">
        <v>89</v>
      </c>
      <c r="D18" s="30">
        <v>963378</v>
      </c>
      <c r="E18" s="25">
        <v>964884</v>
      </c>
      <c r="F18" s="25">
        <v>937068</v>
      </c>
      <c r="G18" s="25">
        <v>936121</v>
      </c>
      <c r="H18" s="25">
        <v>265506</v>
      </c>
      <c r="I18" s="25">
        <f t="shared" si="0"/>
        <v>7402037.5380000025</v>
      </c>
      <c r="J18" s="32">
        <f t="shared" si="1"/>
        <v>32798.733338000049</v>
      </c>
      <c r="K18" s="25">
        <f t="shared" si="2"/>
        <v>5422835.0661999956</v>
      </c>
      <c r="L18" s="25">
        <f t="shared" si="3"/>
        <v>874115</v>
      </c>
      <c r="M18" s="25">
        <v>2640364</v>
      </c>
      <c r="N18" s="25">
        <v>1346260</v>
      </c>
      <c r="O18" s="25">
        <v>377071</v>
      </c>
      <c r="P18" s="25">
        <v>1524853</v>
      </c>
      <c r="Q18" s="25">
        <v>682663</v>
      </c>
      <c r="R18" s="25">
        <v>1163</v>
      </c>
      <c r="S18" s="25">
        <v>343449</v>
      </c>
      <c r="T18" s="25">
        <v>46188</v>
      </c>
      <c r="U18" s="25">
        <v>52394</v>
      </c>
      <c r="V18" s="25">
        <v>30967</v>
      </c>
      <c r="W18" s="25">
        <v>490.32799999999997</v>
      </c>
      <c r="X18" s="25">
        <v>952.46600000000001</v>
      </c>
      <c r="Y18" s="25">
        <v>3889.4029999999998</v>
      </c>
      <c r="Z18" s="25">
        <v>4398</v>
      </c>
      <c r="AA18" s="25">
        <v>2547</v>
      </c>
      <c r="AB18" s="26">
        <v>0</v>
      </c>
      <c r="AC18" s="26">
        <v>3573</v>
      </c>
    </row>
    <row r="19" spans="1:29" x14ac:dyDescent="0.25">
      <c r="A19" s="20">
        <v>44515</v>
      </c>
      <c r="B19" s="28">
        <v>62</v>
      </c>
      <c r="C19" s="27">
        <v>91</v>
      </c>
      <c r="D19" s="30">
        <v>967859</v>
      </c>
      <c r="E19" s="25">
        <v>969373</v>
      </c>
      <c r="F19" s="25">
        <v>939985</v>
      </c>
      <c r="G19" s="25">
        <v>939040</v>
      </c>
      <c r="H19" s="25">
        <v>265506</v>
      </c>
      <c r="I19" s="25">
        <f t="shared" si="0"/>
        <v>7404012.5050000027</v>
      </c>
      <c r="J19" s="32">
        <f t="shared" si="1"/>
        <v>32799.000005000053</v>
      </c>
      <c r="K19" s="25">
        <f t="shared" si="2"/>
        <v>5423130.4994999953</v>
      </c>
      <c r="L19" s="25">
        <f t="shared" si="3"/>
        <v>875204</v>
      </c>
      <c r="M19" s="25">
        <v>2641098</v>
      </c>
      <c r="N19" s="25">
        <v>1348447</v>
      </c>
      <c r="O19" s="25">
        <v>377176</v>
      </c>
      <c r="P19" s="25">
        <v>1525605</v>
      </c>
      <c r="Q19" s="25">
        <v>682663</v>
      </c>
      <c r="R19" s="25">
        <v>1163</v>
      </c>
      <c r="S19" s="25">
        <v>343502</v>
      </c>
      <c r="T19" s="25">
        <v>46248</v>
      </c>
      <c r="U19" s="25">
        <v>52404</v>
      </c>
      <c r="V19" s="25">
        <v>30981</v>
      </c>
      <c r="W19" s="25">
        <v>490.32799999999997</v>
      </c>
      <c r="X19" s="25">
        <v>952.55799999999999</v>
      </c>
      <c r="Y19" s="25">
        <v>3889.4059999999999</v>
      </c>
      <c r="Z19" s="25">
        <v>4398</v>
      </c>
      <c r="AA19" s="25">
        <v>2554</v>
      </c>
      <c r="AB19" s="26">
        <v>0</v>
      </c>
      <c r="AC19" s="26">
        <v>3593</v>
      </c>
    </row>
    <row r="20" spans="1:29" x14ac:dyDescent="0.25">
      <c r="A20" s="20">
        <v>44516</v>
      </c>
      <c r="B20" s="28">
        <v>49</v>
      </c>
      <c r="C20" s="27">
        <v>86</v>
      </c>
      <c r="D20" s="30">
        <v>972726</v>
      </c>
      <c r="E20" s="25">
        <v>974248</v>
      </c>
      <c r="F20" s="25">
        <v>942585</v>
      </c>
      <c r="G20" s="25">
        <v>941632</v>
      </c>
      <c r="H20" s="25">
        <v>265506</v>
      </c>
      <c r="I20" s="25">
        <f t="shared" si="0"/>
        <v>7405987.4720000029</v>
      </c>
      <c r="J20" s="32">
        <f t="shared" si="1"/>
        <v>32799.266672000056</v>
      </c>
      <c r="K20" s="25">
        <f t="shared" si="2"/>
        <v>5423425.9327999949</v>
      </c>
      <c r="L20" s="25">
        <f t="shared" si="3"/>
        <v>876293</v>
      </c>
      <c r="M20" s="25">
        <v>2641852</v>
      </c>
      <c r="N20" s="25">
        <v>1350854</v>
      </c>
      <c r="O20" s="25">
        <v>377257</v>
      </c>
      <c r="P20" s="25">
        <v>1526128</v>
      </c>
      <c r="Q20" s="25">
        <v>682663</v>
      </c>
      <c r="R20" s="25">
        <v>1163</v>
      </c>
      <c r="S20" s="25">
        <v>343557</v>
      </c>
      <c r="T20" s="25">
        <v>46305</v>
      </c>
      <c r="U20" s="25">
        <v>52414</v>
      </c>
      <c r="V20" s="25">
        <v>30981</v>
      </c>
      <c r="W20" s="25">
        <v>490.32799999999997</v>
      </c>
      <c r="X20" s="25">
        <v>952.65300000000002</v>
      </c>
      <c r="Y20" s="25">
        <v>3889.4110000000001</v>
      </c>
      <c r="Z20" s="25">
        <v>4398</v>
      </c>
      <c r="AA20" s="25">
        <v>2558</v>
      </c>
      <c r="AB20" s="26">
        <v>0</v>
      </c>
      <c r="AC20" s="26">
        <v>3097</v>
      </c>
    </row>
    <row r="21" spans="1:29" x14ac:dyDescent="0.25">
      <c r="A21" s="20">
        <v>44517</v>
      </c>
      <c r="B21" s="28">
        <v>100</v>
      </c>
      <c r="C21" s="27">
        <v>138</v>
      </c>
      <c r="D21" s="30">
        <v>977470</v>
      </c>
      <c r="E21" s="25">
        <v>979000</v>
      </c>
      <c r="F21" s="25">
        <v>945540</v>
      </c>
      <c r="G21" s="25">
        <v>944584</v>
      </c>
      <c r="H21" s="25">
        <v>265589</v>
      </c>
      <c r="I21" s="25">
        <f t="shared" si="0"/>
        <v>7407962.439000003</v>
      </c>
      <c r="J21" s="32">
        <f t="shared" si="1"/>
        <v>32799.53333900006</v>
      </c>
      <c r="K21" s="25">
        <f t="shared" si="2"/>
        <v>5423721.3660999946</v>
      </c>
      <c r="L21" s="25">
        <v>877389</v>
      </c>
      <c r="M21" s="25">
        <v>2642604</v>
      </c>
      <c r="N21" s="25">
        <v>1353120</v>
      </c>
      <c r="O21" s="25">
        <v>377339</v>
      </c>
      <c r="P21" s="25">
        <v>1526593</v>
      </c>
      <c r="Q21" s="25">
        <v>682787</v>
      </c>
      <c r="R21" s="25">
        <v>1163</v>
      </c>
      <c r="S21" s="25">
        <v>34360</v>
      </c>
      <c r="T21" s="25">
        <v>46362</v>
      </c>
      <c r="U21" s="25">
        <v>52423</v>
      </c>
      <c r="V21" s="25">
        <v>30982</v>
      </c>
      <c r="W21" s="25">
        <v>490.32799999999997</v>
      </c>
      <c r="X21" s="25">
        <v>952.73099999999999</v>
      </c>
      <c r="Y21" s="25">
        <v>3889.442</v>
      </c>
      <c r="Z21" s="25">
        <v>4398</v>
      </c>
      <c r="AA21" s="25">
        <v>2562</v>
      </c>
      <c r="AB21" s="26">
        <v>0</v>
      </c>
      <c r="AC21" s="26">
        <v>3531</v>
      </c>
    </row>
    <row r="22" spans="1:29" x14ac:dyDescent="0.25">
      <c r="A22" s="20">
        <v>44518</v>
      </c>
      <c r="B22" s="28">
        <v>109</v>
      </c>
      <c r="C22" s="27">
        <v>205</v>
      </c>
      <c r="D22" s="30">
        <v>982711</v>
      </c>
      <c r="E22" s="25">
        <v>984250</v>
      </c>
      <c r="F22" s="25">
        <v>947235</v>
      </c>
      <c r="G22" s="25">
        <v>946278</v>
      </c>
      <c r="H22" s="25">
        <v>265589</v>
      </c>
      <c r="I22" s="25">
        <f t="shared" si="0"/>
        <v>7409937.4060000032</v>
      </c>
      <c r="J22" s="32">
        <f t="shared" si="1"/>
        <v>32799.800006000063</v>
      </c>
      <c r="K22" s="25">
        <f t="shared" si="2"/>
        <v>5424016.7993999943</v>
      </c>
      <c r="L22" s="25">
        <f>L21+1089</f>
        <v>878478</v>
      </c>
      <c r="M22" s="25">
        <v>2643325</v>
      </c>
      <c r="N22" s="25">
        <v>1355295</v>
      </c>
      <c r="O22" s="25">
        <v>377442</v>
      </c>
      <c r="P22" s="25">
        <v>1526593</v>
      </c>
      <c r="Q22" s="25">
        <v>683288</v>
      </c>
      <c r="R22" s="25">
        <v>1163</v>
      </c>
      <c r="S22" s="25">
        <v>343660</v>
      </c>
      <c r="T22" s="25">
        <v>46426</v>
      </c>
      <c r="U22" s="25">
        <v>52433</v>
      </c>
      <c r="V22" s="25">
        <v>30983</v>
      </c>
      <c r="W22" s="25">
        <v>490.32799999999997</v>
      </c>
      <c r="X22" s="25">
        <v>952.79899999999998</v>
      </c>
      <c r="Y22" s="25">
        <v>3889.4459999999999</v>
      </c>
      <c r="Z22" s="25">
        <v>4398</v>
      </c>
      <c r="AA22" s="25">
        <v>2566</v>
      </c>
      <c r="AB22" s="26">
        <v>0</v>
      </c>
      <c r="AC22" s="26">
        <v>1012</v>
      </c>
    </row>
    <row r="23" spans="1:29" x14ac:dyDescent="0.25">
      <c r="A23" s="20">
        <v>44519</v>
      </c>
      <c r="B23" s="28">
        <v>109</v>
      </c>
      <c r="C23" s="27">
        <v>258</v>
      </c>
      <c r="D23" s="30">
        <v>988413</v>
      </c>
      <c r="E23" s="25">
        <v>989961</v>
      </c>
      <c r="F23" s="25">
        <v>951919</v>
      </c>
      <c r="G23" s="25">
        <v>950958</v>
      </c>
      <c r="H23" s="25">
        <v>266206</v>
      </c>
      <c r="I23" s="25">
        <f t="shared" si="0"/>
        <v>7411912.3730000034</v>
      </c>
      <c r="J23" s="32">
        <f t="shared" si="1"/>
        <v>32800.066673000067</v>
      </c>
      <c r="K23" s="25">
        <f t="shared" si="2"/>
        <v>5424312.232699994</v>
      </c>
      <c r="L23" s="25">
        <f>L22+1089</f>
        <v>879567</v>
      </c>
      <c r="M23" s="25">
        <v>2644057</v>
      </c>
      <c r="N23" s="25">
        <v>1357138</v>
      </c>
      <c r="O23" s="25">
        <v>377545</v>
      </c>
      <c r="P23" s="25">
        <v>1526600</v>
      </c>
      <c r="Q23" s="25">
        <v>683913</v>
      </c>
      <c r="R23" s="25">
        <v>1163</v>
      </c>
      <c r="S23" s="25">
        <v>343734</v>
      </c>
      <c r="T23" s="25">
        <v>46503</v>
      </c>
      <c r="U23" s="25">
        <v>52442</v>
      </c>
      <c r="V23" s="25">
        <v>30984</v>
      </c>
      <c r="W23" s="25">
        <v>490.32799999999997</v>
      </c>
      <c r="X23" s="25">
        <v>952.96400000000006</v>
      </c>
      <c r="Y23" s="25">
        <v>3889.4589999999998</v>
      </c>
      <c r="Z23" s="25">
        <v>4398</v>
      </c>
      <c r="AA23" s="25">
        <v>2570</v>
      </c>
      <c r="AB23" s="26">
        <v>0</v>
      </c>
      <c r="AC23" s="26">
        <v>0</v>
      </c>
    </row>
    <row r="24" spans="1:29" x14ac:dyDescent="0.25">
      <c r="A24" s="20">
        <v>44520</v>
      </c>
      <c r="B24" s="28">
        <v>71</v>
      </c>
      <c r="C24" s="27">
        <v>178</v>
      </c>
      <c r="D24" s="30">
        <v>993518</v>
      </c>
      <c r="E24" s="25">
        <v>995507</v>
      </c>
      <c r="F24" s="25">
        <v>958455</v>
      </c>
      <c r="G24" s="25">
        <v>957486</v>
      </c>
      <c r="H24" s="25">
        <v>266984</v>
      </c>
      <c r="I24" s="25">
        <f t="shared" si="0"/>
        <v>7413887.3400000036</v>
      </c>
      <c r="J24" s="32">
        <f t="shared" si="1"/>
        <v>32800.33334000007</v>
      </c>
      <c r="K24" s="25">
        <f t="shared" si="2"/>
        <v>5424607.6659999937</v>
      </c>
      <c r="L24" s="25">
        <v>880927</v>
      </c>
      <c r="M24" s="25">
        <v>2644820</v>
      </c>
      <c r="N24" s="25">
        <v>1359010</v>
      </c>
      <c r="O24" s="25">
        <v>377655</v>
      </c>
      <c r="P24" s="25">
        <v>1527373</v>
      </c>
      <c r="Q24" s="25">
        <v>683913</v>
      </c>
      <c r="R24" s="25">
        <v>1163</v>
      </c>
      <c r="S24" s="25">
        <v>343816</v>
      </c>
      <c r="T24" s="25">
        <v>46591</v>
      </c>
      <c r="U24" s="25">
        <v>52454</v>
      </c>
      <c r="V24" s="25">
        <v>30985</v>
      </c>
      <c r="W24" s="25">
        <v>490.32799999999997</v>
      </c>
      <c r="X24" s="25">
        <v>952.98</v>
      </c>
      <c r="Y24" s="25">
        <v>3889.482</v>
      </c>
      <c r="Z24" s="25">
        <v>4398</v>
      </c>
      <c r="AA24" s="25">
        <v>2574</v>
      </c>
      <c r="AB24" s="26">
        <v>1417</v>
      </c>
      <c r="AC24" s="26">
        <v>0</v>
      </c>
    </row>
    <row r="25" spans="1:29" x14ac:dyDescent="0.25">
      <c r="A25" s="20">
        <v>44521</v>
      </c>
      <c r="B25" s="28">
        <v>11</v>
      </c>
      <c r="C25" s="27">
        <v>28</v>
      </c>
      <c r="D25" s="30">
        <v>996224</v>
      </c>
      <c r="E25" s="25">
        <v>997785</v>
      </c>
      <c r="F25" s="25">
        <v>965355</v>
      </c>
      <c r="G25" s="25">
        <v>964379</v>
      </c>
      <c r="H25" s="25">
        <v>267798</v>
      </c>
      <c r="I25" s="25">
        <f t="shared" si="0"/>
        <v>7415862.3070000038</v>
      </c>
      <c r="J25" s="32">
        <f t="shared" si="1"/>
        <v>32800.600007000074</v>
      </c>
      <c r="K25" s="25">
        <f t="shared" si="2"/>
        <v>5424903.0992999934</v>
      </c>
      <c r="L25" s="25">
        <v>882178</v>
      </c>
      <c r="M25" s="25">
        <v>2645003</v>
      </c>
      <c r="N25" s="25">
        <v>1361345</v>
      </c>
      <c r="O25" s="25">
        <f>O24+104</f>
        <v>377759</v>
      </c>
      <c r="P25" s="25">
        <v>1528146</v>
      </c>
      <c r="Q25" s="25">
        <v>683913</v>
      </c>
      <c r="R25" s="25">
        <v>1163</v>
      </c>
      <c r="S25" s="25">
        <v>343883</v>
      </c>
      <c r="T25" s="25">
        <v>46666</v>
      </c>
      <c r="U25" s="25">
        <v>52464</v>
      </c>
      <c r="V25" s="25">
        <v>30986</v>
      </c>
      <c r="W25" s="25">
        <v>490.32799999999997</v>
      </c>
      <c r="X25" s="25">
        <v>953.22900000000004</v>
      </c>
      <c r="Y25" s="25">
        <v>3889.491</v>
      </c>
      <c r="Z25" s="25">
        <v>4398</v>
      </c>
      <c r="AA25" s="25">
        <v>2580</v>
      </c>
      <c r="AB25" s="26">
        <v>2872</v>
      </c>
      <c r="AC25" s="26">
        <v>0</v>
      </c>
    </row>
    <row r="26" spans="1:29" x14ac:dyDescent="0.25">
      <c r="A26" s="20">
        <v>44522</v>
      </c>
      <c r="B26" s="28">
        <v>33</v>
      </c>
      <c r="C26" s="27">
        <v>53</v>
      </c>
      <c r="D26" s="30">
        <v>998183</v>
      </c>
      <c r="E26" s="25">
        <v>999747</v>
      </c>
      <c r="F26" s="25">
        <v>971043</v>
      </c>
      <c r="G26" s="25">
        <v>970062</v>
      </c>
      <c r="H26" s="25">
        <v>268590</v>
      </c>
      <c r="I26" s="25">
        <f t="shared" si="0"/>
        <v>7417837.2740000039</v>
      </c>
      <c r="J26" s="32">
        <f t="shared" si="1"/>
        <v>32800.866674000077</v>
      </c>
      <c r="K26" s="25">
        <f t="shared" si="2"/>
        <v>5425198.5325999931</v>
      </c>
      <c r="L26" s="25">
        <f>L25+1089</f>
        <v>883267</v>
      </c>
      <c r="M26" s="25">
        <v>2645005</v>
      </c>
      <c r="N26" s="25">
        <v>1363882</v>
      </c>
      <c r="O26" s="25">
        <v>377863</v>
      </c>
      <c r="P26" s="25">
        <v>1528456</v>
      </c>
      <c r="Q26" s="25">
        <v>683913</v>
      </c>
      <c r="R26" s="25">
        <v>1163</v>
      </c>
      <c r="S26" s="25">
        <v>343933</v>
      </c>
      <c r="T26" s="25">
        <v>46725</v>
      </c>
      <c r="U26" s="25">
        <v>52473</v>
      </c>
      <c r="V26" s="25">
        <v>31000</v>
      </c>
      <c r="W26" s="25">
        <v>490.32799999999997</v>
      </c>
      <c r="X26" s="25">
        <v>953.35799999999995</v>
      </c>
      <c r="Y26" s="25">
        <v>3889.4940000000001</v>
      </c>
      <c r="Z26" s="25">
        <v>4398</v>
      </c>
      <c r="AA26" s="25">
        <v>2586</v>
      </c>
      <c r="AB26" s="31">
        <v>2885</v>
      </c>
      <c r="AC26" s="26">
        <v>0</v>
      </c>
    </row>
    <row r="27" spans="1:29" x14ac:dyDescent="0.25">
      <c r="A27" s="20">
        <v>44523</v>
      </c>
      <c r="B27" s="28">
        <v>28</v>
      </c>
      <c r="C27" s="27">
        <v>52</v>
      </c>
      <c r="D27" s="30">
        <v>1000032</v>
      </c>
      <c r="E27" s="25">
        <v>1001600</v>
      </c>
      <c r="F27" s="25">
        <v>976142</v>
      </c>
      <c r="G27" s="25">
        <v>975154</v>
      </c>
      <c r="H27" s="25">
        <v>269398</v>
      </c>
      <c r="I27" s="25">
        <f t="shared" si="0"/>
        <v>7419812.2410000041</v>
      </c>
      <c r="J27" s="32">
        <f t="shared" si="1"/>
        <v>32801.133341000081</v>
      </c>
      <c r="K27" s="25">
        <f t="shared" si="2"/>
        <v>5425493.9658999927</v>
      </c>
      <c r="L27" s="25">
        <f>L26+1114</f>
        <v>884381</v>
      </c>
      <c r="M27" s="25">
        <v>2645336</v>
      </c>
      <c r="N27" s="25">
        <v>1366440</v>
      </c>
      <c r="O27" s="25">
        <v>377941</v>
      </c>
      <c r="P27" s="25">
        <v>1528456</v>
      </c>
      <c r="Q27" s="25">
        <v>683913</v>
      </c>
      <c r="R27" s="25">
        <v>1163</v>
      </c>
      <c r="S27" s="25">
        <v>343976</v>
      </c>
      <c r="T27" s="25">
        <v>46774</v>
      </c>
      <c r="U27" s="25">
        <v>52482</v>
      </c>
      <c r="V27" s="25">
        <v>31001</v>
      </c>
      <c r="W27" s="25">
        <v>490.32799999999997</v>
      </c>
      <c r="X27" s="25">
        <v>953.42899999999997</v>
      </c>
      <c r="Y27" s="25">
        <v>3889.502</v>
      </c>
      <c r="Z27" s="25">
        <v>4398</v>
      </c>
      <c r="AA27" s="25">
        <v>2591</v>
      </c>
      <c r="AB27" s="31">
        <v>2602</v>
      </c>
      <c r="AC27" s="26">
        <v>0</v>
      </c>
    </row>
    <row r="28" spans="1:29" x14ac:dyDescent="0.25">
      <c r="A28" s="20">
        <v>44524</v>
      </c>
      <c r="B28" s="28">
        <v>32</v>
      </c>
      <c r="C28" s="27">
        <v>56</v>
      </c>
      <c r="D28" s="30">
        <v>1002595</v>
      </c>
      <c r="E28" s="25">
        <v>1004167</v>
      </c>
      <c r="F28" s="25">
        <v>981601</v>
      </c>
      <c r="G28" s="25">
        <v>980608</v>
      </c>
      <c r="H28" s="25">
        <v>270229</v>
      </c>
      <c r="I28" s="25">
        <f t="shared" si="0"/>
        <v>7421787.2080000043</v>
      </c>
      <c r="J28" s="32">
        <f t="shared" si="1"/>
        <v>32801.400008000084</v>
      </c>
      <c r="K28" s="25">
        <f t="shared" si="2"/>
        <v>5425789.3991999924</v>
      </c>
      <c r="L28" s="25">
        <f t="shared" ref="L28:L34" si="4">L27+1114</f>
        <v>885495</v>
      </c>
      <c r="M28" s="25">
        <v>2645094</v>
      </c>
      <c r="N28" s="25">
        <v>1369032</v>
      </c>
      <c r="O28" s="25">
        <v>378019</v>
      </c>
      <c r="P28" s="25">
        <v>1528642</v>
      </c>
      <c r="Q28" s="25">
        <v>683913</v>
      </c>
      <c r="R28" s="25">
        <v>1163</v>
      </c>
      <c r="S28" s="25">
        <v>344019</v>
      </c>
      <c r="T28" s="25">
        <v>46825</v>
      </c>
      <c r="U28" s="25">
        <v>52491</v>
      </c>
      <c r="V28" s="25">
        <v>31001</v>
      </c>
      <c r="W28" s="25">
        <v>490.32799999999997</v>
      </c>
      <c r="X28" s="25">
        <v>953.50199999999995</v>
      </c>
      <c r="Y28" s="25">
        <v>3889.5050000000001</v>
      </c>
      <c r="Z28" s="25">
        <v>4398</v>
      </c>
      <c r="AA28" s="25">
        <v>2599</v>
      </c>
      <c r="AB28" s="31">
        <v>2924</v>
      </c>
      <c r="AC28" s="26">
        <v>0</v>
      </c>
    </row>
    <row r="29" spans="1:29" x14ac:dyDescent="0.25">
      <c r="A29" s="20">
        <v>44525</v>
      </c>
      <c r="B29" s="28">
        <v>10</v>
      </c>
      <c r="C29" s="27">
        <v>24</v>
      </c>
      <c r="D29" s="30">
        <v>1005302</v>
      </c>
      <c r="E29" s="25">
        <v>1006879</v>
      </c>
      <c r="F29" s="25">
        <v>987717</v>
      </c>
      <c r="G29" s="25">
        <v>986717</v>
      </c>
      <c r="H29" s="25">
        <v>271139</v>
      </c>
      <c r="I29" s="25">
        <f t="shared" si="0"/>
        <v>7423762.1750000045</v>
      </c>
      <c r="J29" s="32">
        <f t="shared" si="1"/>
        <v>32801.666675000088</v>
      </c>
      <c r="K29" s="25">
        <f t="shared" si="2"/>
        <v>5426084.8324999921</v>
      </c>
      <c r="L29" s="25">
        <f t="shared" si="4"/>
        <v>886609</v>
      </c>
      <c r="M29" s="25">
        <v>2645095</v>
      </c>
      <c r="N29" s="25">
        <v>1371922</v>
      </c>
      <c r="O29" s="25">
        <v>378097</v>
      </c>
      <c r="P29" s="25">
        <v>1528822</v>
      </c>
      <c r="Q29" s="25">
        <v>683913</v>
      </c>
      <c r="R29" s="25">
        <v>1163</v>
      </c>
      <c r="S29" s="25">
        <v>344076</v>
      </c>
      <c r="T29" s="25">
        <v>46887</v>
      </c>
      <c r="U29" s="25">
        <v>52502</v>
      </c>
      <c r="V29" s="25">
        <v>31002</v>
      </c>
      <c r="W29" s="25">
        <v>490.32799999999997</v>
      </c>
      <c r="X29" s="25">
        <v>953.68499999999995</v>
      </c>
      <c r="Y29" s="25">
        <v>3889.5210000000002</v>
      </c>
      <c r="Z29" s="25">
        <v>4398</v>
      </c>
      <c r="AA29" s="25">
        <v>2605</v>
      </c>
      <c r="AB29" s="31">
        <v>2910</v>
      </c>
      <c r="AC29" s="26">
        <v>0</v>
      </c>
    </row>
    <row r="30" spans="1:29" x14ac:dyDescent="0.25">
      <c r="A30" s="20">
        <v>44526</v>
      </c>
      <c r="B30" s="28">
        <v>58</v>
      </c>
      <c r="C30" s="27">
        <v>157</v>
      </c>
      <c r="D30" s="30">
        <v>1007131</v>
      </c>
      <c r="E30" s="25">
        <v>1008711</v>
      </c>
      <c r="F30" s="25">
        <v>992166</v>
      </c>
      <c r="G30" s="25">
        <v>991161</v>
      </c>
      <c r="H30" s="25">
        <v>278143</v>
      </c>
      <c r="I30" s="25">
        <f t="shared" si="0"/>
        <v>7425737.1420000046</v>
      </c>
      <c r="J30" s="32">
        <f t="shared" si="1"/>
        <v>32801.933342000091</v>
      </c>
      <c r="K30" s="25">
        <f t="shared" si="2"/>
        <v>5426380.2657999918</v>
      </c>
      <c r="L30" s="25">
        <f t="shared" si="4"/>
        <v>887723</v>
      </c>
      <c r="M30" s="25">
        <v>2645096</v>
      </c>
      <c r="N30" s="25">
        <v>1374123</v>
      </c>
      <c r="O30" s="25">
        <v>378175</v>
      </c>
      <c r="P30" s="25">
        <v>1528822</v>
      </c>
      <c r="Q30" s="25">
        <v>684190</v>
      </c>
      <c r="R30" s="25">
        <v>1163</v>
      </c>
      <c r="S30" s="25">
        <v>344106</v>
      </c>
      <c r="T30" s="25">
        <v>46924</v>
      </c>
      <c r="U30" s="25">
        <v>52510</v>
      </c>
      <c r="V30" s="25">
        <v>31003</v>
      </c>
      <c r="W30" s="25">
        <v>490.32799999999997</v>
      </c>
      <c r="X30" s="25">
        <v>953.86199999999997</v>
      </c>
      <c r="Y30" s="25">
        <v>3889.5369999999998</v>
      </c>
      <c r="Z30" s="25">
        <v>4398</v>
      </c>
      <c r="AA30" s="25">
        <v>2612</v>
      </c>
      <c r="AB30" s="31">
        <v>2924</v>
      </c>
      <c r="AC30" s="26">
        <v>0</v>
      </c>
    </row>
    <row r="31" spans="1:29" x14ac:dyDescent="0.25">
      <c r="A31" s="20">
        <v>44527</v>
      </c>
      <c r="B31" s="28">
        <v>84</v>
      </c>
      <c r="C31" s="27">
        <v>223</v>
      </c>
      <c r="D31" s="30">
        <v>1009870</v>
      </c>
      <c r="E31" s="25">
        <v>1011455</v>
      </c>
      <c r="F31" s="25">
        <v>997591</v>
      </c>
      <c r="G31" s="25">
        <v>996580</v>
      </c>
      <c r="H31" s="25">
        <v>272664</v>
      </c>
      <c r="I31" s="25">
        <f t="shared" si="0"/>
        <v>7427712.1090000048</v>
      </c>
      <c r="J31" s="32">
        <f t="shared" si="1"/>
        <v>32802.200009000095</v>
      </c>
      <c r="K31" s="25">
        <f t="shared" si="2"/>
        <v>5426675.6990999915</v>
      </c>
      <c r="L31" s="25">
        <f t="shared" si="4"/>
        <v>888837</v>
      </c>
      <c r="M31" s="25">
        <v>2645098</v>
      </c>
      <c r="N31" s="25">
        <v>1376845</v>
      </c>
      <c r="O31" s="25">
        <v>378253</v>
      </c>
      <c r="P31" s="25">
        <v>1528822</v>
      </c>
      <c r="Q31" s="25">
        <v>684606</v>
      </c>
      <c r="R31" s="25">
        <v>1163</v>
      </c>
      <c r="S31" s="25">
        <v>344151</v>
      </c>
      <c r="T31" s="25">
        <v>46980</v>
      </c>
      <c r="U31" s="25">
        <v>52521</v>
      </c>
      <c r="V31" s="25">
        <v>31004</v>
      </c>
      <c r="W31" s="25">
        <v>490.32799999999997</v>
      </c>
      <c r="X31" s="25">
        <v>954.30100000000004</v>
      </c>
      <c r="Y31" s="25">
        <v>3889.549</v>
      </c>
      <c r="Z31" s="25">
        <v>4398</v>
      </c>
      <c r="AA31" s="25">
        <v>2620</v>
      </c>
      <c r="AB31" s="31">
        <v>2917</v>
      </c>
      <c r="AC31" s="26">
        <v>0</v>
      </c>
    </row>
    <row r="32" spans="1:29" x14ac:dyDescent="0.25">
      <c r="A32" s="20">
        <v>44528</v>
      </c>
      <c r="B32" s="28">
        <v>20</v>
      </c>
      <c r="C32" s="27">
        <v>59</v>
      </c>
      <c r="D32" s="30">
        <v>1012666</v>
      </c>
      <c r="E32" s="25">
        <v>1014256</v>
      </c>
      <c r="F32" s="25">
        <v>1003470</v>
      </c>
      <c r="G32" s="25">
        <v>1002450</v>
      </c>
      <c r="H32" s="25">
        <v>273542</v>
      </c>
      <c r="I32" s="25">
        <f t="shared" si="0"/>
        <v>7429687.076000005</v>
      </c>
      <c r="J32" s="32">
        <f t="shared" si="1"/>
        <v>32802.466676000098</v>
      </c>
      <c r="K32" s="25">
        <f t="shared" si="2"/>
        <v>5426971.1323999912</v>
      </c>
      <c r="L32" s="25">
        <f t="shared" si="4"/>
        <v>889951</v>
      </c>
      <c r="M32" s="25">
        <v>2645116</v>
      </c>
      <c r="N32" s="25">
        <v>1379966</v>
      </c>
      <c r="O32" s="25">
        <v>378352</v>
      </c>
      <c r="P32" s="25">
        <v>1528822</v>
      </c>
      <c r="Q32" s="25">
        <v>685165</v>
      </c>
      <c r="R32" s="25">
        <v>1163</v>
      </c>
      <c r="S32" s="25">
        <v>344221</v>
      </c>
      <c r="T32" s="25">
        <v>47056</v>
      </c>
      <c r="U32" s="25">
        <v>52546</v>
      </c>
      <c r="V32" s="25">
        <v>31006</v>
      </c>
      <c r="W32" s="25">
        <v>490.32799999999997</v>
      </c>
      <c r="X32" s="25">
        <v>954.56700000000001</v>
      </c>
      <c r="Y32" s="25">
        <v>3889.5659999999998</v>
      </c>
      <c r="Z32" s="25">
        <v>4398</v>
      </c>
      <c r="AA32" s="25">
        <v>2625</v>
      </c>
      <c r="AB32" s="31">
        <v>2928</v>
      </c>
      <c r="AC32" s="26">
        <v>0</v>
      </c>
    </row>
    <row r="33" spans="1:29" x14ac:dyDescent="0.25">
      <c r="A33" s="20">
        <v>44529</v>
      </c>
      <c r="B33" s="28">
        <v>15</v>
      </c>
      <c r="C33" s="27">
        <v>37</v>
      </c>
      <c r="D33" s="30">
        <v>1015257</v>
      </c>
      <c r="E33" s="25">
        <v>1016851</v>
      </c>
      <c r="F33" s="25">
        <v>1008803</v>
      </c>
      <c r="G33" s="25">
        <v>1007779</v>
      </c>
      <c r="H33" s="25">
        <v>274437</v>
      </c>
      <c r="I33" s="25">
        <f t="shared" si="0"/>
        <v>7431662.0430000052</v>
      </c>
      <c r="J33" s="32">
        <f t="shared" si="1"/>
        <v>32802.733343000102</v>
      </c>
      <c r="K33" s="25">
        <f t="shared" si="2"/>
        <v>5427266.5656999908</v>
      </c>
      <c r="L33" s="25">
        <f t="shared" si="4"/>
        <v>891065</v>
      </c>
      <c r="M33" s="25">
        <v>2645128</v>
      </c>
      <c r="N33" s="25">
        <f>N32+2821.5</f>
        <v>1382787.5</v>
      </c>
      <c r="O33" s="25">
        <v>378451</v>
      </c>
      <c r="P33" s="25">
        <v>1528822</v>
      </c>
      <c r="Q33" s="25">
        <v>685610</v>
      </c>
      <c r="R33" s="25">
        <v>1163</v>
      </c>
      <c r="S33" s="25">
        <v>344317</v>
      </c>
      <c r="T33" s="25">
        <v>47119</v>
      </c>
      <c r="U33" s="25">
        <v>52557</v>
      </c>
      <c r="V33" s="25">
        <v>31011</v>
      </c>
      <c r="W33" s="25">
        <v>490.32799999999997</v>
      </c>
      <c r="X33" s="25">
        <v>954.79499999999996</v>
      </c>
      <c r="Y33" s="25">
        <v>3889.5770000000002</v>
      </c>
      <c r="Z33" s="25">
        <v>4398</v>
      </c>
      <c r="AA33" s="25">
        <v>2631</v>
      </c>
      <c r="AB33" s="26">
        <v>2910</v>
      </c>
      <c r="AC33" s="26">
        <v>0</v>
      </c>
    </row>
    <row r="34" spans="1:29" x14ac:dyDescent="0.25">
      <c r="A34" s="20">
        <v>44530</v>
      </c>
      <c r="B34" s="28">
        <v>27</v>
      </c>
      <c r="C34" s="27">
        <v>51</v>
      </c>
      <c r="D34" s="25">
        <v>1018006</v>
      </c>
      <c r="E34" s="25">
        <v>1019605</v>
      </c>
      <c r="F34" s="25">
        <v>1013981</v>
      </c>
      <c r="G34" s="25">
        <v>1012951</v>
      </c>
      <c r="H34" s="25">
        <v>275311</v>
      </c>
      <c r="I34" s="25">
        <v>7433637</v>
      </c>
      <c r="J34" s="25">
        <v>32803</v>
      </c>
      <c r="K34" s="25">
        <v>5427562</v>
      </c>
      <c r="L34" s="25">
        <f t="shared" si="4"/>
        <v>892179</v>
      </c>
      <c r="M34" s="25">
        <v>2645134</v>
      </c>
      <c r="N34" s="25">
        <v>1385609</v>
      </c>
      <c r="O34" s="25">
        <v>378551</v>
      </c>
      <c r="P34" s="25">
        <v>686091</v>
      </c>
      <c r="Q34" s="25">
        <v>686091</v>
      </c>
      <c r="R34" s="25">
        <v>1163</v>
      </c>
      <c r="S34" s="25">
        <v>344317</v>
      </c>
      <c r="T34" s="25">
        <v>47170</v>
      </c>
      <c r="U34" s="25">
        <v>52568</v>
      </c>
      <c r="V34" s="25">
        <v>31012</v>
      </c>
      <c r="W34" s="25">
        <v>490.32900000000001</v>
      </c>
      <c r="X34" s="25">
        <v>954.81</v>
      </c>
      <c r="Y34" s="25">
        <v>3889.587</v>
      </c>
      <c r="Z34" s="25">
        <v>4398</v>
      </c>
      <c r="AA34" s="25">
        <v>2637</v>
      </c>
      <c r="AB34" s="26">
        <v>2915</v>
      </c>
      <c r="AC34" s="26">
        <v>0</v>
      </c>
    </row>
    <row r="35" spans="1:29" x14ac:dyDescent="0.25">
      <c r="A35" s="20"/>
      <c r="B35" s="28"/>
      <c r="C35" s="2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6"/>
    </row>
    <row r="36" spans="1:29" x14ac:dyDescent="0.25">
      <c r="B36" s="16"/>
      <c r="C36" s="16"/>
    </row>
    <row r="38" spans="1:29" x14ac:dyDescent="0.25">
      <c r="I38">
        <f>(I34-I4)/30</f>
        <v>1974.9666666666667</v>
      </c>
      <c r="J38">
        <f>(J34-J4)/30</f>
        <v>0.26666666666666666</v>
      </c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2021-12-06T09:54:59Z</dcterms:modified>
</cp:coreProperties>
</file>