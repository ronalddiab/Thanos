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CECDDAAA-13B1-4CA2-92B2-A6210010F912}" xr6:coauthVersionLast="36" xr6:coauthVersionMax="36" xr10:uidLastSave="{00000000-0000-0000-0000-000000000000}"/>
  <bookViews>
    <workbookView xWindow="0" yWindow="0" windowWidth="12735" windowHeight="790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F22" i="117" l="1"/>
  <c r="F23" i="117"/>
  <c r="F24" i="117"/>
  <c r="F25" i="117"/>
  <c r="F26" i="117"/>
  <c r="F27" i="117"/>
  <c r="F28" i="117"/>
  <c r="F29" i="117"/>
  <c r="F30" i="117"/>
  <c r="F31" i="117"/>
  <c r="F32" i="117"/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K35" i="119"/>
  <c r="L35" i="119" s="1"/>
  <c r="K34" i="119"/>
  <c r="L34" i="119" s="1"/>
  <c r="K33" i="119"/>
  <c r="L33" i="119" s="1"/>
  <c r="K32" i="119"/>
  <c r="L32" i="119" s="1"/>
  <c r="K31" i="119"/>
  <c r="L31" i="119" s="1"/>
  <c r="K30" i="119"/>
  <c r="L30" i="119" s="1"/>
  <c r="K29" i="119"/>
  <c r="L29" i="119" s="1"/>
  <c r="K28" i="119"/>
  <c r="L28" i="119" s="1"/>
  <c r="K27" i="119"/>
  <c r="L27" i="119" s="1"/>
  <c r="K26" i="119"/>
  <c r="L26" i="119" s="1"/>
  <c r="K25" i="119"/>
  <c r="L25" i="119" s="1"/>
  <c r="K24" i="119"/>
  <c r="L24" i="119" s="1"/>
  <c r="K23" i="119"/>
  <c r="L23" i="119" s="1"/>
  <c r="K22" i="119"/>
  <c r="L22" i="119" s="1"/>
  <c r="K21" i="119"/>
  <c r="L21" i="119" s="1"/>
  <c r="K20" i="119"/>
  <c r="L20" i="119" s="1"/>
  <c r="K19" i="119"/>
  <c r="L19" i="119" s="1"/>
  <c r="K18" i="119"/>
  <c r="L18" i="119" s="1"/>
  <c r="K17" i="119"/>
  <c r="L17" i="119" s="1"/>
  <c r="K16" i="119"/>
  <c r="L16" i="119" s="1"/>
  <c r="K15" i="119"/>
  <c r="L15" i="119" s="1"/>
  <c r="K14" i="119"/>
  <c r="L14" i="119" s="1"/>
  <c r="K13" i="119"/>
  <c r="L13" i="119" s="1"/>
  <c r="K12" i="119"/>
  <c r="L12" i="119" s="1"/>
  <c r="K11" i="119"/>
  <c r="L11" i="119" s="1"/>
  <c r="K10" i="119"/>
  <c r="L10" i="119" s="1"/>
  <c r="K9" i="119"/>
  <c r="L9" i="119" s="1"/>
  <c r="K8" i="119"/>
  <c r="L8" i="119" s="1"/>
  <c r="K7" i="119"/>
  <c r="L7" i="119" s="1"/>
  <c r="K6" i="119"/>
  <c r="L6" i="119" s="1"/>
  <c r="K5" i="119"/>
  <c r="L5" i="119" s="1"/>
  <c r="I35" i="119"/>
  <c r="J35" i="119" s="1"/>
  <c r="I34" i="119"/>
  <c r="J34" i="119" s="1"/>
  <c r="I33" i="119"/>
  <c r="J33" i="119" s="1"/>
  <c r="I32" i="119"/>
  <c r="J32" i="119" s="1"/>
  <c r="I31" i="119"/>
  <c r="J31" i="119" s="1"/>
  <c r="I30" i="119"/>
  <c r="J30" i="119" s="1"/>
  <c r="I29" i="119"/>
  <c r="J29" i="119" s="1"/>
  <c r="I28" i="119"/>
  <c r="J28" i="119" s="1"/>
  <c r="I27" i="119"/>
  <c r="J27" i="119" s="1"/>
  <c r="I26" i="119"/>
  <c r="J26" i="119" s="1"/>
  <c r="I25" i="119"/>
  <c r="J25" i="119" s="1"/>
  <c r="I24" i="119"/>
  <c r="J24" i="119" s="1"/>
  <c r="I23" i="119"/>
  <c r="J23" i="119" s="1"/>
  <c r="I22" i="119"/>
  <c r="J22" i="119" s="1"/>
  <c r="I21" i="119"/>
  <c r="J21" i="119" s="1"/>
  <c r="I20" i="119"/>
  <c r="J20" i="119" s="1"/>
  <c r="I19" i="119"/>
  <c r="J19" i="119" s="1"/>
  <c r="I18" i="119"/>
  <c r="J18" i="119" s="1"/>
  <c r="I17" i="119"/>
  <c r="J17" i="119" s="1"/>
  <c r="I16" i="119"/>
  <c r="J16" i="119" s="1"/>
  <c r="I15" i="119"/>
  <c r="J15" i="119" s="1"/>
  <c r="I14" i="119"/>
  <c r="J14" i="119" s="1"/>
  <c r="I13" i="119"/>
  <c r="J13" i="119" s="1"/>
  <c r="I12" i="119"/>
  <c r="J12" i="119" s="1"/>
  <c r="I11" i="119"/>
  <c r="J11" i="119" s="1"/>
  <c r="I10" i="119"/>
  <c r="J10" i="119" s="1"/>
  <c r="I9" i="119"/>
  <c r="J9" i="119" s="1"/>
  <c r="I8" i="119"/>
  <c r="J8" i="119" s="1"/>
  <c r="I7" i="119"/>
  <c r="J7" i="119" s="1"/>
  <c r="I6" i="119"/>
  <c r="J6" i="119" s="1"/>
  <c r="I5" i="119"/>
  <c r="J5" i="119" s="1"/>
  <c r="G35" i="119"/>
  <c r="H35" i="119" s="1"/>
  <c r="G34" i="119"/>
  <c r="H34" i="119" s="1"/>
  <c r="G33" i="119"/>
  <c r="H33" i="119" s="1"/>
  <c r="G32" i="119"/>
  <c r="H32" i="119" s="1"/>
  <c r="G31" i="119"/>
  <c r="H31" i="119" s="1"/>
  <c r="G30" i="119"/>
  <c r="H30" i="119" s="1"/>
  <c r="G29" i="119"/>
  <c r="H29" i="119" s="1"/>
  <c r="G28" i="119"/>
  <c r="H28" i="119" s="1"/>
  <c r="G27" i="119"/>
  <c r="H27" i="119" s="1"/>
  <c r="G26" i="119"/>
  <c r="H26" i="119" s="1"/>
  <c r="G25" i="119"/>
  <c r="H25" i="119" s="1"/>
  <c r="G24" i="119"/>
  <c r="H24" i="119" s="1"/>
  <c r="G23" i="119"/>
  <c r="H23" i="119" s="1"/>
  <c r="G22" i="119"/>
  <c r="H22" i="119" s="1"/>
  <c r="G21" i="119"/>
  <c r="H21" i="119" s="1"/>
  <c r="G20" i="119"/>
  <c r="H20" i="119" s="1"/>
  <c r="G19" i="119"/>
  <c r="H19" i="119" s="1"/>
  <c r="G18" i="119"/>
  <c r="H18" i="119" s="1"/>
  <c r="G17" i="119"/>
  <c r="H17" i="119" s="1"/>
  <c r="G16" i="119"/>
  <c r="H16" i="119" s="1"/>
  <c r="G15" i="119"/>
  <c r="H15" i="119" s="1"/>
  <c r="G14" i="119"/>
  <c r="H14" i="119" s="1"/>
  <c r="G13" i="119"/>
  <c r="H13" i="119" s="1"/>
  <c r="G12" i="119"/>
  <c r="H12" i="119" s="1"/>
  <c r="G11" i="119"/>
  <c r="H11" i="119" s="1"/>
  <c r="G10" i="119"/>
  <c r="H10" i="119" s="1"/>
  <c r="G9" i="119"/>
  <c r="H9" i="119" s="1"/>
  <c r="G8" i="119"/>
  <c r="H8" i="119" s="1"/>
  <c r="G7" i="119"/>
  <c r="H7" i="119" s="1"/>
  <c r="G6" i="119"/>
  <c r="H6" i="119" s="1"/>
  <c r="G5" i="119"/>
  <c r="H5" i="119" s="1"/>
  <c r="E35" i="119"/>
  <c r="F35" i="119" s="1"/>
  <c r="E34" i="119"/>
  <c r="F34" i="119" s="1"/>
  <c r="E33" i="119"/>
  <c r="F33" i="119" s="1"/>
  <c r="E32" i="119"/>
  <c r="F32" i="119" s="1"/>
  <c r="E31" i="119"/>
  <c r="F31" i="119" s="1"/>
  <c r="E30" i="119"/>
  <c r="F30" i="119" s="1"/>
  <c r="E29" i="119"/>
  <c r="F29" i="119" s="1"/>
  <c r="E28" i="119"/>
  <c r="F28" i="119" s="1"/>
  <c r="E27" i="119"/>
  <c r="F27" i="119" s="1"/>
  <c r="E26" i="119"/>
  <c r="F26" i="119" s="1"/>
  <c r="E25" i="119"/>
  <c r="F25" i="119" s="1"/>
  <c r="E24" i="119"/>
  <c r="F24" i="119" s="1"/>
  <c r="E23" i="119"/>
  <c r="F23" i="119" s="1"/>
  <c r="E22" i="119"/>
  <c r="F22" i="119" s="1"/>
  <c r="E21" i="119"/>
  <c r="F21" i="119" s="1"/>
  <c r="E20" i="119"/>
  <c r="F20" i="119" s="1"/>
  <c r="E19" i="119"/>
  <c r="F19" i="119" s="1"/>
  <c r="E18" i="119"/>
  <c r="F18" i="119" s="1"/>
  <c r="E17" i="119"/>
  <c r="F17" i="119" s="1"/>
  <c r="E16" i="119"/>
  <c r="F16" i="119" s="1"/>
  <c r="E15" i="119"/>
  <c r="F15" i="119" s="1"/>
  <c r="E14" i="119"/>
  <c r="F14" i="119" s="1"/>
  <c r="E13" i="119"/>
  <c r="F13" i="119" s="1"/>
  <c r="E12" i="119"/>
  <c r="F12" i="119" s="1"/>
  <c r="E11" i="119"/>
  <c r="F11" i="119" s="1"/>
  <c r="E10" i="119"/>
  <c r="F10" i="119" s="1"/>
  <c r="E9" i="119"/>
  <c r="F9" i="119" s="1"/>
  <c r="E8" i="119"/>
  <c r="F8" i="119" s="1"/>
  <c r="E7" i="119"/>
  <c r="F7" i="119" s="1"/>
  <c r="E6" i="119"/>
  <c r="F6" i="119" s="1"/>
  <c r="E5" i="119"/>
  <c r="F5" i="119" s="1"/>
  <c r="C35" i="119"/>
  <c r="D35" i="119" s="1"/>
  <c r="C34" i="119"/>
  <c r="D34" i="119" s="1"/>
  <c r="C33" i="119"/>
  <c r="D33" i="119" s="1"/>
  <c r="C32" i="119"/>
  <c r="D32" i="119" s="1"/>
  <c r="C31" i="119"/>
  <c r="D31" i="119" s="1"/>
  <c r="C30" i="119"/>
  <c r="D30" i="119" s="1"/>
  <c r="C29" i="119"/>
  <c r="D29" i="119" s="1"/>
  <c r="C28" i="119"/>
  <c r="D28" i="119" s="1"/>
  <c r="C27" i="119"/>
  <c r="D27" i="119" s="1"/>
  <c r="C26" i="119"/>
  <c r="D26" i="119" s="1"/>
  <c r="C25" i="119"/>
  <c r="D25" i="119" s="1"/>
  <c r="C24" i="119"/>
  <c r="D24" i="119" s="1"/>
  <c r="C23" i="119"/>
  <c r="D23" i="119" s="1"/>
  <c r="C22" i="119"/>
  <c r="D22" i="119" s="1"/>
  <c r="C21" i="119"/>
  <c r="D21" i="119" s="1"/>
  <c r="C20" i="119"/>
  <c r="D20" i="119" s="1"/>
  <c r="C19" i="119"/>
  <c r="D19" i="119" s="1"/>
  <c r="C18" i="119"/>
  <c r="D18" i="119" s="1"/>
  <c r="C17" i="119"/>
  <c r="D17" i="119" s="1"/>
  <c r="C16" i="119"/>
  <c r="D16" i="119" s="1"/>
  <c r="C15" i="119"/>
  <c r="D15" i="119" s="1"/>
  <c r="C14" i="119"/>
  <c r="D14" i="119" s="1"/>
  <c r="C13" i="119"/>
  <c r="D13" i="119" s="1"/>
  <c r="C12" i="119"/>
  <c r="D12" i="119" s="1"/>
  <c r="C11" i="119"/>
  <c r="D11" i="119" s="1"/>
  <c r="C10" i="119"/>
  <c r="D10" i="119" s="1"/>
  <c r="C9" i="119"/>
  <c r="D9" i="119" s="1"/>
  <c r="C8" i="119"/>
  <c r="D8" i="119" s="1"/>
  <c r="C7" i="119"/>
  <c r="D7" i="119" s="1"/>
  <c r="C6" i="119"/>
  <c r="D6" i="119" s="1"/>
  <c r="C5" i="119"/>
  <c r="D5" i="119" s="1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<sst xmlns="http://schemas.openxmlformats.org/spreadsheetml/2006/main" count="66" uniqueCount="32">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</sst>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1" fontId="1" fillId="0" borderId="1" xfId="11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196</v>
          </cell>
          <cell r="W23">
            <v>187</v>
          </cell>
          <cell r="X23">
            <v>187</v>
          </cell>
          <cell r="Y23">
            <v>169</v>
          </cell>
          <cell r="Z23">
            <v>162</v>
          </cell>
          <cell r="AA23">
            <v>137</v>
          </cell>
          <cell r="AB23">
            <v>180</v>
          </cell>
          <cell r="AC23">
            <v>199</v>
          </cell>
          <cell r="AD23">
            <v>184</v>
          </cell>
          <cell r="AE23">
            <v>177</v>
          </cell>
          <cell r="AF23">
            <v>174</v>
          </cell>
          <cell r="AG23">
            <v>165</v>
          </cell>
          <cell r="AH23">
            <v>142</v>
          </cell>
          <cell r="AI23">
            <v>184</v>
          </cell>
          <cell r="AJ23">
            <v>197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134</v>
          </cell>
          <cell r="W41">
            <v>182</v>
          </cell>
          <cell r="X41">
            <v>148</v>
          </cell>
          <cell r="Y41">
            <v>121</v>
          </cell>
          <cell r="Z41">
            <v>104</v>
          </cell>
          <cell r="AA41">
            <v>93</v>
          </cell>
          <cell r="AB41">
            <v>114</v>
          </cell>
          <cell r="AC41">
            <v>121</v>
          </cell>
          <cell r="AD41">
            <v>174</v>
          </cell>
          <cell r="AE41">
            <v>161</v>
          </cell>
          <cell r="AF41">
            <v>110</v>
          </cell>
          <cell r="AG41">
            <v>121</v>
          </cell>
          <cell r="AH41">
            <v>113</v>
          </cell>
          <cell r="AI41">
            <v>190</v>
          </cell>
          <cell r="AJ41">
            <v>185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7058.3423999999995</v>
          </cell>
          <cell r="W91">
            <v>5402.0987999999998</v>
          </cell>
          <cell r="X91">
            <v>4497.5819999999994</v>
          </cell>
          <cell r="Y91">
            <v>4640.6489999999994</v>
          </cell>
          <cell r="Z91">
            <v>3003.5735999999997</v>
          </cell>
          <cell r="AA91">
            <v>2193.7865999999999</v>
          </cell>
          <cell r="AB91">
            <v>3804.1931999999997</v>
          </cell>
          <cell r="AC91">
            <v>5896.8606</v>
          </cell>
          <cell r="AD91">
            <v>4367.5716000000002</v>
          </cell>
          <cell r="AE91">
            <v>3306.3755999999998</v>
          </cell>
          <cell r="AF91">
            <v>6338.5626000000002</v>
          </cell>
          <cell r="AG91">
            <v>4932.3389999999999</v>
          </cell>
          <cell r="AH91">
            <v>2582.4288000000001</v>
          </cell>
          <cell r="AI91">
            <v>3729.4649999999997</v>
          </cell>
          <cell r="AJ91">
            <v>2619.654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2441.3063999999999</v>
          </cell>
          <cell r="W115">
            <v>3165.8087999999998</v>
          </cell>
          <cell r="X115">
            <v>4228.6715999999997</v>
          </cell>
          <cell r="Y115">
            <v>3293.5967999999998</v>
          </cell>
          <cell r="Z115">
            <v>4673.7071999999998</v>
          </cell>
          <cell r="AA115">
            <v>4961.5079999999998</v>
          </cell>
          <cell r="AB115">
            <v>5429.0454</v>
          </cell>
          <cell r="AC115">
            <v>4367.5716000000002</v>
          </cell>
          <cell r="AD115">
            <v>5246.8085999999994</v>
          </cell>
          <cell r="AE115">
            <v>5653.7856000000002</v>
          </cell>
          <cell r="AF115">
            <v>3340.2671999999998</v>
          </cell>
          <cell r="AG115">
            <v>3506.6693999999998</v>
          </cell>
          <cell r="AH115">
            <v>5750.7377999999999</v>
          </cell>
          <cell r="AI115">
            <v>5630.7281999999996</v>
          </cell>
          <cell r="AJ115">
            <v>8914.0463999999993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13000</v>
          </cell>
          <cell r="W147">
            <v>13752</v>
          </cell>
          <cell r="X147">
            <v>13307</v>
          </cell>
          <cell r="Y147">
            <v>12796</v>
          </cell>
          <cell r="Z147">
            <v>12548</v>
          </cell>
          <cell r="AA147">
            <v>12271</v>
          </cell>
          <cell r="AB147">
            <v>12756</v>
          </cell>
          <cell r="AC147">
            <v>12774</v>
          </cell>
          <cell r="AD147">
            <v>13107</v>
          </cell>
          <cell r="AE147">
            <v>13749</v>
          </cell>
          <cell r="AF147">
            <v>12629</v>
          </cell>
          <cell r="AG147">
            <v>12390</v>
          </cell>
          <cell r="AH147">
            <v>12890</v>
          </cell>
          <cell r="AI147">
            <v>14256</v>
          </cell>
          <cell r="AJ147">
            <v>14795</v>
          </cell>
          <cell r="AK147">
            <v>0</v>
          </cell>
        </row>
      </sheetData>
      <sheetData sheetId="7">
        <row r="3">
          <cell r="G3">
            <v>22.86</v>
          </cell>
        </row>
        <row r="23">
          <cell r="M23">
            <v>111.00524489795923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L2" sqref="L2:L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4</v>
      </c>
      <c r="D2" s="7">
        <v>2021</v>
      </c>
      <c r="E2" s="9">
        <f>'Otemachi Daily'!D5</f>
        <v>12829</v>
      </c>
      <c r="F2" s="35">
        <f>[1]見込!$G$3</f>
        <v>22.86</v>
      </c>
      <c r="G2" s="9">
        <f>'Otemachi Daily'!F5</f>
        <v>193</v>
      </c>
      <c r="H2" s="35">
        <f>[1]見込!$M$23</f>
        <v>111.00524489795923</v>
      </c>
      <c r="I2" s="9">
        <f>'Otemachi Daily'!H5</f>
        <v>3506.6693999999998</v>
      </c>
      <c r="J2" s="35">
        <v>38.840000000000003</v>
      </c>
      <c r="K2" s="9">
        <f>'Otemachi Daily'!J5</f>
        <v>5024.2907999999998</v>
      </c>
      <c r="L2" s="35">
        <v>25.99</v>
      </c>
      <c r="M2" s="9">
        <f>'Otemachi Daily'!L5</f>
        <v>130</v>
      </c>
      <c r="N2" s="35">
        <v>741</v>
      </c>
      <c r="O2" s="9">
        <f>'Otemachi Daily'!M5</f>
        <v>25</v>
      </c>
      <c r="P2" s="9">
        <f>'Otemachi Daily'!N5</f>
        <v>46</v>
      </c>
    </row>
    <row r="3" spans="1:16" ht="15">
      <c r="A3" s="6" t="s">
        <v>26</v>
      </c>
      <c r="B3" s="7">
        <f>B2+1</f>
        <v>2</v>
      </c>
      <c r="C3" s="8">
        <v>4</v>
      </c>
      <c r="D3" s="7">
        <v>2021</v>
      </c>
      <c r="E3" s="9">
        <f>'Otemachi Daily'!D6</f>
        <v>13669</v>
      </c>
      <c r="F3" s="35">
        <f>[1]見込!$G$3</f>
        <v>22.86</v>
      </c>
      <c r="G3" s="9">
        <f>'Otemachi Daily'!F6</f>
        <v>200</v>
      </c>
      <c r="H3" s="35">
        <f>[1]見込!$M$23</f>
        <v>111.00524489795923</v>
      </c>
      <c r="I3" s="9">
        <f>'Otemachi Daily'!H6</f>
        <v>2937.4571999999998</v>
      </c>
      <c r="J3" s="35">
        <v>38.840000000000003</v>
      </c>
      <c r="K3" s="9">
        <f>'Otemachi Daily'!J6</f>
        <v>5287.3674000000001</v>
      </c>
      <c r="L3" s="35">
        <v>25.99</v>
      </c>
      <c r="M3" s="9">
        <f>'Otemachi Daily'!L6</f>
        <v>148</v>
      </c>
      <c r="N3" s="35">
        <v>741</v>
      </c>
      <c r="O3" s="9">
        <f>'Otemachi Daily'!M6</f>
        <v>35</v>
      </c>
      <c r="P3" s="9">
        <f>'Otemachi Daily'!N6</f>
        <v>65</v>
      </c>
    </row>
    <row r="4" spans="1:16" ht="15">
      <c r="A4" s="6" t="s">
        <v>26</v>
      </c>
      <c r="B4" s="7">
        <f t="shared" ref="B4:B32" si="0">B3+1</f>
        <v>3</v>
      </c>
      <c r="C4" s="8">
        <v>4</v>
      </c>
      <c r="D4" s="7">
        <v>2021</v>
      </c>
      <c r="E4" s="9">
        <f>'Otemachi Daily'!D7</f>
        <v>13515</v>
      </c>
      <c r="F4" s="35">
        <f>[1]見込!$G$3</f>
        <v>22.86</v>
      </c>
      <c r="G4" s="9">
        <f>'Otemachi Daily'!F7</f>
        <v>197</v>
      </c>
      <c r="H4" s="35">
        <f>[1]見込!$M$23</f>
        <v>111.00524489795923</v>
      </c>
      <c r="I4" s="9">
        <f>'Otemachi Daily'!H7</f>
        <v>4109.2175999999999</v>
      </c>
      <c r="J4" s="35">
        <v>38.840000000000003</v>
      </c>
      <c r="K4" s="9">
        <f>'Otemachi Daily'!J7</f>
        <v>4183.9457999999995</v>
      </c>
      <c r="L4" s="35">
        <v>25.99</v>
      </c>
      <c r="M4" s="9">
        <f>'Otemachi Daily'!L7</f>
        <v>166</v>
      </c>
      <c r="N4" s="35">
        <v>741</v>
      </c>
      <c r="O4" s="9">
        <f>'Otemachi Daily'!M7</f>
        <v>60</v>
      </c>
      <c r="P4" s="9">
        <f>'Otemachi Daily'!N7</f>
        <v>111</v>
      </c>
    </row>
    <row r="5" spans="1:16" ht="15">
      <c r="A5" s="6" t="s">
        <v>26</v>
      </c>
      <c r="B5" s="7">
        <f t="shared" si="0"/>
        <v>4</v>
      </c>
      <c r="C5" s="8">
        <v>4</v>
      </c>
      <c r="D5" s="7">
        <v>2021</v>
      </c>
      <c r="E5" s="9">
        <f>'Otemachi Daily'!D8</f>
        <v>13160</v>
      </c>
      <c r="F5" s="35">
        <f>[1]見込!$G$3</f>
        <v>22.86</v>
      </c>
      <c r="G5" s="9">
        <f>'Otemachi Daily'!F8</f>
        <v>180</v>
      </c>
      <c r="H5" s="35">
        <f>[1]見込!$M$23</f>
        <v>111.00524489795923</v>
      </c>
      <c r="I5" s="9">
        <f>'Otemachi Daily'!H8</f>
        <v>4159.2215999999999</v>
      </c>
      <c r="J5" s="35">
        <v>38.840000000000003</v>
      </c>
      <c r="K5" s="9">
        <f>'Otemachi Daily'!J8</f>
        <v>2567.4276</v>
      </c>
      <c r="L5" s="35">
        <v>25.99</v>
      </c>
      <c r="M5" s="9">
        <f>'Otemachi Daily'!L8</f>
        <v>153</v>
      </c>
      <c r="N5" s="35">
        <v>741</v>
      </c>
      <c r="O5" s="9">
        <f>'Otemachi Daily'!M8</f>
        <v>27</v>
      </c>
      <c r="P5" s="9">
        <f>'Otemachi Daily'!N8</f>
        <v>50</v>
      </c>
    </row>
    <row r="6" spans="1:16" ht="15">
      <c r="A6" s="6" t="s">
        <v>26</v>
      </c>
      <c r="B6" s="7">
        <f t="shared" si="0"/>
        <v>5</v>
      </c>
      <c r="C6" s="8">
        <v>4</v>
      </c>
      <c r="D6" s="7">
        <v>2021</v>
      </c>
      <c r="E6" s="9">
        <f>'Otemachi Daily'!D9</f>
        <v>12731</v>
      </c>
      <c r="F6" s="35">
        <f>[1]見込!$G$3</f>
        <v>22.86</v>
      </c>
      <c r="G6" s="9">
        <f>'Otemachi Daily'!F9</f>
        <v>180</v>
      </c>
      <c r="H6" s="35">
        <f>[1]見込!$M$23</f>
        <v>111.00524489795923</v>
      </c>
      <c r="I6" s="9">
        <f>'Otemachi Daily'!H9</f>
        <v>2829.393</v>
      </c>
      <c r="J6" s="35">
        <v>38.840000000000003</v>
      </c>
      <c r="K6" s="9">
        <f>'Otemachi Daily'!J9</f>
        <v>7968.6929999999993</v>
      </c>
      <c r="L6" s="35">
        <v>25.99</v>
      </c>
      <c r="M6" s="9">
        <f>'Otemachi Daily'!L9</f>
        <v>117</v>
      </c>
      <c r="N6" s="35">
        <v>741</v>
      </c>
      <c r="O6" s="9">
        <f>'Otemachi Daily'!M9</f>
        <v>17</v>
      </c>
      <c r="P6" s="9">
        <f>'Otemachi Daily'!N9</f>
        <v>29</v>
      </c>
    </row>
    <row r="7" spans="1:16" ht="15">
      <c r="A7" s="6" t="s">
        <v>26</v>
      </c>
      <c r="B7" s="7">
        <f t="shared" si="0"/>
        <v>6</v>
      </c>
      <c r="C7" s="8">
        <v>4</v>
      </c>
      <c r="D7" s="7">
        <v>2021</v>
      </c>
      <c r="E7" s="9">
        <f>'Otemachi Daily'!D10</f>
        <v>12591</v>
      </c>
      <c r="F7" s="35">
        <f>[1]見込!$G$3</f>
        <v>22.86</v>
      </c>
      <c r="G7" s="9">
        <f>'Otemachi Daily'!F10</f>
        <v>164</v>
      </c>
      <c r="H7" s="35">
        <f>[1]見込!$M$23</f>
        <v>111.00524489795923</v>
      </c>
      <c r="I7" s="9">
        <f>'Otemachi Daily'!H10</f>
        <v>2174.3406</v>
      </c>
      <c r="J7" s="35">
        <v>38.840000000000003</v>
      </c>
      <c r="K7" s="9">
        <f>'Otemachi Daily'!J10</f>
        <v>12616.0092</v>
      </c>
      <c r="L7" s="35">
        <v>25.99</v>
      </c>
      <c r="M7" s="9">
        <f>'Otemachi Daily'!L10</f>
        <v>124</v>
      </c>
      <c r="N7" s="35">
        <v>741</v>
      </c>
      <c r="O7" s="9">
        <f>'Otemachi Daily'!M10</f>
        <v>24</v>
      </c>
      <c r="P7" s="9">
        <f>'Otemachi Daily'!N10</f>
        <v>41</v>
      </c>
    </row>
    <row r="8" spans="1:16" ht="15">
      <c r="A8" s="6" t="s">
        <v>26</v>
      </c>
      <c r="B8" s="7">
        <f t="shared" si="0"/>
        <v>7</v>
      </c>
      <c r="C8" s="8">
        <v>4</v>
      </c>
      <c r="D8" s="7">
        <v>2021</v>
      </c>
      <c r="E8" s="9">
        <f>'Otemachi Daily'!D11</f>
        <v>12635</v>
      </c>
      <c r="F8" s="35">
        <f>[1]見込!$G$3</f>
        <v>22.86</v>
      </c>
      <c r="G8" s="9">
        <f>'Otemachi Daily'!F11</f>
        <v>189</v>
      </c>
      <c r="H8" s="35">
        <f>[1]見込!$M$23</f>
        <v>111.00524489795923</v>
      </c>
      <c r="I8" s="9">
        <f>'Otemachi Daily'!H11</f>
        <v>2650.7676000000001</v>
      </c>
      <c r="J8" s="35">
        <v>38.840000000000003</v>
      </c>
      <c r="K8" s="9">
        <f>'Otemachi Daily'!J11</f>
        <v>8741.8104000000003</v>
      </c>
      <c r="L8" s="35">
        <v>25.99</v>
      </c>
      <c r="M8" s="9">
        <f>'Otemachi Daily'!L11</f>
        <v>113</v>
      </c>
      <c r="N8" s="35">
        <v>741</v>
      </c>
      <c r="O8" s="9">
        <f>'Otemachi Daily'!M11</f>
        <v>18</v>
      </c>
      <c r="P8" s="9">
        <f>'Otemachi Daily'!N11</f>
        <v>32</v>
      </c>
    </row>
    <row r="9" spans="1:16" ht="15">
      <c r="A9" s="6" t="s">
        <v>26</v>
      </c>
      <c r="B9" s="7">
        <f t="shared" si="0"/>
        <v>8</v>
      </c>
      <c r="C9" s="8">
        <v>4</v>
      </c>
      <c r="D9" s="7">
        <v>2021</v>
      </c>
      <c r="E9" s="9">
        <f>'Otemachi Daily'!D12</f>
        <v>12635</v>
      </c>
      <c r="F9" s="35">
        <f>[1]見込!$G$3</f>
        <v>22.86</v>
      </c>
      <c r="G9" s="9">
        <f>'Otemachi Daily'!F12</f>
        <v>182</v>
      </c>
      <c r="H9" s="35">
        <f>[1]見込!$M$23</f>
        <v>111.00524489795923</v>
      </c>
      <c r="I9" s="9">
        <f>'Otemachi Daily'!H12</f>
        <v>2754.6648</v>
      </c>
      <c r="J9" s="35">
        <v>38.840000000000003</v>
      </c>
      <c r="K9" s="9">
        <f>'Otemachi Daily'!J12</f>
        <v>8291.2188000000006</v>
      </c>
      <c r="L9" s="35">
        <v>25.99</v>
      </c>
      <c r="M9" s="9">
        <f>'Otemachi Daily'!L12</f>
        <v>117</v>
      </c>
      <c r="N9" s="35">
        <v>741</v>
      </c>
      <c r="O9" s="9">
        <f>'Otemachi Daily'!M12</f>
        <v>30</v>
      </c>
      <c r="P9" s="9">
        <f>'Otemachi Daily'!N12</f>
        <v>55</v>
      </c>
    </row>
    <row r="10" spans="1:16" ht="15">
      <c r="A10" s="6" t="s">
        <v>26</v>
      </c>
      <c r="B10" s="7">
        <f t="shared" si="0"/>
        <v>9</v>
      </c>
      <c r="C10" s="8">
        <v>4</v>
      </c>
      <c r="D10" s="7">
        <v>2021</v>
      </c>
      <c r="E10" s="9">
        <f>'Otemachi Daily'!D13</f>
        <v>13104</v>
      </c>
      <c r="F10" s="35">
        <f>[1]見込!$G$3</f>
        <v>22.86</v>
      </c>
      <c r="G10" s="9">
        <f>'Otemachi Daily'!F13</f>
        <v>198</v>
      </c>
      <c r="H10" s="35">
        <f>[1]見込!$M$23</f>
        <v>111.00524489795923</v>
      </c>
      <c r="I10" s="9">
        <f>'Otemachi Daily'!H13</f>
        <v>2498.5331999999999</v>
      </c>
      <c r="J10" s="35">
        <v>38.840000000000003</v>
      </c>
      <c r="K10" s="9">
        <f>'Otemachi Daily'!J13</f>
        <v>13495.523999999999</v>
      </c>
      <c r="L10" s="35">
        <v>25.99</v>
      </c>
      <c r="M10" s="9">
        <f>'Otemachi Daily'!L13</f>
        <v>147</v>
      </c>
      <c r="N10" s="35">
        <v>741</v>
      </c>
      <c r="O10" s="9">
        <f>'Otemachi Daily'!M13</f>
        <v>51</v>
      </c>
      <c r="P10" s="9">
        <f>'Otemachi Daily'!N13</f>
        <v>96</v>
      </c>
    </row>
    <row r="11" spans="1:16" ht="15">
      <c r="A11" s="6" t="s">
        <v>26</v>
      </c>
      <c r="B11" s="7">
        <f t="shared" si="0"/>
        <v>10</v>
      </c>
      <c r="C11" s="8">
        <v>4</v>
      </c>
      <c r="D11" s="7">
        <v>2021</v>
      </c>
      <c r="E11" s="9">
        <f>'Otemachi Daily'!D14</f>
        <v>13769</v>
      </c>
      <c r="F11" s="35">
        <f>[1]見込!$G$3</f>
        <v>22.86</v>
      </c>
      <c r="G11" s="9">
        <f>'Otemachi Daily'!F14</f>
        <v>197</v>
      </c>
      <c r="H11" s="35">
        <f>[1]見込!$M$23</f>
        <v>111.00524489795923</v>
      </c>
      <c r="I11" s="9">
        <f>'Otemachi Daily'!H14</f>
        <v>3453.6095999999998</v>
      </c>
      <c r="J11" s="35">
        <v>38.840000000000003</v>
      </c>
      <c r="K11" s="9">
        <f>'Otemachi Daily'!J14</f>
        <v>16797.177</v>
      </c>
      <c r="L11" s="35">
        <v>25.99</v>
      </c>
      <c r="M11" s="9">
        <f>'Otemachi Daily'!L14</f>
        <v>191</v>
      </c>
      <c r="N11" s="35">
        <v>741</v>
      </c>
      <c r="O11" s="9">
        <f>'Otemachi Daily'!M14</f>
        <v>97</v>
      </c>
      <c r="P11" s="9">
        <f>'Otemachi Daily'!N14</f>
        <v>182</v>
      </c>
    </row>
    <row r="12" spans="1:16" ht="15">
      <c r="A12" s="6" t="s">
        <v>26</v>
      </c>
      <c r="B12" s="7">
        <f t="shared" si="0"/>
        <v>11</v>
      </c>
      <c r="C12" s="8">
        <v>4</v>
      </c>
      <c r="D12" s="7">
        <v>2021</v>
      </c>
      <c r="E12" s="9">
        <f>'Otemachi Daily'!D15</f>
        <v>13949</v>
      </c>
      <c r="F12" s="35">
        <f>[1]見込!$G$3</f>
        <v>22.86</v>
      </c>
      <c r="G12" s="9">
        <f>'Otemachi Daily'!F15</f>
        <v>192</v>
      </c>
      <c r="H12" s="35">
        <f>[1]見込!$M$23</f>
        <v>111.00524489795923</v>
      </c>
      <c r="I12" s="9">
        <f>'Otemachi Daily'!H15</f>
        <v>4148.9430000000002</v>
      </c>
      <c r="J12" s="35">
        <v>38.840000000000003</v>
      </c>
      <c r="K12" s="9">
        <f>'Otemachi Daily'!J15</f>
        <v>11265.9012</v>
      </c>
      <c r="L12" s="35">
        <v>25.99</v>
      </c>
      <c r="M12" s="9">
        <f>'Otemachi Daily'!L15</f>
        <v>185</v>
      </c>
      <c r="N12" s="35">
        <v>741</v>
      </c>
      <c r="O12" s="9">
        <f>'Otemachi Daily'!M15</f>
        <v>37</v>
      </c>
      <c r="P12" s="9">
        <f>'Otemachi Daily'!N15</f>
        <v>66</v>
      </c>
    </row>
    <row r="13" spans="1:16" ht="15">
      <c r="A13" s="6" t="s">
        <v>26</v>
      </c>
      <c r="B13" s="7">
        <f t="shared" si="0"/>
        <v>12</v>
      </c>
      <c r="C13" s="8">
        <v>4</v>
      </c>
      <c r="D13" s="7">
        <v>2021</v>
      </c>
      <c r="E13" s="9">
        <f>'Otemachi Daily'!D16</f>
        <v>12668</v>
      </c>
      <c r="F13" s="35">
        <f>[1]見込!$G$3</f>
        <v>22.86</v>
      </c>
      <c r="G13" s="9">
        <f>'Otemachi Daily'!F16</f>
        <v>187</v>
      </c>
      <c r="H13" s="35">
        <f>[1]見込!$M$23</f>
        <v>111.00524489795923</v>
      </c>
      <c r="I13" s="9">
        <f>'Otemachi Daily'!H16</f>
        <v>4465.3571999999995</v>
      </c>
      <c r="J13" s="35">
        <v>38.840000000000003</v>
      </c>
      <c r="K13" s="9">
        <f>'Otemachi Daily'!J16</f>
        <v>7120.5695999999998</v>
      </c>
      <c r="L13" s="35">
        <v>25.99</v>
      </c>
      <c r="M13" s="9">
        <f>'Otemachi Daily'!L16</f>
        <v>127</v>
      </c>
      <c r="N13" s="35">
        <v>741</v>
      </c>
      <c r="O13" s="9">
        <f>'Otemachi Daily'!M16</f>
        <v>18</v>
      </c>
      <c r="P13" s="9">
        <f>'Otemachi Daily'!N16</f>
        <v>31</v>
      </c>
    </row>
    <row r="14" spans="1:16" ht="15">
      <c r="A14" s="6" t="s">
        <v>26</v>
      </c>
      <c r="B14" s="7">
        <f t="shared" si="0"/>
        <v>13</v>
      </c>
      <c r="C14" s="8">
        <v>4</v>
      </c>
      <c r="D14" s="7">
        <v>2021</v>
      </c>
      <c r="E14" s="9">
        <f>'Otemachi Daily'!D17</f>
        <v>12493</v>
      </c>
      <c r="F14" s="35">
        <f>[1]見込!$G$3</f>
        <v>22.86</v>
      </c>
      <c r="G14" s="9">
        <f>'Otemachi Daily'!F17</f>
        <v>164</v>
      </c>
      <c r="H14" s="35">
        <f>[1]見込!$M$23</f>
        <v>111.00524489795923</v>
      </c>
      <c r="I14" s="9">
        <f>'Otemachi Daily'!H17</f>
        <v>3443.3309999999997</v>
      </c>
      <c r="J14" s="35">
        <v>38.840000000000003</v>
      </c>
      <c r="K14" s="9">
        <f>'Otemachi Daily'!J17</f>
        <v>4746.4907999999996</v>
      </c>
      <c r="L14" s="35">
        <v>25.99</v>
      </c>
      <c r="M14" s="9">
        <f>'Otemachi Daily'!L17</f>
        <v>101</v>
      </c>
      <c r="N14" s="35">
        <v>741</v>
      </c>
      <c r="O14" s="9">
        <f>'Otemachi Daily'!M17</f>
        <v>22</v>
      </c>
      <c r="P14" s="9">
        <f>'Otemachi Daily'!N17</f>
        <v>38</v>
      </c>
    </row>
    <row r="15" spans="1:16" ht="15">
      <c r="A15" s="6" t="s">
        <v>26</v>
      </c>
      <c r="B15" s="7">
        <f t="shared" si="0"/>
        <v>14</v>
      </c>
      <c r="C15" s="8">
        <v>4</v>
      </c>
      <c r="D15" s="7">
        <v>2021</v>
      </c>
      <c r="E15" s="9">
        <f>'Otemachi Daily'!D18</f>
        <v>12052</v>
      </c>
      <c r="F15" s="35">
        <f>[1]見込!$G$3</f>
        <v>22.86</v>
      </c>
      <c r="G15" s="9">
        <f>'Otemachi Daily'!F18</f>
        <v>146</v>
      </c>
      <c r="H15" s="35">
        <f>[1]見込!$M$23</f>
        <v>111.00524489795923</v>
      </c>
      <c r="I15" s="9">
        <f>'Otemachi Daily'!H18</f>
        <v>3299.1527999999998</v>
      </c>
      <c r="J15" s="35">
        <v>38.840000000000003</v>
      </c>
      <c r="K15" s="9">
        <f>'Otemachi Daily'!J18</f>
        <v>5007.9005999999999</v>
      </c>
      <c r="L15" s="35">
        <v>25.99</v>
      </c>
      <c r="M15" s="9">
        <f>'Otemachi Daily'!L18</f>
        <v>99</v>
      </c>
      <c r="N15" s="35">
        <v>741</v>
      </c>
      <c r="O15" s="9">
        <f>'Otemachi Daily'!M18</f>
        <v>30</v>
      </c>
      <c r="P15" s="9">
        <f>'Otemachi Daily'!N18</f>
        <v>55</v>
      </c>
    </row>
    <row r="16" spans="1:16" ht="15">
      <c r="A16" s="6" t="s">
        <v>26</v>
      </c>
      <c r="B16" s="7">
        <f t="shared" si="0"/>
        <v>15</v>
      </c>
      <c r="C16" s="8">
        <v>4</v>
      </c>
      <c r="D16" s="7">
        <v>2021</v>
      </c>
      <c r="E16" s="9">
        <f>'Otemachi Daily'!D19</f>
        <v>12923</v>
      </c>
      <c r="F16" s="35">
        <f>[1]見込!$G$3</f>
        <v>22.86</v>
      </c>
      <c r="G16" s="9">
        <f>'Otemachi Daily'!F19</f>
        <v>181</v>
      </c>
      <c r="H16" s="35">
        <f>[1]見込!$M$23</f>
        <v>111.00524489795923</v>
      </c>
      <c r="I16" s="9">
        <f>'Otemachi Daily'!H19</f>
        <v>2032.6625999999999</v>
      </c>
      <c r="J16" s="35">
        <v>38.840000000000003</v>
      </c>
      <c r="K16" s="9">
        <f>'Otemachi Daily'!J19</f>
        <v>12137.6376</v>
      </c>
      <c r="L16" s="35">
        <v>25.99</v>
      </c>
      <c r="M16" s="9">
        <f>'Otemachi Daily'!L19</f>
        <v>115</v>
      </c>
      <c r="N16" s="35">
        <v>741</v>
      </c>
      <c r="O16" s="9">
        <f>'Otemachi Daily'!M19</f>
        <v>28</v>
      </c>
      <c r="P16" s="9">
        <f>'Otemachi Daily'!N19</f>
        <v>52</v>
      </c>
    </row>
    <row r="17" spans="1:16" ht="15">
      <c r="A17" s="6" t="s">
        <v>26</v>
      </c>
      <c r="B17" s="7">
        <f t="shared" si="0"/>
        <v>16</v>
      </c>
      <c r="C17" s="8">
        <v>4</v>
      </c>
      <c r="D17" s="7">
        <v>2021</v>
      </c>
      <c r="E17" s="9">
        <f>'Otemachi Daily'!D20</f>
        <v>13000</v>
      </c>
      <c r="F17" s="35">
        <f>[1]見込!$G$3</f>
        <v>22.86</v>
      </c>
      <c r="G17" s="9">
        <f>'Otemachi Daily'!F20</f>
        <v>196</v>
      </c>
      <c r="H17" s="35">
        <f>[1]見込!$M$23</f>
        <v>111.00524489795923</v>
      </c>
      <c r="I17" s="9">
        <f>'Otemachi Daily'!H20</f>
        <v>2441.3063999999999</v>
      </c>
      <c r="J17" s="35">
        <v>38.840000000000003</v>
      </c>
      <c r="K17" s="9">
        <f>'Otemachi Daily'!J20</f>
        <v>7058.3423999999995</v>
      </c>
      <c r="L17" s="35">
        <v>25.99</v>
      </c>
      <c r="M17" s="9">
        <f>'Otemachi Daily'!L20</f>
        <v>134</v>
      </c>
      <c r="N17" s="35">
        <v>741</v>
      </c>
      <c r="O17" s="9">
        <f>'Otemachi Daily'!M20</f>
        <v>57</v>
      </c>
      <c r="P17" s="9">
        <f>'Otemachi Daily'!N20</f>
        <v>112</v>
      </c>
    </row>
    <row r="18" spans="1:16" ht="15">
      <c r="A18" s="6" t="s">
        <v>26</v>
      </c>
      <c r="B18" s="7">
        <f t="shared" si="0"/>
        <v>17</v>
      </c>
      <c r="C18" s="8">
        <v>4</v>
      </c>
      <c r="D18" s="7">
        <v>2021</v>
      </c>
      <c r="E18" s="9">
        <f>'Otemachi Daily'!D21</f>
        <v>13752</v>
      </c>
      <c r="F18" s="35">
        <f>[1]見込!$G$3</f>
        <v>22.86</v>
      </c>
      <c r="G18" s="9">
        <f>'Otemachi Daily'!F21</f>
        <v>187</v>
      </c>
      <c r="H18" s="35">
        <f>[1]見込!$M$23</f>
        <v>111.00524489795923</v>
      </c>
      <c r="I18" s="9">
        <f>'Otemachi Daily'!H21</f>
        <v>3165.8087999999998</v>
      </c>
      <c r="J18" s="35">
        <v>38.840000000000003</v>
      </c>
      <c r="K18" s="9">
        <f>'Otemachi Daily'!J21</f>
        <v>5402.0987999999998</v>
      </c>
      <c r="L18" s="35">
        <v>25.99</v>
      </c>
      <c r="M18" s="9">
        <f>'Otemachi Daily'!L21</f>
        <v>182</v>
      </c>
      <c r="N18" s="35">
        <v>741</v>
      </c>
      <c r="O18" s="9">
        <f>'Otemachi Daily'!M21</f>
        <v>82</v>
      </c>
      <c r="P18" s="9">
        <f>'Otemachi Daily'!N21</f>
        <v>188</v>
      </c>
    </row>
    <row r="19" spans="1:16" ht="15">
      <c r="A19" s="6" t="s">
        <v>26</v>
      </c>
      <c r="B19" s="7">
        <f t="shared" si="0"/>
        <v>18</v>
      </c>
      <c r="C19" s="8">
        <v>4</v>
      </c>
      <c r="D19" s="7">
        <v>2021</v>
      </c>
      <c r="E19" s="9">
        <f>'Otemachi Daily'!D22</f>
        <v>13307</v>
      </c>
      <c r="F19" s="35">
        <f>[1]見込!$G$3</f>
        <v>22.86</v>
      </c>
      <c r="G19" s="9">
        <f>'Otemachi Daily'!F22</f>
        <v>187</v>
      </c>
      <c r="H19" s="35">
        <f>[1]見込!$M$23</f>
        <v>111.00524489795923</v>
      </c>
      <c r="I19" s="9">
        <f>'Otemachi Daily'!H22</f>
        <v>4228.6715999999997</v>
      </c>
      <c r="J19" s="35">
        <v>38.840000000000003</v>
      </c>
      <c r="K19" s="9">
        <f>'Otemachi Daily'!J22</f>
        <v>4497.5819999999994</v>
      </c>
      <c r="L19" s="35">
        <v>25.99</v>
      </c>
      <c r="M19" s="9">
        <f>'Otemachi Daily'!L22</f>
        <v>148</v>
      </c>
      <c r="N19" s="35">
        <v>741</v>
      </c>
      <c r="O19" s="9">
        <f>'Otemachi Daily'!M22</f>
        <v>34</v>
      </c>
      <c r="P19" s="9">
        <f>'Otemachi Daily'!N22</f>
        <v>75</v>
      </c>
    </row>
    <row r="20" spans="1:16" ht="15">
      <c r="A20" s="6" t="s">
        <v>26</v>
      </c>
      <c r="B20" s="7">
        <f t="shared" si="0"/>
        <v>19</v>
      </c>
      <c r="C20" s="8">
        <v>4</v>
      </c>
      <c r="D20" s="7">
        <v>2021</v>
      </c>
      <c r="E20" s="9">
        <f>'Otemachi Daily'!D23</f>
        <v>12796</v>
      </c>
      <c r="F20" s="35">
        <f>[1]見込!$G$3</f>
        <v>22.86</v>
      </c>
      <c r="G20" s="9">
        <f>'Otemachi Daily'!F23</f>
        <v>169</v>
      </c>
      <c r="H20" s="35">
        <f>[1]見込!$M$23</f>
        <v>111.00524489795923</v>
      </c>
      <c r="I20" s="9">
        <f>'Otemachi Daily'!H23</f>
        <v>3293.5967999999998</v>
      </c>
      <c r="J20" s="35">
        <v>38.840000000000003</v>
      </c>
      <c r="K20" s="9">
        <f>'Otemachi Daily'!J23</f>
        <v>4640.6489999999994</v>
      </c>
      <c r="L20" s="35">
        <v>25.99</v>
      </c>
      <c r="M20" s="9">
        <f>'Otemachi Daily'!L23</f>
        <v>121</v>
      </c>
      <c r="N20" s="35">
        <v>741</v>
      </c>
      <c r="O20" s="9">
        <f>'Otemachi Daily'!M23</f>
        <v>21</v>
      </c>
      <c r="P20" s="9">
        <f>'Otemachi Daily'!N23</f>
        <v>51</v>
      </c>
    </row>
    <row r="21" spans="1:16" ht="15">
      <c r="A21" s="6" t="s">
        <v>26</v>
      </c>
      <c r="B21" s="7">
        <f t="shared" si="0"/>
        <v>20</v>
      </c>
      <c r="C21" s="8">
        <v>4</v>
      </c>
      <c r="D21" s="7">
        <v>2021</v>
      </c>
      <c r="E21" s="9">
        <f>'Otemachi Daily'!D24</f>
        <v>12548</v>
      </c>
      <c r="F21" s="35">
        <f>[1]見込!$G$3</f>
        <v>22.86</v>
      </c>
      <c r="G21" s="9">
        <f>'Otemachi Daily'!F24</f>
        <v>162</v>
      </c>
      <c r="H21" s="35">
        <f>[1]見込!$M$23</f>
        <v>111.00524489795923</v>
      </c>
      <c r="I21" s="9">
        <f>'Otemachi Daily'!H24</f>
        <v>4673.7071999999998</v>
      </c>
      <c r="J21" s="35">
        <v>38.840000000000003</v>
      </c>
      <c r="K21" s="9">
        <f>'Otemachi Daily'!J24</f>
        <v>3003.5735999999997</v>
      </c>
      <c r="L21" s="35">
        <v>25.99</v>
      </c>
      <c r="M21" s="9">
        <f>'Otemachi Daily'!L24</f>
        <v>104</v>
      </c>
      <c r="N21" s="35">
        <v>741</v>
      </c>
      <c r="O21" s="9">
        <f>'Otemachi Daily'!M24</f>
        <v>22</v>
      </c>
      <c r="P21" s="9">
        <f>'Otemachi Daily'!N24</f>
        <v>49</v>
      </c>
    </row>
    <row r="22" spans="1:16" ht="15">
      <c r="A22" s="6" t="s">
        <v>26</v>
      </c>
      <c r="B22" s="7">
        <f t="shared" si="0"/>
        <v>21</v>
      </c>
      <c r="C22" s="8">
        <v>4</v>
      </c>
      <c r="D22" s="7">
        <v>2021</v>
      </c>
      <c r="E22" s="9">
        <f>'Otemachi Daily'!D25</f>
        <v>12271</v>
      </c>
      <c r="F22" s="35">
        <f>[1]見込!$G$3</f>
        <v>22.86</v>
      </c>
      <c r="G22" s="9">
        <f>'Otemachi Daily'!F25</f>
        <v>137</v>
      </c>
      <c r="H22" s="35">
        <f>[1]見込!$M$23</f>
        <v>111.00524489795923</v>
      </c>
      <c r="I22" s="9">
        <f>'Otemachi Daily'!H25</f>
        <v>4961.5079999999998</v>
      </c>
      <c r="J22" s="35">
        <v>38.840000000000003</v>
      </c>
      <c r="K22" s="9">
        <f>'Otemachi Daily'!J25</f>
        <v>2193.7865999999999</v>
      </c>
      <c r="L22" s="35">
        <v>25.99</v>
      </c>
      <c r="M22" s="9">
        <f>'Otemachi Daily'!L25</f>
        <v>93</v>
      </c>
      <c r="N22" s="35">
        <v>741</v>
      </c>
      <c r="O22" s="9">
        <f>'Otemachi Daily'!M25</f>
        <v>22</v>
      </c>
      <c r="P22" s="9">
        <f>'Otemachi Daily'!N25</f>
        <v>53</v>
      </c>
    </row>
    <row r="23" spans="1:16" ht="15">
      <c r="A23" s="6" t="s">
        <v>26</v>
      </c>
      <c r="B23" s="7">
        <f t="shared" si="0"/>
        <v>22</v>
      </c>
      <c r="C23" s="8">
        <v>4</v>
      </c>
      <c r="D23" s="7">
        <v>2021</v>
      </c>
      <c r="E23" s="9">
        <f>'Otemachi Daily'!D26</f>
        <v>12756</v>
      </c>
      <c r="F23" s="35">
        <f>[1]見込!$G$3</f>
        <v>22.86</v>
      </c>
      <c r="G23" s="9">
        <f>'Otemachi Daily'!F26</f>
        <v>180</v>
      </c>
      <c r="H23" s="35">
        <f>[1]見込!$M$23</f>
        <v>111.00524489795923</v>
      </c>
      <c r="I23" s="9">
        <f>'Otemachi Daily'!H26</f>
        <v>5429.0454</v>
      </c>
      <c r="J23" s="35">
        <v>38.840000000000003</v>
      </c>
      <c r="K23" s="9">
        <f>'Otemachi Daily'!J26</f>
        <v>3804.1931999999997</v>
      </c>
      <c r="L23" s="35">
        <v>25.99</v>
      </c>
      <c r="M23" s="9">
        <f>'Otemachi Daily'!L26</f>
        <v>114</v>
      </c>
      <c r="N23" s="35">
        <v>741</v>
      </c>
      <c r="O23" s="9">
        <f>'Otemachi Daily'!M26</f>
        <v>26</v>
      </c>
      <c r="P23" s="9">
        <f>'Otemachi Daily'!N26</f>
        <v>61</v>
      </c>
    </row>
    <row r="24" spans="1:16" ht="15">
      <c r="A24" s="6" t="s">
        <v>26</v>
      </c>
      <c r="B24" s="7">
        <f t="shared" si="0"/>
        <v>23</v>
      </c>
      <c r="C24" s="8">
        <v>4</v>
      </c>
      <c r="D24" s="7">
        <v>2021</v>
      </c>
      <c r="E24" s="9">
        <f>'Otemachi Daily'!D27</f>
        <v>12774</v>
      </c>
      <c r="F24" s="35">
        <f>[1]見込!$G$3</f>
        <v>22.86</v>
      </c>
      <c r="G24" s="9">
        <f>'Otemachi Daily'!F27</f>
        <v>199</v>
      </c>
      <c r="H24" s="35">
        <f>[1]見込!$M$23</f>
        <v>111.00524489795923</v>
      </c>
      <c r="I24" s="9">
        <f>'Otemachi Daily'!H27</f>
        <v>4367.5716000000002</v>
      </c>
      <c r="J24" s="35">
        <v>38.840000000000003</v>
      </c>
      <c r="K24" s="9">
        <f>'Otemachi Daily'!J27</f>
        <v>5896.8606</v>
      </c>
      <c r="L24" s="35">
        <v>25.99</v>
      </c>
      <c r="M24" s="9">
        <f>'Otemachi Daily'!L27</f>
        <v>121</v>
      </c>
      <c r="N24" s="35">
        <v>741</v>
      </c>
      <c r="O24" s="9">
        <f>'Otemachi Daily'!M27</f>
        <v>45</v>
      </c>
      <c r="P24" s="9">
        <f>'Otemachi Daily'!N27</f>
        <v>101</v>
      </c>
    </row>
    <row r="25" spans="1:16" ht="15">
      <c r="A25" s="6" t="s">
        <v>26</v>
      </c>
      <c r="B25" s="7">
        <f t="shared" si="0"/>
        <v>24</v>
      </c>
      <c r="C25" s="8">
        <v>4</v>
      </c>
      <c r="D25" s="7">
        <v>2021</v>
      </c>
      <c r="E25" s="9">
        <f>'Otemachi Daily'!D28</f>
        <v>13107</v>
      </c>
      <c r="F25" s="35">
        <f>[1]見込!$G$3</f>
        <v>22.86</v>
      </c>
      <c r="G25" s="9">
        <f>'Otemachi Daily'!F28</f>
        <v>184</v>
      </c>
      <c r="H25" s="35">
        <f>[1]見込!$M$23</f>
        <v>111.00524489795923</v>
      </c>
      <c r="I25" s="9">
        <f>'Otemachi Daily'!H28</f>
        <v>5246.8085999999994</v>
      </c>
      <c r="J25" s="35">
        <v>38.840000000000003</v>
      </c>
      <c r="K25" s="9">
        <f>'Otemachi Daily'!J28</f>
        <v>4367.5716000000002</v>
      </c>
      <c r="L25" s="35">
        <v>25.99</v>
      </c>
      <c r="M25" s="9">
        <f>'Otemachi Daily'!L28</f>
        <v>174</v>
      </c>
      <c r="N25" s="35">
        <v>741</v>
      </c>
      <c r="O25" s="9">
        <f>'Otemachi Daily'!M28</f>
        <v>91</v>
      </c>
      <c r="P25" s="9">
        <f>'Otemachi Daily'!N28</f>
        <v>188</v>
      </c>
    </row>
    <row r="26" spans="1:16" ht="15">
      <c r="A26" s="6" t="s">
        <v>26</v>
      </c>
      <c r="B26" s="7">
        <f>B25+1</f>
        <v>25</v>
      </c>
      <c r="C26" s="8">
        <v>4</v>
      </c>
      <c r="D26" s="7">
        <v>2021</v>
      </c>
      <c r="E26" s="9">
        <f>'Otemachi Daily'!D29</f>
        <v>13749</v>
      </c>
      <c r="F26" s="35">
        <f>[1]見込!$G$3</f>
        <v>22.86</v>
      </c>
      <c r="G26" s="9">
        <f>'Otemachi Daily'!F29</f>
        <v>177</v>
      </c>
      <c r="H26" s="35">
        <f>[1]見込!$M$23</f>
        <v>111.00524489795923</v>
      </c>
      <c r="I26" s="9">
        <f>'Otemachi Daily'!H29</f>
        <v>5653.7856000000002</v>
      </c>
      <c r="J26" s="35">
        <v>38.840000000000003</v>
      </c>
      <c r="K26" s="9">
        <f>'Otemachi Daily'!J29</f>
        <v>3306.3755999999998</v>
      </c>
      <c r="L26" s="35">
        <v>25.99</v>
      </c>
      <c r="M26" s="9">
        <f>'Otemachi Daily'!L29</f>
        <v>161</v>
      </c>
      <c r="N26" s="35">
        <v>741</v>
      </c>
      <c r="O26" s="9">
        <f>'Otemachi Daily'!M29</f>
        <v>24</v>
      </c>
      <c r="P26" s="9">
        <f>'Otemachi Daily'!N29</f>
        <v>61</v>
      </c>
    </row>
    <row r="27" spans="1:16" ht="15">
      <c r="A27" s="6" t="s">
        <v>26</v>
      </c>
      <c r="B27" s="7">
        <f t="shared" si="0"/>
        <v>26</v>
      </c>
      <c r="C27" s="8">
        <v>4</v>
      </c>
      <c r="D27" s="7">
        <v>2021</v>
      </c>
      <c r="E27" s="9">
        <f>'Otemachi Daily'!D30</f>
        <v>12629</v>
      </c>
      <c r="F27" s="35">
        <f>[1]見込!$G$3</f>
        <v>22.86</v>
      </c>
      <c r="G27" s="9">
        <f>'Otemachi Daily'!F30</f>
        <v>174</v>
      </c>
      <c r="H27" s="35">
        <f>[1]見込!$M$23</f>
        <v>111.00524489795923</v>
      </c>
      <c r="I27" s="9">
        <f>'Otemachi Daily'!H30</f>
        <v>3340.2671999999998</v>
      </c>
      <c r="J27" s="35">
        <v>38.840000000000003</v>
      </c>
      <c r="K27" s="9">
        <f>'Otemachi Daily'!J30</f>
        <v>6338.5626000000002</v>
      </c>
      <c r="L27" s="35">
        <v>25.99</v>
      </c>
      <c r="M27" s="9">
        <f>'Otemachi Daily'!L30</f>
        <v>110</v>
      </c>
      <c r="N27" s="35">
        <v>741</v>
      </c>
      <c r="O27" s="9">
        <f>'Otemachi Daily'!M30</f>
        <v>22</v>
      </c>
      <c r="P27" s="9">
        <f>'Otemachi Daily'!N30</f>
        <v>51</v>
      </c>
    </row>
    <row r="28" spans="1:16" ht="15">
      <c r="A28" s="6" t="s">
        <v>26</v>
      </c>
      <c r="B28" s="7">
        <f t="shared" si="0"/>
        <v>27</v>
      </c>
      <c r="C28" s="8">
        <v>4</v>
      </c>
      <c r="D28" s="7">
        <v>2021</v>
      </c>
      <c r="E28" s="9">
        <f>'Otemachi Daily'!D31</f>
        <v>12390</v>
      </c>
      <c r="F28" s="35">
        <f>[1]見込!$G$3</f>
        <v>22.86</v>
      </c>
      <c r="G28" s="9">
        <f>'Otemachi Daily'!F31</f>
        <v>165</v>
      </c>
      <c r="H28" s="35">
        <f>[1]見込!$M$23</f>
        <v>111.00524489795923</v>
      </c>
      <c r="I28" s="9">
        <f>'Otemachi Daily'!H31</f>
        <v>3506.6693999999998</v>
      </c>
      <c r="J28" s="35">
        <v>38.840000000000003</v>
      </c>
      <c r="K28" s="9">
        <f>'Otemachi Daily'!J31</f>
        <v>4932.3389999999999</v>
      </c>
      <c r="L28" s="35">
        <v>25.99</v>
      </c>
      <c r="M28" s="9">
        <f>'Otemachi Daily'!L31</f>
        <v>121</v>
      </c>
      <c r="N28" s="35">
        <v>741</v>
      </c>
      <c r="O28" s="9">
        <f>'Otemachi Daily'!M31</f>
        <v>27</v>
      </c>
      <c r="P28" s="9">
        <f>'Otemachi Daily'!N31</f>
        <v>60</v>
      </c>
    </row>
    <row r="29" spans="1:16" ht="15">
      <c r="A29" s="6" t="s">
        <v>26</v>
      </c>
      <c r="B29" s="7">
        <f t="shared" si="0"/>
        <v>28</v>
      </c>
      <c r="C29" s="8">
        <v>4</v>
      </c>
      <c r="D29" s="7">
        <v>2021</v>
      </c>
      <c r="E29" s="9">
        <f>'Otemachi Daily'!D32</f>
        <v>12890</v>
      </c>
      <c r="F29" s="35">
        <f>[1]見込!$G$3</f>
        <v>22.86</v>
      </c>
      <c r="G29" s="9">
        <f>'Otemachi Daily'!F32</f>
        <v>142</v>
      </c>
      <c r="H29" s="35">
        <f>[1]見込!$M$23</f>
        <v>111.00524489795923</v>
      </c>
      <c r="I29" s="9">
        <f>'Otemachi Daily'!H32</f>
        <v>5750.7377999999999</v>
      </c>
      <c r="J29" s="35">
        <v>38.840000000000003</v>
      </c>
      <c r="K29" s="9">
        <f>'Otemachi Daily'!J32</f>
        <v>2582.4288000000001</v>
      </c>
      <c r="L29" s="35">
        <v>25.99</v>
      </c>
      <c r="M29" s="9">
        <f>'Otemachi Daily'!L32</f>
        <v>113</v>
      </c>
      <c r="N29" s="35">
        <v>741</v>
      </c>
      <c r="O29" s="9">
        <f>'Otemachi Daily'!M32</f>
        <v>61</v>
      </c>
      <c r="P29" s="9">
        <f>'Otemachi Daily'!N32</f>
        <v>123</v>
      </c>
    </row>
    <row r="30" spans="1:16" ht="15">
      <c r="A30" s="6" t="s">
        <v>26</v>
      </c>
      <c r="B30" s="7">
        <f t="shared" si="0"/>
        <v>29</v>
      </c>
      <c r="C30" s="8">
        <v>4</v>
      </c>
      <c r="D30" s="7">
        <v>2021</v>
      </c>
      <c r="E30" s="9">
        <f>'Otemachi Daily'!D33</f>
        <v>14256</v>
      </c>
      <c r="F30" s="35">
        <f>[1]見込!$G$3</f>
        <v>22.86</v>
      </c>
      <c r="G30" s="9">
        <f>'Otemachi Daily'!F33</f>
        <v>184</v>
      </c>
      <c r="H30" s="35">
        <f>[1]見込!$M$23</f>
        <v>111.00524489795923</v>
      </c>
      <c r="I30" s="9">
        <f>'Otemachi Daily'!H33</f>
        <v>5630.7281999999996</v>
      </c>
      <c r="J30" s="35">
        <v>38.840000000000003</v>
      </c>
      <c r="K30" s="9">
        <f>'Otemachi Daily'!J33</f>
        <v>3729.4649999999997</v>
      </c>
      <c r="L30" s="35">
        <v>25.99</v>
      </c>
      <c r="M30" s="9">
        <f>'Otemachi Daily'!L33</f>
        <v>190</v>
      </c>
      <c r="N30" s="35">
        <v>741</v>
      </c>
      <c r="O30" s="9">
        <f>'Otemachi Daily'!M33</f>
        <v>82</v>
      </c>
      <c r="P30" s="9">
        <f>'Otemachi Daily'!N33</f>
        <v>201</v>
      </c>
    </row>
    <row r="31" spans="1:16" ht="15">
      <c r="A31" s="6" t="s">
        <v>26</v>
      </c>
      <c r="B31" s="7">
        <f t="shared" si="0"/>
        <v>30</v>
      </c>
      <c r="C31" s="8">
        <v>4</v>
      </c>
      <c r="D31" s="7">
        <v>2021</v>
      </c>
      <c r="E31" s="9">
        <f>'Otemachi Daily'!D34</f>
        <v>14795</v>
      </c>
      <c r="F31" s="35">
        <f>[1]見込!$G$3</f>
        <v>22.86</v>
      </c>
      <c r="G31" s="9">
        <f>'Otemachi Daily'!F34</f>
        <v>197</v>
      </c>
      <c r="H31" s="35">
        <f>[1]見込!$M$23</f>
        <v>111.00524489795923</v>
      </c>
      <c r="I31" s="9">
        <f>'Otemachi Daily'!H34</f>
        <v>8914.0463999999993</v>
      </c>
      <c r="J31" s="35">
        <v>38.840000000000003</v>
      </c>
      <c r="K31" s="9">
        <f>'Otemachi Daily'!J34</f>
        <v>2619.654</v>
      </c>
      <c r="L31" s="35">
        <v>25.99</v>
      </c>
      <c r="M31" s="9">
        <f>'Otemachi Daily'!L34</f>
        <v>185</v>
      </c>
      <c r="N31" s="35">
        <v>741</v>
      </c>
      <c r="O31" s="9">
        <f>'Otemachi Daily'!M34</f>
        <v>82</v>
      </c>
      <c r="P31" s="9">
        <f>'Otemachi Daily'!N34</f>
        <v>207</v>
      </c>
    </row>
    <row r="32" spans="1:16" ht="15">
      <c r="A32" s="6" t="s">
        <v>26</v>
      </c>
      <c r="B32" s="7">
        <f t="shared" si="0"/>
        <v>31</v>
      </c>
      <c r="C32" s="8">
        <v>4</v>
      </c>
      <c r="D32" s="7">
        <v>2021</v>
      </c>
      <c r="E32" s="9">
        <f>'Otemachi Daily'!D35</f>
        <v>0</v>
      </c>
      <c r="F32" s="35">
        <f>[1]見込!$G$3</f>
        <v>22.86</v>
      </c>
      <c r="G32" s="9">
        <f>'Otemachi Daily'!F35</f>
        <v>0</v>
      </c>
      <c r="H32" s="35">
        <f>[1]見込!$M$23</f>
        <v>111.00524489795923</v>
      </c>
      <c r="I32" s="9">
        <f>'Otemachi Daily'!H35</f>
        <v>0</v>
      </c>
      <c r="J32" s="35">
        <v>38.840000000000003</v>
      </c>
      <c r="K32" s="9">
        <f>'Otemachi Daily'!J35</f>
        <v>0</v>
      </c>
      <c r="L32" s="35">
        <v>25.99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25" zoomScale="60" zoomScaleNormal="60" workbookViewId="0">
      <pane xSplit="1" topLeftCell="D1" activePane="topRight" state="frozen"/>
      <selection pane="topRight" activeCell="Q37" sqref="P37:Q38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4" ht="35.25" customHeight="1" thickBot="1">
      <c r="A2" s="14" t="s">
        <v>9</v>
      </c>
      <c r="B2" s="39"/>
      <c r="C2" s="41" t="s">
        <v>19</v>
      </c>
      <c r="D2" s="42"/>
      <c r="E2" s="43" t="s">
        <v>24</v>
      </c>
      <c r="F2" s="43"/>
      <c r="G2" s="46" t="s">
        <v>20</v>
      </c>
      <c r="H2" s="47"/>
      <c r="I2" s="46" t="s">
        <v>27</v>
      </c>
      <c r="J2" s="47"/>
      <c r="K2" s="44" t="s">
        <v>10</v>
      </c>
      <c r="L2" s="45"/>
      <c r="M2" s="15"/>
      <c r="N2" s="15"/>
    </row>
    <row r="3" spans="1:14" ht="44.25" customHeight="1">
      <c r="A3" s="16" t="s">
        <v>11</v>
      </c>
      <c r="B3" s="39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>
        <v>44286</v>
      </c>
      <c r="B4" s="39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>
        <v>86</v>
      </c>
      <c r="N4" s="27">
        <v>195</v>
      </c>
    </row>
    <row r="5" spans="1:14" ht="33" customHeight="1">
      <c r="A5" s="28">
        <v>44287</v>
      </c>
      <c r="B5" s="39"/>
      <c r="C5" s="36">
        <f>[1]コスト!$G$147</f>
        <v>12829</v>
      </c>
      <c r="D5" s="36">
        <f>C5</f>
        <v>12829</v>
      </c>
      <c r="E5" s="36">
        <f>[1]コスト!$G$23</f>
        <v>193</v>
      </c>
      <c r="F5" s="36">
        <f>E5</f>
        <v>193</v>
      </c>
      <c r="G5" s="36">
        <f>[1]コスト!$G$115</f>
        <v>3506.6693999999998</v>
      </c>
      <c r="H5" s="36">
        <f>G5</f>
        <v>3506.6693999999998</v>
      </c>
      <c r="I5" s="36">
        <f>[1]コスト!$G$91</f>
        <v>5024.2907999999998</v>
      </c>
      <c r="J5" s="36">
        <f>I5</f>
        <v>5024.2907999999998</v>
      </c>
      <c r="K5" s="36">
        <f>[1]コスト!$G$41</f>
        <v>130</v>
      </c>
      <c r="L5" s="36">
        <f>K5</f>
        <v>130</v>
      </c>
      <c r="M5" s="29">
        <v>25</v>
      </c>
      <c r="N5" s="29">
        <v>46</v>
      </c>
    </row>
    <row r="6" spans="1:14" ht="45" customHeight="1">
      <c r="A6" s="28">
        <v>44288</v>
      </c>
      <c r="B6" s="39"/>
      <c r="C6" s="36">
        <f>[1]コスト!$H$147</f>
        <v>13669</v>
      </c>
      <c r="D6" s="36">
        <f t="shared" ref="D6:F35" si="0">C6</f>
        <v>13669</v>
      </c>
      <c r="E6" s="36">
        <f>[1]コスト!$H$23</f>
        <v>200</v>
      </c>
      <c r="F6" s="36">
        <f t="shared" si="0"/>
        <v>200</v>
      </c>
      <c r="G6" s="36">
        <f>[1]コスト!$H$115</f>
        <v>2937.4571999999998</v>
      </c>
      <c r="H6" s="36">
        <f t="shared" ref="H6" si="1">G6</f>
        <v>2937.4571999999998</v>
      </c>
      <c r="I6" s="36">
        <f>[1]コスト!$H$91</f>
        <v>5287.3674000000001</v>
      </c>
      <c r="J6" s="36">
        <f t="shared" ref="J6" si="2">I6</f>
        <v>5287.3674000000001</v>
      </c>
      <c r="K6" s="36">
        <f>[1]コスト!$H$41</f>
        <v>148</v>
      </c>
      <c r="L6" s="36">
        <f t="shared" ref="L6" si="3">K6</f>
        <v>148</v>
      </c>
      <c r="M6" s="12">
        <v>35</v>
      </c>
      <c r="N6" s="12">
        <v>65</v>
      </c>
    </row>
    <row r="7" spans="1:14" ht="45" customHeight="1">
      <c r="A7" s="28">
        <v>44289</v>
      </c>
      <c r="B7" s="39"/>
      <c r="C7" s="36">
        <f>[1]コスト!$I$147</f>
        <v>13515</v>
      </c>
      <c r="D7" s="36">
        <f t="shared" si="0"/>
        <v>13515</v>
      </c>
      <c r="E7" s="36">
        <f>[1]コスト!$I$23</f>
        <v>197</v>
      </c>
      <c r="F7" s="36">
        <f t="shared" si="0"/>
        <v>197</v>
      </c>
      <c r="G7" s="36">
        <f>[1]コスト!$I$115</f>
        <v>4109.2175999999999</v>
      </c>
      <c r="H7" s="36">
        <f t="shared" ref="H7" si="4">G7</f>
        <v>4109.2175999999999</v>
      </c>
      <c r="I7" s="36">
        <f>[1]コスト!$I$91</f>
        <v>4183.9457999999995</v>
      </c>
      <c r="J7" s="36">
        <f t="shared" ref="J7" si="5">I7</f>
        <v>4183.9457999999995</v>
      </c>
      <c r="K7" s="36">
        <f>[1]コスト!$I$41</f>
        <v>166</v>
      </c>
      <c r="L7" s="36">
        <f t="shared" ref="L7" si="6">K7</f>
        <v>166</v>
      </c>
      <c r="M7" s="12">
        <v>60</v>
      </c>
      <c r="N7" s="12">
        <v>111</v>
      </c>
    </row>
    <row r="8" spans="1:14" ht="45" customHeight="1">
      <c r="A8" s="28">
        <v>44290</v>
      </c>
      <c r="B8" s="39"/>
      <c r="C8" s="36">
        <f>[1]コスト!$J$147</f>
        <v>13160</v>
      </c>
      <c r="D8" s="36">
        <f t="shared" si="0"/>
        <v>13160</v>
      </c>
      <c r="E8" s="36">
        <f>[1]コスト!$J$23</f>
        <v>180</v>
      </c>
      <c r="F8" s="36">
        <f t="shared" si="0"/>
        <v>180</v>
      </c>
      <c r="G8" s="36">
        <f>[1]コスト!$J$115</f>
        <v>4159.2215999999999</v>
      </c>
      <c r="H8" s="36">
        <f t="shared" ref="H8" si="7">G8</f>
        <v>4159.2215999999999</v>
      </c>
      <c r="I8" s="36">
        <f>[1]コスト!$J$91</f>
        <v>2567.4276</v>
      </c>
      <c r="J8" s="36">
        <f t="shared" ref="J8" si="8">I8</f>
        <v>2567.4276</v>
      </c>
      <c r="K8" s="36">
        <f>[1]コスト!$J$41</f>
        <v>153</v>
      </c>
      <c r="L8" s="36">
        <f t="shared" ref="L8" si="9">K8</f>
        <v>153</v>
      </c>
      <c r="M8" s="12">
        <v>27</v>
      </c>
      <c r="N8" s="12">
        <v>50</v>
      </c>
    </row>
    <row r="9" spans="1:14" ht="45" customHeight="1">
      <c r="A9" s="28">
        <v>44291</v>
      </c>
      <c r="B9" s="39"/>
      <c r="C9" s="36">
        <f>[1]コスト!$K$147</f>
        <v>12731</v>
      </c>
      <c r="D9" s="36">
        <f t="shared" si="0"/>
        <v>12731</v>
      </c>
      <c r="E9" s="36">
        <f>[1]コスト!$K$23</f>
        <v>180</v>
      </c>
      <c r="F9" s="36">
        <f t="shared" si="0"/>
        <v>180</v>
      </c>
      <c r="G9" s="36">
        <f>[1]コスト!$K$115</f>
        <v>2829.393</v>
      </c>
      <c r="H9" s="36">
        <f t="shared" ref="H9" si="10">G9</f>
        <v>2829.393</v>
      </c>
      <c r="I9" s="36">
        <f>[1]コスト!$K$91</f>
        <v>7968.6929999999993</v>
      </c>
      <c r="J9" s="36">
        <f t="shared" ref="J9" si="11">I9</f>
        <v>7968.6929999999993</v>
      </c>
      <c r="K9" s="36">
        <f>[1]コスト!$K$41</f>
        <v>117</v>
      </c>
      <c r="L9" s="36">
        <f t="shared" ref="L9" si="12">K9</f>
        <v>117</v>
      </c>
      <c r="M9" s="12">
        <v>17</v>
      </c>
      <c r="N9" s="12">
        <v>29</v>
      </c>
    </row>
    <row r="10" spans="1:14" ht="45" customHeight="1">
      <c r="A10" s="28">
        <v>44292</v>
      </c>
      <c r="B10" s="39"/>
      <c r="C10" s="36">
        <f>[1]コスト!$L$147</f>
        <v>12591</v>
      </c>
      <c r="D10" s="36">
        <f t="shared" si="0"/>
        <v>12591</v>
      </c>
      <c r="E10" s="36">
        <f>[1]コスト!$L$23</f>
        <v>164</v>
      </c>
      <c r="F10" s="36">
        <f t="shared" si="0"/>
        <v>164</v>
      </c>
      <c r="G10" s="36">
        <f>[1]コスト!$L$115</f>
        <v>2174.3406</v>
      </c>
      <c r="H10" s="36">
        <f t="shared" ref="H10" si="13">G10</f>
        <v>2174.3406</v>
      </c>
      <c r="I10" s="36">
        <f>[1]コスト!$L$91</f>
        <v>12616.0092</v>
      </c>
      <c r="J10" s="36">
        <f t="shared" ref="J10" si="14">I10</f>
        <v>12616.0092</v>
      </c>
      <c r="K10" s="36">
        <f>[1]コスト!$L$41</f>
        <v>124</v>
      </c>
      <c r="L10" s="36">
        <f t="shared" ref="L10" si="15">K10</f>
        <v>124</v>
      </c>
      <c r="M10" s="12">
        <v>24</v>
      </c>
      <c r="N10" s="12">
        <v>41</v>
      </c>
    </row>
    <row r="11" spans="1:14" ht="45" customHeight="1">
      <c r="A11" s="28">
        <v>44293</v>
      </c>
      <c r="B11" s="39"/>
      <c r="C11" s="36">
        <f>[1]コスト!$M$147</f>
        <v>12635</v>
      </c>
      <c r="D11" s="36">
        <f t="shared" si="0"/>
        <v>12635</v>
      </c>
      <c r="E11" s="36">
        <f>[1]コスト!$M$23</f>
        <v>189</v>
      </c>
      <c r="F11" s="36">
        <f t="shared" si="0"/>
        <v>189</v>
      </c>
      <c r="G11" s="36">
        <f>[1]コスト!$M$115</f>
        <v>2650.7676000000001</v>
      </c>
      <c r="H11" s="36">
        <f t="shared" ref="H11" si="16">G11</f>
        <v>2650.7676000000001</v>
      </c>
      <c r="I11" s="36">
        <f>[1]コスト!$M$91</f>
        <v>8741.8104000000003</v>
      </c>
      <c r="J11" s="36">
        <f t="shared" ref="J11" si="17">I11</f>
        <v>8741.8104000000003</v>
      </c>
      <c r="K11" s="36">
        <f>[1]コスト!$M$41</f>
        <v>113</v>
      </c>
      <c r="L11" s="36">
        <f t="shared" ref="L11" si="18">K11</f>
        <v>113</v>
      </c>
      <c r="M11" s="12">
        <v>18</v>
      </c>
      <c r="N11" s="12">
        <v>32</v>
      </c>
    </row>
    <row r="12" spans="1:14" ht="45" customHeight="1">
      <c r="A12" s="28">
        <v>44294</v>
      </c>
      <c r="B12" s="39"/>
      <c r="C12" s="36">
        <f>[1]コスト!$N$147</f>
        <v>12635</v>
      </c>
      <c r="D12" s="36">
        <f t="shared" si="0"/>
        <v>12635</v>
      </c>
      <c r="E12" s="36">
        <f>[1]コスト!$N$23</f>
        <v>182</v>
      </c>
      <c r="F12" s="36">
        <f t="shared" si="0"/>
        <v>182</v>
      </c>
      <c r="G12" s="36">
        <f>[1]コスト!$N$115</f>
        <v>2754.6648</v>
      </c>
      <c r="H12" s="36">
        <f t="shared" ref="H12" si="19">G12</f>
        <v>2754.6648</v>
      </c>
      <c r="I12" s="36">
        <f>[1]コスト!$N$91</f>
        <v>8291.2188000000006</v>
      </c>
      <c r="J12" s="36">
        <f t="shared" ref="J12" si="20">I12</f>
        <v>8291.2188000000006</v>
      </c>
      <c r="K12" s="36">
        <f>[1]コスト!$N$41</f>
        <v>117</v>
      </c>
      <c r="L12" s="36">
        <f t="shared" ref="L12" si="21">K12</f>
        <v>117</v>
      </c>
      <c r="M12" s="12">
        <v>30</v>
      </c>
      <c r="N12" s="12">
        <v>55</v>
      </c>
    </row>
    <row r="13" spans="1:14" ht="45" customHeight="1">
      <c r="A13" s="28">
        <v>44295</v>
      </c>
      <c r="B13" s="39"/>
      <c r="C13" s="36">
        <f>[1]コスト!$O$147</f>
        <v>13104</v>
      </c>
      <c r="D13" s="36">
        <f t="shared" si="0"/>
        <v>13104</v>
      </c>
      <c r="E13" s="36">
        <f>[1]コスト!$O$23</f>
        <v>198</v>
      </c>
      <c r="F13" s="36">
        <f t="shared" si="0"/>
        <v>198</v>
      </c>
      <c r="G13" s="36">
        <f>[1]コスト!$O$115</f>
        <v>2498.5331999999999</v>
      </c>
      <c r="H13" s="36">
        <f t="shared" ref="H13" si="22">G13</f>
        <v>2498.5331999999999</v>
      </c>
      <c r="I13" s="36">
        <f>[1]コスト!$O$91</f>
        <v>13495.523999999999</v>
      </c>
      <c r="J13" s="36">
        <f t="shared" ref="J13" si="23">I13</f>
        <v>13495.523999999999</v>
      </c>
      <c r="K13" s="36">
        <f>[1]コスト!$O$41</f>
        <v>147</v>
      </c>
      <c r="L13" s="36">
        <f t="shared" ref="L13" si="24">K13</f>
        <v>147</v>
      </c>
      <c r="M13" s="12">
        <v>51</v>
      </c>
      <c r="N13" s="12">
        <v>96</v>
      </c>
    </row>
    <row r="14" spans="1:14" ht="45" customHeight="1">
      <c r="A14" s="28">
        <v>44296</v>
      </c>
      <c r="B14" s="39"/>
      <c r="C14" s="36">
        <f>[1]コスト!$P$147</f>
        <v>13769</v>
      </c>
      <c r="D14" s="36">
        <f t="shared" si="0"/>
        <v>13769</v>
      </c>
      <c r="E14" s="36">
        <f>[1]コスト!$P$23</f>
        <v>197</v>
      </c>
      <c r="F14" s="36">
        <f t="shared" si="0"/>
        <v>197</v>
      </c>
      <c r="G14" s="36">
        <f>[1]コスト!$P$115</f>
        <v>3453.6095999999998</v>
      </c>
      <c r="H14" s="36">
        <f t="shared" ref="H14" si="25">G14</f>
        <v>3453.6095999999998</v>
      </c>
      <c r="I14" s="36">
        <f>[1]コスト!$P$91</f>
        <v>16797.177</v>
      </c>
      <c r="J14" s="36">
        <f t="shared" ref="J14" si="26">I14</f>
        <v>16797.177</v>
      </c>
      <c r="K14" s="36">
        <f>[1]コスト!$P$41</f>
        <v>191</v>
      </c>
      <c r="L14" s="36">
        <f t="shared" ref="L14" si="27">K14</f>
        <v>191</v>
      </c>
      <c r="M14" s="12">
        <v>97</v>
      </c>
      <c r="N14" s="12">
        <v>182</v>
      </c>
    </row>
    <row r="15" spans="1:14" ht="45" customHeight="1">
      <c r="A15" s="28">
        <v>44297</v>
      </c>
      <c r="B15" s="39"/>
      <c r="C15" s="36">
        <f>[1]コスト!$Q$147</f>
        <v>13949</v>
      </c>
      <c r="D15" s="36">
        <f t="shared" si="0"/>
        <v>13949</v>
      </c>
      <c r="E15" s="36">
        <f>[1]コスト!$Q$23</f>
        <v>192</v>
      </c>
      <c r="F15" s="36">
        <f t="shared" si="0"/>
        <v>192</v>
      </c>
      <c r="G15" s="36">
        <f>[1]コスト!$Q$115</f>
        <v>4148.9430000000002</v>
      </c>
      <c r="H15" s="36">
        <f t="shared" ref="H15" si="28">G15</f>
        <v>4148.9430000000002</v>
      </c>
      <c r="I15" s="36">
        <f>[1]コスト!$Q$91</f>
        <v>11265.9012</v>
      </c>
      <c r="J15" s="36">
        <f t="shared" ref="J15" si="29">I15</f>
        <v>11265.9012</v>
      </c>
      <c r="K15" s="36">
        <f>[1]コスト!$Q$41</f>
        <v>185</v>
      </c>
      <c r="L15" s="36">
        <f t="shared" ref="L15" si="30">K15</f>
        <v>185</v>
      </c>
      <c r="M15" s="12">
        <v>37</v>
      </c>
      <c r="N15" s="12">
        <v>66</v>
      </c>
    </row>
    <row r="16" spans="1:14" ht="45" customHeight="1">
      <c r="A16" s="28">
        <v>44298</v>
      </c>
      <c r="B16" s="39"/>
      <c r="C16" s="36">
        <f>[1]コスト!$R$147</f>
        <v>12668</v>
      </c>
      <c r="D16" s="36">
        <f t="shared" si="0"/>
        <v>12668</v>
      </c>
      <c r="E16" s="36">
        <f>[1]コスト!$R$23</f>
        <v>187</v>
      </c>
      <c r="F16" s="36">
        <f t="shared" si="0"/>
        <v>187</v>
      </c>
      <c r="G16" s="36">
        <f>[1]コスト!$R$115</f>
        <v>4465.3571999999995</v>
      </c>
      <c r="H16" s="36">
        <f t="shared" ref="H16" si="31">G16</f>
        <v>4465.3571999999995</v>
      </c>
      <c r="I16" s="36">
        <f>[1]コスト!$R$91</f>
        <v>7120.5695999999998</v>
      </c>
      <c r="J16" s="36">
        <f t="shared" ref="J16" si="32">I16</f>
        <v>7120.5695999999998</v>
      </c>
      <c r="K16" s="36">
        <f>[1]コスト!$R$41</f>
        <v>127</v>
      </c>
      <c r="L16" s="36">
        <f t="shared" ref="L16" si="33">K16</f>
        <v>127</v>
      </c>
      <c r="M16" s="12">
        <v>18</v>
      </c>
      <c r="N16" s="12">
        <v>31</v>
      </c>
    </row>
    <row r="17" spans="1:26" ht="45" customHeight="1">
      <c r="A17" s="28">
        <v>44299</v>
      </c>
      <c r="B17" s="39"/>
      <c r="C17" s="36">
        <f>[1]コスト!$S$147</f>
        <v>12493</v>
      </c>
      <c r="D17" s="36">
        <f t="shared" si="0"/>
        <v>12493</v>
      </c>
      <c r="E17" s="36">
        <f>[1]コスト!$S$23</f>
        <v>164</v>
      </c>
      <c r="F17" s="36">
        <f t="shared" si="0"/>
        <v>164</v>
      </c>
      <c r="G17" s="36">
        <f>[1]コスト!$S$115</f>
        <v>3443.3309999999997</v>
      </c>
      <c r="H17" s="36">
        <f t="shared" ref="H17" si="34">G17</f>
        <v>3443.3309999999997</v>
      </c>
      <c r="I17" s="36">
        <f>[1]コスト!$S$91</f>
        <v>4746.4907999999996</v>
      </c>
      <c r="J17" s="36">
        <f t="shared" ref="J17" si="35">I17</f>
        <v>4746.4907999999996</v>
      </c>
      <c r="K17" s="36">
        <f>[1]コスト!$S$41</f>
        <v>101</v>
      </c>
      <c r="L17" s="36">
        <f t="shared" ref="L17" si="36">K17</f>
        <v>101</v>
      </c>
      <c r="M17" s="12">
        <v>22</v>
      </c>
      <c r="N17" s="12">
        <v>38</v>
      </c>
    </row>
    <row r="18" spans="1:26" ht="45" customHeight="1">
      <c r="A18" s="28">
        <v>44300</v>
      </c>
      <c r="B18" s="39"/>
      <c r="C18" s="36">
        <f>[1]コスト!$T$147</f>
        <v>12052</v>
      </c>
      <c r="D18" s="36">
        <f t="shared" si="0"/>
        <v>12052</v>
      </c>
      <c r="E18" s="36">
        <f>[1]コスト!$T$23</f>
        <v>146</v>
      </c>
      <c r="F18" s="36">
        <f t="shared" si="0"/>
        <v>146</v>
      </c>
      <c r="G18" s="36">
        <f>[1]コスト!$T$115</f>
        <v>3299.1527999999998</v>
      </c>
      <c r="H18" s="36">
        <f t="shared" ref="H18" si="37">G18</f>
        <v>3299.1527999999998</v>
      </c>
      <c r="I18" s="36">
        <f>[1]コスト!$T$91</f>
        <v>5007.9005999999999</v>
      </c>
      <c r="J18" s="36">
        <f t="shared" ref="J18" si="38">I18</f>
        <v>5007.9005999999999</v>
      </c>
      <c r="K18" s="36">
        <f>[1]コスト!$T$41</f>
        <v>99</v>
      </c>
      <c r="L18" s="36">
        <f t="shared" ref="L18" si="39">K18</f>
        <v>99</v>
      </c>
      <c r="M18" s="12">
        <v>30</v>
      </c>
      <c r="N18" s="12">
        <v>55</v>
      </c>
      <c r="Z18" s="37"/>
    </row>
    <row r="19" spans="1:26" ht="45" customHeight="1">
      <c r="A19" s="28">
        <v>44301</v>
      </c>
      <c r="B19" s="39"/>
      <c r="C19" s="36">
        <f>[1]コスト!$U$147</f>
        <v>12923</v>
      </c>
      <c r="D19" s="36">
        <f t="shared" si="0"/>
        <v>12923</v>
      </c>
      <c r="E19" s="36">
        <f>[1]コスト!$U$23</f>
        <v>181</v>
      </c>
      <c r="F19" s="36">
        <f t="shared" si="0"/>
        <v>181</v>
      </c>
      <c r="G19" s="36">
        <f>[1]コスト!$U$115</f>
        <v>2032.6625999999999</v>
      </c>
      <c r="H19" s="36">
        <f t="shared" ref="H19" si="40">G19</f>
        <v>2032.6625999999999</v>
      </c>
      <c r="I19" s="36">
        <f>[1]コスト!$U$91</f>
        <v>12137.6376</v>
      </c>
      <c r="J19" s="36">
        <f t="shared" ref="J19" si="41">I19</f>
        <v>12137.6376</v>
      </c>
      <c r="K19" s="36">
        <f>[1]コスト!$U$41</f>
        <v>115</v>
      </c>
      <c r="L19" s="36">
        <f t="shared" ref="L19" si="42">K19</f>
        <v>115</v>
      </c>
      <c r="M19" s="12">
        <v>28</v>
      </c>
      <c r="N19" s="12">
        <v>52</v>
      </c>
    </row>
    <row r="20" spans="1:26" ht="45" customHeight="1">
      <c r="A20" s="28">
        <v>44302</v>
      </c>
      <c r="B20" s="39"/>
      <c r="C20" s="36">
        <f>[1]コスト!$V$147</f>
        <v>13000</v>
      </c>
      <c r="D20" s="36">
        <f t="shared" si="0"/>
        <v>13000</v>
      </c>
      <c r="E20" s="36">
        <f>[1]コスト!$V$23</f>
        <v>196</v>
      </c>
      <c r="F20" s="36">
        <f t="shared" si="0"/>
        <v>196</v>
      </c>
      <c r="G20" s="36">
        <f>[1]コスト!$V$115</f>
        <v>2441.3063999999999</v>
      </c>
      <c r="H20" s="36">
        <f t="shared" ref="H20" si="43">G20</f>
        <v>2441.3063999999999</v>
      </c>
      <c r="I20" s="36">
        <f>[1]コスト!$V$91</f>
        <v>7058.3423999999995</v>
      </c>
      <c r="J20" s="36">
        <f t="shared" ref="J20" si="44">I20</f>
        <v>7058.3423999999995</v>
      </c>
      <c r="K20" s="36">
        <f>[1]コスト!$V$41</f>
        <v>134</v>
      </c>
      <c r="L20" s="36">
        <f t="shared" ref="L20" si="45">K20</f>
        <v>134</v>
      </c>
      <c r="M20" s="12">
        <v>57</v>
      </c>
      <c r="N20" s="12">
        <v>112</v>
      </c>
    </row>
    <row r="21" spans="1:26" ht="45" customHeight="1">
      <c r="A21" s="28">
        <v>44303</v>
      </c>
      <c r="B21" s="39"/>
      <c r="C21" s="36">
        <f>[1]コスト!$W$147</f>
        <v>13752</v>
      </c>
      <c r="D21" s="36">
        <f t="shared" si="0"/>
        <v>13752</v>
      </c>
      <c r="E21" s="36">
        <f>[1]コスト!$W$23</f>
        <v>187</v>
      </c>
      <c r="F21" s="36">
        <f t="shared" si="0"/>
        <v>187</v>
      </c>
      <c r="G21" s="36">
        <f>[1]コスト!$W$115</f>
        <v>3165.8087999999998</v>
      </c>
      <c r="H21" s="36">
        <f t="shared" ref="H21" si="46">G21</f>
        <v>3165.8087999999998</v>
      </c>
      <c r="I21" s="36">
        <f>[1]コスト!$W$91</f>
        <v>5402.0987999999998</v>
      </c>
      <c r="J21" s="36">
        <f t="shared" ref="J21" si="47">I21</f>
        <v>5402.0987999999998</v>
      </c>
      <c r="K21" s="36">
        <f>[1]コスト!$W$41</f>
        <v>182</v>
      </c>
      <c r="L21" s="36">
        <f t="shared" ref="L21" si="48">K21</f>
        <v>182</v>
      </c>
      <c r="M21" s="12">
        <v>82</v>
      </c>
      <c r="N21" s="12">
        <v>188</v>
      </c>
    </row>
    <row r="22" spans="1:26" ht="45" customHeight="1">
      <c r="A22" s="28">
        <v>44304</v>
      </c>
      <c r="B22" s="39"/>
      <c r="C22" s="36">
        <f>[1]コスト!$X$147</f>
        <v>13307</v>
      </c>
      <c r="D22" s="36">
        <f t="shared" si="0"/>
        <v>13307</v>
      </c>
      <c r="E22" s="36">
        <f>[1]コスト!$X$23</f>
        <v>187</v>
      </c>
      <c r="F22" s="36">
        <f t="shared" si="0"/>
        <v>187</v>
      </c>
      <c r="G22" s="36">
        <f>[1]コスト!$X$115</f>
        <v>4228.6715999999997</v>
      </c>
      <c r="H22" s="36">
        <f t="shared" ref="H22" si="49">G22</f>
        <v>4228.6715999999997</v>
      </c>
      <c r="I22" s="36">
        <f>[1]コスト!$X$91</f>
        <v>4497.5819999999994</v>
      </c>
      <c r="J22" s="36">
        <f t="shared" ref="J22" si="50">I22</f>
        <v>4497.5819999999994</v>
      </c>
      <c r="K22" s="36">
        <f>[1]コスト!$X$41</f>
        <v>148</v>
      </c>
      <c r="L22" s="36">
        <f t="shared" ref="L22" si="51">K22</f>
        <v>148</v>
      </c>
      <c r="M22" s="12">
        <v>34</v>
      </c>
      <c r="N22" s="12">
        <v>75</v>
      </c>
    </row>
    <row r="23" spans="1:26" ht="45" customHeight="1">
      <c r="A23" s="28">
        <v>44305</v>
      </c>
      <c r="B23" s="39"/>
      <c r="C23" s="36">
        <f>[1]コスト!$Y$147</f>
        <v>12796</v>
      </c>
      <c r="D23" s="36">
        <f t="shared" si="0"/>
        <v>12796</v>
      </c>
      <c r="E23" s="36">
        <f>[1]コスト!$Y$23</f>
        <v>169</v>
      </c>
      <c r="F23" s="36">
        <f t="shared" si="0"/>
        <v>169</v>
      </c>
      <c r="G23" s="36">
        <f>[1]コスト!$Y$115</f>
        <v>3293.5967999999998</v>
      </c>
      <c r="H23" s="36">
        <f t="shared" ref="H23" si="52">G23</f>
        <v>3293.5967999999998</v>
      </c>
      <c r="I23" s="36">
        <f>[1]コスト!$Y$91</f>
        <v>4640.6489999999994</v>
      </c>
      <c r="J23" s="36">
        <f t="shared" ref="J23" si="53">I23</f>
        <v>4640.6489999999994</v>
      </c>
      <c r="K23" s="36">
        <f>[1]コスト!$Y$41</f>
        <v>121</v>
      </c>
      <c r="L23" s="36">
        <f t="shared" ref="L23" si="54">K23</f>
        <v>121</v>
      </c>
      <c r="M23" s="12">
        <v>21</v>
      </c>
      <c r="N23" s="12">
        <v>51</v>
      </c>
    </row>
    <row r="24" spans="1:26" ht="45" customHeight="1">
      <c r="A24" s="28">
        <v>44306</v>
      </c>
      <c r="B24" s="39"/>
      <c r="C24" s="36">
        <f>[1]コスト!$Z$147</f>
        <v>12548</v>
      </c>
      <c r="D24" s="36">
        <f t="shared" si="0"/>
        <v>12548</v>
      </c>
      <c r="E24" s="36">
        <f>[1]コスト!$Z$23</f>
        <v>162</v>
      </c>
      <c r="F24" s="36">
        <f t="shared" si="0"/>
        <v>162</v>
      </c>
      <c r="G24" s="36">
        <f>[1]コスト!$Z$115</f>
        <v>4673.7071999999998</v>
      </c>
      <c r="H24" s="36">
        <f t="shared" ref="H24" si="55">G24</f>
        <v>4673.7071999999998</v>
      </c>
      <c r="I24" s="36">
        <f>[1]コスト!$Z$91</f>
        <v>3003.5735999999997</v>
      </c>
      <c r="J24" s="36">
        <f t="shared" ref="J24" si="56">I24</f>
        <v>3003.5735999999997</v>
      </c>
      <c r="K24" s="36">
        <f>[1]コスト!$Z$41</f>
        <v>104</v>
      </c>
      <c r="L24" s="36">
        <f t="shared" ref="L24" si="57">K24</f>
        <v>104</v>
      </c>
      <c r="M24" s="12">
        <v>22</v>
      </c>
      <c r="N24" s="12">
        <v>49</v>
      </c>
    </row>
    <row r="25" spans="1:26" ht="45" customHeight="1">
      <c r="A25" s="28">
        <v>44307</v>
      </c>
      <c r="B25" s="39"/>
      <c r="C25" s="36">
        <f>[1]コスト!$AA$147</f>
        <v>12271</v>
      </c>
      <c r="D25" s="36">
        <f t="shared" si="0"/>
        <v>12271</v>
      </c>
      <c r="E25" s="36">
        <f>[1]コスト!$AA$23</f>
        <v>137</v>
      </c>
      <c r="F25" s="36">
        <f t="shared" si="0"/>
        <v>137</v>
      </c>
      <c r="G25" s="36">
        <f>[1]コスト!$AA$115</f>
        <v>4961.5079999999998</v>
      </c>
      <c r="H25" s="36">
        <f t="shared" ref="H25" si="58">G25</f>
        <v>4961.5079999999998</v>
      </c>
      <c r="I25" s="36">
        <f>[1]コスト!$AA$91</f>
        <v>2193.7865999999999</v>
      </c>
      <c r="J25" s="36">
        <f t="shared" ref="J25" si="59">I25</f>
        <v>2193.7865999999999</v>
      </c>
      <c r="K25" s="36">
        <f>[1]コスト!$AA$41</f>
        <v>93</v>
      </c>
      <c r="L25" s="36">
        <f t="shared" ref="L25" si="60">K25</f>
        <v>93</v>
      </c>
      <c r="M25" s="12">
        <v>22</v>
      </c>
      <c r="N25" s="12">
        <v>53</v>
      </c>
    </row>
    <row r="26" spans="1:26" ht="45" customHeight="1">
      <c r="A26" s="28">
        <v>44308</v>
      </c>
      <c r="B26" s="39"/>
      <c r="C26" s="36">
        <f>[1]コスト!$AB$147</f>
        <v>12756</v>
      </c>
      <c r="D26" s="36">
        <f t="shared" si="0"/>
        <v>12756</v>
      </c>
      <c r="E26" s="36">
        <f>[1]コスト!$AB$23</f>
        <v>180</v>
      </c>
      <c r="F26" s="36">
        <f t="shared" si="0"/>
        <v>180</v>
      </c>
      <c r="G26" s="36">
        <f>[1]コスト!$AB$115</f>
        <v>5429.0454</v>
      </c>
      <c r="H26" s="36">
        <f t="shared" ref="H26" si="61">G26</f>
        <v>5429.0454</v>
      </c>
      <c r="I26" s="36">
        <f>[1]コスト!$AB$91</f>
        <v>3804.1931999999997</v>
      </c>
      <c r="J26" s="36">
        <f t="shared" ref="J26" si="62">I26</f>
        <v>3804.1931999999997</v>
      </c>
      <c r="K26" s="36">
        <f>[1]コスト!$AB$41</f>
        <v>114</v>
      </c>
      <c r="L26" s="36">
        <f t="shared" ref="L26" si="63">K26</f>
        <v>114</v>
      </c>
      <c r="M26" s="12">
        <v>26</v>
      </c>
      <c r="N26" s="12">
        <v>61</v>
      </c>
    </row>
    <row r="27" spans="1:26" ht="45" customHeight="1">
      <c r="A27" s="28">
        <v>44309</v>
      </c>
      <c r="B27" s="39"/>
      <c r="C27" s="36">
        <f>[1]コスト!$AC$147</f>
        <v>12774</v>
      </c>
      <c r="D27" s="36">
        <f t="shared" si="0"/>
        <v>12774</v>
      </c>
      <c r="E27" s="36">
        <f>[1]コスト!$AC$23</f>
        <v>199</v>
      </c>
      <c r="F27" s="36">
        <f t="shared" si="0"/>
        <v>199</v>
      </c>
      <c r="G27" s="36">
        <f>[1]コスト!$AC$115</f>
        <v>4367.5716000000002</v>
      </c>
      <c r="H27" s="36">
        <f t="shared" ref="H27" si="64">G27</f>
        <v>4367.5716000000002</v>
      </c>
      <c r="I27" s="36">
        <f>[1]コスト!$AC$91</f>
        <v>5896.8606</v>
      </c>
      <c r="J27" s="36">
        <f t="shared" ref="J27" si="65">I27</f>
        <v>5896.8606</v>
      </c>
      <c r="K27" s="36">
        <f>[1]コスト!$AC$41</f>
        <v>121</v>
      </c>
      <c r="L27" s="36">
        <f t="shared" ref="L27" si="66">K27</f>
        <v>121</v>
      </c>
      <c r="M27" s="12">
        <v>45</v>
      </c>
      <c r="N27" s="12">
        <v>101</v>
      </c>
    </row>
    <row r="28" spans="1:26" ht="45" customHeight="1">
      <c r="A28" s="28">
        <v>44310</v>
      </c>
      <c r="B28" s="39"/>
      <c r="C28" s="36">
        <f>[1]コスト!$AD$147</f>
        <v>13107</v>
      </c>
      <c r="D28" s="36">
        <f t="shared" si="0"/>
        <v>13107</v>
      </c>
      <c r="E28" s="36">
        <f>[1]コスト!$AD$23</f>
        <v>184</v>
      </c>
      <c r="F28" s="36">
        <f t="shared" si="0"/>
        <v>184</v>
      </c>
      <c r="G28" s="36">
        <f>[1]コスト!$AD$115</f>
        <v>5246.8085999999994</v>
      </c>
      <c r="H28" s="36">
        <f t="shared" ref="H28" si="67">G28</f>
        <v>5246.8085999999994</v>
      </c>
      <c r="I28" s="36">
        <f>[1]コスト!$AD$91</f>
        <v>4367.5716000000002</v>
      </c>
      <c r="J28" s="36">
        <f t="shared" ref="J28" si="68">I28</f>
        <v>4367.5716000000002</v>
      </c>
      <c r="K28" s="36">
        <f>[1]コスト!$AD$41</f>
        <v>174</v>
      </c>
      <c r="L28" s="36">
        <f t="shared" ref="L28" si="69">K28</f>
        <v>174</v>
      </c>
      <c r="M28" s="12">
        <v>91</v>
      </c>
      <c r="N28" s="12">
        <v>188</v>
      </c>
    </row>
    <row r="29" spans="1:26" ht="45" customHeight="1">
      <c r="A29" s="28">
        <v>44311</v>
      </c>
      <c r="B29" s="39"/>
      <c r="C29" s="36">
        <f>[1]コスト!$AE$147</f>
        <v>13749</v>
      </c>
      <c r="D29" s="36">
        <f t="shared" si="0"/>
        <v>13749</v>
      </c>
      <c r="E29" s="36">
        <f>[1]コスト!$AE$23</f>
        <v>177</v>
      </c>
      <c r="F29" s="36">
        <f t="shared" si="0"/>
        <v>177</v>
      </c>
      <c r="G29" s="36">
        <f>[1]コスト!$AE$115</f>
        <v>5653.7856000000002</v>
      </c>
      <c r="H29" s="36">
        <f t="shared" ref="H29" si="70">G29</f>
        <v>5653.7856000000002</v>
      </c>
      <c r="I29" s="36">
        <f>[1]コスト!$AE$91</f>
        <v>3306.3755999999998</v>
      </c>
      <c r="J29" s="36">
        <f t="shared" ref="J29" si="71">I29</f>
        <v>3306.3755999999998</v>
      </c>
      <c r="K29" s="36">
        <f>[1]コスト!$AE$41</f>
        <v>161</v>
      </c>
      <c r="L29" s="36">
        <f t="shared" ref="L29" si="72">K29</f>
        <v>161</v>
      </c>
      <c r="M29" s="12">
        <v>24</v>
      </c>
      <c r="N29" s="12">
        <v>61</v>
      </c>
    </row>
    <row r="30" spans="1:26" ht="45" customHeight="1">
      <c r="A30" s="28">
        <v>44312</v>
      </c>
      <c r="B30" s="39"/>
      <c r="C30" s="36">
        <f>[1]コスト!$AF$147</f>
        <v>12629</v>
      </c>
      <c r="D30" s="36">
        <f t="shared" si="0"/>
        <v>12629</v>
      </c>
      <c r="E30" s="36">
        <f>[1]コスト!$AF$23</f>
        <v>174</v>
      </c>
      <c r="F30" s="36">
        <f t="shared" si="0"/>
        <v>174</v>
      </c>
      <c r="G30" s="36">
        <f>[1]コスト!$AF$115</f>
        <v>3340.2671999999998</v>
      </c>
      <c r="H30" s="36">
        <f t="shared" ref="H30" si="73">G30</f>
        <v>3340.2671999999998</v>
      </c>
      <c r="I30" s="36">
        <f>[1]コスト!$AF$91</f>
        <v>6338.5626000000002</v>
      </c>
      <c r="J30" s="36">
        <f t="shared" ref="J30" si="74">I30</f>
        <v>6338.5626000000002</v>
      </c>
      <c r="K30" s="36">
        <f>[1]コスト!$AF$41</f>
        <v>110</v>
      </c>
      <c r="L30" s="36">
        <f t="shared" ref="L30" si="75">K30</f>
        <v>110</v>
      </c>
      <c r="M30" s="12">
        <v>22</v>
      </c>
      <c r="N30" s="12">
        <v>51</v>
      </c>
    </row>
    <row r="31" spans="1:26" ht="45" customHeight="1">
      <c r="A31" s="28">
        <v>44313</v>
      </c>
      <c r="B31" s="39"/>
      <c r="C31" s="36">
        <f>[1]コスト!$AG$147</f>
        <v>12390</v>
      </c>
      <c r="D31" s="36">
        <f t="shared" si="0"/>
        <v>12390</v>
      </c>
      <c r="E31" s="36">
        <f>[1]コスト!$AG$23</f>
        <v>165</v>
      </c>
      <c r="F31" s="36">
        <f t="shared" si="0"/>
        <v>165</v>
      </c>
      <c r="G31" s="36">
        <f>[1]コスト!$AG$115</f>
        <v>3506.6693999999998</v>
      </c>
      <c r="H31" s="36">
        <f t="shared" ref="H31" si="76">G31</f>
        <v>3506.6693999999998</v>
      </c>
      <c r="I31" s="36">
        <f>[1]コスト!$AG$91</f>
        <v>4932.3389999999999</v>
      </c>
      <c r="J31" s="36">
        <f t="shared" ref="J31" si="77">I31</f>
        <v>4932.3389999999999</v>
      </c>
      <c r="K31" s="36">
        <f>[1]コスト!$AG$41</f>
        <v>121</v>
      </c>
      <c r="L31" s="36">
        <f t="shared" ref="L31" si="78">K31</f>
        <v>121</v>
      </c>
      <c r="M31" s="12">
        <v>27</v>
      </c>
      <c r="N31" s="12">
        <v>60</v>
      </c>
    </row>
    <row r="32" spans="1:26" ht="45" customHeight="1">
      <c r="A32" s="28">
        <v>44314</v>
      </c>
      <c r="B32" s="39"/>
      <c r="C32" s="36">
        <f>[1]コスト!$AH$147</f>
        <v>12890</v>
      </c>
      <c r="D32" s="36">
        <f t="shared" si="0"/>
        <v>12890</v>
      </c>
      <c r="E32" s="36">
        <f>[1]コスト!$AH$23</f>
        <v>142</v>
      </c>
      <c r="F32" s="36">
        <f t="shared" si="0"/>
        <v>142</v>
      </c>
      <c r="G32" s="36">
        <f>[1]コスト!$AH$115</f>
        <v>5750.7377999999999</v>
      </c>
      <c r="H32" s="36">
        <f t="shared" ref="H32" si="79">G32</f>
        <v>5750.7377999999999</v>
      </c>
      <c r="I32" s="36">
        <f>[1]コスト!$AH$91</f>
        <v>2582.4288000000001</v>
      </c>
      <c r="J32" s="36">
        <f t="shared" ref="J32" si="80">I32</f>
        <v>2582.4288000000001</v>
      </c>
      <c r="K32" s="36">
        <f>[1]コスト!$AH$41</f>
        <v>113</v>
      </c>
      <c r="L32" s="36">
        <f t="shared" ref="L32" si="81">K32</f>
        <v>113</v>
      </c>
      <c r="M32" s="12">
        <v>61</v>
      </c>
      <c r="N32" s="12">
        <v>123</v>
      </c>
    </row>
    <row r="33" spans="1:14" ht="36" customHeight="1">
      <c r="A33" s="28">
        <v>44315</v>
      </c>
      <c r="C33" s="36">
        <f>[1]コスト!$AI$147</f>
        <v>14256</v>
      </c>
      <c r="D33" s="36">
        <f t="shared" si="0"/>
        <v>14256</v>
      </c>
      <c r="E33" s="36">
        <f>[1]コスト!$AI$23</f>
        <v>184</v>
      </c>
      <c r="F33" s="36">
        <f t="shared" si="0"/>
        <v>184</v>
      </c>
      <c r="G33" s="36">
        <f>[1]コスト!$AI$115</f>
        <v>5630.7281999999996</v>
      </c>
      <c r="H33" s="36">
        <f t="shared" ref="H33" si="82">G33</f>
        <v>5630.7281999999996</v>
      </c>
      <c r="I33" s="36">
        <f>[1]コスト!$AI$91</f>
        <v>3729.4649999999997</v>
      </c>
      <c r="J33" s="36">
        <f t="shared" ref="J33" si="83">I33</f>
        <v>3729.4649999999997</v>
      </c>
      <c r="K33" s="36">
        <f>[1]コスト!$AI$41</f>
        <v>190</v>
      </c>
      <c r="L33" s="36">
        <f t="shared" ref="L33" si="84">K33</f>
        <v>190</v>
      </c>
      <c r="M33" s="38">
        <v>82</v>
      </c>
      <c r="N33" s="12">
        <v>201</v>
      </c>
    </row>
    <row r="34" spans="1:14" ht="45.6" customHeight="1">
      <c r="A34" s="28">
        <v>44316</v>
      </c>
      <c r="C34" s="36">
        <f>[1]コスト!$AJ$147</f>
        <v>14795</v>
      </c>
      <c r="D34" s="36">
        <f t="shared" si="0"/>
        <v>14795</v>
      </c>
      <c r="E34" s="36">
        <f>[1]コスト!$AJ$23</f>
        <v>197</v>
      </c>
      <c r="F34" s="36">
        <f t="shared" si="0"/>
        <v>197</v>
      </c>
      <c r="G34" s="36">
        <f>[1]コスト!$AJ$115</f>
        <v>8914.0463999999993</v>
      </c>
      <c r="H34" s="36">
        <f t="shared" ref="H34" si="85">G34</f>
        <v>8914.0463999999993</v>
      </c>
      <c r="I34" s="36">
        <f>[1]コスト!$AJ$91</f>
        <v>2619.654</v>
      </c>
      <c r="J34" s="36">
        <f t="shared" ref="J34" si="86">I34</f>
        <v>2619.654</v>
      </c>
      <c r="K34" s="36">
        <f>[1]コスト!$AJ$41</f>
        <v>185</v>
      </c>
      <c r="L34" s="36">
        <f t="shared" ref="L34" si="87">K34</f>
        <v>185</v>
      </c>
      <c r="M34" s="12">
        <v>82</v>
      </c>
      <c r="N34" s="12">
        <v>207</v>
      </c>
    </row>
    <row r="35" spans="1:14" ht="47.45" customHeight="1">
      <c r="A35" s="28"/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>
        <v>0</v>
      </c>
      <c r="N35" s="12">
        <v>0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2022-02-10T01:21:07Z</dcterms:modified>
</cp:coreProperties>
</file>