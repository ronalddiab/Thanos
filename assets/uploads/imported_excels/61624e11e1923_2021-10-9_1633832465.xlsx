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Q:\Engineering\Duty Engineer\HEP Energy Report\2021\"/>
    </mc:Choice>
  </mc:AlternateContent>
  <bookViews>
    <workbookView xWindow="0" yWindow="0" windowWidth="28800" windowHeight="12435" activeTab="2"/>
  </bookViews>
  <sheets>
    <sheet name="TOTAL" sheetId="10" r:id="rId1"/>
    <sheet name="Combine" sheetId="8" r:id="rId2"/>
    <sheet name="Occ" sheetId="9" r:id="rId3"/>
    <sheet name="Total - FSH" sheetId="1" state="hidden" r:id="rId4"/>
    <sheet name="Total - FSP" sheetId="6" state="hidden" r:id="rId5"/>
    <sheet name="Athens Daily - EL" sheetId="3" r:id="rId6"/>
    <sheet name="Athens Daily - Water" sheetId="4" r:id="rId7"/>
    <sheet name="Athens Daily - Gas" sheetId="5" r:id="rId8"/>
    <sheet name="Submetering EL" sheetId="2" state="hidden" r:id="rId9"/>
    <sheet name="Submetering Water" sheetId="7" state="hidden" r:id="rId10"/>
  </sheets>
  <definedNames>
    <definedName name="_xlnm.Print_Area" localSheetId="5">'Athens Daily - EL'!$A$1:$AI$39</definedName>
    <definedName name="_xlnm.Print_Area" localSheetId="7">'Athens Daily - Gas'!$A$1:$BF$39</definedName>
    <definedName name="_xlnm.Print_Area" localSheetId="6">'Athens Daily - Water'!$A$1:$P$38</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B38" i="5" l="1"/>
  <c r="BB37" i="5"/>
  <c r="BB36" i="5"/>
  <c r="AE29" i="3" l="1"/>
  <c r="AE18" i="3" l="1"/>
  <c r="I16" i="4" l="1"/>
  <c r="I15" i="4"/>
  <c r="AI8" i="3" l="1"/>
  <c r="AG8" i="3"/>
  <c r="AE8" i="3"/>
  <c r="AC8" i="3"/>
  <c r="AA8" i="3"/>
  <c r="X8" i="3"/>
  <c r="U8" i="3"/>
  <c r="R8" i="3"/>
  <c r="O8" i="3"/>
  <c r="M8" i="3"/>
  <c r="K8" i="3"/>
  <c r="H8" i="3"/>
  <c r="F8" i="3"/>
  <c r="D8" i="3"/>
  <c r="BB22" i="5" l="1"/>
  <c r="H40" i="9"/>
  <c r="G40" i="9"/>
  <c r="H39" i="9"/>
  <c r="G39" i="9"/>
  <c r="H38" i="9"/>
  <c r="G38" i="9"/>
  <c r="H37" i="9"/>
  <c r="G37" i="9"/>
  <c r="H36" i="9"/>
  <c r="G36" i="9"/>
  <c r="H35" i="9"/>
  <c r="G35" i="9"/>
  <c r="H34" i="9"/>
  <c r="G34" i="9"/>
  <c r="H33" i="9"/>
  <c r="G33" i="9"/>
  <c r="H32" i="9"/>
  <c r="G32" i="9"/>
  <c r="H31" i="9"/>
  <c r="G31" i="9"/>
  <c r="H30" i="9"/>
  <c r="G30" i="9"/>
  <c r="H29" i="9"/>
  <c r="G29" i="9"/>
  <c r="H28" i="9"/>
  <c r="G28" i="9"/>
  <c r="H27" i="9"/>
  <c r="G27" i="9"/>
  <c r="H26" i="9"/>
  <c r="G26" i="9"/>
  <c r="H25" i="9"/>
  <c r="G25" i="9"/>
  <c r="H24" i="9"/>
  <c r="G24" i="9"/>
  <c r="H23" i="9"/>
  <c r="G23" i="9"/>
  <c r="H22" i="9"/>
  <c r="G22" i="9"/>
  <c r="H21" i="9"/>
  <c r="G21" i="9"/>
  <c r="H20" i="9"/>
  <c r="G20" i="9"/>
  <c r="H19" i="9"/>
  <c r="G19" i="9"/>
  <c r="H18" i="9"/>
  <c r="G18" i="9"/>
  <c r="H17" i="9"/>
  <c r="G17" i="9"/>
  <c r="H16" i="9"/>
  <c r="G16" i="9"/>
  <c r="H15" i="9"/>
  <c r="G15" i="9"/>
  <c r="H14" i="9"/>
  <c r="G14" i="9"/>
  <c r="H13" i="9"/>
  <c r="G13" i="9"/>
  <c r="H12" i="9"/>
  <c r="G12" i="9"/>
  <c r="H11" i="9"/>
  <c r="G11" i="9"/>
  <c r="H10" i="9"/>
  <c r="G10" i="9"/>
  <c r="G41" i="9" l="1"/>
  <c r="H37" i="5" l="1"/>
  <c r="L37" i="5"/>
  <c r="R37" i="5"/>
  <c r="T37" i="5"/>
  <c r="X37" i="5"/>
  <c r="AB37" i="5"/>
  <c r="AF37" i="5"/>
  <c r="AN37" i="5"/>
  <c r="AP37" i="5"/>
  <c r="AV37" i="5"/>
  <c r="AZ37" i="5"/>
  <c r="BD37" i="5"/>
  <c r="BF37" i="5"/>
  <c r="AX37" i="5"/>
  <c r="AT37" i="5"/>
  <c r="AR37" i="5"/>
  <c r="AL37" i="5"/>
  <c r="AJ37" i="5"/>
  <c r="AH37" i="5"/>
  <c r="AD37" i="5"/>
  <c r="Z37" i="5"/>
  <c r="V37" i="5"/>
  <c r="P37" i="5"/>
  <c r="N37" i="5"/>
  <c r="J37" i="5"/>
  <c r="D37" i="5"/>
  <c r="F37" i="5" s="1"/>
  <c r="E37" i="5" l="1"/>
  <c r="V18" i="5" l="1"/>
  <c r="H11" i="3" l="1"/>
  <c r="AJ14" i="5" l="1"/>
  <c r="I8" i="3" l="1"/>
  <c r="P8" i="3"/>
  <c r="S8" i="3"/>
  <c r="V8" i="3"/>
  <c r="Y8" i="3"/>
  <c r="D9" i="3"/>
  <c r="F9" i="3"/>
  <c r="H9" i="3"/>
  <c r="I9" i="3" s="1"/>
  <c r="K9" i="3"/>
  <c r="M9" i="3"/>
  <c r="O9" i="3"/>
  <c r="P9" i="3" s="1"/>
  <c r="R9" i="3"/>
  <c r="S9" i="3" s="1"/>
  <c r="U9" i="3"/>
  <c r="V9" i="3" s="1"/>
  <c r="X9" i="3"/>
  <c r="Y9" i="3" s="1"/>
  <c r="AA9" i="3"/>
  <c r="AC9" i="3"/>
  <c r="AE9" i="3"/>
  <c r="AG9" i="3"/>
  <c r="AI9" i="3"/>
  <c r="D10" i="3"/>
  <c r="F10" i="3"/>
  <c r="H10" i="3"/>
  <c r="I10" i="3" s="1"/>
  <c r="K10" i="3"/>
  <c r="M10" i="3"/>
  <c r="O10" i="3"/>
  <c r="P10" i="3" s="1"/>
  <c r="R10" i="3"/>
  <c r="S10" i="3" s="1"/>
  <c r="U10" i="3"/>
  <c r="V10" i="3" s="1"/>
  <c r="X10" i="3"/>
  <c r="Y10" i="3" s="1"/>
  <c r="AA10" i="3"/>
  <c r="AC10" i="3"/>
  <c r="AE10" i="3"/>
  <c r="AG10" i="3"/>
  <c r="AI10" i="3"/>
  <c r="D11" i="3"/>
  <c r="F11" i="3"/>
  <c r="I11" i="3"/>
  <c r="K11" i="3"/>
  <c r="M11" i="3"/>
  <c r="O11" i="3"/>
  <c r="P11" i="3" s="1"/>
  <c r="R11" i="3"/>
  <c r="S11" i="3" s="1"/>
  <c r="U11" i="3"/>
  <c r="V11" i="3" s="1"/>
  <c r="X11" i="3"/>
  <c r="Y11" i="3" s="1"/>
  <c r="AA11" i="3"/>
  <c r="AC11" i="3"/>
  <c r="AE11" i="3"/>
  <c r="AG11" i="3"/>
  <c r="AI11" i="3"/>
  <c r="D12" i="3"/>
  <c r="F12" i="3"/>
  <c r="H12" i="3"/>
  <c r="I12" i="3" s="1"/>
  <c r="K12" i="3"/>
  <c r="M12" i="3"/>
  <c r="O12" i="3"/>
  <c r="P12" i="3" s="1"/>
  <c r="R12" i="3"/>
  <c r="S12" i="3" s="1"/>
  <c r="U12" i="3"/>
  <c r="V12" i="3" s="1"/>
  <c r="X12" i="3"/>
  <c r="Y12" i="3" s="1"/>
  <c r="AA12" i="3"/>
  <c r="AC12" i="3"/>
  <c r="AE12" i="3"/>
  <c r="AG12" i="3"/>
  <c r="AI12" i="3"/>
  <c r="D13" i="3"/>
  <c r="F13" i="3"/>
  <c r="H13" i="3"/>
  <c r="I13" i="3" s="1"/>
  <c r="K13" i="3"/>
  <c r="M13" i="3"/>
  <c r="O13" i="3"/>
  <c r="P13" i="3" s="1"/>
  <c r="R13" i="3"/>
  <c r="S13" i="3" s="1"/>
  <c r="U13" i="3"/>
  <c r="V13" i="3" s="1"/>
  <c r="X13" i="3"/>
  <c r="Y13" i="3" s="1"/>
  <c r="AA13" i="3"/>
  <c r="AC13" i="3"/>
  <c r="AE13" i="3"/>
  <c r="AG13" i="3"/>
  <c r="AI13" i="3"/>
  <c r="D14" i="3"/>
  <c r="F14" i="3"/>
  <c r="H14" i="3"/>
  <c r="I14" i="3" s="1"/>
  <c r="K14" i="3"/>
  <c r="M14" i="3"/>
  <c r="O14" i="3"/>
  <c r="P14" i="3" s="1"/>
  <c r="R14" i="3"/>
  <c r="S14" i="3" s="1"/>
  <c r="U14" i="3"/>
  <c r="V14" i="3" s="1"/>
  <c r="X14" i="3"/>
  <c r="Y14" i="3" s="1"/>
  <c r="AA14" i="3"/>
  <c r="AC14" i="3"/>
  <c r="AE14" i="3"/>
  <c r="AG14" i="3"/>
  <c r="AI14" i="3"/>
  <c r="D15" i="3"/>
  <c r="F15" i="3"/>
  <c r="H15" i="3"/>
  <c r="I15" i="3" s="1"/>
  <c r="K15" i="3"/>
  <c r="M15" i="3"/>
  <c r="O15" i="3"/>
  <c r="P15" i="3" s="1"/>
  <c r="R15" i="3"/>
  <c r="S15" i="3" s="1"/>
  <c r="U15" i="3"/>
  <c r="V15" i="3" s="1"/>
  <c r="X15" i="3"/>
  <c r="Y15" i="3" s="1"/>
  <c r="AA15" i="3"/>
  <c r="AC15" i="3"/>
  <c r="AE15" i="3"/>
  <c r="AG15" i="3"/>
  <c r="AI15" i="3"/>
  <c r="F16" i="3"/>
  <c r="K16" i="3"/>
  <c r="M16" i="3"/>
  <c r="O16" i="3"/>
  <c r="P16" i="3" s="1"/>
  <c r="U16" i="3"/>
  <c r="V16" i="3" s="1"/>
  <c r="AA16" i="3"/>
  <c r="AC16" i="3"/>
  <c r="AE16" i="3"/>
  <c r="AG16" i="3"/>
  <c r="AI16" i="3"/>
  <c r="D17" i="3"/>
  <c r="F17" i="3"/>
  <c r="H17" i="3"/>
  <c r="I17" i="3" s="1"/>
  <c r="K17" i="3"/>
  <c r="M17" i="3"/>
  <c r="O17" i="3"/>
  <c r="P17" i="3" s="1"/>
  <c r="R17" i="3"/>
  <c r="S17" i="3" s="1"/>
  <c r="U17" i="3"/>
  <c r="V17" i="3" s="1"/>
  <c r="X17" i="3"/>
  <c r="Y17" i="3" s="1"/>
  <c r="AA17" i="3"/>
  <c r="AC17" i="3"/>
  <c r="AE17" i="3"/>
  <c r="AG17" i="3"/>
  <c r="AI17" i="3"/>
  <c r="D18" i="3"/>
  <c r="F18" i="3"/>
  <c r="H18" i="3"/>
  <c r="I18" i="3" s="1"/>
  <c r="K18" i="3"/>
  <c r="M18" i="3"/>
  <c r="O18" i="3"/>
  <c r="P18" i="3" s="1"/>
  <c r="R18" i="3"/>
  <c r="S18" i="3" s="1"/>
  <c r="U18" i="3"/>
  <c r="V18" i="3" s="1"/>
  <c r="X18" i="3"/>
  <c r="Y18" i="3" s="1"/>
  <c r="AA18" i="3"/>
  <c r="AC18" i="3"/>
  <c r="AG18" i="3"/>
  <c r="AI18" i="3"/>
  <c r="D19" i="3"/>
  <c r="F19" i="3"/>
  <c r="H19" i="3"/>
  <c r="I19" i="3" s="1"/>
  <c r="K19" i="3"/>
  <c r="M19" i="3"/>
  <c r="O19" i="3"/>
  <c r="P19" i="3" s="1"/>
  <c r="R19" i="3"/>
  <c r="S19" i="3" s="1"/>
  <c r="U19" i="3"/>
  <c r="V19" i="3" s="1"/>
  <c r="X19" i="3"/>
  <c r="Y19" i="3" s="1"/>
  <c r="AA19" i="3"/>
  <c r="AC19" i="3"/>
  <c r="AE19" i="3"/>
  <c r="AG19" i="3"/>
  <c r="AI19" i="3"/>
  <c r="D20" i="3"/>
  <c r="F20" i="3"/>
  <c r="H20" i="3"/>
  <c r="I20" i="3" s="1"/>
  <c r="K20" i="3"/>
  <c r="M20" i="3"/>
  <c r="O20" i="3"/>
  <c r="P20" i="3" s="1"/>
  <c r="R20" i="3"/>
  <c r="S20" i="3" s="1"/>
  <c r="U20" i="3"/>
  <c r="V20" i="3" s="1"/>
  <c r="X20" i="3"/>
  <c r="Y20" i="3" s="1"/>
  <c r="AA20" i="3"/>
  <c r="AC20" i="3"/>
  <c r="AE20" i="3"/>
  <c r="AG20" i="3"/>
  <c r="AI20" i="3"/>
  <c r="D21" i="3"/>
  <c r="F21" i="3"/>
  <c r="H21" i="3"/>
  <c r="I21" i="3" s="1"/>
  <c r="K21" i="3"/>
  <c r="M21" i="3"/>
  <c r="O21" i="3"/>
  <c r="P21" i="3" s="1"/>
  <c r="R21" i="3"/>
  <c r="S21" i="3" s="1"/>
  <c r="U21" i="3"/>
  <c r="V21" i="3" s="1"/>
  <c r="X21" i="3"/>
  <c r="Y21" i="3" s="1"/>
  <c r="AA21" i="3"/>
  <c r="AC21" i="3"/>
  <c r="AE21" i="3"/>
  <c r="AG21" i="3"/>
  <c r="AI21" i="3"/>
  <c r="D22" i="3"/>
  <c r="F22" i="3"/>
  <c r="H22" i="3"/>
  <c r="I22" i="3" s="1"/>
  <c r="K22" i="3"/>
  <c r="M22" i="3"/>
  <c r="O22" i="3"/>
  <c r="P22" i="3" s="1"/>
  <c r="R22" i="3"/>
  <c r="S22" i="3" s="1"/>
  <c r="U22" i="3"/>
  <c r="V22" i="3" s="1"/>
  <c r="X22" i="3"/>
  <c r="Y22" i="3" s="1"/>
  <c r="AA22" i="3"/>
  <c r="AC22" i="3"/>
  <c r="AE22" i="3"/>
  <c r="AG22" i="3"/>
  <c r="AI22" i="3"/>
  <c r="D23" i="3"/>
  <c r="F23" i="3"/>
  <c r="H23" i="3"/>
  <c r="I23" i="3" s="1"/>
  <c r="K23" i="3"/>
  <c r="M23" i="3"/>
  <c r="O23" i="3"/>
  <c r="P23" i="3" s="1"/>
  <c r="R23" i="3"/>
  <c r="S23" i="3" s="1"/>
  <c r="U23" i="3"/>
  <c r="V23" i="3" s="1"/>
  <c r="X23" i="3"/>
  <c r="Y23" i="3" s="1"/>
  <c r="AA23" i="3"/>
  <c r="AC23" i="3"/>
  <c r="AE23" i="3"/>
  <c r="AG23" i="3"/>
  <c r="AI23" i="3"/>
  <c r="D24" i="3"/>
  <c r="F24" i="3"/>
  <c r="H24" i="3"/>
  <c r="I24" i="3" s="1"/>
  <c r="K24" i="3"/>
  <c r="M24" i="3"/>
  <c r="O24" i="3"/>
  <c r="P24" i="3" s="1"/>
  <c r="R24" i="3"/>
  <c r="S24" i="3" s="1"/>
  <c r="U24" i="3"/>
  <c r="V24" i="3" s="1"/>
  <c r="X24" i="3"/>
  <c r="Y24" i="3" s="1"/>
  <c r="AA24" i="3"/>
  <c r="AC24" i="3"/>
  <c r="AE24" i="3"/>
  <c r="AG24" i="3"/>
  <c r="AI24" i="3"/>
  <c r="D25" i="3"/>
  <c r="F25" i="3"/>
  <c r="H25" i="3"/>
  <c r="I25" i="3" s="1"/>
  <c r="K25" i="3"/>
  <c r="M25" i="3"/>
  <c r="O25" i="3"/>
  <c r="P25" i="3" s="1"/>
  <c r="R25" i="3"/>
  <c r="S25" i="3" s="1"/>
  <c r="U25" i="3"/>
  <c r="V25" i="3" s="1"/>
  <c r="X25" i="3"/>
  <c r="Y25" i="3" s="1"/>
  <c r="AA25" i="3"/>
  <c r="AC25" i="3"/>
  <c r="AE25" i="3"/>
  <c r="AG25" i="3"/>
  <c r="AI25" i="3"/>
  <c r="D26" i="3"/>
  <c r="F26" i="3"/>
  <c r="H26" i="3"/>
  <c r="I26" i="3" s="1"/>
  <c r="K26" i="3"/>
  <c r="M26" i="3"/>
  <c r="O26" i="3"/>
  <c r="P26" i="3" s="1"/>
  <c r="R26" i="3"/>
  <c r="S26" i="3" s="1"/>
  <c r="U26" i="3"/>
  <c r="V26" i="3" s="1"/>
  <c r="X26" i="3"/>
  <c r="Y26" i="3" s="1"/>
  <c r="AA26" i="3"/>
  <c r="AC26" i="3"/>
  <c r="AE26" i="3"/>
  <c r="AG26" i="3"/>
  <c r="AI26" i="3"/>
  <c r="D27" i="3"/>
  <c r="F27" i="3"/>
  <c r="H27" i="3"/>
  <c r="I27" i="3" s="1"/>
  <c r="K27" i="3"/>
  <c r="M27" i="3"/>
  <c r="O27" i="3"/>
  <c r="P27" i="3" s="1"/>
  <c r="R27" i="3"/>
  <c r="S27" i="3" s="1"/>
  <c r="U27" i="3"/>
  <c r="V27" i="3" s="1"/>
  <c r="X27" i="3"/>
  <c r="Y27" i="3" s="1"/>
  <c r="AA27" i="3"/>
  <c r="AC27" i="3"/>
  <c r="AE27" i="3"/>
  <c r="AG27" i="3"/>
  <c r="AI27" i="3"/>
  <c r="D28" i="3"/>
  <c r="F28" i="3"/>
  <c r="H28" i="3"/>
  <c r="I28" i="3" s="1"/>
  <c r="K28" i="3"/>
  <c r="M28" i="3"/>
  <c r="O28" i="3"/>
  <c r="P28" i="3" s="1"/>
  <c r="R28" i="3"/>
  <c r="S28" i="3" s="1"/>
  <c r="U28" i="3"/>
  <c r="V28" i="3" s="1"/>
  <c r="X28" i="3"/>
  <c r="Y28" i="3" s="1"/>
  <c r="AA28" i="3"/>
  <c r="AC28" i="3"/>
  <c r="AE28" i="3"/>
  <c r="AG28" i="3"/>
  <c r="AI28" i="3"/>
  <c r="D29" i="3"/>
  <c r="F29" i="3"/>
  <c r="H29" i="3"/>
  <c r="I29" i="3" s="1"/>
  <c r="K29" i="3"/>
  <c r="M29" i="3"/>
  <c r="O29" i="3"/>
  <c r="P29" i="3" s="1"/>
  <c r="R29" i="3"/>
  <c r="S29" i="3" s="1"/>
  <c r="U29" i="3"/>
  <c r="V29" i="3" s="1"/>
  <c r="X29" i="3"/>
  <c r="Y29" i="3" s="1"/>
  <c r="AA29" i="3"/>
  <c r="AC29" i="3"/>
  <c r="AG29" i="3"/>
  <c r="AI29" i="3"/>
  <c r="D30" i="3"/>
  <c r="F30" i="3"/>
  <c r="H30" i="3"/>
  <c r="I30" i="3" s="1"/>
  <c r="K30" i="3"/>
  <c r="M30" i="3"/>
  <c r="O30" i="3"/>
  <c r="P30" i="3" s="1"/>
  <c r="R30" i="3"/>
  <c r="S30" i="3" s="1"/>
  <c r="U30" i="3"/>
  <c r="V30" i="3" s="1"/>
  <c r="X30" i="3"/>
  <c r="Y30" i="3" s="1"/>
  <c r="AA30" i="3"/>
  <c r="AC30" i="3"/>
  <c r="AE30" i="3"/>
  <c r="AG30" i="3"/>
  <c r="AI30" i="3"/>
  <c r="D31" i="3"/>
  <c r="F31" i="3"/>
  <c r="H31" i="3"/>
  <c r="I31" i="3" s="1"/>
  <c r="K31" i="3"/>
  <c r="M31" i="3"/>
  <c r="O31" i="3"/>
  <c r="P31" i="3" s="1"/>
  <c r="R31" i="3"/>
  <c r="S31" i="3" s="1"/>
  <c r="U31" i="3"/>
  <c r="V31" i="3" s="1"/>
  <c r="X31" i="3"/>
  <c r="Y31" i="3" s="1"/>
  <c r="AA31" i="3"/>
  <c r="AC31" i="3"/>
  <c r="AE31" i="3"/>
  <c r="AG31" i="3"/>
  <c r="AI31" i="3"/>
  <c r="D32" i="3"/>
  <c r="F32" i="3"/>
  <c r="H32" i="3"/>
  <c r="I32" i="3" s="1"/>
  <c r="K32" i="3"/>
  <c r="M32" i="3"/>
  <c r="O32" i="3"/>
  <c r="P32" i="3" s="1"/>
  <c r="R32" i="3"/>
  <c r="S32" i="3" s="1"/>
  <c r="U32" i="3"/>
  <c r="V32" i="3" s="1"/>
  <c r="X32" i="3"/>
  <c r="Y32" i="3" s="1"/>
  <c r="AA32" i="3"/>
  <c r="AC32" i="3"/>
  <c r="AE32" i="3"/>
  <c r="AG32" i="3"/>
  <c r="AI32" i="3"/>
  <c r="D33" i="3"/>
  <c r="F33" i="3"/>
  <c r="H33" i="3"/>
  <c r="I33" i="3" s="1"/>
  <c r="K33" i="3"/>
  <c r="M33" i="3"/>
  <c r="O33" i="3"/>
  <c r="P33" i="3" s="1"/>
  <c r="R33" i="3"/>
  <c r="S33" i="3" s="1"/>
  <c r="U33" i="3"/>
  <c r="V33" i="3" s="1"/>
  <c r="X33" i="3"/>
  <c r="Y33" i="3" s="1"/>
  <c r="AA33" i="3"/>
  <c r="AC33" i="3"/>
  <c r="AE33" i="3"/>
  <c r="AG33" i="3"/>
  <c r="AI33" i="3"/>
  <c r="D34" i="3"/>
  <c r="F34" i="3"/>
  <c r="H34" i="3"/>
  <c r="I34" i="3" s="1"/>
  <c r="K34" i="3"/>
  <c r="M34" i="3"/>
  <c r="O34" i="3"/>
  <c r="P34" i="3" s="1"/>
  <c r="R34" i="3"/>
  <c r="S34" i="3" s="1"/>
  <c r="U34" i="3"/>
  <c r="V34" i="3" s="1"/>
  <c r="X34" i="3"/>
  <c r="Y34" i="3" s="1"/>
  <c r="AA34" i="3"/>
  <c r="AC34" i="3"/>
  <c r="AE34" i="3"/>
  <c r="AG34" i="3"/>
  <c r="AI34" i="3"/>
  <c r="D35" i="3"/>
  <c r="F35" i="3"/>
  <c r="H35" i="3"/>
  <c r="I35" i="3" s="1"/>
  <c r="K35" i="3"/>
  <c r="M35" i="3"/>
  <c r="O35" i="3"/>
  <c r="P35" i="3" s="1"/>
  <c r="R35" i="3"/>
  <c r="S35" i="3" s="1"/>
  <c r="U35" i="3"/>
  <c r="V35" i="3" s="1"/>
  <c r="X35" i="3"/>
  <c r="Y35" i="3" s="1"/>
  <c r="AA35" i="3"/>
  <c r="AC35" i="3"/>
  <c r="AE35" i="3"/>
  <c r="AG35" i="3"/>
  <c r="AI35" i="3"/>
  <c r="D36" i="3"/>
  <c r="F36" i="3"/>
  <c r="H36" i="3"/>
  <c r="I36" i="3" s="1"/>
  <c r="K36" i="3"/>
  <c r="M36" i="3"/>
  <c r="O36" i="3"/>
  <c r="P36" i="3" s="1"/>
  <c r="R36" i="3"/>
  <c r="S36" i="3" s="1"/>
  <c r="U36" i="3"/>
  <c r="V36" i="3" s="1"/>
  <c r="X36" i="3"/>
  <c r="Y36" i="3" s="1"/>
  <c r="AA36" i="3"/>
  <c r="AC36" i="3"/>
  <c r="AE36" i="3"/>
  <c r="AG36" i="3"/>
  <c r="AI36" i="3"/>
  <c r="D37" i="3"/>
  <c r="F37" i="3"/>
  <c r="H37" i="3"/>
  <c r="I37" i="3" s="1"/>
  <c r="K37" i="3"/>
  <c r="M37" i="3"/>
  <c r="O37" i="3"/>
  <c r="P37" i="3" s="1"/>
  <c r="R37" i="3"/>
  <c r="S37" i="3" s="1"/>
  <c r="U37" i="3"/>
  <c r="V37" i="3" s="1"/>
  <c r="X37" i="3"/>
  <c r="Y37" i="3" s="1"/>
  <c r="AA37" i="3"/>
  <c r="AC37" i="3"/>
  <c r="AE37" i="3"/>
  <c r="AG37" i="3"/>
  <c r="AI37" i="3"/>
  <c r="AK36" i="3" l="1"/>
  <c r="AL32" i="3"/>
  <c r="AL20" i="3"/>
  <c r="AL10" i="3"/>
  <c r="AL28" i="3"/>
  <c r="AL9" i="3"/>
  <c r="AK30" i="3"/>
  <c r="AL29" i="3"/>
  <c r="AL22" i="3"/>
  <c r="AL12" i="3"/>
  <c r="AL34" i="3"/>
  <c r="AL26" i="3"/>
  <c r="AL18" i="3"/>
  <c r="AL24" i="3"/>
  <c r="AL23" i="3"/>
  <c r="AK22" i="3"/>
  <c r="AK20" i="3"/>
  <c r="AL14" i="3"/>
  <c r="AK12" i="3"/>
  <c r="AK10" i="3"/>
  <c r="AL8" i="3"/>
  <c r="AK34" i="3"/>
  <c r="AK32" i="3"/>
  <c r="AL30" i="3"/>
  <c r="AL36" i="3"/>
  <c r="AK35" i="3"/>
  <c r="AK26" i="3"/>
  <c r="AK24" i="3"/>
  <c r="AK18" i="3"/>
  <c r="AK8" i="3"/>
  <c r="AK28" i="3"/>
  <c r="AK14" i="3"/>
  <c r="AL33" i="3"/>
  <c r="AK29" i="3"/>
  <c r="AK23" i="3"/>
  <c r="AL17" i="3"/>
  <c r="AL15" i="3"/>
  <c r="AK15" i="3"/>
  <c r="AL37" i="3"/>
  <c r="AK33" i="3"/>
  <c r="AL31" i="3"/>
  <c r="AK27" i="3"/>
  <c r="AL21" i="3"/>
  <c r="AK17" i="3"/>
  <c r="AK13" i="3"/>
  <c r="AK37" i="3"/>
  <c r="AL35" i="3"/>
  <c r="AK31" i="3"/>
  <c r="AL25" i="3"/>
  <c r="AK21" i="3"/>
  <c r="AL19" i="3"/>
  <c r="AL11" i="3"/>
  <c r="AK9" i="3"/>
  <c r="AK25" i="3"/>
  <c r="AK19" i="3"/>
  <c r="AK11" i="3"/>
  <c r="AL27" i="3"/>
  <c r="AL13" i="3"/>
  <c r="X16" i="3"/>
  <c r="Y16" i="3" s="1"/>
  <c r="R16" i="3"/>
  <c r="S16" i="3" s="1"/>
  <c r="D16" i="3"/>
  <c r="H16" i="3"/>
  <c r="I16" i="3" s="1"/>
  <c r="AL16" i="3" l="1"/>
  <c r="AK16" i="3"/>
  <c r="BF38" i="5"/>
  <c r="BD38" i="5"/>
  <c r="AZ38" i="5"/>
  <c r="AX38" i="5"/>
  <c r="AV38" i="5"/>
  <c r="AT38" i="5"/>
  <c r="AP38" i="5"/>
  <c r="AR38" i="5"/>
  <c r="AN38" i="5"/>
  <c r="AL38" i="5"/>
  <c r="AJ38" i="5"/>
  <c r="AH38" i="5"/>
  <c r="AF38" i="5"/>
  <c r="AD38" i="5"/>
  <c r="AB38" i="5"/>
  <c r="AB36" i="5"/>
  <c r="Z38" i="5"/>
  <c r="X38" i="5"/>
  <c r="V38" i="5"/>
  <c r="T38" i="5"/>
  <c r="R38" i="5"/>
  <c r="P38" i="5"/>
  <c r="N38" i="5"/>
  <c r="L38" i="5"/>
  <c r="J38" i="5"/>
  <c r="H38" i="5"/>
  <c r="D38" i="5"/>
  <c r="E38" i="5" s="1"/>
  <c r="P36" i="4"/>
  <c r="P35" i="4"/>
  <c r="L36" i="4"/>
  <c r="N36" i="4" s="1"/>
  <c r="L35" i="4"/>
  <c r="N35" i="4" s="1"/>
  <c r="J36" i="4"/>
  <c r="J35" i="4"/>
  <c r="H36" i="4"/>
  <c r="H35" i="4"/>
  <c r="F36" i="4"/>
  <c r="F35" i="4"/>
  <c r="D36" i="4"/>
  <c r="D35" i="4"/>
  <c r="S36" i="4" l="1"/>
  <c r="M36" i="4"/>
  <c r="S35" i="4"/>
  <c r="R35" i="4"/>
  <c r="R36" i="4"/>
  <c r="BH37" i="5"/>
  <c r="BI37" i="5"/>
  <c r="BH38" i="5"/>
  <c r="F38" i="5"/>
  <c r="BI38" i="5" s="1"/>
  <c r="M35" i="4"/>
  <c r="F23" i="4"/>
  <c r="F22" i="4"/>
  <c r="F21" i="4"/>
  <c r="H31" i="8" l="1"/>
  <c r="I31" i="8"/>
  <c r="H32" i="8"/>
  <c r="I32" i="8"/>
  <c r="H33" i="8"/>
  <c r="I33" i="8"/>
  <c r="BB27" i="5" l="1"/>
  <c r="P34" i="4" l="1"/>
  <c r="P33" i="4"/>
  <c r="P32" i="4"/>
  <c r="P31" i="4"/>
  <c r="P30" i="4"/>
  <c r="P29" i="4"/>
  <c r="P28" i="4"/>
  <c r="P27" i="4"/>
  <c r="P26" i="4"/>
  <c r="P25" i="4"/>
  <c r="P24" i="4"/>
  <c r="P23" i="4"/>
  <c r="P22" i="4"/>
  <c r="P19" i="4"/>
  <c r="P18" i="4"/>
  <c r="P17" i="4"/>
  <c r="P16" i="4"/>
  <c r="P15" i="4"/>
  <c r="P14" i="4"/>
  <c r="P13" i="4"/>
  <c r="P12" i="4"/>
  <c r="P11" i="4"/>
  <c r="P10" i="4"/>
  <c r="P9" i="4"/>
  <c r="P8" i="4"/>
  <c r="P7" i="4"/>
  <c r="L34" i="4"/>
  <c r="L33" i="4"/>
  <c r="L32" i="4"/>
  <c r="L31" i="4"/>
  <c r="L30" i="4"/>
  <c r="L29" i="4"/>
  <c r="L28" i="4"/>
  <c r="L27" i="4"/>
  <c r="L26" i="4"/>
  <c r="L25" i="4"/>
  <c r="L24" i="4"/>
  <c r="L23" i="4"/>
  <c r="L22" i="4"/>
  <c r="L19" i="4"/>
  <c r="L18" i="4"/>
  <c r="L17" i="4"/>
  <c r="L16" i="4"/>
  <c r="L15" i="4"/>
  <c r="L14" i="4"/>
  <c r="L13" i="4"/>
  <c r="L12" i="4"/>
  <c r="L11" i="4"/>
  <c r="L10" i="4"/>
  <c r="L9" i="4"/>
  <c r="L8" i="4"/>
  <c r="L7" i="4"/>
  <c r="J34" i="4"/>
  <c r="J33" i="4"/>
  <c r="J32" i="4"/>
  <c r="J31" i="4"/>
  <c r="J30" i="4"/>
  <c r="J29" i="4"/>
  <c r="J28" i="4"/>
  <c r="J27" i="4"/>
  <c r="J26" i="4"/>
  <c r="J25" i="4"/>
  <c r="J24" i="4"/>
  <c r="J23" i="4"/>
  <c r="J22" i="4"/>
  <c r="J21" i="4"/>
  <c r="J20" i="4"/>
  <c r="J19" i="4"/>
  <c r="J18" i="4"/>
  <c r="J17" i="4"/>
  <c r="J16" i="4"/>
  <c r="J15" i="4"/>
  <c r="J14" i="4"/>
  <c r="J13" i="4"/>
  <c r="J12" i="4"/>
  <c r="J11" i="4"/>
  <c r="J10" i="4"/>
  <c r="J9" i="4"/>
  <c r="J8" i="4"/>
  <c r="J7" i="4"/>
  <c r="H34" i="4"/>
  <c r="H33" i="4"/>
  <c r="H32" i="4"/>
  <c r="H31" i="4"/>
  <c r="H30" i="4"/>
  <c r="H29" i="4"/>
  <c r="H28" i="4"/>
  <c r="H27" i="4"/>
  <c r="H26" i="4"/>
  <c r="H25" i="4"/>
  <c r="H24" i="4"/>
  <c r="H23" i="4"/>
  <c r="H22" i="4"/>
  <c r="H21" i="4"/>
  <c r="H20" i="4"/>
  <c r="H19" i="4"/>
  <c r="H18" i="4"/>
  <c r="H17" i="4"/>
  <c r="H16" i="4"/>
  <c r="H15" i="4"/>
  <c r="H14" i="4"/>
  <c r="H13" i="4"/>
  <c r="H12" i="4"/>
  <c r="H11" i="4"/>
  <c r="H10" i="4"/>
  <c r="H9" i="4"/>
  <c r="H8" i="4"/>
  <c r="H7" i="4"/>
  <c r="F34" i="4"/>
  <c r="F33" i="4"/>
  <c r="F32" i="4"/>
  <c r="F31" i="4"/>
  <c r="F30" i="4"/>
  <c r="F29" i="4"/>
  <c r="F28" i="4"/>
  <c r="F27" i="4"/>
  <c r="F26" i="4"/>
  <c r="F25" i="4"/>
  <c r="F24" i="4"/>
  <c r="F17" i="4"/>
  <c r="F16" i="4"/>
  <c r="F15" i="4"/>
  <c r="F14" i="4"/>
  <c r="F13" i="4"/>
  <c r="F12" i="4"/>
  <c r="F11" i="4"/>
  <c r="F10" i="4"/>
  <c r="F9" i="4"/>
  <c r="F8" i="4"/>
  <c r="F7" i="4"/>
  <c r="D34" i="4"/>
  <c r="D33" i="4"/>
  <c r="D32" i="4"/>
  <c r="D31" i="4"/>
  <c r="D30" i="4"/>
  <c r="D29" i="4"/>
  <c r="D28" i="4"/>
  <c r="D27" i="4"/>
  <c r="D26" i="4"/>
  <c r="D25" i="4"/>
  <c r="D24" i="4"/>
  <c r="D23" i="4"/>
  <c r="D22" i="4"/>
  <c r="D19" i="4"/>
  <c r="D18" i="4"/>
  <c r="D17" i="4"/>
  <c r="D16" i="4"/>
  <c r="D15" i="4"/>
  <c r="D14" i="4"/>
  <c r="D13" i="4"/>
  <c r="D12" i="4"/>
  <c r="D11" i="4"/>
  <c r="D10" i="4"/>
  <c r="D9" i="4"/>
  <c r="D8" i="4"/>
  <c r="D7" i="4"/>
  <c r="BB25" i="5" l="1"/>
  <c r="BB24" i="5"/>
  <c r="BB23" i="5"/>
  <c r="BB26" i="5"/>
  <c r="AZ26" i="5"/>
  <c r="L21" i="4" l="1"/>
  <c r="L20" i="4"/>
  <c r="P21" i="4"/>
  <c r="P20" i="4"/>
  <c r="D21" i="4"/>
  <c r="D20" i="4"/>
  <c r="F20" i="4"/>
  <c r="F19" i="4"/>
  <c r="F18" i="4"/>
  <c r="N33" i="8" l="1"/>
  <c r="K32" i="10" s="1"/>
  <c r="N32" i="8"/>
  <c r="K31" i="10" s="1"/>
  <c r="N31" i="8"/>
  <c r="K30" i="10" s="1"/>
  <c r="N30" i="8"/>
  <c r="K29" i="10" s="1"/>
  <c r="N29" i="8"/>
  <c r="K28" i="10" s="1"/>
  <c r="N28" i="8"/>
  <c r="K27" i="10" s="1"/>
  <c r="N27" i="8"/>
  <c r="K26" i="10" s="1"/>
  <c r="N26" i="8"/>
  <c r="K25" i="10" s="1"/>
  <c r="N25" i="8"/>
  <c r="K24" i="10" s="1"/>
  <c r="N24" i="8"/>
  <c r="K23" i="10" s="1"/>
  <c r="N23" i="8"/>
  <c r="K22" i="10" s="1"/>
  <c r="N22" i="8"/>
  <c r="K21" i="10" s="1"/>
  <c r="N21" i="8"/>
  <c r="K20" i="10" s="1"/>
  <c r="N20" i="8"/>
  <c r="K19" i="10" s="1"/>
  <c r="N19" i="8"/>
  <c r="K18" i="10" s="1"/>
  <c r="N18" i="8"/>
  <c r="K17" i="10" s="1"/>
  <c r="N17" i="8"/>
  <c r="K16" i="10" s="1"/>
  <c r="N16" i="8"/>
  <c r="K15" i="10" s="1"/>
  <c r="O7" i="8"/>
  <c r="L6" i="10" s="1"/>
  <c r="N7" i="8"/>
  <c r="K6" i="10" s="1"/>
  <c r="O6" i="8"/>
  <c r="L5" i="10" s="1"/>
  <c r="N6" i="8"/>
  <c r="K5" i="10" s="1"/>
  <c r="O5" i="8"/>
  <c r="L4" i="10" s="1"/>
  <c r="N5" i="8"/>
  <c r="K4" i="10" s="1"/>
  <c r="E31" i="8"/>
  <c r="F31" i="8"/>
  <c r="K31" i="8"/>
  <c r="L31" i="8"/>
  <c r="E32" i="8"/>
  <c r="F32" i="8"/>
  <c r="K32" i="8"/>
  <c r="L32" i="8"/>
  <c r="E33" i="8"/>
  <c r="F33" i="8"/>
  <c r="K33" i="8"/>
  <c r="L33" i="8"/>
  <c r="J33" i="8"/>
  <c r="I32" i="10" s="1"/>
  <c r="N3" i="8"/>
  <c r="K2" i="10" s="1"/>
  <c r="M33" i="8" l="1"/>
  <c r="G32" i="10" s="1"/>
  <c r="G32" i="8"/>
  <c r="E31" i="10" s="1"/>
  <c r="G33" i="8"/>
  <c r="E32" i="10" s="1"/>
  <c r="G31" i="8"/>
  <c r="E30" i="10" s="1"/>
  <c r="M32" i="8"/>
  <c r="G31" i="10" s="1"/>
  <c r="M31" i="8"/>
  <c r="G30" i="10" s="1"/>
  <c r="J32" i="8"/>
  <c r="I31" i="10" s="1"/>
  <c r="J31" i="8"/>
  <c r="I30" i="10" s="1"/>
  <c r="O33" i="8" l="1"/>
  <c r="L32" i="10" s="1"/>
  <c r="O32" i="8"/>
  <c r="L31" i="10" s="1"/>
  <c r="O31" i="8"/>
  <c r="L30" i="10" s="1"/>
  <c r="O30" i="8"/>
  <c r="L29" i="10" s="1"/>
  <c r="O29" i="8"/>
  <c r="L28" i="10" s="1"/>
  <c r="O28" i="8"/>
  <c r="L27" i="10" s="1"/>
  <c r="O27" i="8"/>
  <c r="L26" i="10" s="1"/>
  <c r="O26" i="8"/>
  <c r="L25" i="10" s="1"/>
  <c r="O25" i="8"/>
  <c r="L24" i="10" s="1"/>
  <c r="O24" i="8"/>
  <c r="L23" i="10" s="1"/>
  <c r="O23" i="8"/>
  <c r="L22" i="10" s="1"/>
  <c r="O22" i="8"/>
  <c r="L21" i="10" s="1"/>
  <c r="O21" i="8"/>
  <c r="L20" i="10" s="1"/>
  <c r="O20" i="8"/>
  <c r="L19" i="10" s="1"/>
  <c r="O19" i="8"/>
  <c r="L18" i="10" s="1"/>
  <c r="O18" i="8"/>
  <c r="L17" i="10" s="1"/>
  <c r="O17" i="8"/>
  <c r="L16" i="10" s="1"/>
  <c r="O16" i="8"/>
  <c r="L15" i="10" s="1"/>
  <c r="O15" i="8"/>
  <c r="L14" i="10" s="1"/>
  <c r="N15" i="8"/>
  <c r="K14" i="10" s="1"/>
  <c r="O14" i="8"/>
  <c r="L13" i="10" s="1"/>
  <c r="N14" i="8"/>
  <c r="K13" i="10" s="1"/>
  <c r="O13" i="8"/>
  <c r="L12" i="10" s="1"/>
  <c r="N13" i="8"/>
  <c r="K12" i="10" s="1"/>
  <c r="O12" i="8"/>
  <c r="L11" i="10" s="1"/>
  <c r="N12" i="8"/>
  <c r="K11" i="10" s="1"/>
  <c r="O11" i="8"/>
  <c r="L10" i="10" s="1"/>
  <c r="N11" i="8"/>
  <c r="K10" i="10" s="1"/>
  <c r="O10" i="8"/>
  <c r="L9" i="10" s="1"/>
  <c r="N10" i="8"/>
  <c r="K9" i="10" s="1"/>
  <c r="O9" i="8"/>
  <c r="L8" i="10" s="1"/>
  <c r="N9" i="8"/>
  <c r="K8" i="10" s="1"/>
  <c r="O8" i="8"/>
  <c r="L7" i="10" s="1"/>
  <c r="N8" i="8"/>
  <c r="K7" i="10" s="1"/>
  <c r="O4" i="8"/>
  <c r="L3" i="10" s="1"/>
  <c r="N4" i="8"/>
  <c r="K3" i="10" s="1"/>
  <c r="O3" i="8"/>
  <c r="L2" i="10" s="1"/>
  <c r="M32" i="1" l="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 r="I32" i="6" l="1"/>
  <c r="J32" i="1"/>
  <c r="FK45" i="2" l="1"/>
  <c r="FI45" i="2"/>
  <c r="FG45" i="2"/>
  <c r="FE45" i="2"/>
  <c r="FC45" i="2"/>
  <c r="FA45" i="2"/>
  <c r="EY45" i="2"/>
  <c r="EW45" i="2"/>
  <c r="EU45" i="2"/>
  <c r="ES45" i="2"/>
  <c r="EQ45" i="2"/>
  <c r="EO45" i="2"/>
  <c r="EM45" i="2"/>
  <c r="EK45" i="2"/>
  <c r="EI45" i="2"/>
  <c r="EG45" i="2"/>
  <c r="EE45" i="2"/>
  <c r="EC45" i="2"/>
  <c r="EA45" i="2"/>
  <c r="DY45" i="2"/>
  <c r="DW45" i="2"/>
  <c r="DU45" i="2"/>
  <c r="DS45" i="2"/>
  <c r="DQ45" i="2"/>
  <c r="DO45" i="2"/>
  <c r="DM45" i="2"/>
  <c r="DI45" i="2"/>
  <c r="DG45" i="2"/>
  <c r="DE45" i="2"/>
  <c r="DC45" i="2"/>
  <c r="DA45" i="2"/>
  <c r="CY45" i="2"/>
  <c r="CW45" i="2"/>
  <c r="CU45" i="2"/>
  <c r="CS45" i="2"/>
  <c r="CQ45" i="2"/>
  <c r="CO45" i="2"/>
  <c r="CM45" i="2"/>
  <c r="CK45" i="2"/>
  <c r="CI45" i="2"/>
  <c r="CG45" i="2"/>
  <c r="CE45" i="2"/>
  <c r="CC45" i="2"/>
  <c r="CA45" i="2"/>
  <c r="BY45" i="2"/>
  <c r="BW45" i="2"/>
  <c r="BU45" i="2"/>
  <c r="BS45" i="2"/>
  <c r="BQ45" i="2"/>
  <c r="BO45" i="2"/>
  <c r="BM45" i="2"/>
  <c r="BK45" i="2"/>
  <c r="BI45" i="2"/>
  <c r="BG45" i="2"/>
  <c r="BE45" i="2"/>
  <c r="BC45" i="2"/>
  <c r="BA45" i="2"/>
  <c r="AY45" i="2"/>
  <c r="AU45" i="2"/>
  <c r="AS45" i="2"/>
  <c r="AO45" i="2"/>
  <c r="AM45" i="2"/>
  <c r="AK45" i="2"/>
  <c r="AI45" i="2"/>
  <c r="AG45" i="2"/>
  <c r="AE45" i="2"/>
  <c r="AA45" i="2"/>
  <c r="Y45" i="2"/>
  <c r="W45" i="2"/>
  <c r="U45" i="2"/>
  <c r="S45" i="2"/>
  <c r="Q45" i="2"/>
  <c r="O45" i="2"/>
  <c r="M45" i="2"/>
  <c r="I45" i="2"/>
  <c r="G45" i="2"/>
  <c r="E45" i="2"/>
  <c r="C45" i="2"/>
  <c r="FK44" i="2"/>
  <c r="FI44" i="2"/>
  <c r="FG44" i="2"/>
  <c r="FE44" i="2"/>
  <c r="FC44" i="2"/>
  <c r="FA44" i="2"/>
  <c r="EY44" i="2"/>
  <c r="EW44" i="2"/>
  <c r="EU44" i="2"/>
  <c r="ES44" i="2"/>
  <c r="EQ44" i="2"/>
  <c r="EO44" i="2"/>
  <c r="EM44" i="2"/>
  <c r="EK44" i="2"/>
  <c r="EI44" i="2"/>
  <c r="EG44" i="2"/>
  <c r="EE44" i="2"/>
  <c r="EC44" i="2"/>
  <c r="EA44" i="2"/>
  <c r="DY44" i="2"/>
  <c r="DW44" i="2"/>
  <c r="DU44" i="2"/>
  <c r="DS44" i="2"/>
  <c r="DQ44" i="2"/>
  <c r="DO44" i="2"/>
  <c r="DM44" i="2"/>
  <c r="DI44" i="2"/>
  <c r="DG44" i="2"/>
  <c r="DE44" i="2"/>
  <c r="DC44" i="2"/>
  <c r="DA44" i="2"/>
  <c r="CY44" i="2"/>
  <c r="CW44" i="2"/>
  <c r="CU44" i="2"/>
  <c r="CS44" i="2"/>
  <c r="CQ44" i="2"/>
  <c r="CO44" i="2"/>
  <c r="CM44" i="2"/>
  <c r="CK44" i="2"/>
  <c r="CI44" i="2"/>
  <c r="CG44" i="2"/>
  <c r="CE44" i="2"/>
  <c r="CC44" i="2"/>
  <c r="CA44" i="2"/>
  <c r="BY44" i="2"/>
  <c r="BW44" i="2"/>
  <c r="BU44" i="2"/>
  <c r="BS44" i="2"/>
  <c r="BQ44" i="2"/>
  <c r="BO44" i="2"/>
  <c r="BM44" i="2"/>
  <c r="BK44" i="2"/>
  <c r="BI44" i="2"/>
  <c r="BG44" i="2"/>
  <c r="BE44" i="2"/>
  <c r="BC44" i="2"/>
  <c r="BA44" i="2"/>
  <c r="AY44" i="2"/>
  <c r="AU44" i="2"/>
  <c r="AS44" i="2"/>
  <c r="AO44" i="2"/>
  <c r="AM44" i="2"/>
  <c r="AK44" i="2"/>
  <c r="AI44" i="2"/>
  <c r="AG44" i="2"/>
  <c r="AE44" i="2"/>
  <c r="AA44" i="2"/>
  <c r="Y44" i="2"/>
  <c r="W44" i="2"/>
  <c r="U44" i="2"/>
  <c r="S44" i="2"/>
  <c r="Q44" i="2"/>
  <c r="O44" i="2"/>
  <c r="M44" i="2"/>
  <c r="I44" i="2"/>
  <c r="G44" i="2"/>
  <c r="E44" i="2"/>
  <c r="C44" i="2"/>
  <c r="FK43" i="2"/>
  <c r="FI43" i="2"/>
  <c r="FG43" i="2"/>
  <c r="FE43" i="2"/>
  <c r="FC43" i="2"/>
  <c r="FA43" i="2"/>
  <c r="EY43" i="2"/>
  <c r="EW43" i="2"/>
  <c r="EU43" i="2"/>
  <c r="ES43" i="2"/>
  <c r="EQ43" i="2"/>
  <c r="EO43" i="2"/>
  <c r="EM43" i="2"/>
  <c r="EK43" i="2"/>
  <c r="EI43" i="2"/>
  <c r="EG43" i="2"/>
  <c r="EE43" i="2"/>
  <c r="EC43" i="2"/>
  <c r="EA43" i="2"/>
  <c r="DY43" i="2"/>
  <c r="DW43" i="2"/>
  <c r="DU43" i="2"/>
  <c r="DS43" i="2"/>
  <c r="DQ43" i="2"/>
  <c r="DO43" i="2"/>
  <c r="DM43" i="2"/>
  <c r="DI43" i="2"/>
  <c r="DG43" i="2"/>
  <c r="DE43" i="2"/>
  <c r="DC43" i="2"/>
  <c r="DA43" i="2"/>
  <c r="CY43" i="2"/>
  <c r="CW43" i="2"/>
  <c r="CU43" i="2"/>
  <c r="CS43" i="2"/>
  <c r="CQ43" i="2"/>
  <c r="CO43" i="2"/>
  <c r="CM43" i="2"/>
  <c r="CK43" i="2"/>
  <c r="CI43" i="2"/>
  <c r="CG43" i="2"/>
  <c r="CE43" i="2"/>
  <c r="CC43" i="2"/>
  <c r="CA43" i="2"/>
  <c r="BY43" i="2"/>
  <c r="BW43" i="2"/>
  <c r="BU43" i="2"/>
  <c r="BS43" i="2"/>
  <c r="BQ43" i="2"/>
  <c r="BO43" i="2"/>
  <c r="BM43" i="2"/>
  <c r="BK43" i="2"/>
  <c r="BI43" i="2"/>
  <c r="BG43" i="2"/>
  <c r="BE43" i="2"/>
  <c r="BC43" i="2"/>
  <c r="BA43" i="2"/>
  <c r="AY43" i="2"/>
  <c r="AU43" i="2"/>
  <c r="AS43" i="2"/>
  <c r="AO43" i="2"/>
  <c r="AM43" i="2"/>
  <c r="AK43" i="2"/>
  <c r="AI43" i="2"/>
  <c r="AG43" i="2"/>
  <c r="AE43" i="2"/>
  <c r="AA43" i="2"/>
  <c r="Y43" i="2"/>
  <c r="W43" i="2"/>
  <c r="U43" i="2"/>
  <c r="S43" i="2"/>
  <c r="Q43" i="2"/>
  <c r="O43" i="2"/>
  <c r="M43" i="2"/>
  <c r="I43" i="2"/>
  <c r="G43" i="2"/>
  <c r="E43" i="2"/>
  <c r="C43" i="2"/>
  <c r="FK42" i="2"/>
  <c r="FI42" i="2"/>
  <c r="FG42" i="2"/>
  <c r="FE42" i="2"/>
  <c r="FC42" i="2"/>
  <c r="FA42" i="2"/>
  <c r="EY42" i="2"/>
  <c r="EW42" i="2"/>
  <c r="EU42" i="2"/>
  <c r="ES42" i="2"/>
  <c r="EQ42" i="2"/>
  <c r="EO42" i="2"/>
  <c r="EM42" i="2"/>
  <c r="EK42" i="2"/>
  <c r="EI42" i="2"/>
  <c r="EG42" i="2"/>
  <c r="EE42" i="2"/>
  <c r="EC42" i="2"/>
  <c r="EA42" i="2"/>
  <c r="DY42" i="2"/>
  <c r="DW42" i="2"/>
  <c r="DU42" i="2"/>
  <c r="DS42" i="2"/>
  <c r="DQ42" i="2"/>
  <c r="DO42" i="2"/>
  <c r="DM42" i="2"/>
  <c r="DI42" i="2"/>
  <c r="DG42" i="2"/>
  <c r="DE42" i="2"/>
  <c r="DC42" i="2"/>
  <c r="DA42" i="2"/>
  <c r="CY42" i="2"/>
  <c r="CW42" i="2"/>
  <c r="CU42" i="2"/>
  <c r="CS42" i="2"/>
  <c r="CQ42" i="2"/>
  <c r="CO42" i="2"/>
  <c r="CM42" i="2"/>
  <c r="CK42" i="2"/>
  <c r="CI42" i="2"/>
  <c r="CG42" i="2"/>
  <c r="CE42" i="2"/>
  <c r="CC42" i="2"/>
  <c r="CA42" i="2"/>
  <c r="BY42" i="2"/>
  <c r="BW42" i="2"/>
  <c r="BU42" i="2"/>
  <c r="BS42" i="2"/>
  <c r="BQ42" i="2"/>
  <c r="BO42" i="2"/>
  <c r="BM42" i="2"/>
  <c r="BK42" i="2"/>
  <c r="BI42" i="2"/>
  <c r="BG42" i="2"/>
  <c r="BE42" i="2"/>
  <c r="BC42" i="2"/>
  <c r="BA42" i="2"/>
  <c r="AY42" i="2"/>
  <c r="AU42" i="2"/>
  <c r="AS42" i="2"/>
  <c r="AO42" i="2"/>
  <c r="AM42" i="2"/>
  <c r="AK42" i="2"/>
  <c r="AI42" i="2"/>
  <c r="AG42" i="2"/>
  <c r="AE42" i="2"/>
  <c r="AA42" i="2"/>
  <c r="Y42" i="2"/>
  <c r="W42" i="2"/>
  <c r="U42" i="2"/>
  <c r="S42" i="2"/>
  <c r="Q42" i="2"/>
  <c r="O42" i="2"/>
  <c r="M42" i="2"/>
  <c r="I42" i="2"/>
  <c r="G42" i="2"/>
  <c r="E42" i="2"/>
  <c r="C42" i="2"/>
  <c r="FK41" i="2"/>
  <c r="FI41" i="2"/>
  <c r="FG41" i="2"/>
  <c r="FE41" i="2"/>
  <c r="FC41" i="2"/>
  <c r="FA41" i="2"/>
  <c r="EY41" i="2"/>
  <c r="EW41" i="2"/>
  <c r="EU41" i="2"/>
  <c r="ES41" i="2"/>
  <c r="EQ41" i="2"/>
  <c r="EO41" i="2"/>
  <c r="EM41" i="2"/>
  <c r="EK41" i="2"/>
  <c r="EI41" i="2"/>
  <c r="EG41" i="2"/>
  <c r="EE41" i="2"/>
  <c r="EC41" i="2"/>
  <c r="EA41" i="2"/>
  <c r="DY41" i="2"/>
  <c r="DW41" i="2"/>
  <c r="DU41" i="2"/>
  <c r="DS41" i="2"/>
  <c r="DQ41" i="2"/>
  <c r="DO41" i="2"/>
  <c r="DM41" i="2"/>
  <c r="DI41" i="2"/>
  <c r="DG41" i="2"/>
  <c r="DE41" i="2"/>
  <c r="DC41" i="2"/>
  <c r="DA41" i="2"/>
  <c r="CY41" i="2"/>
  <c r="CW41" i="2"/>
  <c r="CU41" i="2"/>
  <c r="CS41" i="2"/>
  <c r="CQ41" i="2"/>
  <c r="CO41" i="2"/>
  <c r="CM41" i="2"/>
  <c r="CK41" i="2"/>
  <c r="CI41" i="2"/>
  <c r="CG41" i="2"/>
  <c r="CE41" i="2"/>
  <c r="CC41" i="2"/>
  <c r="CA41" i="2"/>
  <c r="BY41" i="2"/>
  <c r="BW41" i="2"/>
  <c r="BU41" i="2"/>
  <c r="BS41" i="2"/>
  <c r="BQ41" i="2"/>
  <c r="BO41" i="2"/>
  <c r="BM41" i="2"/>
  <c r="BK41" i="2"/>
  <c r="BI41" i="2"/>
  <c r="BG41" i="2"/>
  <c r="BE41" i="2"/>
  <c r="BC41" i="2"/>
  <c r="BA41" i="2"/>
  <c r="AY41" i="2"/>
  <c r="AU41" i="2"/>
  <c r="AS41" i="2"/>
  <c r="AO41" i="2"/>
  <c r="AM41" i="2"/>
  <c r="AK41" i="2"/>
  <c r="AI41" i="2"/>
  <c r="AG41" i="2"/>
  <c r="AE41" i="2"/>
  <c r="AA41" i="2"/>
  <c r="Y41" i="2"/>
  <c r="W41" i="2"/>
  <c r="U41" i="2"/>
  <c r="S41" i="2"/>
  <c r="Q41" i="2"/>
  <c r="O41" i="2"/>
  <c r="M41" i="2"/>
  <c r="I41" i="2"/>
  <c r="G41" i="2"/>
  <c r="E41" i="2"/>
  <c r="C41" i="2"/>
  <c r="FK40" i="2"/>
  <c r="FI40" i="2"/>
  <c r="FG40" i="2"/>
  <c r="FE40" i="2"/>
  <c r="FC40" i="2"/>
  <c r="FA40" i="2"/>
  <c r="EY40" i="2"/>
  <c r="EW40" i="2"/>
  <c r="EU40" i="2"/>
  <c r="ES40" i="2"/>
  <c r="EQ40" i="2"/>
  <c r="EO40" i="2"/>
  <c r="EM40" i="2"/>
  <c r="EK40" i="2"/>
  <c r="EI40" i="2"/>
  <c r="EG40" i="2"/>
  <c r="EE40" i="2"/>
  <c r="EC40" i="2"/>
  <c r="EA40" i="2"/>
  <c r="DY40" i="2"/>
  <c r="DW40" i="2"/>
  <c r="DU40" i="2"/>
  <c r="DS40" i="2"/>
  <c r="DQ40" i="2"/>
  <c r="DO40" i="2"/>
  <c r="DM40" i="2"/>
  <c r="DI40" i="2"/>
  <c r="DG40" i="2"/>
  <c r="DE40" i="2"/>
  <c r="DC40" i="2"/>
  <c r="DA40" i="2"/>
  <c r="CY40" i="2"/>
  <c r="CW40" i="2"/>
  <c r="CU40" i="2"/>
  <c r="CS40" i="2"/>
  <c r="CQ40" i="2"/>
  <c r="CO40" i="2"/>
  <c r="CM40" i="2"/>
  <c r="CK40" i="2"/>
  <c r="CI40" i="2"/>
  <c r="CG40" i="2"/>
  <c r="CE40" i="2"/>
  <c r="CC40" i="2"/>
  <c r="CA40" i="2"/>
  <c r="BY40" i="2"/>
  <c r="BW40" i="2"/>
  <c r="BU40" i="2"/>
  <c r="BS40" i="2"/>
  <c r="BQ40" i="2"/>
  <c r="BO40" i="2"/>
  <c r="BM40" i="2"/>
  <c r="BK40" i="2"/>
  <c r="BI40" i="2"/>
  <c r="BG40" i="2"/>
  <c r="BE40" i="2"/>
  <c r="BC40" i="2"/>
  <c r="BA40" i="2"/>
  <c r="AY40" i="2"/>
  <c r="AU40" i="2"/>
  <c r="AS40" i="2"/>
  <c r="AO40" i="2"/>
  <c r="AM40" i="2"/>
  <c r="AK40" i="2"/>
  <c r="AI40" i="2"/>
  <c r="AG40" i="2"/>
  <c r="AE40" i="2"/>
  <c r="AA40" i="2"/>
  <c r="Y40" i="2"/>
  <c r="W40" i="2"/>
  <c r="U40" i="2"/>
  <c r="S40" i="2"/>
  <c r="Q40" i="2"/>
  <c r="O40" i="2"/>
  <c r="M40" i="2"/>
  <c r="I40" i="2"/>
  <c r="G40" i="2"/>
  <c r="E40" i="2"/>
  <c r="C40" i="2"/>
  <c r="FK39" i="2"/>
  <c r="FI39" i="2"/>
  <c r="FG39" i="2"/>
  <c r="FE39" i="2"/>
  <c r="FC39" i="2"/>
  <c r="FA39" i="2"/>
  <c r="EY39" i="2"/>
  <c r="EW39" i="2"/>
  <c r="EU39" i="2"/>
  <c r="ES39" i="2"/>
  <c r="EQ39" i="2"/>
  <c r="EO39" i="2"/>
  <c r="EM39" i="2"/>
  <c r="EK39" i="2"/>
  <c r="EI39" i="2"/>
  <c r="EG39" i="2"/>
  <c r="EE39" i="2"/>
  <c r="EC39" i="2"/>
  <c r="EA39" i="2"/>
  <c r="DY39" i="2"/>
  <c r="DW39" i="2"/>
  <c r="DU39" i="2"/>
  <c r="DS39" i="2"/>
  <c r="DQ39" i="2"/>
  <c r="DO39" i="2"/>
  <c r="DM39" i="2"/>
  <c r="DI39" i="2"/>
  <c r="DG39" i="2"/>
  <c r="DE39" i="2"/>
  <c r="DC39" i="2"/>
  <c r="DA39" i="2"/>
  <c r="CY39" i="2"/>
  <c r="CW39" i="2"/>
  <c r="CU39" i="2"/>
  <c r="CS39" i="2"/>
  <c r="CQ39" i="2"/>
  <c r="CO39" i="2"/>
  <c r="CM39" i="2"/>
  <c r="CK39" i="2"/>
  <c r="CI39" i="2"/>
  <c r="CG39" i="2"/>
  <c r="CE39" i="2"/>
  <c r="CC39" i="2"/>
  <c r="CA39" i="2"/>
  <c r="BY39" i="2"/>
  <c r="BW39" i="2"/>
  <c r="BU39" i="2"/>
  <c r="BS39" i="2"/>
  <c r="BQ39" i="2"/>
  <c r="BO39" i="2"/>
  <c r="BM39" i="2"/>
  <c r="BK39" i="2"/>
  <c r="BI39" i="2"/>
  <c r="BG39" i="2"/>
  <c r="BE39" i="2"/>
  <c r="BC39" i="2"/>
  <c r="BA39" i="2"/>
  <c r="AY39" i="2"/>
  <c r="AU39" i="2"/>
  <c r="AS39" i="2"/>
  <c r="AO39" i="2"/>
  <c r="AM39" i="2"/>
  <c r="AK39" i="2"/>
  <c r="AI39" i="2"/>
  <c r="AG39" i="2"/>
  <c r="AE39" i="2"/>
  <c r="AA39" i="2"/>
  <c r="Y39" i="2"/>
  <c r="W39" i="2"/>
  <c r="U39" i="2"/>
  <c r="S39" i="2"/>
  <c r="Q39" i="2"/>
  <c r="O39" i="2"/>
  <c r="M39" i="2"/>
  <c r="I39" i="2"/>
  <c r="G39" i="2"/>
  <c r="E39" i="2"/>
  <c r="C39" i="2"/>
  <c r="FK38" i="2"/>
  <c r="FI38" i="2"/>
  <c r="FG38" i="2"/>
  <c r="FE38" i="2"/>
  <c r="FC38" i="2"/>
  <c r="FA38" i="2"/>
  <c r="EY38" i="2"/>
  <c r="EW38" i="2"/>
  <c r="EU38" i="2"/>
  <c r="ES38" i="2"/>
  <c r="EQ38" i="2"/>
  <c r="EO38" i="2"/>
  <c r="EM38" i="2"/>
  <c r="EK38" i="2"/>
  <c r="EI38" i="2"/>
  <c r="EG38" i="2"/>
  <c r="EE38" i="2"/>
  <c r="EC38" i="2"/>
  <c r="EA38" i="2"/>
  <c r="DY38" i="2"/>
  <c r="DW38" i="2"/>
  <c r="DU38" i="2"/>
  <c r="DS38" i="2"/>
  <c r="DQ38" i="2"/>
  <c r="DO38" i="2"/>
  <c r="DM38" i="2"/>
  <c r="DI38" i="2"/>
  <c r="DG38" i="2"/>
  <c r="DE38" i="2"/>
  <c r="DC38" i="2"/>
  <c r="DA38" i="2"/>
  <c r="CY38" i="2"/>
  <c r="CW38" i="2"/>
  <c r="CU38" i="2"/>
  <c r="CS38" i="2"/>
  <c r="CQ38" i="2"/>
  <c r="CO38" i="2"/>
  <c r="CM38" i="2"/>
  <c r="CK38" i="2"/>
  <c r="CI38" i="2"/>
  <c r="CG38" i="2"/>
  <c r="CE38" i="2"/>
  <c r="CC38" i="2"/>
  <c r="CA38" i="2"/>
  <c r="BY38" i="2"/>
  <c r="BW38" i="2"/>
  <c r="BU38" i="2"/>
  <c r="BS38" i="2"/>
  <c r="BQ38" i="2"/>
  <c r="BO38" i="2"/>
  <c r="BM38" i="2"/>
  <c r="BK38" i="2"/>
  <c r="BI38" i="2"/>
  <c r="BG38" i="2"/>
  <c r="BE38" i="2"/>
  <c r="BC38" i="2"/>
  <c r="BA38" i="2"/>
  <c r="AY38" i="2"/>
  <c r="AU38" i="2"/>
  <c r="AS38" i="2"/>
  <c r="AO38" i="2"/>
  <c r="AM38" i="2"/>
  <c r="AK38" i="2"/>
  <c r="AI38" i="2"/>
  <c r="AG38" i="2"/>
  <c r="AE38" i="2"/>
  <c r="AA38" i="2"/>
  <c r="Y38" i="2"/>
  <c r="W38" i="2"/>
  <c r="U38" i="2"/>
  <c r="S38" i="2"/>
  <c r="Q38" i="2"/>
  <c r="O38" i="2"/>
  <c r="M38" i="2"/>
  <c r="I38" i="2"/>
  <c r="G38" i="2"/>
  <c r="E38" i="2"/>
  <c r="C38" i="2"/>
  <c r="FK37" i="2"/>
  <c r="FI37" i="2"/>
  <c r="FG37" i="2"/>
  <c r="FE37" i="2"/>
  <c r="FC37" i="2"/>
  <c r="FA37" i="2"/>
  <c r="EY37" i="2"/>
  <c r="EW37" i="2"/>
  <c r="EU37" i="2"/>
  <c r="ES37" i="2"/>
  <c r="EQ37" i="2"/>
  <c r="EO37" i="2"/>
  <c r="EM37" i="2"/>
  <c r="EK37" i="2"/>
  <c r="EI37" i="2"/>
  <c r="EG37" i="2"/>
  <c r="EE37" i="2"/>
  <c r="EC37" i="2"/>
  <c r="EA37" i="2"/>
  <c r="DY37" i="2"/>
  <c r="DW37" i="2"/>
  <c r="DU37" i="2"/>
  <c r="DS37" i="2"/>
  <c r="DQ37" i="2"/>
  <c r="DO37" i="2"/>
  <c r="DM37" i="2"/>
  <c r="DI37" i="2"/>
  <c r="DG37" i="2"/>
  <c r="DE37" i="2"/>
  <c r="DC37" i="2"/>
  <c r="DA37" i="2"/>
  <c r="CY37" i="2"/>
  <c r="CW37" i="2"/>
  <c r="CU37" i="2"/>
  <c r="CS37" i="2"/>
  <c r="CQ37" i="2"/>
  <c r="CO37" i="2"/>
  <c r="CM37" i="2"/>
  <c r="CK37" i="2"/>
  <c r="CI37" i="2"/>
  <c r="CG37" i="2"/>
  <c r="CE37" i="2"/>
  <c r="CC37" i="2"/>
  <c r="CA37" i="2"/>
  <c r="BY37" i="2"/>
  <c r="BW37" i="2"/>
  <c r="BU37" i="2"/>
  <c r="BS37" i="2"/>
  <c r="BQ37" i="2"/>
  <c r="BO37" i="2"/>
  <c r="BM37" i="2"/>
  <c r="BK37" i="2"/>
  <c r="BI37" i="2"/>
  <c r="BG37" i="2"/>
  <c r="BE37" i="2"/>
  <c r="BC37" i="2"/>
  <c r="BA37" i="2"/>
  <c r="AY37" i="2"/>
  <c r="AU37" i="2"/>
  <c r="AS37" i="2"/>
  <c r="AO37" i="2"/>
  <c r="AM37" i="2"/>
  <c r="AK37" i="2"/>
  <c r="AI37" i="2"/>
  <c r="AG37" i="2"/>
  <c r="AE37" i="2"/>
  <c r="AA37" i="2"/>
  <c r="Y37" i="2"/>
  <c r="W37" i="2"/>
  <c r="U37" i="2"/>
  <c r="S37" i="2"/>
  <c r="Q37" i="2"/>
  <c r="O37" i="2"/>
  <c r="M37" i="2"/>
  <c r="I37" i="2"/>
  <c r="G37" i="2"/>
  <c r="E37" i="2"/>
  <c r="C37" i="2"/>
  <c r="FK36" i="2"/>
  <c r="FI36" i="2"/>
  <c r="FG36" i="2"/>
  <c r="FE36" i="2"/>
  <c r="FC36" i="2"/>
  <c r="FA36" i="2"/>
  <c r="EY36" i="2"/>
  <c r="EW36" i="2"/>
  <c r="EU36" i="2"/>
  <c r="ES36" i="2"/>
  <c r="EQ36" i="2"/>
  <c r="EO36" i="2"/>
  <c r="EM36" i="2"/>
  <c r="EK36" i="2"/>
  <c r="EI36" i="2"/>
  <c r="EG36" i="2"/>
  <c r="EE36" i="2"/>
  <c r="EC36" i="2"/>
  <c r="EA36" i="2"/>
  <c r="DY36" i="2"/>
  <c r="DW36" i="2"/>
  <c r="DU36" i="2"/>
  <c r="DS36" i="2"/>
  <c r="DQ36" i="2"/>
  <c r="DO36" i="2"/>
  <c r="DM36" i="2"/>
  <c r="DI36" i="2"/>
  <c r="DG36" i="2"/>
  <c r="DE36" i="2"/>
  <c r="DC36" i="2"/>
  <c r="DA36" i="2"/>
  <c r="CY36" i="2"/>
  <c r="CW36" i="2"/>
  <c r="CU36" i="2"/>
  <c r="CS36" i="2"/>
  <c r="CQ36" i="2"/>
  <c r="CO36" i="2"/>
  <c r="CM36" i="2"/>
  <c r="CK36" i="2"/>
  <c r="CI36" i="2"/>
  <c r="CG36" i="2"/>
  <c r="CE36" i="2"/>
  <c r="CC36" i="2"/>
  <c r="CA36" i="2"/>
  <c r="BY36" i="2"/>
  <c r="BW36" i="2"/>
  <c r="BU36" i="2"/>
  <c r="BS36" i="2"/>
  <c r="BQ36" i="2"/>
  <c r="BO36" i="2"/>
  <c r="BM36" i="2"/>
  <c r="BK36" i="2"/>
  <c r="BI36" i="2"/>
  <c r="BG36" i="2"/>
  <c r="BE36" i="2"/>
  <c r="BC36" i="2"/>
  <c r="BA36" i="2"/>
  <c r="AY36" i="2"/>
  <c r="AU36" i="2"/>
  <c r="AS36" i="2"/>
  <c r="AO36" i="2"/>
  <c r="AM36" i="2"/>
  <c r="AK36" i="2"/>
  <c r="AI36" i="2"/>
  <c r="AG36" i="2"/>
  <c r="AE36" i="2"/>
  <c r="AA36" i="2"/>
  <c r="Y36" i="2"/>
  <c r="W36" i="2"/>
  <c r="U36" i="2"/>
  <c r="S36" i="2"/>
  <c r="Q36" i="2"/>
  <c r="O36" i="2"/>
  <c r="M36" i="2"/>
  <c r="I36" i="2"/>
  <c r="G36" i="2"/>
  <c r="E36" i="2"/>
  <c r="C36" i="2"/>
  <c r="FK35" i="2"/>
  <c r="FI35" i="2"/>
  <c r="FG35" i="2"/>
  <c r="FE35" i="2"/>
  <c r="FC35" i="2"/>
  <c r="FA35" i="2"/>
  <c r="EY35" i="2"/>
  <c r="EW35" i="2"/>
  <c r="EU35" i="2"/>
  <c r="ES35" i="2"/>
  <c r="EQ35" i="2"/>
  <c r="EO35" i="2"/>
  <c r="EM35" i="2"/>
  <c r="EK35" i="2"/>
  <c r="EI35" i="2"/>
  <c r="EG35" i="2"/>
  <c r="EE35" i="2"/>
  <c r="EC35" i="2"/>
  <c r="EA35" i="2"/>
  <c r="DY35" i="2"/>
  <c r="DW35" i="2"/>
  <c r="DU35" i="2"/>
  <c r="DS35" i="2"/>
  <c r="DQ35" i="2"/>
  <c r="DO35" i="2"/>
  <c r="DM35" i="2"/>
  <c r="DI35" i="2"/>
  <c r="DG35" i="2"/>
  <c r="DE35" i="2"/>
  <c r="DC35" i="2"/>
  <c r="DA35" i="2"/>
  <c r="CY35" i="2"/>
  <c r="CW35" i="2"/>
  <c r="CU35" i="2"/>
  <c r="CS35" i="2"/>
  <c r="CQ35" i="2"/>
  <c r="CO35" i="2"/>
  <c r="CM35" i="2"/>
  <c r="CK35" i="2"/>
  <c r="CI35" i="2"/>
  <c r="CG35" i="2"/>
  <c r="CE35" i="2"/>
  <c r="CC35" i="2"/>
  <c r="CA35" i="2"/>
  <c r="BY35" i="2"/>
  <c r="BW35" i="2"/>
  <c r="BU35" i="2"/>
  <c r="BS35" i="2"/>
  <c r="BQ35" i="2"/>
  <c r="BO35" i="2"/>
  <c r="BM35" i="2"/>
  <c r="BK35" i="2"/>
  <c r="BI35" i="2"/>
  <c r="BG35" i="2"/>
  <c r="BE35" i="2"/>
  <c r="BC35" i="2"/>
  <c r="BA35" i="2"/>
  <c r="AY35" i="2"/>
  <c r="AU35" i="2"/>
  <c r="AS35" i="2"/>
  <c r="AO35" i="2"/>
  <c r="AM35" i="2"/>
  <c r="AK35" i="2"/>
  <c r="AI35" i="2"/>
  <c r="AG35" i="2"/>
  <c r="AE35" i="2"/>
  <c r="AA35" i="2"/>
  <c r="Y35" i="2"/>
  <c r="W35" i="2"/>
  <c r="U35" i="2"/>
  <c r="S35" i="2"/>
  <c r="Q35" i="2"/>
  <c r="O35" i="2"/>
  <c r="M35" i="2"/>
  <c r="I35" i="2"/>
  <c r="G35" i="2"/>
  <c r="E35" i="2"/>
  <c r="C35" i="2"/>
  <c r="FK34" i="2"/>
  <c r="FI34" i="2"/>
  <c r="FG34" i="2"/>
  <c r="FE34" i="2"/>
  <c r="FC34" i="2"/>
  <c r="FA34" i="2"/>
  <c r="EY34" i="2"/>
  <c r="EW34" i="2"/>
  <c r="EU34" i="2"/>
  <c r="ES34" i="2"/>
  <c r="EQ34" i="2"/>
  <c r="EO34" i="2"/>
  <c r="EM34" i="2"/>
  <c r="EK34" i="2"/>
  <c r="EI34" i="2"/>
  <c r="EG34" i="2"/>
  <c r="EE34" i="2"/>
  <c r="EC34" i="2"/>
  <c r="EA34" i="2"/>
  <c r="DY34" i="2"/>
  <c r="DW34" i="2"/>
  <c r="DU34" i="2"/>
  <c r="DS34" i="2"/>
  <c r="DQ34" i="2"/>
  <c r="DO34" i="2"/>
  <c r="DM34" i="2"/>
  <c r="DI34" i="2"/>
  <c r="DG34" i="2"/>
  <c r="DE34" i="2"/>
  <c r="DC34" i="2"/>
  <c r="DA34" i="2"/>
  <c r="CY34" i="2"/>
  <c r="CW34" i="2"/>
  <c r="CU34" i="2"/>
  <c r="CS34" i="2"/>
  <c r="CQ34" i="2"/>
  <c r="CO34" i="2"/>
  <c r="CM34" i="2"/>
  <c r="CK34" i="2"/>
  <c r="CI34" i="2"/>
  <c r="CG34" i="2"/>
  <c r="CE34" i="2"/>
  <c r="CC34" i="2"/>
  <c r="CA34" i="2"/>
  <c r="BY34" i="2"/>
  <c r="BW34" i="2"/>
  <c r="BU34" i="2"/>
  <c r="BS34" i="2"/>
  <c r="BQ34" i="2"/>
  <c r="BO34" i="2"/>
  <c r="BM34" i="2"/>
  <c r="BK34" i="2"/>
  <c r="BI34" i="2"/>
  <c r="BG34" i="2"/>
  <c r="BE34" i="2"/>
  <c r="BC34" i="2"/>
  <c r="BA34" i="2"/>
  <c r="AY34" i="2"/>
  <c r="AU34" i="2"/>
  <c r="AS34" i="2"/>
  <c r="AO34" i="2"/>
  <c r="AM34" i="2"/>
  <c r="AK34" i="2"/>
  <c r="AI34" i="2"/>
  <c r="AG34" i="2"/>
  <c r="AE34" i="2"/>
  <c r="AA34" i="2"/>
  <c r="Y34" i="2"/>
  <c r="W34" i="2"/>
  <c r="U34" i="2"/>
  <c r="S34" i="2"/>
  <c r="Q34" i="2"/>
  <c r="O34" i="2"/>
  <c r="M34" i="2"/>
  <c r="I34" i="2"/>
  <c r="G34" i="2"/>
  <c r="E34" i="2"/>
  <c r="C34" i="2"/>
  <c r="FK33" i="2"/>
  <c r="FI33" i="2"/>
  <c r="FG33" i="2"/>
  <c r="FE33" i="2"/>
  <c r="FC33" i="2"/>
  <c r="FA33" i="2"/>
  <c r="EY33" i="2"/>
  <c r="EW33" i="2"/>
  <c r="EU33" i="2"/>
  <c r="ES33" i="2"/>
  <c r="EQ33" i="2"/>
  <c r="EO33" i="2"/>
  <c r="EM33" i="2"/>
  <c r="EK33" i="2"/>
  <c r="EI33" i="2"/>
  <c r="EG33" i="2"/>
  <c r="EE33" i="2"/>
  <c r="EC33" i="2"/>
  <c r="EA33" i="2"/>
  <c r="DY33" i="2"/>
  <c r="DW33" i="2"/>
  <c r="DU33" i="2"/>
  <c r="DS33" i="2"/>
  <c r="DQ33" i="2"/>
  <c r="DO33" i="2"/>
  <c r="DM33" i="2"/>
  <c r="DI33" i="2"/>
  <c r="DG33" i="2"/>
  <c r="DE33" i="2"/>
  <c r="DC33" i="2"/>
  <c r="DA33" i="2"/>
  <c r="CY33" i="2"/>
  <c r="CW33" i="2"/>
  <c r="CU33" i="2"/>
  <c r="CS33" i="2"/>
  <c r="CQ33" i="2"/>
  <c r="CO33" i="2"/>
  <c r="CM33" i="2"/>
  <c r="CK33" i="2"/>
  <c r="CI33" i="2"/>
  <c r="CG33" i="2"/>
  <c r="CE33" i="2"/>
  <c r="CC33" i="2"/>
  <c r="CA33" i="2"/>
  <c r="BY33" i="2"/>
  <c r="BW33" i="2"/>
  <c r="BU33" i="2"/>
  <c r="BS33" i="2"/>
  <c r="BQ33" i="2"/>
  <c r="BO33" i="2"/>
  <c r="BM33" i="2"/>
  <c r="BK33" i="2"/>
  <c r="BI33" i="2"/>
  <c r="BG33" i="2"/>
  <c r="BE33" i="2"/>
  <c r="BC33" i="2"/>
  <c r="BA33" i="2"/>
  <c r="AY33" i="2"/>
  <c r="AU33" i="2"/>
  <c r="AS33" i="2"/>
  <c r="AO33" i="2"/>
  <c r="AM33" i="2"/>
  <c r="AK33" i="2"/>
  <c r="AI33" i="2"/>
  <c r="AG33" i="2"/>
  <c r="AE33" i="2"/>
  <c r="AA33" i="2"/>
  <c r="Y33" i="2"/>
  <c r="W33" i="2"/>
  <c r="U33" i="2"/>
  <c r="S33" i="2"/>
  <c r="Q33" i="2"/>
  <c r="O33" i="2"/>
  <c r="M33" i="2"/>
  <c r="I33" i="2"/>
  <c r="G33" i="2"/>
  <c r="E33" i="2"/>
  <c r="C33" i="2"/>
  <c r="FK32" i="2"/>
  <c r="FI32" i="2"/>
  <c r="FG32" i="2"/>
  <c r="FE32" i="2"/>
  <c r="FC32" i="2"/>
  <c r="FA32" i="2"/>
  <c r="EY32" i="2"/>
  <c r="EW32" i="2"/>
  <c r="EU32" i="2"/>
  <c r="ES32" i="2"/>
  <c r="EQ32" i="2"/>
  <c r="EO32" i="2"/>
  <c r="EM32" i="2"/>
  <c r="EK32" i="2"/>
  <c r="EI32" i="2"/>
  <c r="EG32" i="2"/>
  <c r="EE32" i="2"/>
  <c r="EC32" i="2"/>
  <c r="EA32" i="2"/>
  <c r="DY32" i="2"/>
  <c r="DW32" i="2"/>
  <c r="DU32" i="2"/>
  <c r="DS32" i="2"/>
  <c r="DQ32" i="2"/>
  <c r="DO32" i="2"/>
  <c r="DM32" i="2"/>
  <c r="DI32" i="2"/>
  <c r="DG32" i="2"/>
  <c r="DE32" i="2"/>
  <c r="DC32" i="2"/>
  <c r="DA32" i="2"/>
  <c r="CY32" i="2"/>
  <c r="CW32" i="2"/>
  <c r="CU32" i="2"/>
  <c r="CS32" i="2"/>
  <c r="CQ32" i="2"/>
  <c r="CO32" i="2"/>
  <c r="CM32" i="2"/>
  <c r="CK32" i="2"/>
  <c r="CI32" i="2"/>
  <c r="CG32" i="2"/>
  <c r="CE32" i="2"/>
  <c r="CC32" i="2"/>
  <c r="CA32" i="2"/>
  <c r="BY32" i="2"/>
  <c r="BW32" i="2"/>
  <c r="BU32" i="2"/>
  <c r="BS32" i="2"/>
  <c r="BQ32" i="2"/>
  <c r="BO32" i="2"/>
  <c r="BM32" i="2"/>
  <c r="BK32" i="2"/>
  <c r="BI32" i="2"/>
  <c r="BG32" i="2"/>
  <c r="BE32" i="2"/>
  <c r="BC32" i="2"/>
  <c r="BA32" i="2"/>
  <c r="AY32" i="2"/>
  <c r="AU32" i="2"/>
  <c r="AS32" i="2"/>
  <c r="AO32" i="2"/>
  <c r="AM32" i="2"/>
  <c r="AK32" i="2"/>
  <c r="AI32" i="2"/>
  <c r="AG32" i="2"/>
  <c r="AE32" i="2"/>
  <c r="AA32" i="2"/>
  <c r="Y32" i="2"/>
  <c r="W32" i="2"/>
  <c r="U32" i="2"/>
  <c r="S32" i="2"/>
  <c r="Q32" i="2"/>
  <c r="O32" i="2"/>
  <c r="M32" i="2"/>
  <c r="I32" i="2"/>
  <c r="G32" i="2"/>
  <c r="E32" i="2"/>
  <c r="C32" i="2"/>
  <c r="FK31" i="2"/>
  <c r="FI31" i="2"/>
  <c r="FG31" i="2"/>
  <c r="FE31" i="2"/>
  <c r="FC31" i="2"/>
  <c r="FA31" i="2"/>
  <c r="EY31" i="2"/>
  <c r="EW31" i="2"/>
  <c r="EU31" i="2"/>
  <c r="ES31" i="2"/>
  <c r="EQ31" i="2"/>
  <c r="EO31" i="2"/>
  <c r="EM31" i="2"/>
  <c r="EK31" i="2"/>
  <c r="EI31" i="2"/>
  <c r="EG31" i="2"/>
  <c r="EE31" i="2"/>
  <c r="EC31" i="2"/>
  <c r="EA31" i="2"/>
  <c r="DY31" i="2"/>
  <c r="DW31" i="2"/>
  <c r="DU31" i="2"/>
  <c r="DS31" i="2"/>
  <c r="DQ31" i="2"/>
  <c r="DO31" i="2"/>
  <c r="DM31" i="2"/>
  <c r="DI31" i="2"/>
  <c r="DG31" i="2"/>
  <c r="DE31" i="2"/>
  <c r="DC31" i="2"/>
  <c r="DA31" i="2"/>
  <c r="CY31" i="2"/>
  <c r="CW31" i="2"/>
  <c r="CU31" i="2"/>
  <c r="CS31" i="2"/>
  <c r="CQ31" i="2"/>
  <c r="CO31" i="2"/>
  <c r="CM31" i="2"/>
  <c r="CK31" i="2"/>
  <c r="CI31" i="2"/>
  <c r="CG31" i="2"/>
  <c r="CE31" i="2"/>
  <c r="CC31" i="2"/>
  <c r="CA31" i="2"/>
  <c r="BY31" i="2"/>
  <c r="BW31" i="2"/>
  <c r="BU31" i="2"/>
  <c r="BS31" i="2"/>
  <c r="BQ31" i="2"/>
  <c r="BO31" i="2"/>
  <c r="BM31" i="2"/>
  <c r="BK31" i="2"/>
  <c r="BI31" i="2"/>
  <c r="BG31" i="2"/>
  <c r="BE31" i="2"/>
  <c r="BC31" i="2"/>
  <c r="BA31" i="2"/>
  <c r="AY31" i="2"/>
  <c r="AU31" i="2"/>
  <c r="AS31" i="2"/>
  <c r="AO31" i="2"/>
  <c r="AM31" i="2"/>
  <c r="AK31" i="2"/>
  <c r="AI31" i="2"/>
  <c r="AG31" i="2"/>
  <c r="AE31" i="2"/>
  <c r="AA31" i="2"/>
  <c r="Y31" i="2"/>
  <c r="W31" i="2"/>
  <c r="U31" i="2"/>
  <c r="S31" i="2"/>
  <c r="Q31" i="2"/>
  <c r="O31" i="2"/>
  <c r="M31" i="2"/>
  <c r="I31" i="2"/>
  <c r="G31" i="2"/>
  <c r="E31" i="2"/>
  <c r="C31" i="2"/>
  <c r="FK30" i="2"/>
  <c r="FI30" i="2"/>
  <c r="FG30" i="2"/>
  <c r="FE30" i="2"/>
  <c r="FC30" i="2"/>
  <c r="FA30" i="2"/>
  <c r="EY30" i="2"/>
  <c r="EW30" i="2"/>
  <c r="EU30" i="2"/>
  <c r="ES30" i="2"/>
  <c r="EQ30" i="2"/>
  <c r="EO30" i="2"/>
  <c r="EM30" i="2"/>
  <c r="EK30" i="2"/>
  <c r="EI30" i="2"/>
  <c r="EG30" i="2"/>
  <c r="EE30" i="2"/>
  <c r="EC30" i="2"/>
  <c r="EA30" i="2"/>
  <c r="DY30" i="2"/>
  <c r="DW30" i="2"/>
  <c r="DU30" i="2"/>
  <c r="DS30" i="2"/>
  <c r="DQ30" i="2"/>
  <c r="DO30" i="2"/>
  <c r="DM30" i="2"/>
  <c r="DI30" i="2"/>
  <c r="DG30" i="2"/>
  <c r="DE30" i="2"/>
  <c r="DC30" i="2"/>
  <c r="DA30" i="2"/>
  <c r="CY30" i="2"/>
  <c r="CW30" i="2"/>
  <c r="CU30" i="2"/>
  <c r="CS30" i="2"/>
  <c r="CQ30" i="2"/>
  <c r="CO30" i="2"/>
  <c r="CM30" i="2"/>
  <c r="CK30" i="2"/>
  <c r="CI30" i="2"/>
  <c r="CG30" i="2"/>
  <c r="CE30" i="2"/>
  <c r="CC30" i="2"/>
  <c r="CA30" i="2"/>
  <c r="BY30" i="2"/>
  <c r="BW30" i="2"/>
  <c r="BU30" i="2"/>
  <c r="BS30" i="2"/>
  <c r="BQ30" i="2"/>
  <c r="BO30" i="2"/>
  <c r="BM30" i="2"/>
  <c r="BK30" i="2"/>
  <c r="BI30" i="2"/>
  <c r="BG30" i="2"/>
  <c r="BE30" i="2"/>
  <c r="BC30" i="2"/>
  <c r="BA30" i="2"/>
  <c r="AY30" i="2"/>
  <c r="AU30" i="2"/>
  <c r="AS30" i="2"/>
  <c r="AO30" i="2"/>
  <c r="AM30" i="2"/>
  <c r="AK30" i="2"/>
  <c r="AI30" i="2"/>
  <c r="AG30" i="2"/>
  <c r="AE30" i="2"/>
  <c r="AA30" i="2"/>
  <c r="Y30" i="2"/>
  <c r="W30" i="2"/>
  <c r="U30" i="2"/>
  <c r="S30" i="2"/>
  <c r="Q30" i="2"/>
  <c r="O30" i="2"/>
  <c r="M30" i="2"/>
  <c r="I30" i="2"/>
  <c r="G30" i="2"/>
  <c r="E30" i="2"/>
  <c r="C30" i="2"/>
  <c r="FK29" i="2"/>
  <c r="FI29" i="2"/>
  <c r="FG29" i="2"/>
  <c r="FE29" i="2"/>
  <c r="FC29" i="2"/>
  <c r="FA29" i="2"/>
  <c r="EY29" i="2"/>
  <c r="EW29" i="2"/>
  <c r="EU29" i="2"/>
  <c r="ES29" i="2"/>
  <c r="EQ29" i="2"/>
  <c r="EO29" i="2"/>
  <c r="EM29" i="2"/>
  <c r="EK29" i="2"/>
  <c r="EI29" i="2"/>
  <c r="EG29" i="2"/>
  <c r="EE29" i="2"/>
  <c r="EC29" i="2"/>
  <c r="EA29" i="2"/>
  <c r="DY29" i="2"/>
  <c r="DW29" i="2"/>
  <c r="DU29" i="2"/>
  <c r="DS29" i="2"/>
  <c r="DQ29" i="2"/>
  <c r="DO29" i="2"/>
  <c r="DM29" i="2"/>
  <c r="DI29" i="2"/>
  <c r="DG29" i="2"/>
  <c r="DE29" i="2"/>
  <c r="DC29" i="2"/>
  <c r="DA29" i="2"/>
  <c r="CY29" i="2"/>
  <c r="CW29" i="2"/>
  <c r="CU29" i="2"/>
  <c r="CS29" i="2"/>
  <c r="CQ29" i="2"/>
  <c r="CO29" i="2"/>
  <c r="CM29" i="2"/>
  <c r="CK29" i="2"/>
  <c r="CI29" i="2"/>
  <c r="CG29" i="2"/>
  <c r="CE29" i="2"/>
  <c r="CC29" i="2"/>
  <c r="CA29" i="2"/>
  <c r="BY29" i="2"/>
  <c r="BW29" i="2"/>
  <c r="BU29" i="2"/>
  <c r="BS29" i="2"/>
  <c r="BQ29" i="2"/>
  <c r="BO29" i="2"/>
  <c r="BM29" i="2"/>
  <c r="BK29" i="2"/>
  <c r="BI29" i="2"/>
  <c r="BG29" i="2"/>
  <c r="BE29" i="2"/>
  <c r="BC29" i="2"/>
  <c r="BA29" i="2"/>
  <c r="AY29" i="2"/>
  <c r="AU29" i="2"/>
  <c r="AS29" i="2"/>
  <c r="AO29" i="2"/>
  <c r="AM29" i="2"/>
  <c r="AK29" i="2"/>
  <c r="AI29" i="2"/>
  <c r="AG29" i="2"/>
  <c r="AE29" i="2"/>
  <c r="AA29" i="2"/>
  <c r="Y29" i="2"/>
  <c r="W29" i="2"/>
  <c r="U29" i="2"/>
  <c r="S29" i="2"/>
  <c r="Q29" i="2"/>
  <c r="O29" i="2"/>
  <c r="M29" i="2"/>
  <c r="I29" i="2"/>
  <c r="G29" i="2"/>
  <c r="E29" i="2"/>
  <c r="C29" i="2"/>
  <c r="FK28" i="2"/>
  <c r="FI28" i="2"/>
  <c r="FG28" i="2"/>
  <c r="FE28" i="2"/>
  <c r="FC28" i="2"/>
  <c r="FA28" i="2"/>
  <c r="EY28" i="2"/>
  <c r="EW28" i="2"/>
  <c r="EU28" i="2"/>
  <c r="ES28" i="2"/>
  <c r="EQ28" i="2"/>
  <c r="EO28" i="2"/>
  <c r="EM28" i="2"/>
  <c r="EK28" i="2"/>
  <c r="EI28" i="2"/>
  <c r="EG28" i="2"/>
  <c r="EE28" i="2"/>
  <c r="EC28" i="2"/>
  <c r="EA28" i="2"/>
  <c r="DY28" i="2"/>
  <c r="DW28" i="2"/>
  <c r="DU28" i="2"/>
  <c r="DS28" i="2"/>
  <c r="DQ28" i="2"/>
  <c r="DO28" i="2"/>
  <c r="DM28" i="2"/>
  <c r="DI28" i="2"/>
  <c r="DG28" i="2"/>
  <c r="DE28" i="2"/>
  <c r="DC28" i="2"/>
  <c r="DA28" i="2"/>
  <c r="CY28" i="2"/>
  <c r="CW28" i="2"/>
  <c r="CU28" i="2"/>
  <c r="CS28" i="2"/>
  <c r="CQ28" i="2"/>
  <c r="CO28" i="2"/>
  <c r="CM28" i="2"/>
  <c r="CK28" i="2"/>
  <c r="CI28" i="2"/>
  <c r="CG28" i="2"/>
  <c r="CE28" i="2"/>
  <c r="CC28" i="2"/>
  <c r="CA28" i="2"/>
  <c r="BY28" i="2"/>
  <c r="BW28" i="2"/>
  <c r="BU28" i="2"/>
  <c r="BS28" i="2"/>
  <c r="BQ28" i="2"/>
  <c r="BO28" i="2"/>
  <c r="BM28" i="2"/>
  <c r="BK28" i="2"/>
  <c r="BI28" i="2"/>
  <c r="BG28" i="2"/>
  <c r="BE28" i="2"/>
  <c r="BC28" i="2"/>
  <c r="BA28" i="2"/>
  <c r="AY28" i="2"/>
  <c r="AU28" i="2"/>
  <c r="AS28" i="2"/>
  <c r="AO28" i="2"/>
  <c r="AM28" i="2"/>
  <c r="AK28" i="2"/>
  <c r="AI28" i="2"/>
  <c r="AG28" i="2"/>
  <c r="AE28" i="2"/>
  <c r="AA28" i="2"/>
  <c r="Y28" i="2"/>
  <c r="W28" i="2"/>
  <c r="U28" i="2"/>
  <c r="S28" i="2"/>
  <c r="Q28" i="2"/>
  <c r="O28" i="2"/>
  <c r="M28" i="2"/>
  <c r="I28" i="2"/>
  <c r="G28" i="2"/>
  <c r="E28" i="2"/>
  <c r="C28" i="2"/>
  <c r="FK27" i="2"/>
  <c r="FI27" i="2"/>
  <c r="FG27" i="2"/>
  <c r="FE27" i="2"/>
  <c r="FC27" i="2"/>
  <c r="FA27" i="2"/>
  <c r="EY27" i="2"/>
  <c r="EW27" i="2"/>
  <c r="EU27" i="2"/>
  <c r="ES27" i="2"/>
  <c r="EQ27" i="2"/>
  <c r="EO27" i="2"/>
  <c r="EM27" i="2"/>
  <c r="EK27" i="2"/>
  <c r="EI27" i="2"/>
  <c r="EG27" i="2"/>
  <c r="EE27" i="2"/>
  <c r="EC27" i="2"/>
  <c r="EA27" i="2"/>
  <c r="DY27" i="2"/>
  <c r="DW27" i="2"/>
  <c r="DU27" i="2"/>
  <c r="DS27" i="2"/>
  <c r="DQ27" i="2"/>
  <c r="DO27" i="2"/>
  <c r="DM27" i="2"/>
  <c r="DI27" i="2"/>
  <c r="DG27" i="2"/>
  <c r="DE27" i="2"/>
  <c r="DC27" i="2"/>
  <c r="DA27" i="2"/>
  <c r="CY27" i="2"/>
  <c r="CW27" i="2"/>
  <c r="CU27" i="2"/>
  <c r="CS27" i="2"/>
  <c r="CQ27" i="2"/>
  <c r="CO27" i="2"/>
  <c r="CM27" i="2"/>
  <c r="CK27" i="2"/>
  <c r="CI27" i="2"/>
  <c r="CG27" i="2"/>
  <c r="CE27" i="2"/>
  <c r="CC27" i="2"/>
  <c r="CA27" i="2"/>
  <c r="BY27" i="2"/>
  <c r="BW27" i="2"/>
  <c r="BU27" i="2"/>
  <c r="BS27" i="2"/>
  <c r="BQ27" i="2"/>
  <c r="BO27" i="2"/>
  <c r="BM27" i="2"/>
  <c r="BK27" i="2"/>
  <c r="BI27" i="2"/>
  <c r="BG27" i="2"/>
  <c r="BE27" i="2"/>
  <c r="BC27" i="2"/>
  <c r="BA27" i="2"/>
  <c r="AY27" i="2"/>
  <c r="AU27" i="2"/>
  <c r="AS27" i="2"/>
  <c r="AO27" i="2"/>
  <c r="AM27" i="2"/>
  <c r="AK27" i="2"/>
  <c r="AI27" i="2"/>
  <c r="AG27" i="2"/>
  <c r="AE27" i="2"/>
  <c r="AA27" i="2"/>
  <c r="Y27" i="2"/>
  <c r="W27" i="2"/>
  <c r="U27" i="2"/>
  <c r="S27" i="2"/>
  <c r="Q27" i="2"/>
  <c r="O27" i="2"/>
  <c r="M27" i="2"/>
  <c r="I27" i="2"/>
  <c r="G27" i="2"/>
  <c r="E27" i="2"/>
  <c r="C27" i="2"/>
  <c r="FK26" i="2"/>
  <c r="FI26" i="2"/>
  <c r="FG26" i="2"/>
  <c r="FE26" i="2"/>
  <c r="FC26" i="2"/>
  <c r="FA26" i="2"/>
  <c r="EY26" i="2"/>
  <c r="EW26" i="2"/>
  <c r="EU26" i="2"/>
  <c r="ES26" i="2"/>
  <c r="EQ26" i="2"/>
  <c r="EO26" i="2"/>
  <c r="EM26" i="2"/>
  <c r="EK26" i="2"/>
  <c r="EI26" i="2"/>
  <c r="EG26" i="2"/>
  <c r="EE26" i="2"/>
  <c r="EC26" i="2"/>
  <c r="EA26" i="2"/>
  <c r="DY26" i="2"/>
  <c r="DW26" i="2"/>
  <c r="DU26" i="2"/>
  <c r="DS26" i="2"/>
  <c r="DQ26" i="2"/>
  <c r="DO26" i="2"/>
  <c r="DM26" i="2"/>
  <c r="DI26" i="2"/>
  <c r="DG26" i="2"/>
  <c r="DE26" i="2"/>
  <c r="DC26" i="2"/>
  <c r="DA26" i="2"/>
  <c r="CY26" i="2"/>
  <c r="CW26" i="2"/>
  <c r="CU26" i="2"/>
  <c r="CS26" i="2"/>
  <c r="CQ26" i="2"/>
  <c r="CO26" i="2"/>
  <c r="CM26" i="2"/>
  <c r="CK26" i="2"/>
  <c r="CI26" i="2"/>
  <c r="CG26" i="2"/>
  <c r="CE26" i="2"/>
  <c r="CC26" i="2"/>
  <c r="CA26" i="2"/>
  <c r="BY26" i="2"/>
  <c r="BW26" i="2"/>
  <c r="BU26" i="2"/>
  <c r="BS26" i="2"/>
  <c r="BQ26" i="2"/>
  <c r="BO26" i="2"/>
  <c r="BM26" i="2"/>
  <c r="BK26" i="2"/>
  <c r="BI26" i="2"/>
  <c r="BG26" i="2"/>
  <c r="BE26" i="2"/>
  <c r="BC26" i="2"/>
  <c r="BA26" i="2"/>
  <c r="AY26" i="2"/>
  <c r="AU26" i="2"/>
  <c r="AS26" i="2"/>
  <c r="AO26" i="2"/>
  <c r="AM26" i="2"/>
  <c r="AK26" i="2"/>
  <c r="AI26" i="2"/>
  <c r="AG26" i="2"/>
  <c r="AE26" i="2"/>
  <c r="AA26" i="2"/>
  <c r="Y26" i="2"/>
  <c r="W26" i="2"/>
  <c r="U26" i="2"/>
  <c r="S26" i="2"/>
  <c r="Q26" i="2"/>
  <c r="O26" i="2"/>
  <c r="M26" i="2"/>
  <c r="I26" i="2"/>
  <c r="G26" i="2"/>
  <c r="E26" i="2"/>
  <c r="C26" i="2"/>
  <c r="FK25" i="2"/>
  <c r="FI25" i="2"/>
  <c r="FG25" i="2"/>
  <c r="FE25" i="2"/>
  <c r="FC25" i="2"/>
  <c r="FA25" i="2"/>
  <c r="EY25" i="2"/>
  <c r="EW25" i="2"/>
  <c r="EU25" i="2"/>
  <c r="ES25" i="2"/>
  <c r="EQ25" i="2"/>
  <c r="EO25" i="2"/>
  <c r="EM25" i="2"/>
  <c r="EK25" i="2"/>
  <c r="EI25" i="2"/>
  <c r="EG25" i="2"/>
  <c r="EE25" i="2"/>
  <c r="EC25" i="2"/>
  <c r="EA25" i="2"/>
  <c r="DY25" i="2"/>
  <c r="DW25" i="2"/>
  <c r="DU25" i="2"/>
  <c r="DS25" i="2"/>
  <c r="DQ25" i="2"/>
  <c r="DO25" i="2"/>
  <c r="DM25" i="2"/>
  <c r="DI25" i="2"/>
  <c r="DG25" i="2"/>
  <c r="DE25" i="2"/>
  <c r="DC25" i="2"/>
  <c r="DA25" i="2"/>
  <c r="CY25" i="2"/>
  <c r="CW25" i="2"/>
  <c r="CU25" i="2"/>
  <c r="CS25" i="2"/>
  <c r="CQ25" i="2"/>
  <c r="CO25" i="2"/>
  <c r="CM25" i="2"/>
  <c r="CK25" i="2"/>
  <c r="CI25" i="2"/>
  <c r="CG25" i="2"/>
  <c r="CE25" i="2"/>
  <c r="CC25" i="2"/>
  <c r="CA25" i="2"/>
  <c r="BY25" i="2"/>
  <c r="BW25" i="2"/>
  <c r="BU25" i="2"/>
  <c r="BS25" i="2"/>
  <c r="BQ25" i="2"/>
  <c r="BO25" i="2"/>
  <c r="BM25" i="2"/>
  <c r="BK25" i="2"/>
  <c r="BI25" i="2"/>
  <c r="BG25" i="2"/>
  <c r="BE25" i="2"/>
  <c r="BC25" i="2"/>
  <c r="BA25" i="2"/>
  <c r="AY25" i="2"/>
  <c r="AU25" i="2"/>
  <c r="AS25" i="2"/>
  <c r="AO25" i="2"/>
  <c r="AM25" i="2"/>
  <c r="AK25" i="2"/>
  <c r="AI25" i="2"/>
  <c r="AG25" i="2"/>
  <c r="AE25" i="2"/>
  <c r="AA25" i="2"/>
  <c r="Y25" i="2"/>
  <c r="W25" i="2"/>
  <c r="U25" i="2"/>
  <c r="S25" i="2"/>
  <c r="Q25" i="2"/>
  <c r="O25" i="2"/>
  <c r="M25" i="2"/>
  <c r="I25" i="2"/>
  <c r="G25" i="2"/>
  <c r="E25" i="2"/>
  <c r="C25" i="2"/>
  <c r="FK24" i="2"/>
  <c r="FI24" i="2"/>
  <c r="FG24" i="2"/>
  <c r="FE24" i="2"/>
  <c r="FC24" i="2"/>
  <c r="FA24" i="2"/>
  <c r="EY24" i="2"/>
  <c r="EW24" i="2"/>
  <c r="EU24" i="2"/>
  <c r="ES24" i="2"/>
  <c r="EQ24" i="2"/>
  <c r="EO24" i="2"/>
  <c r="EM24" i="2"/>
  <c r="EK24" i="2"/>
  <c r="EI24" i="2"/>
  <c r="EG24" i="2"/>
  <c r="EE24" i="2"/>
  <c r="EC24" i="2"/>
  <c r="EA24" i="2"/>
  <c r="DY24" i="2"/>
  <c r="DW24" i="2"/>
  <c r="DU24" i="2"/>
  <c r="DS24" i="2"/>
  <c r="DQ24" i="2"/>
  <c r="DO24" i="2"/>
  <c r="DM24" i="2"/>
  <c r="DI24" i="2"/>
  <c r="DG24" i="2"/>
  <c r="DE24" i="2"/>
  <c r="DC24" i="2"/>
  <c r="DA24" i="2"/>
  <c r="CY24" i="2"/>
  <c r="CW24" i="2"/>
  <c r="CU24" i="2"/>
  <c r="CS24" i="2"/>
  <c r="CQ24" i="2"/>
  <c r="CO24" i="2"/>
  <c r="CM24" i="2"/>
  <c r="CK24" i="2"/>
  <c r="CI24" i="2"/>
  <c r="CG24" i="2"/>
  <c r="CE24" i="2"/>
  <c r="CC24" i="2"/>
  <c r="CA24" i="2"/>
  <c r="BY24" i="2"/>
  <c r="BW24" i="2"/>
  <c r="BU24" i="2"/>
  <c r="BS24" i="2"/>
  <c r="BQ24" i="2"/>
  <c r="BO24" i="2"/>
  <c r="BM24" i="2"/>
  <c r="BK24" i="2"/>
  <c r="BI24" i="2"/>
  <c r="BG24" i="2"/>
  <c r="BE24" i="2"/>
  <c r="BC24" i="2"/>
  <c r="BA24" i="2"/>
  <c r="AY24" i="2"/>
  <c r="AU24" i="2"/>
  <c r="AS24" i="2"/>
  <c r="AO24" i="2"/>
  <c r="AM24" i="2"/>
  <c r="AK24" i="2"/>
  <c r="AI24" i="2"/>
  <c r="AG24" i="2"/>
  <c r="AE24" i="2"/>
  <c r="AA24" i="2"/>
  <c r="Y24" i="2"/>
  <c r="W24" i="2"/>
  <c r="U24" i="2"/>
  <c r="S24" i="2"/>
  <c r="Q24" i="2"/>
  <c r="O24" i="2"/>
  <c r="M24" i="2"/>
  <c r="I24" i="2"/>
  <c r="G24" i="2"/>
  <c r="E24" i="2"/>
  <c r="C24" i="2"/>
  <c r="FK23" i="2"/>
  <c r="FI23" i="2"/>
  <c r="FG23" i="2"/>
  <c r="FE23" i="2"/>
  <c r="FC23" i="2"/>
  <c r="FA23" i="2"/>
  <c r="EY23" i="2"/>
  <c r="EW23" i="2"/>
  <c r="EU23" i="2"/>
  <c r="ES23" i="2"/>
  <c r="EQ23" i="2"/>
  <c r="EO23" i="2"/>
  <c r="EM23" i="2"/>
  <c r="EK23" i="2"/>
  <c r="EI23" i="2"/>
  <c r="EG23" i="2"/>
  <c r="EE23" i="2"/>
  <c r="EC23" i="2"/>
  <c r="EA23" i="2"/>
  <c r="DY23" i="2"/>
  <c r="DW23" i="2"/>
  <c r="DU23" i="2"/>
  <c r="DS23" i="2"/>
  <c r="DQ23" i="2"/>
  <c r="DO23" i="2"/>
  <c r="DM23" i="2"/>
  <c r="DI23" i="2"/>
  <c r="DG23" i="2"/>
  <c r="DE23" i="2"/>
  <c r="DC23" i="2"/>
  <c r="DA23" i="2"/>
  <c r="CY23" i="2"/>
  <c r="CW23" i="2"/>
  <c r="CU23" i="2"/>
  <c r="CS23" i="2"/>
  <c r="CQ23" i="2"/>
  <c r="CO23" i="2"/>
  <c r="CM23" i="2"/>
  <c r="CK23" i="2"/>
  <c r="CI23" i="2"/>
  <c r="CG23" i="2"/>
  <c r="CE23" i="2"/>
  <c r="CC23" i="2"/>
  <c r="CA23" i="2"/>
  <c r="BY23" i="2"/>
  <c r="BW23" i="2"/>
  <c r="BU23" i="2"/>
  <c r="BS23" i="2"/>
  <c r="BQ23" i="2"/>
  <c r="BO23" i="2"/>
  <c r="BM23" i="2"/>
  <c r="BK23" i="2"/>
  <c r="BI23" i="2"/>
  <c r="BG23" i="2"/>
  <c r="BE23" i="2"/>
  <c r="BC23" i="2"/>
  <c r="BA23" i="2"/>
  <c r="AY23" i="2"/>
  <c r="AU23" i="2"/>
  <c r="AS23" i="2"/>
  <c r="AO23" i="2"/>
  <c r="AM23" i="2"/>
  <c r="AK23" i="2"/>
  <c r="AI23" i="2"/>
  <c r="AG23" i="2"/>
  <c r="AE23" i="2"/>
  <c r="AA23" i="2"/>
  <c r="Y23" i="2"/>
  <c r="W23" i="2"/>
  <c r="U23" i="2"/>
  <c r="S23" i="2"/>
  <c r="Q23" i="2"/>
  <c r="O23" i="2"/>
  <c r="M23" i="2"/>
  <c r="I23" i="2"/>
  <c r="G23" i="2"/>
  <c r="E23" i="2"/>
  <c r="C23" i="2"/>
  <c r="FK22" i="2"/>
  <c r="FI22" i="2"/>
  <c r="FG22" i="2"/>
  <c r="FE22" i="2"/>
  <c r="FC22" i="2"/>
  <c r="FA22" i="2"/>
  <c r="EY22" i="2"/>
  <c r="EW22" i="2"/>
  <c r="EU22" i="2"/>
  <c r="ES22" i="2"/>
  <c r="EQ22" i="2"/>
  <c r="EO22" i="2"/>
  <c r="EM22" i="2"/>
  <c r="EK22" i="2"/>
  <c r="EI22" i="2"/>
  <c r="EG22" i="2"/>
  <c r="EE22" i="2"/>
  <c r="EC22" i="2"/>
  <c r="EA22" i="2"/>
  <c r="DY22" i="2"/>
  <c r="DW22" i="2"/>
  <c r="DU22" i="2"/>
  <c r="DS22" i="2"/>
  <c r="DQ22" i="2"/>
  <c r="DO22" i="2"/>
  <c r="DM22" i="2"/>
  <c r="DI22" i="2"/>
  <c r="DG22" i="2"/>
  <c r="DE22" i="2"/>
  <c r="DC22" i="2"/>
  <c r="DA22" i="2"/>
  <c r="CY22" i="2"/>
  <c r="CW22" i="2"/>
  <c r="CU22" i="2"/>
  <c r="CS22" i="2"/>
  <c r="CQ22" i="2"/>
  <c r="CO22" i="2"/>
  <c r="CM22" i="2"/>
  <c r="CK22" i="2"/>
  <c r="CI22" i="2"/>
  <c r="CG22" i="2"/>
  <c r="CE22" i="2"/>
  <c r="CC22" i="2"/>
  <c r="CA22" i="2"/>
  <c r="BY22" i="2"/>
  <c r="BW22" i="2"/>
  <c r="BU22" i="2"/>
  <c r="BS22" i="2"/>
  <c r="BQ22" i="2"/>
  <c r="BO22" i="2"/>
  <c r="BM22" i="2"/>
  <c r="BK22" i="2"/>
  <c r="BI22" i="2"/>
  <c r="BG22" i="2"/>
  <c r="BE22" i="2"/>
  <c r="BC22" i="2"/>
  <c r="BA22" i="2"/>
  <c r="AY22" i="2"/>
  <c r="AU22" i="2"/>
  <c r="AS22" i="2"/>
  <c r="AO22" i="2"/>
  <c r="AM22" i="2"/>
  <c r="AK22" i="2"/>
  <c r="AI22" i="2"/>
  <c r="AG22" i="2"/>
  <c r="AE22" i="2"/>
  <c r="AA22" i="2"/>
  <c r="Y22" i="2"/>
  <c r="W22" i="2"/>
  <c r="U22" i="2"/>
  <c r="S22" i="2"/>
  <c r="Q22" i="2"/>
  <c r="O22" i="2"/>
  <c r="M22" i="2"/>
  <c r="I22" i="2"/>
  <c r="G22" i="2"/>
  <c r="E22" i="2"/>
  <c r="C22" i="2"/>
  <c r="FK21" i="2"/>
  <c r="FI21" i="2"/>
  <c r="FG21" i="2"/>
  <c r="FE21" i="2"/>
  <c r="FC21" i="2"/>
  <c r="FA21" i="2"/>
  <c r="EY21" i="2"/>
  <c r="EW21" i="2"/>
  <c r="EU21" i="2"/>
  <c r="ES21" i="2"/>
  <c r="EQ21" i="2"/>
  <c r="EO21" i="2"/>
  <c r="EM21" i="2"/>
  <c r="EK21" i="2"/>
  <c r="EI21" i="2"/>
  <c r="EG21" i="2"/>
  <c r="EE21" i="2"/>
  <c r="EC21" i="2"/>
  <c r="EA21" i="2"/>
  <c r="DY21" i="2"/>
  <c r="DW21" i="2"/>
  <c r="DU21" i="2"/>
  <c r="DS21" i="2"/>
  <c r="DQ21" i="2"/>
  <c r="DO21" i="2"/>
  <c r="DM21" i="2"/>
  <c r="DI21" i="2"/>
  <c r="DG21" i="2"/>
  <c r="DE21" i="2"/>
  <c r="DC21" i="2"/>
  <c r="DA21" i="2"/>
  <c r="CY21" i="2"/>
  <c r="CW21" i="2"/>
  <c r="CU21" i="2"/>
  <c r="CS21" i="2"/>
  <c r="CQ21" i="2"/>
  <c r="CO21" i="2"/>
  <c r="CM21" i="2"/>
  <c r="CK21" i="2"/>
  <c r="CI21" i="2"/>
  <c r="CG21" i="2"/>
  <c r="CE21" i="2"/>
  <c r="CC21" i="2"/>
  <c r="CA21" i="2"/>
  <c r="BY21" i="2"/>
  <c r="BW21" i="2"/>
  <c r="BU21" i="2"/>
  <c r="BS21" i="2"/>
  <c r="BQ21" i="2"/>
  <c r="BO21" i="2"/>
  <c r="BM21" i="2"/>
  <c r="BK21" i="2"/>
  <c r="BI21" i="2"/>
  <c r="BG21" i="2"/>
  <c r="BE21" i="2"/>
  <c r="BC21" i="2"/>
  <c r="BA21" i="2"/>
  <c r="AY21" i="2"/>
  <c r="AU21" i="2"/>
  <c r="AS21" i="2"/>
  <c r="AO21" i="2"/>
  <c r="AM21" i="2"/>
  <c r="AK21" i="2"/>
  <c r="AI21" i="2"/>
  <c r="AG21" i="2"/>
  <c r="AE21" i="2"/>
  <c r="AA21" i="2"/>
  <c r="Y21" i="2"/>
  <c r="W21" i="2"/>
  <c r="U21" i="2"/>
  <c r="S21" i="2"/>
  <c r="Q21" i="2"/>
  <c r="O21" i="2"/>
  <c r="M21" i="2"/>
  <c r="I21" i="2"/>
  <c r="G21" i="2"/>
  <c r="E21" i="2"/>
  <c r="C21" i="2"/>
  <c r="FK20" i="2"/>
  <c r="FI20" i="2"/>
  <c r="FG20" i="2"/>
  <c r="FE20" i="2"/>
  <c r="FC20" i="2"/>
  <c r="FA20" i="2"/>
  <c r="EY20" i="2"/>
  <c r="EW20" i="2"/>
  <c r="EU20" i="2"/>
  <c r="ES20" i="2"/>
  <c r="EQ20" i="2"/>
  <c r="EO20" i="2"/>
  <c r="EM20" i="2"/>
  <c r="EK20" i="2"/>
  <c r="EI20" i="2"/>
  <c r="EG20" i="2"/>
  <c r="EE20" i="2"/>
  <c r="EC20" i="2"/>
  <c r="EA20" i="2"/>
  <c r="DY20" i="2"/>
  <c r="DW20" i="2"/>
  <c r="DU20" i="2"/>
  <c r="DS20" i="2"/>
  <c r="DQ20" i="2"/>
  <c r="DO20" i="2"/>
  <c r="DM20" i="2"/>
  <c r="DI20" i="2"/>
  <c r="DG20" i="2"/>
  <c r="DE20" i="2"/>
  <c r="DC20" i="2"/>
  <c r="DA20" i="2"/>
  <c r="CY20" i="2"/>
  <c r="CW20" i="2"/>
  <c r="CU20" i="2"/>
  <c r="CS20" i="2"/>
  <c r="CQ20" i="2"/>
  <c r="CO20" i="2"/>
  <c r="CM20" i="2"/>
  <c r="CK20" i="2"/>
  <c r="CI20" i="2"/>
  <c r="CG20" i="2"/>
  <c r="CE20" i="2"/>
  <c r="CC20" i="2"/>
  <c r="CA20" i="2"/>
  <c r="BY20" i="2"/>
  <c r="BW20" i="2"/>
  <c r="BU20" i="2"/>
  <c r="BS20" i="2"/>
  <c r="BQ20" i="2"/>
  <c r="BO20" i="2"/>
  <c r="BM20" i="2"/>
  <c r="BK20" i="2"/>
  <c r="BI20" i="2"/>
  <c r="BG20" i="2"/>
  <c r="BE20" i="2"/>
  <c r="BC20" i="2"/>
  <c r="BA20" i="2"/>
  <c r="AY20" i="2"/>
  <c r="AU20" i="2"/>
  <c r="AS20" i="2"/>
  <c r="AO20" i="2"/>
  <c r="AM20" i="2"/>
  <c r="AK20" i="2"/>
  <c r="AI20" i="2"/>
  <c r="AG20" i="2"/>
  <c r="AE20" i="2"/>
  <c r="AA20" i="2"/>
  <c r="Y20" i="2"/>
  <c r="W20" i="2"/>
  <c r="U20" i="2"/>
  <c r="S20" i="2"/>
  <c r="Q20" i="2"/>
  <c r="O20" i="2"/>
  <c r="M20" i="2"/>
  <c r="I20" i="2"/>
  <c r="G20" i="2"/>
  <c r="E20" i="2"/>
  <c r="C20" i="2"/>
  <c r="FK19" i="2"/>
  <c r="FI19" i="2"/>
  <c r="FG19" i="2"/>
  <c r="FE19" i="2"/>
  <c r="FC19" i="2"/>
  <c r="FA19" i="2"/>
  <c r="EY19" i="2"/>
  <c r="EW19" i="2"/>
  <c r="EU19" i="2"/>
  <c r="ES19" i="2"/>
  <c r="EQ19" i="2"/>
  <c r="EO19" i="2"/>
  <c r="EM19" i="2"/>
  <c r="EK19" i="2"/>
  <c r="EI19" i="2"/>
  <c r="EG19" i="2"/>
  <c r="EE19" i="2"/>
  <c r="EC19" i="2"/>
  <c r="EA19" i="2"/>
  <c r="DY19" i="2"/>
  <c r="DW19" i="2"/>
  <c r="DU19" i="2"/>
  <c r="DS19" i="2"/>
  <c r="DQ19" i="2"/>
  <c r="DO19" i="2"/>
  <c r="DM19" i="2"/>
  <c r="DI19" i="2"/>
  <c r="DG19" i="2"/>
  <c r="DE19" i="2"/>
  <c r="DC19" i="2"/>
  <c r="DA19" i="2"/>
  <c r="CY19" i="2"/>
  <c r="CW19" i="2"/>
  <c r="CU19" i="2"/>
  <c r="CS19" i="2"/>
  <c r="CQ19" i="2"/>
  <c r="CO19" i="2"/>
  <c r="CM19" i="2"/>
  <c r="CK19" i="2"/>
  <c r="CI19" i="2"/>
  <c r="CG19" i="2"/>
  <c r="CE19" i="2"/>
  <c r="CC19" i="2"/>
  <c r="CA19" i="2"/>
  <c r="BY19" i="2"/>
  <c r="BW19" i="2"/>
  <c r="BU19" i="2"/>
  <c r="BS19" i="2"/>
  <c r="BQ19" i="2"/>
  <c r="BO19" i="2"/>
  <c r="BM19" i="2"/>
  <c r="BK19" i="2"/>
  <c r="BI19" i="2"/>
  <c r="BG19" i="2"/>
  <c r="BE19" i="2"/>
  <c r="BC19" i="2"/>
  <c r="BA19" i="2"/>
  <c r="AY19" i="2"/>
  <c r="AU19" i="2"/>
  <c r="AS19" i="2"/>
  <c r="AO19" i="2"/>
  <c r="AM19" i="2"/>
  <c r="AK19" i="2"/>
  <c r="AI19" i="2"/>
  <c r="AG19" i="2"/>
  <c r="AE19" i="2"/>
  <c r="AA19" i="2"/>
  <c r="Y19" i="2"/>
  <c r="W19" i="2"/>
  <c r="U19" i="2"/>
  <c r="S19" i="2"/>
  <c r="Q19" i="2"/>
  <c r="O19" i="2"/>
  <c r="M19" i="2"/>
  <c r="I19" i="2"/>
  <c r="G19" i="2"/>
  <c r="E19" i="2"/>
  <c r="C19" i="2"/>
  <c r="FK18" i="2"/>
  <c r="FI18" i="2"/>
  <c r="FG18" i="2"/>
  <c r="FE18" i="2"/>
  <c r="FC18" i="2"/>
  <c r="FA18" i="2"/>
  <c r="EY18" i="2"/>
  <c r="EW18" i="2"/>
  <c r="EU18" i="2"/>
  <c r="ES18" i="2"/>
  <c r="EQ18" i="2"/>
  <c r="EO18" i="2"/>
  <c r="EM18" i="2"/>
  <c r="EK18" i="2"/>
  <c r="EI18" i="2"/>
  <c r="EG18" i="2"/>
  <c r="EE18" i="2"/>
  <c r="EC18" i="2"/>
  <c r="EA18" i="2"/>
  <c r="DY18" i="2"/>
  <c r="DW18" i="2"/>
  <c r="DU18" i="2"/>
  <c r="DS18" i="2"/>
  <c r="DQ18" i="2"/>
  <c r="DO18" i="2"/>
  <c r="DM18" i="2"/>
  <c r="DI18" i="2"/>
  <c r="DG18" i="2"/>
  <c r="DE18" i="2"/>
  <c r="DC18" i="2"/>
  <c r="DA18" i="2"/>
  <c r="CY18" i="2"/>
  <c r="CW18" i="2"/>
  <c r="CU18" i="2"/>
  <c r="CS18" i="2"/>
  <c r="CQ18" i="2"/>
  <c r="CO18" i="2"/>
  <c r="CM18" i="2"/>
  <c r="CK18" i="2"/>
  <c r="CI18" i="2"/>
  <c r="CG18" i="2"/>
  <c r="CE18" i="2"/>
  <c r="CC18" i="2"/>
  <c r="CA18" i="2"/>
  <c r="BY18" i="2"/>
  <c r="BW18" i="2"/>
  <c r="BU18" i="2"/>
  <c r="BS18" i="2"/>
  <c r="BQ18" i="2"/>
  <c r="BO18" i="2"/>
  <c r="BM18" i="2"/>
  <c r="BK18" i="2"/>
  <c r="BI18" i="2"/>
  <c r="BG18" i="2"/>
  <c r="BE18" i="2"/>
  <c r="BC18" i="2"/>
  <c r="BA18" i="2"/>
  <c r="AY18" i="2"/>
  <c r="AU18" i="2"/>
  <c r="AS18" i="2"/>
  <c r="AO18" i="2"/>
  <c r="AM18" i="2"/>
  <c r="AK18" i="2"/>
  <c r="AI18" i="2"/>
  <c r="AG18" i="2"/>
  <c r="AE18" i="2"/>
  <c r="AA18" i="2"/>
  <c r="Y18" i="2"/>
  <c r="W18" i="2"/>
  <c r="U18" i="2"/>
  <c r="S18" i="2"/>
  <c r="Q18" i="2"/>
  <c r="O18" i="2"/>
  <c r="M18" i="2"/>
  <c r="I18" i="2"/>
  <c r="G18" i="2"/>
  <c r="E18" i="2"/>
  <c r="C18" i="2"/>
  <c r="FK17" i="2"/>
  <c r="FI17" i="2"/>
  <c r="FG17" i="2"/>
  <c r="FE17" i="2"/>
  <c r="FC17" i="2"/>
  <c r="FA17" i="2"/>
  <c r="EY17" i="2"/>
  <c r="EW17" i="2"/>
  <c r="EU17" i="2"/>
  <c r="ES17" i="2"/>
  <c r="EQ17" i="2"/>
  <c r="EO17" i="2"/>
  <c r="EM17" i="2"/>
  <c r="EK17" i="2"/>
  <c r="EI17" i="2"/>
  <c r="EG17" i="2"/>
  <c r="EE17" i="2"/>
  <c r="EC17" i="2"/>
  <c r="EA17" i="2"/>
  <c r="DY17" i="2"/>
  <c r="DW17" i="2"/>
  <c r="DU17" i="2"/>
  <c r="DS17" i="2"/>
  <c r="DQ17" i="2"/>
  <c r="DO17" i="2"/>
  <c r="DM17" i="2"/>
  <c r="DI17" i="2"/>
  <c r="DG17" i="2"/>
  <c r="DE17" i="2"/>
  <c r="DC17" i="2"/>
  <c r="DA17" i="2"/>
  <c r="CY17" i="2"/>
  <c r="CW17" i="2"/>
  <c r="CU17" i="2"/>
  <c r="CS17" i="2"/>
  <c r="CQ17" i="2"/>
  <c r="CO17" i="2"/>
  <c r="CM17" i="2"/>
  <c r="CK17" i="2"/>
  <c r="CI17" i="2"/>
  <c r="CG17" i="2"/>
  <c r="CE17" i="2"/>
  <c r="CC17" i="2"/>
  <c r="CA17" i="2"/>
  <c r="BY17" i="2"/>
  <c r="BW17" i="2"/>
  <c r="BU17" i="2"/>
  <c r="BS17" i="2"/>
  <c r="BQ17" i="2"/>
  <c r="BO17" i="2"/>
  <c r="BM17" i="2"/>
  <c r="BK17" i="2"/>
  <c r="BI17" i="2"/>
  <c r="BG17" i="2"/>
  <c r="BE17" i="2"/>
  <c r="BC17" i="2"/>
  <c r="BA17" i="2"/>
  <c r="AY17" i="2"/>
  <c r="AU17" i="2"/>
  <c r="AS17" i="2"/>
  <c r="AO17" i="2"/>
  <c r="AM17" i="2"/>
  <c r="AK17" i="2"/>
  <c r="AI17" i="2"/>
  <c r="AG17" i="2"/>
  <c r="AE17" i="2"/>
  <c r="AA17" i="2"/>
  <c r="Y17" i="2"/>
  <c r="W17" i="2"/>
  <c r="U17" i="2"/>
  <c r="S17" i="2"/>
  <c r="Q17" i="2"/>
  <c r="O17" i="2"/>
  <c r="M17" i="2"/>
  <c r="I17" i="2"/>
  <c r="G17" i="2"/>
  <c r="E17" i="2"/>
  <c r="C17" i="2"/>
  <c r="FK16" i="2"/>
  <c r="FI16" i="2"/>
  <c r="FG16" i="2"/>
  <c r="FE16" i="2"/>
  <c r="FC16" i="2"/>
  <c r="FA16" i="2"/>
  <c r="EY16" i="2"/>
  <c r="EW16" i="2"/>
  <c r="EU16" i="2"/>
  <c r="ES16" i="2"/>
  <c r="EQ16" i="2"/>
  <c r="EO16" i="2"/>
  <c r="EM16" i="2"/>
  <c r="EK16" i="2"/>
  <c r="EI16" i="2"/>
  <c r="EG16" i="2"/>
  <c r="EE16" i="2"/>
  <c r="EC16" i="2"/>
  <c r="EA16" i="2"/>
  <c r="DY16" i="2"/>
  <c r="DW16" i="2"/>
  <c r="DU16" i="2"/>
  <c r="DS16" i="2"/>
  <c r="DQ16" i="2"/>
  <c r="DO16" i="2"/>
  <c r="DM16" i="2"/>
  <c r="DI16" i="2"/>
  <c r="DG16" i="2"/>
  <c r="DE16" i="2"/>
  <c r="DC16" i="2"/>
  <c r="DA16" i="2"/>
  <c r="CY16" i="2"/>
  <c r="CW16" i="2"/>
  <c r="CU16" i="2"/>
  <c r="CS16" i="2"/>
  <c r="CQ16" i="2"/>
  <c r="CO16" i="2"/>
  <c r="CM16" i="2"/>
  <c r="CK16" i="2"/>
  <c r="CI16" i="2"/>
  <c r="CG16" i="2"/>
  <c r="CE16" i="2"/>
  <c r="CC16" i="2"/>
  <c r="CA16" i="2"/>
  <c r="BY16" i="2"/>
  <c r="BW16" i="2"/>
  <c r="BU16" i="2"/>
  <c r="BS16" i="2"/>
  <c r="BQ16" i="2"/>
  <c r="BO16" i="2"/>
  <c r="BM16" i="2"/>
  <c r="BK16" i="2"/>
  <c r="BI16" i="2"/>
  <c r="BG16" i="2"/>
  <c r="BE16" i="2"/>
  <c r="BC16" i="2"/>
  <c r="BA16" i="2"/>
  <c r="AY16" i="2"/>
  <c r="AU16" i="2"/>
  <c r="AS16" i="2"/>
  <c r="AO16" i="2"/>
  <c r="AM16" i="2"/>
  <c r="AK16" i="2"/>
  <c r="AI16" i="2"/>
  <c r="AG16" i="2"/>
  <c r="AE16" i="2"/>
  <c r="AA16" i="2"/>
  <c r="Y16" i="2"/>
  <c r="W16" i="2"/>
  <c r="U16" i="2"/>
  <c r="S16" i="2"/>
  <c r="Q16" i="2"/>
  <c r="O16" i="2"/>
  <c r="M16" i="2"/>
  <c r="I16" i="2"/>
  <c r="G16" i="2"/>
  <c r="E16" i="2"/>
  <c r="C16" i="2"/>
  <c r="FK15" i="2"/>
  <c r="FI15" i="2"/>
  <c r="FG15" i="2"/>
  <c r="FE15" i="2"/>
  <c r="FC15" i="2"/>
  <c r="FA15" i="2"/>
  <c r="EY15" i="2"/>
  <c r="EW15" i="2"/>
  <c r="EU15" i="2"/>
  <c r="ES15" i="2"/>
  <c r="EQ15" i="2"/>
  <c r="EO15" i="2"/>
  <c r="EM15" i="2"/>
  <c r="EK15" i="2"/>
  <c r="EI15" i="2"/>
  <c r="EG15" i="2"/>
  <c r="EE15" i="2"/>
  <c r="EC15" i="2"/>
  <c r="EA15" i="2"/>
  <c r="DY15" i="2"/>
  <c r="DW15" i="2"/>
  <c r="DU15" i="2"/>
  <c r="DS15" i="2"/>
  <c r="DQ15" i="2"/>
  <c r="DO15" i="2"/>
  <c r="DM15" i="2"/>
  <c r="DI15" i="2"/>
  <c r="DG15" i="2"/>
  <c r="DE15" i="2"/>
  <c r="DC15" i="2"/>
  <c r="DA15" i="2"/>
  <c r="CY15" i="2"/>
  <c r="CW15" i="2"/>
  <c r="CU15" i="2"/>
  <c r="CS15" i="2"/>
  <c r="CQ15" i="2"/>
  <c r="CO15" i="2"/>
  <c r="CM15" i="2"/>
  <c r="CK15" i="2"/>
  <c r="CI15" i="2"/>
  <c r="CG15" i="2"/>
  <c r="CE15" i="2"/>
  <c r="CC15" i="2"/>
  <c r="CA15" i="2"/>
  <c r="BY15" i="2"/>
  <c r="BW15" i="2"/>
  <c r="BU15" i="2"/>
  <c r="BS15" i="2"/>
  <c r="BQ15" i="2"/>
  <c r="BO15" i="2"/>
  <c r="BM15" i="2"/>
  <c r="BK15" i="2"/>
  <c r="BI15" i="2"/>
  <c r="BG15" i="2"/>
  <c r="BE15" i="2"/>
  <c r="BC15" i="2"/>
  <c r="BA15" i="2"/>
  <c r="AY15" i="2"/>
  <c r="AU15" i="2"/>
  <c r="AS15" i="2"/>
  <c r="AO15" i="2"/>
  <c r="AM15" i="2"/>
  <c r="AK15" i="2"/>
  <c r="AI15" i="2"/>
  <c r="AG15" i="2"/>
  <c r="AE15" i="2"/>
  <c r="AA15" i="2"/>
  <c r="Y15" i="2"/>
  <c r="W15" i="2"/>
  <c r="U15" i="2"/>
  <c r="S15" i="2"/>
  <c r="Q15" i="2"/>
  <c r="O15" i="2"/>
  <c r="M15" i="2"/>
  <c r="I15" i="2"/>
  <c r="G15" i="2"/>
  <c r="E15" i="2"/>
  <c r="C15" i="2"/>
  <c r="FK14" i="2"/>
  <c r="FI14" i="2"/>
  <c r="FG14" i="2"/>
  <c r="FE14" i="2"/>
  <c r="FC14" i="2"/>
  <c r="FA14" i="2"/>
  <c r="EY14" i="2"/>
  <c r="EW14" i="2"/>
  <c r="EU14" i="2"/>
  <c r="ES14" i="2"/>
  <c r="EQ14" i="2"/>
  <c r="EO14" i="2"/>
  <c r="EM14" i="2"/>
  <c r="EK14" i="2"/>
  <c r="EI14" i="2"/>
  <c r="EG14" i="2"/>
  <c r="EE14" i="2"/>
  <c r="EC14" i="2"/>
  <c r="EA14" i="2"/>
  <c r="DY14" i="2"/>
  <c r="DW14" i="2"/>
  <c r="DU14" i="2"/>
  <c r="DS14" i="2"/>
  <c r="DQ14" i="2"/>
  <c r="DO14" i="2"/>
  <c r="DM14" i="2"/>
  <c r="DI14" i="2"/>
  <c r="DG14" i="2"/>
  <c r="DE14" i="2"/>
  <c r="DC14" i="2"/>
  <c r="DA14" i="2"/>
  <c r="CY14" i="2"/>
  <c r="CW14" i="2"/>
  <c r="CU14" i="2"/>
  <c r="CS14" i="2"/>
  <c r="CQ14" i="2"/>
  <c r="CO14" i="2"/>
  <c r="CM14" i="2"/>
  <c r="CK14" i="2"/>
  <c r="CI14" i="2"/>
  <c r="CG14" i="2"/>
  <c r="CE14" i="2"/>
  <c r="CC14" i="2"/>
  <c r="CA14" i="2"/>
  <c r="BY14" i="2"/>
  <c r="BW14" i="2"/>
  <c r="BU14" i="2"/>
  <c r="BS14" i="2"/>
  <c r="BQ14" i="2"/>
  <c r="BO14" i="2"/>
  <c r="BM14" i="2"/>
  <c r="BK14" i="2"/>
  <c r="BI14" i="2"/>
  <c r="BG14" i="2"/>
  <c r="BE14" i="2"/>
  <c r="BC14" i="2"/>
  <c r="BA14" i="2"/>
  <c r="AY14" i="2"/>
  <c r="AU14" i="2"/>
  <c r="AS14" i="2"/>
  <c r="AO14" i="2"/>
  <c r="AM14" i="2"/>
  <c r="AK14" i="2"/>
  <c r="AI14" i="2"/>
  <c r="AG14" i="2"/>
  <c r="AE14" i="2"/>
  <c r="AA14" i="2"/>
  <c r="Y14" i="2"/>
  <c r="W14" i="2"/>
  <c r="U14" i="2"/>
  <c r="S14" i="2"/>
  <c r="Q14" i="2"/>
  <c r="O14" i="2"/>
  <c r="M14" i="2"/>
  <c r="I14" i="2"/>
  <c r="G14" i="2"/>
  <c r="E14" i="2"/>
  <c r="C14" i="2"/>
  <c r="FM12" i="2"/>
  <c r="FK12" i="2"/>
  <c r="FI12" i="2"/>
  <c r="FG12" i="2"/>
  <c r="FE12" i="2"/>
  <c r="FC12" i="2"/>
  <c r="FA12" i="2"/>
  <c r="EY12" i="2"/>
  <c r="EW12" i="2"/>
  <c r="EU12" i="2"/>
  <c r="ES12" i="2"/>
  <c r="EQ12" i="2"/>
  <c r="EO12" i="2"/>
  <c r="EM12" i="2"/>
  <c r="EK12" i="2"/>
  <c r="EI12" i="2"/>
  <c r="EG12" i="2"/>
  <c r="EE12" i="2"/>
  <c r="EC12" i="2"/>
  <c r="EA12" i="2"/>
  <c r="DY12" i="2"/>
  <c r="DW12" i="2"/>
  <c r="DU12" i="2"/>
  <c r="DS12" i="2"/>
  <c r="DQ12" i="2"/>
  <c r="DO12" i="2"/>
  <c r="DM12" i="2"/>
  <c r="DK12" i="2"/>
  <c r="DI12" i="2"/>
  <c r="DG12" i="2"/>
  <c r="DE12" i="2"/>
  <c r="DC12" i="2"/>
  <c r="DA12" i="2"/>
  <c r="CY12" i="2"/>
  <c r="CW12" i="2"/>
  <c r="CU12" i="2"/>
  <c r="CS12" i="2"/>
  <c r="CQ12" i="2"/>
  <c r="CO12" i="2"/>
  <c r="CM12" i="2"/>
  <c r="CK12" i="2"/>
  <c r="CI12" i="2"/>
  <c r="CG12" i="2"/>
  <c r="CE12" i="2"/>
  <c r="CC12" i="2"/>
  <c r="CA12" i="2"/>
  <c r="BY12" i="2"/>
  <c r="BW12" i="2"/>
  <c r="BU12" i="2"/>
  <c r="BS12" i="2"/>
  <c r="BQ12" i="2"/>
  <c r="BO12" i="2"/>
  <c r="BM12" i="2"/>
  <c r="BK12" i="2"/>
  <c r="BI12" i="2"/>
  <c r="BG12" i="2"/>
  <c r="BE12" i="2"/>
  <c r="BC12" i="2"/>
  <c r="BA12" i="2"/>
  <c r="AY12" i="2"/>
  <c r="AW12" i="2"/>
  <c r="AU12" i="2"/>
  <c r="AS12" i="2"/>
  <c r="AQ12" i="2"/>
  <c r="AO12" i="2"/>
  <c r="AM12" i="2"/>
  <c r="AK12" i="2"/>
  <c r="AI12" i="2"/>
  <c r="AG12" i="2"/>
  <c r="AE12" i="2"/>
  <c r="AC12" i="2"/>
  <c r="AA12" i="2"/>
  <c r="Y12" i="2"/>
  <c r="W12" i="2"/>
  <c r="U12" i="2"/>
  <c r="S12" i="2"/>
  <c r="Q12" i="2"/>
  <c r="O12" i="2"/>
  <c r="M12" i="2"/>
  <c r="K12" i="2"/>
  <c r="I12" i="2"/>
  <c r="G12" i="2"/>
  <c r="E12" i="2"/>
  <c r="C12" i="2"/>
  <c r="FM11" i="2"/>
  <c r="FK11" i="2"/>
  <c r="FI11" i="2"/>
  <c r="FG11" i="2"/>
  <c r="FE11" i="2"/>
  <c r="FC11" i="2"/>
  <c r="FA11" i="2"/>
  <c r="EY11" i="2"/>
  <c r="EW11" i="2"/>
  <c r="EU11" i="2"/>
  <c r="ES11" i="2"/>
  <c r="EQ11" i="2"/>
  <c r="EO11" i="2"/>
  <c r="EM11" i="2"/>
  <c r="EK11" i="2"/>
  <c r="EI11" i="2"/>
  <c r="EG11" i="2"/>
  <c r="EE11" i="2"/>
  <c r="EC11" i="2"/>
  <c r="EA11" i="2"/>
  <c r="DY11" i="2"/>
  <c r="DW11" i="2"/>
  <c r="DU11" i="2"/>
  <c r="DS11" i="2"/>
  <c r="DQ11" i="2"/>
  <c r="DO11" i="2"/>
  <c r="DM11" i="2"/>
  <c r="DK11" i="2"/>
  <c r="DI11" i="2"/>
  <c r="DG11" i="2"/>
  <c r="DE11" i="2"/>
  <c r="DC11" i="2"/>
  <c r="DA11" i="2"/>
  <c r="CY11" i="2"/>
  <c r="CW11" i="2"/>
  <c r="CU11" i="2"/>
  <c r="CS11" i="2"/>
  <c r="CQ11" i="2"/>
  <c r="CO11" i="2"/>
  <c r="CM11" i="2"/>
  <c r="CK11" i="2"/>
  <c r="CI11" i="2"/>
  <c r="CG11" i="2"/>
  <c r="CE11" i="2"/>
  <c r="CC11" i="2"/>
  <c r="CA11" i="2"/>
  <c r="BY11" i="2"/>
  <c r="BW11" i="2"/>
  <c r="BU11" i="2"/>
  <c r="BS11" i="2"/>
  <c r="BQ11" i="2"/>
  <c r="BO11" i="2"/>
  <c r="BM11" i="2"/>
  <c r="BK11" i="2"/>
  <c r="BI11" i="2"/>
  <c r="BG11" i="2"/>
  <c r="BE11" i="2"/>
  <c r="BC11" i="2"/>
  <c r="BA11" i="2"/>
  <c r="AY11" i="2"/>
  <c r="AW11" i="2"/>
  <c r="AU11" i="2"/>
  <c r="AS11" i="2"/>
  <c r="AQ11" i="2"/>
  <c r="AO11" i="2"/>
  <c r="AM11" i="2"/>
  <c r="AK11" i="2"/>
  <c r="AI11" i="2"/>
  <c r="AG11" i="2"/>
  <c r="AE11" i="2"/>
  <c r="AC11" i="2"/>
  <c r="AA11" i="2"/>
  <c r="Y11" i="2"/>
  <c r="W11" i="2"/>
  <c r="U11" i="2"/>
  <c r="S11" i="2"/>
  <c r="Q11" i="2"/>
  <c r="O11" i="2"/>
  <c r="M11" i="2"/>
  <c r="K11" i="2"/>
  <c r="I11" i="2"/>
  <c r="G11" i="2"/>
  <c r="E11" i="2"/>
  <c r="C11" i="2"/>
  <c r="FM10" i="2"/>
  <c r="FK10" i="2"/>
  <c r="FI10" i="2"/>
  <c r="FG10" i="2"/>
  <c r="FE10" i="2"/>
  <c r="FC10" i="2"/>
  <c r="FA10" i="2"/>
  <c r="EY10" i="2"/>
  <c r="EW10" i="2"/>
  <c r="EU10" i="2"/>
  <c r="ES10" i="2"/>
  <c r="EQ10" i="2"/>
  <c r="EO10" i="2"/>
  <c r="EM10" i="2"/>
  <c r="EK10" i="2"/>
  <c r="EI10" i="2"/>
  <c r="EG10" i="2"/>
  <c r="EE10" i="2"/>
  <c r="EC10" i="2"/>
  <c r="EA10" i="2"/>
  <c r="DY10" i="2"/>
  <c r="DW10" i="2"/>
  <c r="DU10" i="2"/>
  <c r="DS10" i="2"/>
  <c r="DQ10" i="2"/>
  <c r="DO10" i="2"/>
  <c r="DM10" i="2"/>
  <c r="DK10" i="2"/>
  <c r="DI10" i="2"/>
  <c r="DG10" i="2"/>
  <c r="DE10" i="2"/>
  <c r="DC10" i="2"/>
  <c r="DA10" i="2"/>
  <c r="CY10" i="2"/>
  <c r="CW10" i="2"/>
  <c r="CU10" i="2"/>
  <c r="CS10" i="2"/>
  <c r="CQ10" i="2"/>
  <c r="CO10" i="2"/>
  <c r="CM10" i="2"/>
  <c r="CK10" i="2"/>
  <c r="CI10" i="2"/>
  <c r="CG10" i="2"/>
  <c r="CE10" i="2"/>
  <c r="CC10" i="2"/>
  <c r="CA10" i="2"/>
  <c r="BY10" i="2"/>
  <c r="BW10" i="2"/>
  <c r="BU10" i="2"/>
  <c r="BS10" i="2"/>
  <c r="BQ10" i="2"/>
  <c r="BO10" i="2"/>
  <c r="BM10" i="2"/>
  <c r="BK10" i="2"/>
  <c r="BI10" i="2"/>
  <c r="BG10" i="2"/>
  <c r="BE10" i="2"/>
  <c r="BC10" i="2"/>
  <c r="BA10" i="2"/>
  <c r="AY10" i="2"/>
  <c r="AW10" i="2"/>
  <c r="AU10" i="2"/>
  <c r="AS10" i="2"/>
  <c r="AQ10" i="2"/>
  <c r="AO10" i="2"/>
  <c r="AM10" i="2"/>
  <c r="AK10" i="2"/>
  <c r="AI10" i="2"/>
  <c r="AG10" i="2"/>
  <c r="AE10" i="2"/>
  <c r="AC10" i="2"/>
  <c r="AA10" i="2"/>
  <c r="Y10" i="2"/>
  <c r="W10" i="2"/>
  <c r="U10" i="2"/>
  <c r="S10" i="2"/>
  <c r="Q10" i="2"/>
  <c r="O10" i="2"/>
  <c r="M10" i="2"/>
  <c r="K10" i="2"/>
  <c r="I10" i="2"/>
  <c r="G10" i="2"/>
  <c r="E10" i="2"/>
  <c r="C10" i="2"/>
  <c r="C47" i="2" l="1"/>
  <c r="M47" i="2"/>
  <c r="U47" i="2"/>
  <c r="AE47" i="2"/>
  <c r="AM47" i="2"/>
  <c r="AY47" i="2"/>
  <c r="BG47" i="2"/>
  <c r="BO47" i="2"/>
  <c r="BW47" i="2"/>
  <c r="CE47" i="2"/>
  <c r="CM47" i="2"/>
  <c r="CU47" i="2"/>
  <c r="DC47" i="2"/>
  <c r="DM47" i="2"/>
  <c r="DU47" i="2"/>
  <c r="EC47" i="2"/>
  <c r="EK47" i="2"/>
  <c r="ES47" i="2"/>
  <c r="FA47" i="2"/>
  <c r="FI47" i="2"/>
  <c r="G47" i="2"/>
  <c r="Q47" i="2"/>
  <c r="Y47" i="2"/>
  <c r="AI47" i="2"/>
  <c r="AS47" i="2"/>
  <c r="BC47" i="2"/>
  <c r="BK47" i="2"/>
  <c r="BS47" i="2"/>
  <c r="CA47" i="2"/>
  <c r="CI47" i="2"/>
  <c r="CQ47" i="2"/>
  <c r="CY47" i="2"/>
  <c r="DG47" i="2"/>
  <c r="DQ47" i="2"/>
  <c r="DY47" i="2"/>
  <c r="EG47" i="2"/>
  <c r="EO47" i="2"/>
  <c r="EW47" i="2"/>
  <c r="FE47" i="2"/>
  <c r="E47" i="2"/>
  <c r="O47" i="2"/>
  <c r="W47" i="2"/>
  <c r="AG47" i="2"/>
  <c r="AO47" i="2"/>
  <c r="BA47" i="2"/>
  <c r="BI47" i="2"/>
  <c r="BQ47" i="2"/>
  <c r="BY47" i="2"/>
  <c r="CG47" i="2"/>
  <c r="CO47" i="2"/>
  <c r="CW47" i="2"/>
  <c r="DE47" i="2"/>
  <c r="DO47" i="2"/>
  <c r="DW47" i="2"/>
  <c r="EE47" i="2"/>
  <c r="EM47" i="2"/>
  <c r="EU47" i="2"/>
  <c r="FC47" i="2"/>
  <c r="FK47" i="2"/>
  <c r="I47" i="2"/>
  <c r="S47" i="2"/>
  <c r="AA47" i="2"/>
  <c r="AK47" i="2"/>
  <c r="AU47" i="2"/>
  <c r="BE47" i="2"/>
  <c r="BM47" i="2"/>
  <c r="BU47" i="2"/>
  <c r="CC47" i="2"/>
  <c r="CK47" i="2"/>
  <c r="CS47" i="2"/>
  <c r="DA47" i="2"/>
  <c r="DI47" i="2"/>
  <c r="DS47" i="2"/>
  <c r="EA47" i="2"/>
  <c r="EI47" i="2"/>
  <c r="EQ47" i="2"/>
  <c r="EY47" i="2"/>
  <c r="FG47" i="2"/>
  <c r="E32" i="6" l="1"/>
  <c r="G32" i="6"/>
  <c r="G32" i="1"/>
  <c r="H32" i="1" s="1"/>
  <c r="N34" i="4"/>
  <c r="M33" i="4"/>
  <c r="M32" i="4"/>
  <c r="M31" i="4"/>
  <c r="M30" i="4"/>
  <c r="M29" i="4"/>
  <c r="N28" i="4"/>
  <c r="N27" i="4"/>
  <c r="M26" i="4"/>
  <c r="M25" i="4"/>
  <c r="M24" i="4"/>
  <c r="V14" i="5"/>
  <c r="BF36" i="5"/>
  <c r="BF35" i="5"/>
  <c r="BF34" i="5"/>
  <c r="BF33" i="5"/>
  <c r="BF32" i="5"/>
  <c r="BF31" i="5"/>
  <c r="BF30" i="5"/>
  <c r="BF29" i="5"/>
  <c r="BF28" i="5"/>
  <c r="BF27" i="5"/>
  <c r="BF26" i="5"/>
  <c r="BF25" i="5"/>
  <c r="BF24" i="5"/>
  <c r="BF23" i="5"/>
  <c r="BF22" i="5"/>
  <c r="BF21" i="5"/>
  <c r="BF20" i="5"/>
  <c r="BF19" i="5"/>
  <c r="BF18" i="5"/>
  <c r="BF17" i="5"/>
  <c r="BF16" i="5"/>
  <c r="BF15" i="5"/>
  <c r="BF14" i="5"/>
  <c r="BF13" i="5"/>
  <c r="BF12" i="5"/>
  <c r="BF11" i="5"/>
  <c r="BF10" i="5"/>
  <c r="BF9" i="5"/>
  <c r="BD36" i="5"/>
  <c r="BD35" i="5"/>
  <c r="BD34" i="5"/>
  <c r="BD33" i="5"/>
  <c r="BD32" i="5"/>
  <c r="BD31" i="5"/>
  <c r="BD30" i="5"/>
  <c r="BD29" i="5"/>
  <c r="BD28" i="5"/>
  <c r="BD27" i="5"/>
  <c r="BD26" i="5"/>
  <c r="BD25" i="5"/>
  <c r="BD24" i="5"/>
  <c r="BD23" i="5"/>
  <c r="BD22" i="5"/>
  <c r="BD21" i="5"/>
  <c r="BD20" i="5"/>
  <c r="BD19" i="5"/>
  <c r="BD18" i="5"/>
  <c r="BD17" i="5"/>
  <c r="BD16" i="5"/>
  <c r="BD15" i="5"/>
  <c r="BD14" i="5"/>
  <c r="BD13" i="5"/>
  <c r="BD12" i="5"/>
  <c r="BD11" i="5"/>
  <c r="BD10" i="5"/>
  <c r="BD9" i="5"/>
  <c r="BB35" i="5"/>
  <c r="BB34" i="5"/>
  <c r="BB33" i="5"/>
  <c r="BB32" i="5"/>
  <c r="BB31" i="5"/>
  <c r="BB30" i="5"/>
  <c r="BB29" i="5"/>
  <c r="BB28" i="5"/>
  <c r="BB21" i="5"/>
  <c r="BB20" i="5"/>
  <c r="BB19" i="5"/>
  <c r="BB18" i="5"/>
  <c r="BB17" i="5"/>
  <c r="BB16" i="5"/>
  <c r="BB15" i="5"/>
  <c r="BB14" i="5"/>
  <c r="BB13" i="5"/>
  <c r="BB12" i="5"/>
  <c r="BB11" i="5"/>
  <c r="BB10" i="5"/>
  <c r="BB9" i="5"/>
  <c r="AZ36" i="5"/>
  <c r="AZ35" i="5"/>
  <c r="AZ34" i="5"/>
  <c r="AZ33" i="5"/>
  <c r="AZ32" i="5"/>
  <c r="AZ31" i="5"/>
  <c r="AZ30" i="5"/>
  <c r="AZ29" i="5"/>
  <c r="AZ28" i="5"/>
  <c r="AZ27" i="5"/>
  <c r="AZ25" i="5"/>
  <c r="AZ24" i="5"/>
  <c r="AZ23" i="5"/>
  <c r="AZ22" i="5"/>
  <c r="AZ21" i="5"/>
  <c r="AZ20" i="5"/>
  <c r="AZ19" i="5"/>
  <c r="AZ18" i="5"/>
  <c r="AZ17" i="5"/>
  <c r="AZ16" i="5"/>
  <c r="AZ15" i="5"/>
  <c r="AZ14" i="5"/>
  <c r="AZ13" i="5"/>
  <c r="AJ36" i="5"/>
  <c r="AJ35" i="5"/>
  <c r="AJ34" i="5"/>
  <c r="AJ33" i="5"/>
  <c r="AJ32" i="5"/>
  <c r="AJ31" i="5"/>
  <c r="AJ30" i="5"/>
  <c r="AJ29" i="5"/>
  <c r="AJ28" i="5"/>
  <c r="AJ27" i="5"/>
  <c r="AJ26" i="5"/>
  <c r="AJ25" i="5"/>
  <c r="AJ24" i="5"/>
  <c r="AJ23" i="5"/>
  <c r="AJ22" i="5"/>
  <c r="AJ21" i="5"/>
  <c r="AJ20" i="5"/>
  <c r="AJ19" i="5"/>
  <c r="AJ18" i="5"/>
  <c r="AJ17" i="5"/>
  <c r="AJ16" i="5"/>
  <c r="AJ15" i="5"/>
  <c r="AJ13" i="5"/>
  <c r="AJ12" i="5"/>
  <c r="AJ11" i="5"/>
  <c r="AJ10" i="5"/>
  <c r="AJ9" i="5"/>
  <c r="AL36" i="5"/>
  <c r="AL35" i="5"/>
  <c r="AL34" i="5"/>
  <c r="AL33" i="5"/>
  <c r="AL32" i="5"/>
  <c r="AL31" i="5"/>
  <c r="AL30" i="5"/>
  <c r="AL29" i="5"/>
  <c r="AL28" i="5"/>
  <c r="AL27" i="5"/>
  <c r="AL26" i="5"/>
  <c r="AL25" i="5"/>
  <c r="AL24" i="5"/>
  <c r="AL23" i="5"/>
  <c r="AL22" i="5"/>
  <c r="AL21" i="5"/>
  <c r="AL20" i="5"/>
  <c r="AL19" i="5"/>
  <c r="AL18" i="5"/>
  <c r="AL17" i="5"/>
  <c r="AL16" i="5"/>
  <c r="AL15" i="5"/>
  <c r="AL14" i="5"/>
  <c r="AL13" i="5"/>
  <c r="AL12" i="5"/>
  <c r="AL11" i="5"/>
  <c r="AL10" i="5"/>
  <c r="AL9" i="5"/>
  <c r="AH36" i="5"/>
  <c r="AH35" i="5"/>
  <c r="AH34" i="5"/>
  <c r="AH33" i="5"/>
  <c r="AH32" i="5"/>
  <c r="AH31" i="5"/>
  <c r="AH30" i="5"/>
  <c r="AH29" i="5"/>
  <c r="AH28" i="5"/>
  <c r="AH27" i="5"/>
  <c r="AH26" i="5"/>
  <c r="AH25" i="5"/>
  <c r="AH24" i="5"/>
  <c r="AH23" i="5"/>
  <c r="AH22" i="5"/>
  <c r="AH21" i="5"/>
  <c r="AH20" i="5"/>
  <c r="AH19" i="5"/>
  <c r="AH18" i="5"/>
  <c r="AH17" i="5"/>
  <c r="AH16" i="5"/>
  <c r="AH15" i="5"/>
  <c r="AH14" i="5"/>
  <c r="AH13" i="5"/>
  <c r="AH12" i="5"/>
  <c r="AH11" i="5"/>
  <c r="AH10" i="5"/>
  <c r="AH9" i="5"/>
  <c r="AR36" i="5"/>
  <c r="AR35" i="5"/>
  <c r="AR34" i="5"/>
  <c r="AR33" i="5"/>
  <c r="AR32" i="5"/>
  <c r="AR31" i="5"/>
  <c r="AR30" i="5"/>
  <c r="AR29" i="5"/>
  <c r="AR28" i="5"/>
  <c r="AR27" i="5"/>
  <c r="AR26" i="5"/>
  <c r="AR25" i="5"/>
  <c r="AR24" i="5"/>
  <c r="AR23" i="5"/>
  <c r="AR22" i="5"/>
  <c r="AR21" i="5"/>
  <c r="AR20" i="5"/>
  <c r="AR19" i="5"/>
  <c r="AR18" i="5"/>
  <c r="AR17" i="5"/>
  <c r="AR16" i="5"/>
  <c r="AR15" i="5"/>
  <c r="AR14" i="5"/>
  <c r="AR13" i="5"/>
  <c r="AR12" i="5"/>
  <c r="AR11" i="5"/>
  <c r="AR10" i="5"/>
  <c r="AR9" i="5"/>
  <c r="Z36" i="5"/>
  <c r="Z35" i="5"/>
  <c r="Z34" i="5"/>
  <c r="Z33" i="5"/>
  <c r="Z32" i="5"/>
  <c r="Z31" i="5"/>
  <c r="Z30" i="5"/>
  <c r="Z29" i="5"/>
  <c r="Z28" i="5"/>
  <c r="Z27" i="5"/>
  <c r="Z26" i="5"/>
  <c r="Z25" i="5"/>
  <c r="Z24" i="5"/>
  <c r="Z23" i="5"/>
  <c r="Z22" i="5"/>
  <c r="Z21" i="5"/>
  <c r="Z20" i="5"/>
  <c r="Z19" i="5"/>
  <c r="Z18" i="5"/>
  <c r="Z17" i="5"/>
  <c r="Z16" i="5"/>
  <c r="Z15" i="5"/>
  <c r="Z14" i="5"/>
  <c r="Z13" i="5"/>
  <c r="Z12" i="5"/>
  <c r="Z11" i="5"/>
  <c r="Z10" i="5"/>
  <c r="Z9" i="5"/>
  <c r="D36" i="5"/>
  <c r="E36" i="5" s="1"/>
  <c r="D35" i="5"/>
  <c r="E35" i="5" s="1"/>
  <c r="D34" i="5"/>
  <c r="E34" i="5" s="1"/>
  <c r="D33" i="5"/>
  <c r="E33" i="5" s="1"/>
  <c r="D32" i="5"/>
  <c r="E32" i="5" s="1"/>
  <c r="D31" i="5"/>
  <c r="E31" i="5" s="1"/>
  <c r="D30" i="5"/>
  <c r="E30" i="5" s="1"/>
  <c r="D29" i="5"/>
  <c r="E29" i="5" s="1"/>
  <c r="D28" i="5"/>
  <c r="E28" i="5" s="1"/>
  <c r="D27" i="5"/>
  <c r="E27" i="5" s="1"/>
  <c r="D26" i="5"/>
  <c r="E26" i="5" s="1"/>
  <c r="D25" i="5"/>
  <c r="E25" i="5" s="1"/>
  <c r="D24" i="5"/>
  <c r="E24" i="5" s="1"/>
  <c r="D23" i="5"/>
  <c r="E23" i="5" s="1"/>
  <c r="D22" i="5"/>
  <c r="E22" i="5" s="1"/>
  <c r="D21" i="5"/>
  <c r="E21" i="5" s="1"/>
  <c r="D20" i="5"/>
  <c r="E20" i="5" s="1"/>
  <c r="D19" i="5"/>
  <c r="E19" i="5" s="1"/>
  <c r="D18" i="5"/>
  <c r="E18" i="5" s="1"/>
  <c r="D17" i="5"/>
  <c r="E17" i="5" s="1"/>
  <c r="D16" i="5"/>
  <c r="E16" i="5" s="1"/>
  <c r="D15" i="5"/>
  <c r="E15" i="5" s="1"/>
  <c r="D14" i="5"/>
  <c r="E14" i="5" s="1"/>
  <c r="D13" i="5"/>
  <c r="E13" i="5" s="1"/>
  <c r="D12" i="5"/>
  <c r="E12" i="5" s="1"/>
  <c r="D11" i="5"/>
  <c r="E11" i="5" s="1"/>
  <c r="D10" i="5"/>
  <c r="E10" i="5" s="1"/>
  <c r="D9" i="5"/>
  <c r="E9" i="5" s="1"/>
  <c r="N36" i="5"/>
  <c r="N35" i="5"/>
  <c r="N34" i="5"/>
  <c r="N33" i="5"/>
  <c r="N32" i="5"/>
  <c r="N31" i="5"/>
  <c r="N30" i="5"/>
  <c r="N29" i="5"/>
  <c r="N28" i="5"/>
  <c r="N27" i="5"/>
  <c r="N26" i="5"/>
  <c r="N25" i="5"/>
  <c r="N24" i="5"/>
  <c r="N23" i="5"/>
  <c r="N22" i="5"/>
  <c r="N21" i="5"/>
  <c r="N20" i="5"/>
  <c r="N19" i="5"/>
  <c r="N18" i="5"/>
  <c r="N17" i="5"/>
  <c r="N16" i="5"/>
  <c r="N15" i="5"/>
  <c r="N14" i="5"/>
  <c r="N13" i="5"/>
  <c r="N12" i="5"/>
  <c r="N11" i="5"/>
  <c r="N10" i="5"/>
  <c r="N9" i="5"/>
  <c r="X36" i="5"/>
  <c r="X35" i="5"/>
  <c r="X34" i="5"/>
  <c r="X33" i="5"/>
  <c r="X32" i="5"/>
  <c r="X31" i="5"/>
  <c r="X30" i="5"/>
  <c r="X29" i="5"/>
  <c r="X28" i="5"/>
  <c r="X27" i="5"/>
  <c r="X26" i="5"/>
  <c r="X25" i="5"/>
  <c r="X24" i="5"/>
  <c r="X23" i="5"/>
  <c r="X22" i="5"/>
  <c r="X21" i="5"/>
  <c r="X20" i="5"/>
  <c r="X19" i="5"/>
  <c r="X18" i="5"/>
  <c r="X17" i="5"/>
  <c r="X16" i="5"/>
  <c r="X15" i="5"/>
  <c r="X14" i="5"/>
  <c r="X13" i="5"/>
  <c r="X12" i="5"/>
  <c r="X11" i="5"/>
  <c r="X10" i="5"/>
  <c r="X9" i="5"/>
  <c r="AX36" i="5"/>
  <c r="AX35" i="5"/>
  <c r="AX34" i="5"/>
  <c r="AX33" i="5"/>
  <c r="AX32" i="5"/>
  <c r="AX31" i="5"/>
  <c r="AX30" i="5"/>
  <c r="AX29" i="5"/>
  <c r="AX28" i="5"/>
  <c r="AX27" i="5"/>
  <c r="AX26" i="5"/>
  <c r="AX25" i="5"/>
  <c r="AX24" i="5"/>
  <c r="AX23" i="5"/>
  <c r="AX22" i="5"/>
  <c r="AX21" i="5"/>
  <c r="AX20" i="5"/>
  <c r="AX19" i="5"/>
  <c r="AX18" i="5"/>
  <c r="AX17" i="5"/>
  <c r="AX16" i="5"/>
  <c r="AX15" i="5"/>
  <c r="AX14" i="5"/>
  <c r="AX13" i="5"/>
  <c r="AX12" i="5"/>
  <c r="AX11" i="5"/>
  <c r="AX10" i="5"/>
  <c r="AX9" i="5"/>
  <c r="AV36" i="5"/>
  <c r="AV35" i="5"/>
  <c r="AV34" i="5"/>
  <c r="AV33" i="5"/>
  <c r="AV32" i="5"/>
  <c r="AV31" i="5"/>
  <c r="AV30" i="5"/>
  <c r="AV29" i="5"/>
  <c r="AV28" i="5"/>
  <c r="AV27" i="5"/>
  <c r="AV26" i="5"/>
  <c r="AV25" i="5"/>
  <c r="AV24" i="5"/>
  <c r="AV23" i="5"/>
  <c r="AV22" i="5"/>
  <c r="AV21" i="5"/>
  <c r="AV20" i="5"/>
  <c r="AV19" i="5"/>
  <c r="AV18" i="5"/>
  <c r="AV17" i="5"/>
  <c r="AV16" i="5"/>
  <c r="AV15" i="5"/>
  <c r="AV14" i="5"/>
  <c r="AV13" i="5"/>
  <c r="AV12" i="5"/>
  <c r="AV11" i="5"/>
  <c r="AV10" i="5"/>
  <c r="AV9" i="5"/>
  <c r="AT36" i="5"/>
  <c r="AT35" i="5"/>
  <c r="AT34" i="5"/>
  <c r="AT33" i="5"/>
  <c r="AT32" i="5"/>
  <c r="AT31" i="5"/>
  <c r="AT30" i="5"/>
  <c r="AT29" i="5"/>
  <c r="AT28" i="5"/>
  <c r="AT27" i="5"/>
  <c r="AT26" i="5"/>
  <c r="AT25" i="5"/>
  <c r="AT24" i="5"/>
  <c r="AT23" i="5"/>
  <c r="AT22" i="5"/>
  <c r="AT21" i="5"/>
  <c r="AT20" i="5"/>
  <c r="AT19" i="5"/>
  <c r="AT18" i="5"/>
  <c r="AT17" i="5"/>
  <c r="AT16" i="5"/>
  <c r="AT15" i="5"/>
  <c r="AT14" i="5"/>
  <c r="AT13" i="5"/>
  <c r="AT12" i="5"/>
  <c r="AT11" i="5"/>
  <c r="AT10" i="5"/>
  <c r="AT9" i="5"/>
  <c r="AP36" i="5"/>
  <c r="AP35" i="5"/>
  <c r="AP34" i="5"/>
  <c r="AP33" i="5"/>
  <c r="AP32" i="5"/>
  <c r="AP31" i="5"/>
  <c r="AP30" i="5"/>
  <c r="AP29" i="5"/>
  <c r="AP28" i="5"/>
  <c r="AP27" i="5"/>
  <c r="AP26" i="5"/>
  <c r="AP25" i="5"/>
  <c r="AP24" i="5"/>
  <c r="AP23" i="5"/>
  <c r="AP22" i="5"/>
  <c r="AP21" i="5"/>
  <c r="AP20" i="5"/>
  <c r="AP19" i="5"/>
  <c r="AP18" i="5"/>
  <c r="AP17" i="5"/>
  <c r="AP16" i="5"/>
  <c r="AP15" i="5"/>
  <c r="AP14" i="5"/>
  <c r="AP13" i="5"/>
  <c r="AP12" i="5"/>
  <c r="AP11" i="5"/>
  <c r="AP10" i="5"/>
  <c r="AP9" i="5"/>
  <c r="AN32" i="5"/>
  <c r="AN31" i="5"/>
  <c r="AN30" i="5"/>
  <c r="AN29" i="5"/>
  <c r="AN28" i="5"/>
  <c r="AN27" i="5"/>
  <c r="AN26" i="5"/>
  <c r="AN25" i="5"/>
  <c r="AN24" i="5"/>
  <c r="AN16" i="5"/>
  <c r="AN15" i="5"/>
  <c r="AN14" i="5"/>
  <c r="AN13" i="5"/>
  <c r="AN12" i="5"/>
  <c r="AN11" i="5"/>
  <c r="AN10" i="5"/>
  <c r="AN9" i="5"/>
  <c r="J36" i="5"/>
  <c r="J35" i="5"/>
  <c r="J34" i="5"/>
  <c r="J33" i="5"/>
  <c r="J32" i="5"/>
  <c r="J31" i="5"/>
  <c r="J30" i="5"/>
  <c r="J29" i="5"/>
  <c r="J28" i="5"/>
  <c r="J27" i="5"/>
  <c r="J26" i="5"/>
  <c r="J25" i="5"/>
  <c r="J24" i="5"/>
  <c r="J23" i="5"/>
  <c r="J22" i="5"/>
  <c r="J21" i="5"/>
  <c r="J20" i="5"/>
  <c r="J19" i="5"/>
  <c r="J18" i="5"/>
  <c r="J17" i="5"/>
  <c r="J16" i="5"/>
  <c r="J15" i="5"/>
  <c r="J14" i="5"/>
  <c r="J13" i="5"/>
  <c r="J12" i="5"/>
  <c r="J11" i="5"/>
  <c r="J10" i="5"/>
  <c r="J9" i="5"/>
  <c r="AB35" i="5"/>
  <c r="AB34" i="5"/>
  <c r="AB33" i="5"/>
  <c r="AB32" i="5"/>
  <c r="AB31" i="5"/>
  <c r="AB30" i="5"/>
  <c r="AB29" i="5"/>
  <c r="AB28" i="5"/>
  <c r="AB27" i="5"/>
  <c r="AB26" i="5"/>
  <c r="AB25" i="5"/>
  <c r="AB24" i="5"/>
  <c r="AB23" i="5"/>
  <c r="AB22" i="5"/>
  <c r="AB21" i="5"/>
  <c r="AB20" i="5"/>
  <c r="AB19" i="5"/>
  <c r="AB18" i="5"/>
  <c r="AB17" i="5"/>
  <c r="AB16" i="5"/>
  <c r="AB15" i="5"/>
  <c r="AB14" i="5"/>
  <c r="AB13" i="5"/>
  <c r="AB12" i="5"/>
  <c r="AB11" i="5"/>
  <c r="AB10" i="5"/>
  <c r="AB9" i="5"/>
  <c r="V36" i="5"/>
  <c r="V35" i="5"/>
  <c r="V34" i="5"/>
  <c r="V33" i="5"/>
  <c r="V32" i="5"/>
  <c r="V31" i="5"/>
  <c r="V30" i="5"/>
  <c r="V29" i="5"/>
  <c r="V28" i="5"/>
  <c r="V27" i="5"/>
  <c r="V26" i="5"/>
  <c r="V25" i="5"/>
  <c r="V24" i="5"/>
  <c r="V23" i="5"/>
  <c r="V22" i="5"/>
  <c r="V21" i="5"/>
  <c r="V20" i="5"/>
  <c r="V19" i="5"/>
  <c r="V17" i="5"/>
  <c r="V16" i="5"/>
  <c r="V15" i="5"/>
  <c r="V13" i="5"/>
  <c r="V12" i="5"/>
  <c r="V11" i="5"/>
  <c r="V10" i="5"/>
  <c r="V9" i="5"/>
  <c r="T36" i="5"/>
  <c r="T35" i="5"/>
  <c r="T34" i="5"/>
  <c r="T33" i="5"/>
  <c r="T32" i="5"/>
  <c r="T31" i="5"/>
  <c r="T30" i="5"/>
  <c r="T29" i="5"/>
  <c r="T28" i="5"/>
  <c r="T27" i="5"/>
  <c r="T26" i="5"/>
  <c r="T25" i="5"/>
  <c r="T24" i="5"/>
  <c r="T23" i="5"/>
  <c r="T22" i="5"/>
  <c r="T21" i="5"/>
  <c r="T20" i="5"/>
  <c r="T19" i="5"/>
  <c r="T18" i="5"/>
  <c r="T17" i="5"/>
  <c r="T16" i="5"/>
  <c r="T15" i="5"/>
  <c r="T14" i="5"/>
  <c r="T13" i="5"/>
  <c r="T12" i="5"/>
  <c r="T11" i="5"/>
  <c r="T10" i="5"/>
  <c r="T9" i="5"/>
  <c r="R36" i="5"/>
  <c r="R35" i="5"/>
  <c r="R34" i="5"/>
  <c r="R33" i="5"/>
  <c r="R32" i="5"/>
  <c r="R31" i="5"/>
  <c r="R30" i="5"/>
  <c r="R29" i="5"/>
  <c r="R28" i="5"/>
  <c r="R27" i="5"/>
  <c r="R26" i="5"/>
  <c r="R25" i="5"/>
  <c r="R24" i="5"/>
  <c r="R23" i="5"/>
  <c r="R22" i="5"/>
  <c r="R21" i="5"/>
  <c r="R20" i="5"/>
  <c r="R19" i="5"/>
  <c r="R18" i="5"/>
  <c r="R17" i="5"/>
  <c r="R16" i="5"/>
  <c r="R15" i="5"/>
  <c r="R14" i="5"/>
  <c r="R13" i="5"/>
  <c r="R12" i="5"/>
  <c r="R11" i="5"/>
  <c r="R10" i="5"/>
  <c r="R9" i="5"/>
  <c r="L36" i="5"/>
  <c r="L35" i="5"/>
  <c r="L34" i="5"/>
  <c r="L33" i="5"/>
  <c r="L32" i="5"/>
  <c r="L31" i="5"/>
  <c r="L30" i="5"/>
  <c r="L29" i="5"/>
  <c r="L28" i="5"/>
  <c r="L27" i="5"/>
  <c r="L26" i="5"/>
  <c r="L25" i="5"/>
  <c r="L24" i="5"/>
  <c r="L23" i="5"/>
  <c r="L22" i="5"/>
  <c r="L21" i="5"/>
  <c r="L20" i="5"/>
  <c r="L19" i="5"/>
  <c r="L18" i="5"/>
  <c r="L17" i="5"/>
  <c r="L16" i="5"/>
  <c r="L15" i="5"/>
  <c r="L14" i="5"/>
  <c r="L13" i="5"/>
  <c r="L12" i="5"/>
  <c r="L11" i="5"/>
  <c r="L10" i="5"/>
  <c r="L9" i="5"/>
  <c r="H36" i="5"/>
  <c r="H35" i="5"/>
  <c r="H34" i="5"/>
  <c r="H33" i="5"/>
  <c r="H32" i="5"/>
  <c r="H31" i="5"/>
  <c r="H30" i="5"/>
  <c r="H29" i="5"/>
  <c r="H28" i="5"/>
  <c r="H27" i="5"/>
  <c r="H26" i="5"/>
  <c r="H25" i="5"/>
  <c r="H24" i="5"/>
  <c r="H23" i="5"/>
  <c r="H22" i="5"/>
  <c r="H21" i="5"/>
  <c r="H20" i="5"/>
  <c r="H19" i="5"/>
  <c r="H18" i="5"/>
  <c r="H17" i="5"/>
  <c r="H16" i="5"/>
  <c r="H15" i="5"/>
  <c r="H14" i="5"/>
  <c r="H13" i="5"/>
  <c r="H12" i="5"/>
  <c r="H11" i="5"/>
  <c r="H10" i="5"/>
  <c r="H9" i="5"/>
  <c r="P36" i="5"/>
  <c r="P35" i="5"/>
  <c r="P34" i="5"/>
  <c r="P33" i="5"/>
  <c r="P32" i="5"/>
  <c r="P31" i="5"/>
  <c r="P30" i="5"/>
  <c r="P29" i="5"/>
  <c r="P28" i="5"/>
  <c r="P27" i="5"/>
  <c r="P26" i="5"/>
  <c r="P25" i="5"/>
  <c r="P24" i="5"/>
  <c r="P23" i="5"/>
  <c r="P22" i="5"/>
  <c r="P21" i="5"/>
  <c r="P20" i="5"/>
  <c r="P19" i="5"/>
  <c r="P18" i="5"/>
  <c r="P17" i="5"/>
  <c r="P16" i="5"/>
  <c r="P15" i="5"/>
  <c r="P14" i="5"/>
  <c r="P13" i="5"/>
  <c r="P12" i="5"/>
  <c r="P11" i="5"/>
  <c r="P10" i="5"/>
  <c r="P9" i="5"/>
  <c r="AF36" i="5"/>
  <c r="AF35" i="5"/>
  <c r="AF34" i="5"/>
  <c r="AF33" i="5"/>
  <c r="AF32" i="5"/>
  <c r="AF31" i="5"/>
  <c r="AF30" i="5"/>
  <c r="AF29" i="5"/>
  <c r="AF28" i="5"/>
  <c r="AF27" i="5"/>
  <c r="AF26" i="5"/>
  <c r="AF25" i="5"/>
  <c r="AF24" i="5"/>
  <c r="AF23" i="5"/>
  <c r="AF22" i="5"/>
  <c r="AF21" i="5"/>
  <c r="AF20" i="5"/>
  <c r="AF19" i="5"/>
  <c r="AF18" i="5"/>
  <c r="AF17" i="5"/>
  <c r="AF16" i="5"/>
  <c r="AF15" i="5"/>
  <c r="AF14" i="5"/>
  <c r="AF13" i="5"/>
  <c r="AF12" i="5"/>
  <c r="AF11" i="5"/>
  <c r="AF10" i="5"/>
  <c r="AF9" i="5"/>
  <c r="AD36" i="5"/>
  <c r="AD35" i="5"/>
  <c r="AD34" i="5"/>
  <c r="AD33" i="5"/>
  <c r="AD32" i="5"/>
  <c r="AD31" i="5"/>
  <c r="AD30" i="5"/>
  <c r="AD29" i="5"/>
  <c r="AD28" i="5"/>
  <c r="AD27" i="5"/>
  <c r="AD26" i="5"/>
  <c r="AD25" i="5"/>
  <c r="AD24" i="5"/>
  <c r="AD23" i="5"/>
  <c r="AD22" i="5"/>
  <c r="AD21" i="5"/>
  <c r="AD20" i="5"/>
  <c r="AD19" i="5"/>
  <c r="AD18" i="5"/>
  <c r="AD17" i="5"/>
  <c r="AD16" i="5"/>
  <c r="AD15" i="5"/>
  <c r="AD14" i="5"/>
  <c r="AD13" i="5"/>
  <c r="AD12" i="5"/>
  <c r="AD11" i="5"/>
  <c r="AD10" i="5"/>
  <c r="AD9" i="5"/>
  <c r="N23" i="4"/>
  <c r="R23" i="4"/>
  <c r="H19" i="8" s="1"/>
  <c r="M22" i="4"/>
  <c r="N21" i="4"/>
  <c r="M20" i="4"/>
  <c r="N19" i="4"/>
  <c r="M18" i="4"/>
  <c r="M17" i="4"/>
  <c r="N16" i="4"/>
  <c r="N15" i="4"/>
  <c r="M14" i="4"/>
  <c r="N13" i="4"/>
  <c r="M12" i="4"/>
  <c r="N11" i="4"/>
  <c r="M10" i="4"/>
  <c r="M9" i="4"/>
  <c r="N8" i="4"/>
  <c r="N7" i="4"/>
  <c r="N22" i="4" l="1"/>
  <c r="R24" i="4"/>
  <c r="R28" i="4"/>
  <c r="M16" i="4"/>
  <c r="J18" i="1"/>
  <c r="M7" i="4"/>
  <c r="E32" i="1"/>
  <c r="BH14" i="5"/>
  <c r="F14" i="5"/>
  <c r="BI14" i="5" s="1"/>
  <c r="F22" i="5"/>
  <c r="BH22" i="5"/>
  <c r="F30" i="5"/>
  <c r="BI30" i="5" s="1"/>
  <c r="BH30" i="5"/>
  <c r="M21" i="4"/>
  <c r="F11" i="5"/>
  <c r="BH11" i="5"/>
  <c r="F15" i="5"/>
  <c r="BI15" i="5" s="1"/>
  <c r="BH15" i="5"/>
  <c r="F19" i="5"/>
  <c r="BH19" i="5"/>
  <c r="F23" i="5"/>
  <c r="F27" i="5"/>
  <c r="BI27" i="5" s="1"/>
  <c r="BH27" i="5"/>
  <c r="F31" i="5"/>
  <c r="BI31" i="5" s="1"/>
  <c r="BH31" i="5"/>
  <c r="F35" i="5"/>
  <c r="BH35" i="5"/>
  <c r="F10" i="5"/>
  <c r="F18" i="5"/>
  <c r="BH18" i="5"/>
  <c r="F26" i="5"/>
  <c r="BI26" i="5" s="1"/>
  <c r="BH26" i="5"/>
  <c r="F34" i="5"/>
  <c r="M15" i="4"/>
  <c r="N17" i="4"/>
  <c r="S17" i="4" s="1"/>
  <c r="I13" i="8" s="1"/>
  <c r="BH12" i="5"/>
  <c r="F12" i="5"/>
  <c r="BH16" i="5"/>
  <c r="F16" i="5"/>
  <c r="BI16" i="5" s="1"/>
  <c r="BH20" i="5"/>
  <c r="F20" i="5"/>
  <c r="BH24" i="5"/>
  <c r="F24" i="5"/>
  <c r="BI24" i="5" s="1"/>
  <c r="BH28" i="5"/>
  <c r="F28" i="5"/>
  <c r="BI28" i="5" s="1"/>
  <c r="BH32" i="5"/>
  <c r="F32" i="5"/>
  <c r="BI32" i="5" s="1"/>
  <c r="BH36" i="5"/>
  <c r="F36" i="5"/>
  <c r="R15" i="4"/>
  <c r="H11" i="8" s="1"/>
  <c r="BH13" i="5"/>
  <c r="F13" i="5"/>
  <c r="BI13" i="5" s="1"/>
  <c r="BH17" i="5"/>
  <c r="F17" i="5"/>
  <c r="BH21" i="5"/>
  <c r="F21" i="5"/>
  <c r="BH25" i="5"/>
  <c r="F25" i="5"/>
  <c r="BI25" i="5" s="1"/>
  <c r="BH29" i="5"/>
  <c r="F29" i="5"/>
  <c r="BI29" i="5" s="1"/>
  <c r="BH33" i="5"/>
  <c r="F33" i="5"/>
  <c r="J30" i="1"/>
  <c r="M8" i="4"/>
  <c r="N32" i="4"/>
  <c r="S32" i="4" s="1"/>
  <c r="I28" i="8" s="1"/>
  <c r="R34" i="4"/>
  <c r="H30" i="8" s="1"/>
  <c r="R20" i="4"/>
  <c r="H16" i="8" s="1"/>
  <c r="S8" i="4"/>
  <c r="I4" i="8" s="1"/>
  <c r="M23" i="4"/>
  <c r="M28" i="4"/>
  <c r="N31" i="4"/>
  <c r="S31" i="4" s="1"/>
  <c r="I27" i="8" s="1"/>
  <c r="N24" i="4"/>
  <c r="S24" i="4" s="1"/>
  <c r="I20" i="8" s="1"/>
  <c r="M27" i="4"/>
  <c r="R12" i="4"/>
  <c r="H8" i="8" s="1"/>
  <c r="BH10" i="5"/>
  <c r="BH34" i="5"/>
  <c r="R8" i="4"/>
  <c r="H4" i="8" s="1"/>
  <c r="N14" i="4"/>
  <c r="S14" i="4" s="1"/>
  <c r="I10" i="8" s="1"/>
  <c r="M13" i="4"/>
  <c r="N9" i="4"/>
  <c r="S9" i="4" s="1"/>
  <c r="I5" i="8" s="1"/>
  <c r="S15" i="4"/>
  <c r="I11" i="8" s="1"/>
  <c r="S16" i="4"/>
  <c r="I12" i="8" s="1"/>
  <c r="N29" i="4"/>
  <c r="S29" i="4" s="1"/>
  <c r="I25" i="8" s="1"/>
  <c r="S23" i="4"/>
  <c r="I19" i="8" s="1"/>
  <c r="S22" i="4"/>
  <c r="I18" i="8" s="1"/>
  <c r="R16" i="4"/>
  <c r="H12" i="8" s="1"/>
  <c r="R17" i="4"/>
  <c r="H13" i="8" s="1"/>
  <c r="R11" i="4"/>
  <c r="H7" i="8" s="1"/>
  <c r="R19" i="4"/>
  <c r="H15" i="8" s="1"/>
  <c r="R14" i="4"/>
  <c r="H10" i="8" s="1"/>
  <c r="R22" i="4"/>
  <c r="H18" i="8" s="1"/>
  <c r="S7" i="4"/>
  <c r="I3" i="8" s="1"/>
  <c r="S28" i="4"/>
  <c r="I24" i="8" s="1"/>
  <c r="I31" i="6"/>
  <c r="M34" i="4"/>
  <c r="N30" i="4"/>
  <c r="S30" i="4" s="1"/>
  <c r="I26" i="8" s="1"/>
  <c r="R29" i="4"/>
  <c r="H25" i="8" s="1"/>
  <c r="R33" i="4"/>
  <c r="H29" i="8" s="1"/>
  <c r="R31" i="4"/>
  <c r="H27" i="8" s="1"/>
  <c r="R30" i="4"/>
  <c r="H26" i="8" s="1"/>
  <c r="R32" i="4"/>
  <c r="H28" i="8" s="1"/>
  <c r="J31" i="1"/>
  <c r="S27" i="4"/>
  <c r="I23" i="8" s="1"/>
  <c r="N26" i="4"/>
  <c r="S26" i="4" s="1"/>
  <c r="I22" i="8" s="1"/>
  <c r="R25" i="4"/>
  <c r="H21" i="8" s="1"/>
  <c r="R26" i="4"/>
  <c r="H22" i="8" s="1"/>
  <c r="S11" i="4"/>
  <c r="I7" i="8" s="1"/>
  <c r="G31" i="1"/>
  <c r="H31" i="1" s="1"/>
  <c r="G30" i="1"/>
  <c r="H30" i="1" s="1"/>
  <c r="G31" i="6"/>
  <c r="BH23" i="5"/>
  <c r="BH9" i="5"/>
  <c r="F9" i="5"/>
  <c r="J38" i="4"/>
  <c r="R27" i="4"/>
  <c r="H23" i="8" s="1"/>
  <c r="H38" i="4"/>
  <c r="D38" i="4"/>
  <c r="I30" i="6"/>
  <c r="S34" i="4"/>
  <c r="I30" i="8" s="1"/>
  <c r="N33" i="4"/>
  <c r="S33" i="4" s="1"/>
  <c r="I29" i="8" s="1"/>
  <c r="P38" i="4"/>
  <c r="S13" i="4"/>
  <c r="I9" i="8" s="1"/>
  <c r="S19" i="4"/>
  <c r="I15" i="8" s="1"/>
  <c r="S21" i="4"/>
  <c r="I17" i="8" s="1"/>
  <c r="M19" i="4"/>
  <c r="M11" i="4"/>
  <c r="N20" i="4"/>
  <c r="S20" i="4" s="1"/>
  <c r="I16" i="8" s="1"/>
  <c r="N18" i="4"/>
  <c r="S18" i="4" s="1"/>
  <c r="I14" i="8" s="1"/>
  <c r="N12" i="4"/>
  <c r="S12" i="4" s="1"/>
  <c r="I8" i="8" s="1"/>
  <c r="N10" i="4"/>
  <c r="S10" i="4" s="1"/>
  <c r="I6" i="8" s="1"/>
  <c r="N25" i="4"/>
  <c r="S25" i="4" s="1"/>
  <c r="I21" i="8" s="1"/>
  <c r="R9" i="4"/>
  <c r="H5" i="8" s="1"/>
  <c r="R13" i="4"/>
  <c r="H9" i="8" s="1"/>
  <c r="R21" i="4"/>
  <c r="H17" i="8" s="1"/>
  <c r="R10" i="4"/>
  <c r="H6" i="8" s="1"/>
  <c r="R18" i="4"/>
  <c r="H14" i="8" s="1"/>
  <c r="R7" i="4"/>
  <c r="H3" i="8" s="1"/>
  <c r="F38" i="4"/>
  <c r="L38" i="4"/>
  <c r="E31" i="1"/>
  <c r="F24" i="8"/>
  <c r="E31" i="6"/>
  <c r="E30" i="6"/>
  <c r="E30" i="1"/>
  <c r="J23" i="1" l="1"/>
  <c r="H24" i="8"/>
  <c r="J19" i="1"/>
  <c r="H20" i="8"/>
  <c r="J20" i="8" s="1"/>
  <c r="I19" i="10" s="1"/>
  <c r="G9" i="1"/>
  <c r="H9" i="1" s="1"/>
  <c r="K10" i="8"/>
  <c r="G18" i="1"/>
  <c r="H18" i="1" s="1"/>
  <c r="K19" i="8"/>
  <c r="G23" i="1"/>
  <c r="H23" i="1" s="1"/>
  <c r="K24" i="8"/>
  <c r="G22" i="1"/>
  <c r="H22" i="1" s="1"/>
  <c r="K23" i="8"/>
  <c r="G14" i="1"/>
  <c r="H14" i="1" s="1"/>
  <c r="K15" i="8"/>
  <c r="G25" i="6"/>
  <c r="L26" i="8"/>
  <c r="G17" i="6"/>
  <c r="L18" i="8"/>
  <c r="G9" i="6"/>
  <c r="L10" i="8"/>
  <c r="G19" i="1"/>
  <c r="H19" i="1" s="1"/>
  <c r="K20" i="8"/>
  <c r="G20" i="1"/>
  <c r="H20" i="1" s="1"/>
  <c r="K21" i="8"/>
  <c r="G7" i="1"/>
  <c r="H7" i="1" s="1"/>
  <c r="K8" i="8"/>
  <c r="G21" i="6"/>
  <c r="L22" i="8"/>
  <c r="G20" i="6"/>
  <c r="L21" i="8"/>
  <c r="G25" i="1"/>
  <c r="H25" i="1" s="1"/>
  <c r="K26" i="8"/>
  <c r="G8" i="1"/>
  <c r="H8" i="1" s="1"/>
  <c r="K9" i="8"/>
  <c r="G4" i="1"/>
  <c r="H4" i="1" s="1"/>
  <c r="K5" i="8"/>
  <c r="G13" i="1"/>
  <c r="H13" i="1" s="1"/>
  <c r="K14" i="8"/>
  <c r="G11" i="1"/>
  <c r="H11" i="1" s="1"/>
  <c r="K12" i="8"/>
  <c r="G23" i="6"/>
  <c r="L24" i="8"/>
  <c r="G22" i="6"/>
  <c r="L23" i="8"/>
  <c r="G10" i="1"/>
  <c r="H10" i="1" s="1"/>
  <c r="K11" i="8"/>
  <c r="G5" i="1"/>
  <c r="H5" i="1" s="1"/>
  <c r="K6" i="8"/>
  <c r="G12" i="1"/>
  <c r="H12" i="1" s="1"/>
  <c r="K13" i="8"/>
  <c r="G6" i="1"/>
  <c r="H6" i="1" s="1"/>
  <c r="K7" i="8"/>
  <c r="G7" i="6"/>
  <c r="L8" i="8"/>
  <c r="G24" i="1"/>
  <c r="H24" i="1" s="1"/>
  <c r="K25" i="8"/>
  <c r="G21" i="1"/>
  <c r="H21" i="1" s="1"/>
  <c r="K22" i="8"/>
  <c r="G6" i="6"/>
  <c r="L7" i="8"/>
  <c r="G3" i="1"/>
  <c r="H3" i="1" s="1"/>
  <c r="K4" i="8"/>
  <c r="G16" i="1"/>
  <c r="H16" i="1" s="1"/>
  <c r="K17" i="8"/>
  <c r="G15" i="1"/>
  <c r="H15" i="1" s="1"/>
  <c r="K16" i="8"/>
  <c r="G18" i="6"/>
  <c r="L19" i="8"/>
  <c r="G17" i="1"/>
  <c r="H17" i="1" s="1"/>
  <c r="K18" i="8"/>
  <c r="G19" i="6"/>
  <c r="L20" i="8"/>
  <c r="G24" i="6"/>
  <c r="L25" i="8"/>
  <c r="G8" i="6"/>
  <c r="L9" i="8"/>
  <c r="G26" i="1"/>
  <c r="H26" i="1" s="1"/>
  <c r="K27" i="8"/>
  <c r="G27" i="1"/>
  <c r="H27" i="1" s="1"/>
  <c r="K28" i="8"/>
  <c r="G28" i="1"/>
  <c r="H28" i="1" s="1"/>
  <c r="K29" i="8"/>
  <c r="G29" i="1"/>
  <c r="H29" i="1" s="1"/>
  <c r="K30" i="8"/>
  <c r="G2" i="1"/>
  <c r="H2" i="1" s="1"/>
  <c r="K3" i="8"/>
  <c r="I13" i="6"/>
  <c r="I16" i="6"/>
  <c r="I21" i="6"/>
  <c r="I27" i="6"/>
  <c r="I18" i="6"/>
  <c r="J19" i="8"/>
  <c r="I18" i="10" s="1"/>
  <c r="I4" i="6"/>
  <c r="I26" i="6"/>
  <c r="I20" i="6"/>
  <c r="I15" i="6"/>
  <c r="I14" i="6"/>
  <c r="I28" i="6"/>
  <c r="I6" i="6"/>
  <c r="I22" i="6"/>
  <c r="I25" i="6"/>
  <c r="I23" i="6"/>
  <c r="I24" i="6"/>
  <c r="I5" i="6"/>
  <c r="I12" i="6"/>
  <c r="I29" i="6"/>
  <c r="I11" i="6"/>
  <c r="I9" i="6"/>
  <c r="I7" i="6"/>
  <c r="I8" i="6"/>
  <c r="I17" i="6"/>
  <c r="I10" i="6"/>
  <c r="I19" i="6"/>
  <c r="I3" i="6"/>
  <c r="J13" i="1"/>
  <c r="J4" i="1"/>
  <c r="J27" i="1"/>
  <c r="J6" i="1"/>
  <c r="J5" i="1"/>
  <c r="J17" i="1"/>
  <c r="J7" i="1"/>
  <c r="J8" i="8"/>
  <c r="I7" i="10" s="1"/>
  <c r="J16" i="1"/>
  <c r="J22" i="1"/>
  <c r="J21" i="1"/>
  <c r="J26" i="1"/>
  <c r="J9" i="1"/>
  <c r="J11" i="1"/>
  <c r="J24" i="1"/>
  <c r="J15" i="1"/>
  <c r="J25" i="1"/>
  <c r="J12" i="1"/>
  <c r="J29" i="1"/>
  <c r="J8" i="1"/>
  <c r="J20" i="1"/>
  <c r="J28" i="1"/>
  <c r="J14" i="1"/>
  <c r="J3" i="1"/>
  <c r="J10" i="1"/>
  <c r="J11" i="8"/>
  <c r="I10" i="10" s="1"/>
  <c r="I2" i="6"/>
  <c r="J2" i="1"/>
  <c r="E12" i="6"/>
  <c r="F13" i="8"/>
  <c r="E11" i="6"/>
  <c r="F12" i="8"/>
  <c r="E6" i="6"/>
  <c r="F7" i="8"/>
  <c r="E19" i="6"/>
  <c r="F20" i="8"/>
  <c r="E3" i="6"/>
  <c r="F4" i="8"/>
  <c r="E28" i="6"/>
  <c r="F29" i="8"/>
  <c r="E7" i="6"/>
  <c r="F8" i="8"/>
  <c r="E17" i="6"/>
  <c r="F18" i="8"/>
  <c r="E8" i="6"/>
  <c r="F9" i="8"/>
  <c r="E18" i="6"/>
  <c r="F19" i="8"/>
  <c r="E21" i="6"/>
  <c r="F22" i="8"/>
  <c r="E23" i="6"/>
  <c r="E22" i="6"/>
  <c r="F23" i="8"/>
  <c r="E4" i="6"/>
  <c r="F5" i="8"/>
  <c r="E14" i="6"/>
  <c r="F15" i="8"/>
  <c r="E13" i="6"/>
  <c r="F14" i="8"/>
  <c r="E20" i="6"/>
  <c r="F21" i="8"/>
  <c r="E26" i="6"/>
  <c r="F27" i="8"/>
  <c r="E29" i="6"/>
  <c r="F30" i="8"/>
  <c r="E15" i="6"/>
  <c r="F16" i="8"/>
  <c r="E16" i="6"/>
  <c r="F17" i="8"/>
  <c r="E9" i="6"/>
  <c r="F10" i="8"/>
  <c r="E5" i="6"/>
  <c r="F6" i="8"/>
  <c r="E10" i="6"/>
  <c r="F11" i="8"/>
  <c r="E25" i="6"/>
  <c r="F26" i="8"/>
  <c r="E27" i="6"/>
  <c r="F28" i="8"/>
  <c r="E24" i="6"/>
  <c r="F25" i="8"/>
  <c r="E10" i="1"/>
  <c r="E11" i="8"/>
  <c r="G11" i="8" s="1"/>
  <c r="E10" i="10" s="1"/>
  <c r="E19" i="1"/>
  <c r="E20" i="8"/>
  <c r="E21" i="1"/>
  <c r="E22" i="8"/>
  <c r="E20" i="1"/>
  <c r="E21" i="8"/>
  <c r="G21" i="8" s="1"/>
  <c r="E20" i="10" s="1"/>
  <c r="E9" i="1"/>
  <c r="E10" i="8"/>
  <c r="G10" i="8" s="1"/>
  <c r="E9" i="10" s="1"/>
  <c r="E23" i="1"/>
  <c r="E24" i="8"/>
  <c r="E15" i="1"/>
  <c r="E16" i="8"/>
  <c r="E17" i="1"/>
  <c r="E18" i="8"/>
  <c r="E4" i="1"/>
  <c r="E5" i="8"/>
  <c r="G5" i="8" s="1"/>
  <c r="E4" i="10" s="1"/>
  <c r="E24" i="1"/>
  <c r="E25" i="8"/>
  <c r="G25" i="8" s="1"/>
  <c r="E24" i="10" s="1"/>
  <c r="E22" i="1"/>
  <c r="E23" i="8"/>
  <c r="E12" i="1"/>
  <c r="E13" i="8"/>
  <c r="E18" i="1"/>
  <c r="E19" i="8"/>
  <c r="E25" i="1"/>
  <c r="E26" i="8"/>
  <c r="G26" i="8" s="1"/>
  <c r="E25" i="10" s="1"/>
  <c r="E3" i="1"/>
  <c r="E4" i="8"/>
  <c r="E28" i="1"/>
  <c r="E29" i="8"/>
  <c r="E11" i="1"/>
  <c r="E12" i="8"/>
  <c r="E13" i="1"/>
  <c r="E14" i="8"/>
  <c r="E26" i="1"/>
  <c r="E27" i="8"/>
  <c r="G27" i="8" s="1"/>
  <c r="E26" i="10" s="1"/>
  <c r="E14" i="1"/>
  <c r="E15" i="8"/>
  <c r="G15" i="8" s="1"/>
  <c r="E14" i="10" s="1"/>
  <c r="E16" i="1"/>
  <c r="E17" i="8"/>
  <c r="E7" i="1"/>
  <c r="E8" i="8"/>
  <c r="E5" i="1"/>
  <c r="E6" i="8"/>
  <c r="E29" i="1"/>
  <c r="E30" i="8"/>
  <c r="G30" i="8" s="1"/>
  <c r="E29" i="10" s="1"/>
  <c r="E6" i="1"/>
  <c r="E7" i="8"/>
  <c r="E8" i="1"/>
  <c r="E9" i="8"/>
  <c r="E27" i="1"/>
  <c r="E28" i="8"/>
  <c r="G28" i="8" s="1"/>
  <c r="E27" i="10" s="1"/>
  <c r="E2" i="6"/>
  <c r="F3" i="8"/>
  <c r="E2" i="1"/>
  <c r="E3" i="8"/>
  <c r="AN33" i="5"/>
  <c r="BI33" i="5" s="1"/>
  <c r="AN34" i="5"/>
  <c r="BI34" i="5" s="1"/>
  <c r="G12" i="8" l="1"/>
  <c r="E11" i="10" s="1"/>
  <c r="G19" i="8"/>
  <c r="E18" i="10" s="1"/>
  <c r="G9" i="8"/>
  <c r="E8" i="10" s="1"/>
  <c r="G8" i="8"/>
  <c r="E7" i="10" s="1"/>
  <c r="G13" i="8"/>
  <c r="E12" i="10" s="1"/>
  <c r="G17" i="8"/>
  <c r="E16" i="10" s="1"/>
  <c r="M7" i="8"/>
  <c r="G6" i="10" s="1"/>
  <c r="M22" i="8"/>
  <c r="G21" i="10" s="1"/>
  <c r="M26" i="8"/>
  <c r="G25" i="10" s="1"/>
  <c r="J29" i="8"/>
  <c r="I28" i="10" s="1"/>
  <c r="G23" i="8"/>
  <c r="E22" i="10" s="1"/>
  <c r="G22" i="8"/>
  <c r="E21" i="10" s="1"/>
  <c r="M19" i="8"/>
  <c r="G18" i="10" s="1"/>
  <c r="G16" i="8"/>
  <c r="E15" i="10" s="1"/>
  <c r="J4" i="8"/>
  <c r="I3" i="10" s="1"/>
  <c r="J9" i="8"/>
  <c r="I8" i="10" s="1"/>
  <c r="G7" i="8"/>
  <c r="E6" i="10" s="1"/>
  <c r="G6" i="8"/>
  <c r="E5" i="10" s="1"/>
  <c r="G4" i="8"/>
  <c r="E3" i="10" s="1"/>
  <c r="G3" i="8"/>
  <c r="E2" i="10" s="1"/>
  <c r="J15" i="8"/>
  <c r="I14" i="10" s="1"/>
  <c r="J21" i="8"/>
  <c r="I20" i="10" s="1"/>
  <c r="J26" i="8"/>
  <c r="I25" i="10" s="1"/>
  <c r="J25" i="8"/>
  <c r="I24" i="10" s="1"/>
  <c r="J7" i="8"/>
  <c r="I6" i="10" s="1"/>
  <c r="J24" i="8"/>
  <c r="I23" i="10" s="1"/>
  <c r="J13" i="8"/>
  <c r="I12" i="10" s="1"/>
  <c r="J16" i="8"/>
  <c r="I15" i="10" s="1"/>
  <c r="J12" i="8"/>
  <c r="I11" i="10" s="1"/>
  <c r="J27" i="8"/>
  <c r="I26" i="10" s="1"/>
  <c r="J23" i="8"/>
  <c r="I22" i="10" s="1"/>
  <c r="J6" i="8"/>
  <c r="I5" i="10" s="1"/>
  <c r="J14" i="8"/>
  <c r="I13" i="10" s="1"/>
  <c r="M8" i="8"/>
  <c r="G7" i="10" s="1"/>
  <c r="M20" i="8"/>
  <c r="G19" i="10" s="1"/>
  <c r="M18" i="8"/>
  <c r="G17" i="10" s="1"/>
  <c r="M25" i="8"/>
  <c r="G24" i="10" s="1"/>
  <c r="M9" i="8"/>
  <c r="G8" i="10" s="1"/>
  <c r="M21" i="8"/>
  <c r="G20" i="10" s="1"/>
  <c r="M23" i="8"/>
  <c r="G22" i="10" s="1"/>
  <c r="M10" i="8"/>
  <c r="G9" i="10" s="1"/>
  <c r="M24" i="8"/>
  <c r="G23" i="10" s="1"/>
  <c r="G26" i="6"/>
  <c r="L27" i="8"/>
  <c r="M27" i="8" s="1"/>
  <c r="G26" i="10" s="1"/>
  <c r="G27" i="6"/>
  <c r="L28" i="8"/>
  <c r="M28" i="8" s="1"/>
  <c r="G27" i="10" s="1"/>
  <c r="J28" i="8"/>
  <c r="I27" i="10" s="1"/>
  <c r="J3" i="8"/>
  <c r="I2" i="10" s="1"/>
  <c r="J30" i="8"/>
  <c r="I29" i="10" s="1"/>
  <c r="J10" i="8"/>
  <c r="I9" i="10" s="1"/>
  <c r="J22" i="8"/>
  <c r="I21" i="10" s="1"/>
  <c r="J17" i="8"/>
  <c r="I16" i="10" s="1"/>
  <c r="J18" i="8"/>
  <c r="I17" i="10" s="1"/>
  <c r="J5" i="8"/>
  <c r="I4" i="10" s="1"/>
  <c r="G14" i="8"/>
  <c r="E13" i="10" s="1"/>
  <c r="G29" i="8"/>
  <c r="E28" i="10" s="1"/>
  <c r="G18" i="8"/>
  <c r="E17" i="10" s="1"/>
  <c r="G24" i="8"/>
  <c r="E23" i="10" s="1"/>
  <c r="G20" i="8"/>
  <c r="E19" i="10" s="1"/>
  <c r="AN36" i="5"/>
  <c r="BI36" i="5" s="1"/>
  <c r="G30" i="6"/>
  <c r="AN35" i="5"/>
  <c r="BI35" i="5" s="1"/>
  <c r="G29" i="6" l="1"/>
  <c r="L30" i="8"/>
  <c r="M30" i="8" s="1"/>
  <c r="G29" i="10" s="1"/>
  <c r="G28" i="6"/>
  <c r="L29" i="8"/>
  <c r="M29" i="8" s="1"/>
  <c r="G28" i="10" s="1"/>
  <c r="AZ9" i="5"/>
  <c r="BI9" i="5" s="1"/>
  <c r="L3" i="8" l="1"/>
  <c r="M3" i="8" s="1"/>
  <c r="G2" i="10" s="1"/>
  <c r="G2" i="6"/>
  <c r="AZ12" i="5"/>
  <c r="BI12" i="5" s="1"/>
  <c r="AZ11" i="5"/>
  <c r="BI11" i="5" s="1"/>
  <c r="AZ10" i="5"/>
  <c r="BI10" i="5" s="1"/>
  <c r="G4" i="6" l="1"/>
  <c r="L5" i="8"/>
  <c r="M5" i="8" s="1"/>
  <c r="G4" i="10" s="1"/>
  <c r="G5" i="6"/>
  <c r="L6" i="8"/>
  <c r="M6" i="8" s="1"/>
  <c r="G5" i="10" s="1"/>
  <c r="L4" i="8"/>
  <c r="M4" i="8" s="1"/>
  <c r="G3" i="10" s="1"/>
  <c r="G3" i="6"/>
  <c r="AN17" i="5" l="1"/>
  <c r="BI17" i="5" s="1"/>
  <c r="G10" i="6" s="1"/>
  <c r="AN18" i="5"/>
  <c r="BI18" i="5" s="1"/>
  <c r="G11" i="6" s="1"/>
  <c r="AN19" i="5" l="1"/>
  <c r="BI19" i="5" s="1"/>
  <c r="L13" i="8" s="1"/>
  <c r="M13" i="8" s="1"/>
  <c r="G12" i="10" s="1"/>
  <c r="AN20" i="5"/>
  <c r="BI20" i="5" s="1"/>
  <c r="L12" i="8"/>
  <c r="M12" i="8" s="1"/>
  <c r="G11" i="10" s="1"/>
  <c r="L11" i="8"/>
  <c r="M11" i="8" s="1"/>
  <c r="G10" i="10" s="1"/>
  <c r="G12" i="6" l="1"/>
  <c r="AN21" i="5"/>
  <c r="BI21" i="5" s="1"/>
  <c r="L14" i="8"/>
  <c r="M14" i="8" s="1"/>
  <c r="G13" i="10" s="1"/>
  <c r="G13" i="6"/>
  <c r="AN23" i="5" l="1"/>
  <c r="BI23" i="5" s="1"/>
  <c r="AN22" i="5"/>
  <c r="BI22" i="5" s="1"/>
  <c r="G14" i="6"/>
  <c r="L15" i="8"/>
  <c r="M15" i="8" s="1"/>
  <c r="G14" i="10" s="1"/>
  <c r="G15" i="6" l="1"/>
  <c r="L16" i="8"/>
  <c r="M16" i="8" s="1"/>
  <c r="G15" i="10" s="1"/>
  <c r="G16" i="6"/>
  <c r="L17" i="8"/>
  <c r="M17" i="8" s="1"/>
  <c r="G16" i="10" s="1"/>
</calcChain>
</file>

<file path=xl/sharedStrings.xml><?xml version="1.0" encoding="utf-8"?>
<sst xmlns="http://schemas.openxmlformats.org/spreadsheetml/2006/main" count="1421" uniqueCount="405">
  <si>
    <t>FSH</t>
    <phoneticPr fontId="30" type="noConversion"/>
  </si>
  <si>
    <t>FSP</t>
    <phoneticPr fontId="30" type="noConversion"/>
  </si>
  <si>
    <t>FSH &amp; FSP</t>
    <phoneticPr fontId="30" type="noConversion"/>
  </si>
  <si>
    <t>Site Name</t>
  </si>
  <si>
    <t>Day</t>
  </si>
  <si>
    <t>Month</t>
  </si>
  <si>
    <t>Total Electricity
 Kwh</t>
  </si>
  <si>
    <t>Town Gas 
(mJ)</t>
  </si>
  <si>
    <t>Town Gas
(m3)</t>
  </si>
  <si>
    <t>Water Utility supply 
(m3)</t>
  </si>
  <si>
    <t>Occ room</t>
  </si>
  <si>
    <t>Total Guest</t>
  </si>
  <si>
    <t>Total Rooms</t>
  </si>
  <si>
    <t>Temp</t>
  </si>
  <si>
    <t>FSHK</t>
  </si>
  <si>
    <t>Property:</t>
  </si>
  <si>
    <t>FS Hotel Hong Kong</t>
  </si>
  <si>
    <t>Year: 2021</t>
  </si>
  <si>
    <t>Actual</t>
  </si>
  <si>
    <t>Working</t>
  </si>
  <si>
    <t>Day of month</t>
  </si>
  <si>
    <t>Net Amount</t>
  </si>
  <si>
    <t>Data to be input in HEP</t>
  </si>
  <si>
    <t>Daily Average</t>
  </si>
  <si>
    <t>FSH Occ Rooms</t>
  </si>
  <si>
    <t>no.of guest</t>
  </si>
  <si>
    <t>FSP Occ rooms</t>
  </si>
  <si>
    <t>Total OCC</t>
  </si>
  <si>
    <t xml:space="preserve">          01</t>
  </si>
  <si>
    <t xml:space="preserve">          02</t>
  </si>
  <si>
    <t xml:space="preserve">          03</t>
  </si>
  <si>
    <t xml:space="preserve">          04</t>
  </si>
  <si>
    <t xml:space="preserve">          05</t>
  </si>
  <si>
    <t xml:space="preserve">          06</t>
  </si>
  <si>
    <t xml:space="preserve">          07</t>
  </si>
  <si>
    <t xml:space="preserve">          08</t>
  </si>
  <si>
    <t xml:space="preserve">          09</t>
  </si>
  <si>
    <t xml:space="preserve">          10</t>
  </si>
  <si>
    <t xml:space="preserve">          11</t>
  </si>
  <si>
    <t xml:space="preserve">          12</t>
  </si>
  <si>
    <t xml:space="preserve">          13</t>
  </si>
  <si>
    <t xml:space="preserve">          14</t>
  </si>
  <si>
    <t xml:space="preserve">          15</t>
  </si>
  <si>
    <t xml:space="preserve">          16</t>
  </si>
  <si>
    <t xml:space="preserve">          17</t>
  </si>
  <si>
    <t xml:space="preserve">          18</t>
  </si>
  <si>
    <t xml:space="preserve">          19</t>
  </si>
  <si>
    <t xml:space="preserve">          20</t>
  </si>
  <si>
    <t xml:space="preserve">          21</t>
  </si>
  <si>
    <t xml:space="preserve">          22</t>
  </si>
  <si>
    <t xml:space="preserve">          23</t>
  </si>
  <si>
    <t xml:space="preserve">          24</t>
  </si>
  <si>
    <t xml:space="preserve">          25</t>
  </si>
  <si>
    <t xml:space="preserve">          26</t>
  </si>
  <si>
    <t xml:space="preserve">          27</t>
  </si>
  <si>
    <t xml:space="preserve">          28</t>
  </si>
  <si>
    <t xml:space="preserve">          29</t>
  </si>
  <si>
    <t xml:space="preserve">          30</t>
  </si>
  <si>
    <t xml:space="preserve">          31</t>
  </si>
  <si>
    <t>Electricity Tariff 
($/Kwh)</t>
  </si>
  <si>
    <t>Town Gas 
$/mJ</t>
  </si>
  <si>
    <t>Water Utility (m3) 
$/m3</t>
  </si>
  <si>
    <t>Rooms Nights</t>
  </si>
  <si>
    <t>Total Guests</t>
  </si>
  <si>
    <t>Year</t>
  </si>
  <si>
    <t>FSH</t>
  </si>
  <si>
    <t>FSH &amp; FSP</t>
  </si>
  <si>
    <t>FSP</t>
  </si>
  <si>
    <t xml:space="preserve">HOT Normal and Essential power for linen chute(9/F-45/F), 
HOT water pump at 8/F, 
Podium dimmer supply(P1-P6), 
MVAC system(B1/F-B2/F), 
Bus station BPTT supply. </t>
  </si>
  <si>
    <t>HOT Normal Power for Guest rooms supply (9/F-45/F), 
MVAC system (2/F &amp; 46/F), 
P&amp;D system(46/F) 
Podium MVAC system (P1/F-P6/F)</t>
  </si>
  <si>
    <t>P5 Pool Plant, 
Laundry (hotel 70%,Place 30%), 
9/F - 28/F public area,
29/F 46/F Public area
Podium normal power supply for water feature(G/F), 
Chiller WCC-01(B2/F)(FSH 50%, FSP 50%)</t>
  </si>
  <si>
    <t>Podium normal power for Administration office(P5/F &amp; P6/F), 
P&amp;D system supply(B2/F), 
Planter lighting supply(Open Space), 
Kitchen public supply(B1/F, P1/F, P2/F, P3/F, P4/F &amp; P6/F), 
BMS room supply(B1/F), 
Security room supply(G/F), 
Computer &amp; PABX room</t>
  </si>
  <si>
    <t>Podium normal power supply for Public supply(P1/F - P6/F), 
Kitchen(B1/F, P1/F, P2/F, P3/F, P4/F &amp; P6/F), 
P&amp;D system supply(B1/F), 
Refuse room supply(G/F), 
Gas boiler supply(B2/F) and 
MVAC system supply(P1/F-P6/F).</t>
  </si>
  <si>
    <t>Podium normal power supply for main P&amp;D system supply(B1/F), MVAC chilled water pump(B1/F)
Chiller WCC-02(B2/F) (FSH 50%, FSP 50%)</t>
  </si>
  <si>
    <t>Chiller # 3 
(FSH 50%, FSP 50%)</t>
  </si>
  <si>
    <t>Chiller # 4
(FSH 50%, FSP 50%)</t>
  </si>
  <si>
    <t>Chiller # 5
(FSH 50%, FSP 50%)</t>
  </si>
  <si>
    <t>SHT normal power for Guest rooms supply (11/F-23/F).</t>
  </si>
  <si>
    <t>SHT normal power for Guest rooms supply (25/F-57/F).</t>
  </si>
  <si>
    <t xml:space="preserve">SHT Essential Power for Public Power supply, 
F.S. Pump (9/F, 57/F &amp; 39/F), 
Podium F.S. pump(P1M), 
Lift LT/S1-LT/S7(LM/F), 
Lift LT/S8-S9(59/F) and 
Lift LT/S10(8/F). </t>
  </si>
  <si>
    <t>SHT normal power for MVAC System(8/F &amp; 40/F), 
Public supply (8-R/F), 
P&amp;D system(40/F &amp; 60/F), 
swimming pool(57/F), 
SWB 3&amp;4(40/F)</t>
  </si>
  <si>
    <t>Daily Total consumption</t>
  </si>
  <si>
    <t>TXW1</t>
  </si>
  <si>
    <t>TXW4</t>
  </si>
  <si>
    <t>TXW2</t>
  </si>
  <si>
    <t>TXC2</t>
  </si>
  <si>
    <t>TXC1</t>
  </si>
  <si>
    <t>TXW3</t>
  </si>
  <si>
    <t>TXN1</t>
  </si>
  <si>
    <t>TXN2</t>
  </si>
  <si>
    <t>TXN3</t>
  </si>
  <si>
    <t>TXN4</t>
  </si>
  <si>
    <t>TXE1</t>
  </si>
  <si>
    <t>TXE2</t>
  </si>
  <si>
    <t>TXE3</t>
  </si>
  <si>
    <t>TXE4</t>
  </si>
  <si>
    <t>Tariff Type</t>
  </si>
  <si>
    <t>MD-LV</t>
  </si>
  <si>
    <t>Non-Residential</t>
  </si>
  <si>
    <t>Date</t>
  </si>
  <si>
    <t>Reading Kwh</t>
  </si>
  <si>
    <t>Differecne Kwh</t>
  </si>
  <si>
    <t>FSH 50% / FSP 50%</t>
  </si>
  <si>
    <t>Hotel &amp; podium Fresh Water</t>
  </si>
  <si>
    <t>Food &amp; Beverage Outlets</t>
  </si>
  <si>
    <t>Fountains</t>
  </si>
  <si>
    <t xml:space="preserve">Swimming Pool </t>
  </si>
  <si>
    <t>Laundry  
(FSH 55% : FSP 45%)</t>
  </si>
  <si>
    <t xml:space="preserve">Place - Guest Floor Fresh Water </t>
  </si>
  <si>
    <t>M16601852</t>
  </si>
  <si>
    <t>M118410300</t>
  </si>
  <si>
    <t>M16449102</t>
  </si>
  <si>
    <t>M9192527</t>
  </si>
  <si>
    <t>M16601455</t>
  </si>
  <si>
    <t>M16601818</t>
  </si>
  <si>
    <t>Reading</t>
  </si>
  <si>
    <t>Differecne m3</t>
  </si>
  <si>
    <t>B2/F Steam Boiler Room</t>
  </si>
  <si>
    <t>B1/F Main Kitchen</t>
  </si>
  <si>
    <t>P1/F Lobby Lounge</t>
  </si>
  <si>
    <t>P2/F Grand Ball Room</t>
  </si>
  <si>
    <t>P3 Steward</t>
  </si>
  <si>
    <t>P4/F Chinese Restaurant</t>
  </si>
  <si>
    <t>P4/F Junior Ball Room</t>
  </si>
  <si>
    <t xml:space="preserve">P5/F Staff Dining </t>
  </si>
  <si>
    <t>P6/F Pool side bar pantry</t>
  </si>
  <si>
    <t>P6/F French Restaurant</t>
  </si>
  <si>
    <t>P5/F Condensing Boiler Room</t>
  </si>
  <si>
    <t>P5/F Filtration Plan Room</t>
  </si>
  <si>
    <t>L8/F Plant Room</t>
  </si>
  <si>
    <t>L46/F Plant Room</t>
  </si>
  <si>
    <t>SHT 8/F Plant Room</t>
  </si>
  <si>
    <t>SHT 40/F Plant Room</t>
  </si>
  <si>
    <t>SHT 57/F Condensing Boiler Room</t>
  </si>
  <si>
    <t>SHT 60/F - Room 6023                  
( Penhouse 1 )</t>
  </si>
  <si>
    <t>SHT 60/F - Room 6038                  
( Penhouse 2 )</t>
  </si>
  <si>
    <t>L40/F Plant Room</t>
  </si>
  <si>
    <t>L57/F Plant Room</t>
  </si>
  <si>
    <t>Steam Boiler for Hot Water &amp; Laundry
( FSH 60% : FSP 40%)</t>
  </si>
  <si>
    <t>Kitchen</t>
  </si>
  <si>
    <t>Dish Washing area</t>
  </si>
  <si>
    <t>Condensing Boiler for 
P6 Swimming Pool &amp; Jacuzzi</t>
  </si>
  <si>
    <t>6/F Patio Spaces heater</t>
  </si>
  <si>
    <t>Dehumidifier for Guest Rooms RH Control</t>
  </si>
  <si>
    <t>Presidential Room    
Room  4305</t>
  </si>
  <si>
    <t>New Gas Heat Pump</t>
  </si>
  <si>
    <t>New Gas Heat Pump     
( Heater )</t>
  </si>
  <si>
    <t>Dehumidifier For Guest Rooms RH Control</t>
  </si>
  <si>
    <t>Condensing Boiler for 
59/F Swimming Pool &amp; Jacuzzis</t>
  </si>
  <si>
    <t>59/F Patio Spaces heater</t>
  </si>
  <si>
    <t>Gas appliances 
( Include Patio Space Heater )</t>
  </si>
  <si>
    <t>0234229050</t>
  </si>
  <si>
    <t>Ratio</t>
  </si>
  <si>
    <t>0234229130</t>
  </si>
  <si>
    <t>0234230090</t>
  </si>
  <si>
    <t>0234229210</t>
  </si>
  <si>
    <t>0234229460</t>
  </si>
  <si>
    <t>0234229380</t>
  </si>
  <si>
    <t>0234229540</t>
  </si>
  <si>
    <t>0234229620</t>
  </si>
  <si>
    <t>0234230740</t>
  </si>
  <si>
    <t>0234229870</t>
  </si>
  <si>
    <t>0234229790</t>
  </si>
  <si>
    <t>0234228820</t>
  </si>
  <si>
    <t>0234228990</t>
  </si>
  <si>
    <t>0234230820</t>
  </si>
  <si>
    <t>0234230170</t>
  </si>
  <si>
    <t>0234230250</t>
  </si>
  <si>
    <t>0234230330</t>
  </si>
  <si>
    <t>0234230410</t>
  </si>
  <si>
    <t>0234230580</t>
  </si>
  <si>
    <t>0234230660</t>
  </si>
  <si>
    <t>Gas Meter</t>
  </si>
  <si>
    <t>9955475</t>
  </si>
  <si>
    <t>436641</t>
  </si>
  <si>
    <t>436656</t>
  </si>
  <si>
    <t>431271</t>
  </si>
  <si>
    <t>1038664</t>
  </si>
  <si>
    <t>522469</t>
  </si>
  <si>
    <t>431269</t>
  </si>
  <si>
    <t>436624</t>
  </si>
  <si>
    <t>5399693</t>
  </si>
  <si>
    <t>522607</t>
  </si>
  <si>
    <t>436606</t>
  </si>
  <si>
    <t>432481</t>
  </si>
  <si>
    <t>410677</t>
  </si>
  <si>
    <t>431229</t>
  </si>
  <si>
    <t>522557</t>
  </si>
  <si>
    <t>0333732</t>
  </si>
  <si>
    <t>0655375</t>
  </si>
  <si>
    <t>431241</t>
  </si>
  <si>
    <t>410724</t>
  </si>
  <si>
    <t>9313879</t>
  </si>
  <si>
    <t>4500420S</t>
  </si>
  <si>
    <t>436758</t>
  </si>
  <si>
    <t>431227</t>
  </si>
  <si>
    <t>Differecne MJ</t>
  </si>
  <si>
    <t>MA1 E1E2</t>
  </si>
  <si>
    <t>MA1 E1 E2</t>
  </si>
  <si>
    <t>MA1 E3 E4</t>
  </si>
  <si>
    <t>MA2</t>
  </si>
  <si>
    <t>MA3 1-2</t>
  </si>
  <si>
    <t>MA3 2-2</t>
  </si>
  <si>
    <t>MA4-1</t>
  </si>
  <si>
    <t>MA4-3</t>
  </si>
  <si>
    <t>MA5</t>
  </si>
  <si>
    <t>SA1 1-2</t>
  </si>
  <si>
    <t>SA1 2-2</t>
  </si>
  <si>
    <t>SB1</t>
  </si>
  <si>
    <t>SB2 SHT-1</t>
  </si>
  <si>
    <t>SB2 SHT-3</t>
  </si>
  <si>
    <t>SB2 SHT-4</t>
  </si>
  <si>
    <t>SB5</t>
  </si>
  <si>
    <t>Main Meter</t>
  </si>
  <si>
    <t>Sub- meter</t>
  </si>
  <si>
    <t>Main meter</t>
  </si>
  <si>
    <t>PODIUM</t>
  </si>
  <si>
    <t>Podium</t>
  </si>
  <si>
    <t>HOTEL</t>
  </si>
  <si>
    <t>Electricity</t>
  </si>
  <si>
    <t>Plumbing</t>
  </si>
  <si>
    <t>HVAC</t>
  </si>
  <si>
    <t>LAUNDRY EQUIPMENT</t>
  </si>
  <si>
    <t>Lift</t>
  </si>
  <si>
    <t>Lighting</t>
  </si>
  <si>
    <t>Dimmer</t>
  </si>
  <si>
    <t>DIMMER</t>
  </si>
  <si>
    <t>P5 SWIMMING POOL PLANT</t>
  </si>
  <si>
    <t>DUCT HEAT</t>
  </si>
  <si>
    <t>Podium FAF</t>
  </si>
  <si>
    <t>PODIUM AHU / PAU</t>
  </si>
  <si>
    <t>EAF / FAF</t>
  </si>
  <si>
    <t>AHU / PAU</t>
  </si>
  <si>
    <t>EAF</t>
  </si>
  <si>
    <t>P1/F Lounge, P2/F GBR, P3/F STW, P4/F HVBR</t>
  </si>
  <si>
    <t>P1 LOUNGE, P4 HVBE KITCHEN</t>
  </si>
  <si>
    <t>SUMP, KITCHEN PUMP</t>
  </si>
  <si>
    <t>P5 PANTRY</t>
  </si>
  <si>
    <t xml:space="preserve"> 
Kitchen public supply
(B1/F, P1/F Lounge, P2/F GBR, P3/F STW, P4/F HVBR)
</t>
  </si>
  <si>
    <t xml:space="preserve">P6 CAPRICE KITCHEN
</t>
  </si>
  <si>
    <t>SPA</t>
  </si>
  <si>
    <t>PUMP</t>
  </si>
  <si>
    <t>AHU</t>
  </si>
  <si>
    <t>L&amp;P</t>
  </si>
  <si>
    <t>P2 GBR KIT, P3 STW</t>
  </si>
  <si>
    <t>B1 MAIN KITCHEN</t>
  </si>
  <si>
    <t>P1 - P6 L&amp;P</t>
  </si>
  <si>
    <t>P6 CAPRICE</t>
  </si>
  <si>
    <t>P4 LKH KITCHEN</t>
  </si>
  <si>
    <t>SHT normal power for Guest rooms supply (12/F-23/F) L&amp;P</t>
  </si>
  <si>
    <t>DIMMER P5</t>
  </si>
  <si>
    <t>P5 SWIMMING POOL</t>
  </si>
  <si>
    <t>FEATURE A, B, C</t>
  </si>
  <si>
    <t>CHILLER</t>
  </si>
  <si>
    <t>PUBLIC AREA 9/F - 28/F L&amp;P</t>
  </si>
  <si>
    <t>PUBLIC AREA 29/F - 43/F L&amp;P</t>
  </si>
  <si>
    <t xml:space="preserve">Podium normal power supply for main P&amp;D system supply(B1/F), </t>
  </si>
  <si>
    <t>MVAC chilled water pump(B1/F)</t>
  </si>
  <si>
    <t>Chiller WCC-02(B2/F) (FSH 50%, FSP 50%)</t>
  </si>
  <si>
    <t>9/F - 27/F GUEST ROOM L&amp;P</t>
  </si>
  <si>
    <t>28/F - 45/F GUEST ROOM L&amp;P</t>
  </si>
  <si>
    <t>PAU</t>
  </si>
  <si>
    <t>L201, 202, 203, 204</t>
  </si>
  <si>
    <t>L205, 206, 207</t>
  </si>
  <si>
    <t>HOTEL ESSENTIAL L &amp; P</t>
  </si>
  <si>
    <t>PANTRY</t>
  </si>
  <si>
    <t>HXWP</t>
  </si>
  <si>
    <t>47/F - 56/F GUEST ROOM L&amp;P</t>
  </si>
  <si>
    <t>35/F - 46/F GUEST ROOM L&amp;P</t>
  </si>
  <si>
    <t>25/F - 33/F GUEST ROOM L&amp;P</t>
  </si>
  <si>
    <t>47/F - 57/F &amp; 60/F GUEST ROOM L&amp;P</t>
  </si>
  <si>
    <t xml:space="preserve">Essential Power for 8/F - 35/F GUEST ROOM 
</t>
  </si>
  <si>
    <t xml:space="preserve">Normal Public supply (8-37/F) L&amp;P 
</t>
  </si>
  <si>
    <t xml:space="preserve">Normal Public supply (38-59/F) L&amp;P
</t>
  </si>
  <si>
    <t>L212, 213, 214, 215, 216, 217</t>
  </si>
  <si>
    <t xml:space="preserve">Essential Power for 38/F - 59/F GUEST ROOM 
</t>
  </si>
  <si>
    <t>L219, 220</t>
  </si>
  <si>
    <t>P5 CANTEEN &amp; P6 POOL KITCHEN POWER</t>
  </si>
  <si>
    <t>M1C2</t>
  </si>
  <si>
    <t>M1C4</t>
  </si>
  <si>
    <t>M1C12</t>
  </si>
  <si>
    <t>M1C8</t>
  </si>
  <si>
    <t>M1C7</t>
  </si>
  <si>
    <t>M2C3</t>
  </si>
  <si>
    <t>M2C13</t>
  </si>
  <si>
    <t>M2C5</t>
  </si>
  <si>
    <t>M2C14</t>
  </si>
  <si>
    <t>M2C4</t>
  </si>
  <si>
    <t>M3C14</t>
  </si>
  <si>
    <t>M3C15</t>
  </si>
  <si>
    <t>M3C16</t>
  </si>
  <si>
    <t>M3C37</t>
  </si>
  <si>
    <t>M3C9</t>
  </si>
  <si>
    <t>M3C7</t>
  </si>
  <si>
    <t>M3C5</t>
  </si>
  <si>
    <t>M3C40</t>
  </si>
  <si>
    <t>M3C28</t>
  </si>
  <si>
    <t>M3C42</t>
  </si>
  <si>
    <t>M3C44</t>
  </si>
  <si>
    <t>M3C34</t>
  </si>
  <si>
    <t>M3C46</t>
  </si>
  <si>
    <t>M3C41</t>
  </si>
  <si>
    <t>M3C56</t>
  </si>
  <si>
    <t>M3C39</t>
  </si>
  <si>
    <t>M3C47</t>
  </si>
  <si>
    <t>M3C59</t>
  </si>
  <si>
    <t>M3C58</t>
  </si>
  <si>
    <t>M3C55</t>
  </si>
  <si>
    <t>M4C1</t>
  </si>
  <si>
    <t>M4C2</t>
  </si>
  <si>
    <t>M4C7</t>
  </si>
  <si>
    <t>M5C11</t>
  </si>
  <si>
    <t>M5C1</t>
  </si>
  <si>
    <t>M5C2</t>
  </si>
  <si>
    <t>M5B1</t>
  </si>
  <si>
    <t>M5C9</t>
  </si>
  <si>
    <t>M5C10</t>
  </si>
  <si>
    <t>M5C14</t>
  </si>
  <si>
    <t>M5C3</t>
  </si>
  <si>
    <t>M5B2</t>
  </si>
  <si>
    <t>M5C4</t>
  </si>
  <si>
    <t>H1C18</t>
  </si>
  <si>
    <t>H1C19</t>
  </si>
  <si>
    <t>H1C20</t>
  </si>
  <si>
    <t>H1C21</t>
  </si>
  <si>
    <t>H1C14</t>
  </si>
  <si>
    <t>H1C17</t>
  </si>
  <si>
    <t>H1C5</t>
  </si>
  <si>
    <t>H1C27</t>
  </si>
  <si>
    <t>H1C6</t>
  </si>
  <si>
    <t>H1C7</t>
  </si>
  <si>
    <t>H1C9</t>
  </si>
  <si>
    <t>H1C10</t>
  </si>
  <si>
    <t>H1C22</t>
  </si>
  <si>
    <t>S1C1</t>
  </si>
  <si>
    <t>S1C2</t>
  </si>
  <si>
    <t>S1C3</t>
  </si>
  <si>
    <t>S2C21</t>
  </si>
  <si>
    <t>S2C22</t>
  </si>
  <si>
    <t>S2C23</t>
  </si>
  <si>
    <t>S2C12</t>
  </si>
  <si>
    <t>S2C8</t>
  </si>
  <si>
    <t>S2C10</t>
  </si>
  <si>
    <t>S2C11</t>
  </si>
  <si>
    <t>S5C1</t>
  </si>
  <si>
    <t>S5C8</t>
  </si>
  <si>
    <t>S5C2</t>
  </si>
  <si>
    <t>M1C11</t>
  </si>
  <si>
    <t>Cleansing &amp; EP</t>
  </si>
  <si>
    <t xml:space="preserve">Water Feature Make Up        </t>
  </si>
  <si>
    <t>Irrigation</t>
  </si>
  <si>
    <t>Laundry</t>
  </si>
  <si>
    <t>A/C Make Up</t>
  </si>
  <si>
    <t>P1 Water Feature A</t>
  </si>
  <si>
    <t>P1 Water Feature C</t>
  </si>
  <si>
    <t>Fresh Water Supply for FSP Guest Room Floor</t>
  </si>
  <si>
    <t>Condensate Boiler</t>
  </si>
  <si>
    <t>Fresh Water Supply for Hotel &amp; Podium</t>
  </si>
  <si>
    <t>Fresh Water Supply for Hotel</t>
  </si>
  <si>
    <t>Fresh Water Supply for Podium</t>
  </si>
  <si>
    <t>Condensate Steam Boiler</t>
  </si>
  <si>
    <t>P5 staff changing room - Cold water supply</t>
  </si>
  <si>
    <t>P5 staff changing room - Hot water supply</t>
  </si>
  <si>
    <t>P5 staff changing room - Hot water return</t>
  </si>
  <si>
    <t>P4 LKH Feature</t>
  </si>
  <si>
    <t>All FSH Guest Room &amp; Podium Toilet</t>
  </si>
  <si>
    <t>Swimming Pool Make Up</t>
  </si>
  <si>
    <t>60/F Penthouse Swimming Pools</t>
  </si>
  <si>
    <t>59/F Swimming Pool sub-meter</t>
  </si>
  <si>
    <t>59/F Jacuzzis Pool</t>
  </si>
  <si>
    <t>P6 Swimming Pool (Infinite Pool )</t>
  </si>
  <si>
    <t>P6 Water Feature 1</t>
  </si>
  <si>
    <t>P6 Water Feature 2</t>
  </si>
  <si>
    <t xml:space="preserve">P6 Jacuzzi Pool </t>
  </si>
  <si>
    <t xml:space="preserve">P6 Spa Vitality Pool </t>
  </si>
  <si>
    <t>Canteen Dishwash Area - Cold water supply</t>
  </si>
  <si>
    <t>Canteen Dishwash Area - Hot water supply</t>
  </si>
  <si>
    <t>Canteen Dishwash Area - Hot water return</t>
  </si>
  <si>
    <t>Canteen kitchen / Dishwash Area - Cold water supply</t>
  </si>
  <si>
    <t>Canteen kitchen / Dishwash Area - Hot water supply</t>
  </si>
  <si>
    <t>Canteen kitchen / Dishwash Area - Hot water return</t>
  </si>
  <si>
    <t>LKH kitchen - Cold water supply</t>
  </si>
  <si>
    <t>LKH kitchen - Hot water supply</t>
  </si>
  <si>
    <t>LKH kitchen - Hot Water Return</t>
  </si>
  <si>
    <t>LKH Pantry - Cold water Supply</t>
  </si>
  <si>
    <t>LKH Pantry - Hot water Supply</t>
  </si>
  <si>
    <t>LKH Pantry - Hot water Return</t>
  </si>
  <si>
    <t>LKH Dish washing machine - Water supply</t>
  </si>
  <si>
    <t>Dish Washing Machine - Cold water supply</t>
  </si>
  <si>
    <t>Dish Washing Machine - Hot water supply</t>
  </si>
  <si>
    <t>Dish Washing Machine - Hot water Return</t>
  </si>
  <si>
    <t>Hydro Vent System for LKH, Pool side pantry, P5 Canteen</t>
  </si>
  <si>
    <t>F&amp;B Other Outlet</t>
  </si>
  <si>
    <t>Differecne</t>
  </si>
  <si>
    <t>Temp
( C )</t>
  </si>
  <si>
    <t>Total Electricity Kwh</t>
  </si>
  <si>
    <t>Electricity Tariff ($/Kwh)</t>
  </si>
  <si>
    <t>Natural Gas $/m3</t>
  </si>
  <si>
    <t>Water Utility Supply (m3) m3</t>
  </si>
  <si>
    <t>Water Utility Supply (m3) $/m3</t>
  </si>
  <si>
    <t xml:space="preserve">Room Nights </t>
  </si>
  <si>
    <t>Hong Kong</t>
  </si>
  <si>
    <t>Natual Gas (m3)</t>
  </si>
  <si>
    <t>Month: September 2021</t>
  </si>
  <si>
    <t>B</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</si>
</sst>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43" formatCode="_(* #,##0.00_);_(* \(#,##0.00\);_(* &quot;-&quot;??_);_(@_)"/>
    <numFmt numFmtId="164" formatCode="[$-409]d\-mmm\-yy;@"/>
    <numFmt numFmtId="165" formatCode="0.0"/>
    <numFmt numFmtId="166" formatCode="0.0000"/>
    <numFmt numFmtId="167" formatCode="_(* #,##0_);_(* \(#,##0\);_(* &quot;-&quot;??_);_(@_)"/>
    <numFmt numFmtId="168" formatCode="0_);[Red]\(0\)"/>
    <numFmt numFmtId="169" formatCode="0;[Red]0"/>
    <numFmt numFmtId="170" formatCode="0.000"/>
  </numFmts>
  <fonts count="51">
    <font>
      <sz val="11"/>
      <color theme="1"/>
      <name val="Calibri"/>
      <family val="2"/>
      <scheme val="minor"/>
    </font>
    <font>
      <sz val="14"/>
      <color theme="1"/>
      <name val="Calibri"/>
      <family val="2"/>
      <scheme val="minor"/>
    </font>
    <font>
      <b/>
      <sz val="10"/>
      <color theme="1"/>
      <name val="Calibri"/>
      <family val="2"/>
      <scheme val="minor"/>
    </font>
    <font>
      <sz val="16"/>
      <color theme="1"/>
      <name val="Calibri"/>
      <family val="2"/>
      <scheme val="minor"/>
    </font>
    <font>
      <b/>
      <sz val="16"/>
      <color theme="1"/>
      <name val="Calibri"/>
      <family val="2"/>
      <scheme val="minor"/>
    </font>
    <font>
      <b/>
      <sz val="18"/>
      <color theme="1"/>
      <name val="Calibri"/>
      <family val="2"/>
      <scheme val="minor"/>
    </font>
    <font>
      <b/>
      <sz val="20"/>
      <color theme="1"/>
      <name val="Calibri"/>
      <family val="2"/>
      <scheme val="minor"/>
    </font>
    <font>
      <b/>
      <sz val="14"/>
      <color theme="1"/>
      <name val="Times New Roman"/>
      <family val="1"/>
    </font>
    <font>
      <b/>
      <sz val="16"/>
      <color theme="1"/>
      <name val="Times New Roman"/>
      <family val="1"/>
    </font>
    <font>
      <b/>
      <sz val="14"/>
      <color theme="1"/>
      <name val="Calibri"/>
      <family val="2"/>
      <scheme val="minor"/>
    </font>
    <font>
      <b/>
      <sz val="16"/>
      <name val="Times New Roman"/>
      <family val="1"/>
    </font>
    <font>
      <sz val="24"/>
      <color theme="1"/>
      <name val="Calibri"/>
      <family val="2"/>
      <scheme val="minor"/>
    </font>
    <font>
      <b/>
      <sz val="24"/>
      <name val="Times New Roman"/>
      <family val="1"/>
    </font>
    <font>
      <b/>
      <sz val="24"/>
      <color theme="1"/>
      <name val="Calibri"/>
      <family val="2"/>
      <scheme val="minor"/>
    </font>
    <font>
      <b/>
      <sz val="20"/>
      <color theme="1"/>
      <name val="Times New Roman"/>
      <family val="1"/>
    </font>
    <font>
      <b/>
      <sz val="20"/>
      <name val="Times New Roman"/>
      <family val="1"/>
    </font>
    <font>
      <b/>
      <sz val="12"/>
      <name val="Times New Roman"/>
      <family val="1"/>
    </font>
    <font>
      <sz val="24"/>
      <name val="Times New Roman"/>
      <family val="1"/>
    </font>
    <font>
      <b/>
      <sz val="24"/>
      <color theme="1"/>
      <name val="Times New Roman"/>
      <family val="1"/>
    </font>
    <font>
      <sz val="20"/>
      <color theme="1"/>
      <name val="Times New Roman"/>
      <family val="1"/>
    </font>
    <font>
      <sz val="20"/>
      <name val="Times New Roman"/>
      <family val="1"/>
    </font>
    <font>
      <sz val="24"/>
      <color theme="1"/>
      <name val="Times New Roman"/>
      <family val="1"/>
    </font>
    <font>
      <sz val="18"/>
      <color theme="1"/>
      <name val="Calibri"/>
      <family val="2"/>
      <scheme val="minor"/>
    </font>
    <font>
      <sz val="16"/>
      <name val="Arial"/>
      <family val="2"/>
    </font>
    <font>
      <sz val="16"/>
      <color theme="1"/>
      <name val="Times New Roman"/>
      <family val="1"/>
    </font>
    <font>
      <sz val="11"/>
      <color theme="1"/>
      <name val="Calibri"/>
      <family val="2"/>
      <scheme val="minor"/>
    </font>
    <font>
      <sz val="14"/>
      <name val="Calibri"/>
      <family val="2"/>
      <scheme val="minor"/>
    </font>
    <font>
      <b/>
      <sz val="14"/>
      <name val="Calibri"/>
      <family val="2"/>
      <scheme val="minor"/>
    </font>
    <font>
      <sz val="12"/>
      <name val="Arial"/>
      <family val="2"/>
    </font>
    <font>
      <sz val="12"/>
      <color indexed="8"/>
      <name val="Arial"/>
      <family val="2"/>
    </font>
    <font>
      <sz val="9"/>
      <name val="Calibri"/>
      <family val="3"/>
      <charset val="136"/>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name val="Times New Roman"/>
      <family val="1"/>
    </font>
    <font>
      <sz val="11"/>
      <name val="Calibri"/>
      <family val="2"/>
      <scheme val="minor"/>
    </font>
    <font>
      <b/>
      <sz val="11"/>
      <color rgb="FFFF0000"/>
      <name val="Calibri"/>
      <family val="2"/>
      <scheme val="minor"/>
    </font>
    <font>
      <sz val="11"/>
      <color indexed="8"/>
      <name val="Calibri"/>
      <family val="2"/>
    </font>
  </fonts>
  <fills count="51">
    <fill>
      <patternFill patternType="none"/>
    </fill>
    <fill>
      <patternFill patternType="gray125"/>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0000"/>
        <bgColor indexed="64"/>
      </patternFill>
    </fill>
    <fill>
      <patternFill patternType="solid">
        <fgColor rgb="FFFF66FF"/>
        <bgColor indexed="64"/>
      </patternFill>
    </fill>
    <fill>
      <patternFill patternType="solid">
        <fgColor rgb="FFCCFF33"/>
        <bgColor indexed="64"/>
      </patternFill>
    </fill>
    <fill>
      <patternFill patternType="solid">
        <fgColor rgb="FFCC66FF"/>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E4FCDE"/>
        <bgColor indexed="64"/>
      </patternFill>
    </fill>
    <fill>
      <patternFill patternType="solid">
        <fgColor theme="5" tint="0.79998168889431442"/>
        <bgColor indexed="64"/>
      </patternFill>
    </fill>
    <fill>
      <patternFill patternType="solid">
        <fgColor rgb="FF00B050"/>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rgb="FFFFC000"/>
        <bgColor indexed="64"/>
      </patternFill>
    </fill>
    <fill>
      <patternFill patternType="solid">
        <fgColor theme="0" tint="-4.9989318521683403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53">
    <border>
      <left/>
      <right/>
      <top/>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style="thin">
        <color rgb="FFC0C0C0"/>
      </left>
      <right style="thin">
        <color rgb="FFC0C0C0"/>
      </right>
      <top style="thin">
        <color rgb="FFC0C0C0"/>
      </top>
      <bottom style="thin">
        <color rgb="FFC0C0C0"/>
      </bottom>
      <diagonal/>
    </border>
    <border>
      <left style="hair">
        <color auto="1"/>
      </left>
      <right/>
      <top style="hair">
        <color auto="1"/>
      </top>
      <bottom style="hair">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rgb="FFC0C0C0"/>
      </right>
      <top style="thin">
        <color rgb="FFC0C0C0"/>
      </top>
      <bottom style="thin">
        <color rgb="FFC0C0C0"/>
      </bottom>
      <diagonal/>
    </border>
    <border>
      <left style="thin">
        <color rgb="FFC0C0C0"/>
      </left>
      <right style="thin">
        <color rgb="FFC0C0C0"/>
      </right>
      <top style="thin">
        <color rgb="FFC0C0C0"/>
      </top>
      <bottom/>
      <diagonal/>
    </border>
    <border>
      <left style="thin">
        <color rgb="FFC0C0C0"/>
      </left>
      <right/>
      <top style="thin">
        <color rgb="FFC0C0C0"/>
      </top>
      <bottom style="medium">
        <color indexed="64"/>
      </bottom>
      <diagonal/>
    </border>
    <border>
      <left/>
      <right style="thin">
        <color rgb="FFC0C0C0"/>
      </right>
      <top style="thin">
        <color rgb="FFC0C0C0"/>
      </top>
      <bottom style="medium">
        <color indexed="64"/>
      </bottom>
      <diagonal/>
    </border>
    <border>
      <left style="thin">
        <color rgb="FFC0C0C0"/>
      </left>
      <right/>
      <top style="thin">
        <color rgb="FFC0C0C0"/>
      </top>
      <bottom style="thin">
        <color rgb="FFC0C0C0"/>
      </bottom>
      <diagonal/>
    </border>
    <border>
      <left style="medium">
        <color indexed="64"/>
      </left>
      <right style="thin">
        <color rgb="FFC0C0C0"/>
      </right>
      <top style="medium">
        <color indexed="64"/>
      </top>
      <bottom style="thin">
        <color rgb="FFC0C0C0"/>
      </bottom>
      <diagonal/>
    </border>
    <border>
      <left style="thin">
        <color rgb="FFC0C0C0"/>
      </left>
      <right style="medium">
        <color indexed="64"/>
      </right>
      <top style="medium">
        <color indexed="64"/>
      </top>
      <bottom style="thin">
        <color rgb="FFC0C0C0"/>
      </bottom>
      <diagonal/>
    </border>
    <border>
      <left style="medium">
        <color indexed="64"/>
      </left>
      <right style="thin">
        <color rgb="FFC0C0C0"/>
      </right>
      <top style="thin">
        <color rgb="FFC0C0C0"/>
      </top>
      <bottom style="thin">
        <color rgb="FFC0C0C0"/>
      </bottom>
      <diagonal/>
    </border>
    <border>
      <left style="thin">
        <color rgb="FFC0C0C0"/>
      </left>
      <right style="medium">
        <color indexed="64"/>
      </right>
      <top style="thin">
        <color rgb="FFC0C0C0"/>
      </top>
      <bottom style="thin">
        <color rgb="FFC0C0C0"/>
      </bottom>
      <diagonal/>
    </border>
    <border>
      <left style="medium">
        <color indexed="64"/>
      </left>
      <right style="thin">
        <color rgb="FFC0C0C0"/>
      </right>
      <top style="thin">
        <color rgb="FFC0C0C0"/>
      </top>
      <bottom style="medium">
        <color indexed="64"/>
      </bottom>
      <diagonal/>
    </border>
    <border>
      <left style="thin">
        <color rgb="FFC0C0C0"/>
      </left>
      <right style="medium">
        <color indexed="64"/>
      </right>
      <top style="thin">
        <color rgb="FFC0C0C0"/>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hair">
        <color auto="1"/>
      </right>
      <top style="hair">
        <color auto="1"/>
      </top>
      <bottom style="hair">
        <color auto="1"/>
      </bottom>
      <diagonal/>
    </border>
    <border>
      <left/>
      <right style="medium">
        <color indexed="64"/>
      </right>
      <top style="thin">
        <color rgb="FFC0C0C0"/>
      </top>
      <bottom style="thin">
        <color rgb="FFC0C0C0"/>
      </bottom>
      <diagonal/>
    </border>
    <border>
      <left style="hair">
        <color auto="1"/>
      </left>
      <right style="hair">
        <color auto="1"/>
      </right>
      <top style="hair">
        <color auto="1"/>
      </top>
      <bottom style="medium">
        <color indexed="64"/>
      </bottom>
      <diagonal/>
    </border>
    <border>
      <left/>
      <right style="medium">
        <color indexed="64"/>
      </right>
      <top style="thin">
        <color rgb="FFC0C0C0"/>
      </top>
      <bottom style="medium">
        <color indexed="64"/>
      </bottom>
      <diagonal/>
    </border>
  </borders>
  <cellStyleXfs count="44">
    <xf numFmtId="0" fontId="0" fillId="0" borderId="0"/>
    <xf numFmtId="43" fontId="25" fillId="0" borderId="0" applyFont="0" applyFill="0" applyBorder="0" applyAlignment="0" applyProtection="0"/>
    <xf numFmtId="9" fontId="25" fillId="0" borderId="0" applyFont="0" applyFill="0" applyBorder="0" applyAlignment="0" applyProtection="0">
      <alignment vertical="center"/>
    </xf>
    <xf numFmtId="0" fontId="31" fillId="0" borderId="0" applyNumberFormat="0" applyFill="0" applyBorder="0" applyAlignment="0" applyProtection="0"/>
    <xf numFmtId="0" fontId="32" fillId="0" borderId="35" applyNumberFormat="0" applyFill="0" applyAlignment="0" applyProtection="0"/>
    <xf numFmtId="0" fontId="33" fillId="0" borderId="36" applyNumberFormat="0" applyFill="0" applyAlignment="0" applyProtection="0"/>
    <xf numFmtId="0" fontId="34" fillId="0" borderId="37" applyNumberFormat="0" applyFill="0" applyAlignment="0" applyProtection="0"/>
    <xf numFmtId="0" fontId="34" fillId="0" borderId="0" applyNumberFormat="0" applyFill="0" applyBorder="0" applyAlignment="0" applyProtection="0"/>
    <xf numFmtId="0" fontId="35" fillId="20" borderId="0" applyNumberFormat="0" applyBorder="0" applyAlignment="0" applyProtection="0"/>
    <xf numFmtId="0" fontId="36" fillId="21" borderId="0" applyNumberFormat="0" applyBorder="0" applyAlignment="0" applyProtection="0"/>
    <xf numFmtId="0" fontId="37" fillId="22" borderId="0" applyNumberFormat="0" applyBorder="0" applyAlignment="0" applyProtection="0"/>
    <xf numFmtId="0" fontId="38" fillId="23" borderId="38" applyNumberFormat="0" applyAlignment="0" applyProtection="0"/>
    <xf numFmtId="0" fontId="39" fillId="24" borderId="39" applyNumberFormat="0" applyAlignment="0" applyProtection="0"/>
    <xf numFmtId="0" fontId="40" fillId="24" borderId="38" applyNumberFormat="0" applyAlignment="0" applyProtection="0"/>
    <xf numFmtId="0" fontId="41" fillId="0" borderId="40" applyNumberFormat="0" applyFill="0" applyAlignment="0" applyProtection="0"/>
    <xf numFmtId="0" fontId="42" fillId="25" borderId="41" applyNumberFormat="0" applyAlignment="0" applyProtection="0"/>
    <xf numFmtId="0" fontId="43" fillId="0" borderId="0" applyNumberFormat="0" applyFill="0" applyBorder="0" applyAlignment="0" applyProtection="0"/>
    <xf numFmtId="0" fontId="25" fillId="26" borderId="42" applyNumberFormat="0" applyFont="0" applyAlignment="0" applyProtection="0"/>
    <xf numFmtId="0" fontId="44" fillId="0" borderId="0" applyNumberFormat="0" applyFill="0" applyBorder="0" applyAlignment="0" applyProtection="0"/>
    <xf numFmtId="0" fontId="45" fillId="0" borderId="43" applyNumberFormat="0" applyFill="0" applyAlignment="0" applyProtection="0"/>
    <xf numFmtId="0" fontId="46" fillId="27" borderId="0" applyNumberFormat="0" applyBorder="0" applyAlignment="0" applyProtection="0"/>
    <xf numFmtId="0" fontId="25" fillId="28" borderId="0" applyNumberFormat="0" applyBorder="0" applyAlignment="0" applyProtection="0"/>
    <xf numFmtId="0" fontId="25" fillId="29" borderId="0" applyNumberFormat="0" applyBorder="0" applyAlignment="0" applyProtection="0"/>
    <xf numFmtId="0" fontId="46" fillId="30" borderId="0" applyNumberFormat="0" applyBorder="0" applyAlignment="0" applyProtection="0"/>
    <xf numFmtId="0" fontId="46" fillId="31" borderId="0" applyNumberFormat="0" applyBorder="0" applyAlignment="0" applyProtection="0"/>
    <xf numFmtId="0" fontId="25" fillId="32" borderId="0" applyNumberFormat="0" applyBorder="0" applyAlignment="0" applyProtection="0"/>
    <xf numFmtId="0" fontId="25" fillId="33" borderId="0" applyNumberFormat="0" applyBorder="0" applyAlignment="0" applyProtection="0"/>
    <xf numFmtId="0" fontId="46" fillId="34" borderId="0" applyNumberFormat="0" applyBorder="0" applyAlignment="0" applyProtection="0"/>
    <xf numFmtId="0" fontId="46" fillId="35" borderId="0" applyNumberFormat="0" applyBorder="0" applyAlignment="0" applyProtection="0"/>
    <xf numFmtId="0" fontId="25" fillId="36" borderId="0" applyNumberFormat="0" applyBorder="0" applyAlignment="0" applyProtection="0"/>
    <xf numFmtId="0" fontId="25" fillId="37" borderId="0" applyNumberFormat="0" applyBorder="0" applyAlignment="0" applyProtection="0"/>
    <xf numFmtId="0" fontId="46" fillId="38" borderId="0" applyNumberFormat="0" applyBorder="0" applyAlignment="0" applyProtection="0"/>
    <xf numFmtId="0" fontId="46" fillId="39" borderId="0" applyNumberFormat="0" applyBorder="0" applyAlignment="0" applyProtection="0"/>
    <xf numFmtId="0" fontId="25" fillId="40" borderId="0" applyNumberFormat="0" applyBorder="0" applyAlignment="0" applyProtection="0"/>
    <xf numFmtId="0" fontId="25" fillId="41" borderId="0" applyNumberFormat="0" applyBorder="0" applyAlignment="0" applyProtection="0"/>
    <xf numFmtId="0" fontId="46" fillId="42" borderId="0" applyNumberFormat="0" applyBorder="0" applyAlignment="0" applyProtection="0"/>
    <xf numFmtId="0" fontId="46" fillId="43" borderId="0" applyNumberFormat="0" applyBorder="0" applyAlignment="0" applyProtection="0"/>
    <xf numFmtId="0" fontId="25" fillId="44" borderId="0" applyNumberFormat="0" applyBorder="0" applyAlignment="0" applyProtection="0"/>
    <xf numFmtId="0" fontId="25" fillId="45" borderId="0" applyNumberFormat="0" applyBorder="0" applyAlignment="0" applyProtection="0"/>
    <xf numFmtId="0" fontId="46" fillId="46" borderId="0" applyNumberFormat="0" applyBorder="0" applyAlignment="0" applyProtection="0"/>
    <xf numFmtId="0" fontId="46" fillId="47" borderId="0" applyNumberFormat="0" applyBorder="0" applyAlignment="0" applyProtection="0"/>
    <xf numFmtId="0" fontId="25" fillId="48" borderId="0" applyNumberFormat="0" applyBorder="0" applyAlignment="0" applyProtection="0"/>
    <xf numFmtId="0" fontId="25" fillId="49" borderId="0" applyNumberFormat="0" applyBorder="0" applyAlignment="0" applyProtection="0"/>
    <xf numFmtId="0" fontId="46" fillId="50" borderId="0" applyNumberFormat="0" applyBorder="0" applyAlignment="0" applyProtection="0"/>
  </cellStyleXfs>
  <cellXfs count="281">
    <xf numFmtId="0" fontId="0" fillId="0" borderId="0" xfId="0"/>
    <xf numFmtId="0" fontId="0" fillId="0" borderId="0" xfId="0" applyAlignment="1">
      <alignment horizontal="center"/>
    </xf>
    <xf numFmtId="0" fontId="0" fillId="0" borderId="0" xfId="0" applyAlignment="1">
      <alignment vertical="center"/>
    </xf>
    <xf numFmtId="0" fontId="0" fillId="0" borderId="0" xfId="0"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xf>
    <xf numFmtId="0" fontId="2" fillId="0" borderId="0" xfId="0" applyFont="1" applyAlignment="1">
      <alignment horizontal="center" vertical="center"/>
    </xf>
    <xf numFmtId="0" fontId="3" fillId="0" borderId="0" xfId="0" applyFont="1" applyAlignment="1">
      <alignment horizontal="center"/>
    </xf>
    <xf numFmtId="0" fontId="4" fillId="0" borderId="0" xfId="0" applyFont="1" applyAlignment="1">
      <alignment horizontal="center" vertical="center"/>
    </xf>
    <xf numFmtId="164" fontId="3" fillId="0" borderId="0" xfId="0" applyNumberFormat="1" applyFont="1" applyAlignment="1">
      <alignment horizontal="center"/>
    </xf>
    <xf numFmtId="0" fontId="6" fillId="0" borderId="0" xfId="0" applyFont="1" applyAlignment="1">
      <alignment horizontal="center" vertical="center"/>
    </xf>
    <xf numFmtId="0" fontId="3" fillId="0" borderId="2" xfId="0" applyFont="1" applyBorder="1" applyAlignment="1">
      <alignment horizontal="center" vertical="center"/>
    </xf>
    <xf numFmtId="0" fontId="0" fillId="0" borderId="2" xfId="0" applyBorder="1" applyAlignment="1">
      <alignment horizontal="center" vertical="center"/>
    </xf>
    <xf numFmtId="0" fontId="0" fillId="0" borderId="2" xfId="0" applyBorder="1" applyAlignment="1">
      <alignment vertical="center"/>
    </xf>
    <xf numFmtId="0" fontId="0" fillId="0" borderId="2" xfId="0" applyBorder="1"/>
    <xf numFmtId="0" fontId="7" fillId="0" borderId="2" xfId="0" applyFont="1" applyBorder="1" applyAlignment="1">
      <alignment horizontal="center" vertical="center"/>
    </xf>
    <xf numFmtId="164" fontId="1" fillId="0" borderId="0" xfId="0" applyNumberFormat="1" applyFont="1" applyAlignment="1">
      <alignment horizontal="center"/>
    </xf>
    <xf numFmtId="0" fontId="1" fillId="0" borderId="0" xfId="0" applyFont="1"/>
    <xf numFmtId="0" fontId="1" fillId="0" borderId="0" xfId="0" applyFont="1" applyAlignment="1">
      <alignment horizontal="center"/>
    </xf>
    <xf numFmtId="164" fontId="8" fillId="0" borderId="0" xfId="0" applyNumberFormat="1" applyFont="1" applyAlignment="1">
      <alignment horizontal="center" vertical="center"/>
    </xf>
    <xf numFmtId="0" fontId="8" fillId="0" borderId="0" xfId="0" applyFont="1" applyAlignment="1">
      <alignment vertical="center"/>
    </xf>
    <xf numFmtId="0" fontId="8" fillId="0" borderId="0" xfId="0" applyFont="1" applyAlignment="1">
      <alignment horizontal="center" vertical="center"/>
    </xf>
    <xf numFmtId="0" fontId="9" fillId="0" borderId="0" xfId="0" applyFont="1" applyAlignment="1">
      <alignment horizontal="center" vertical="center"/>
    </xf>
    <xf numFmtId="0" fontId="5" fillId="0" borderId="0" xfId="0" applyFont="1" applyAlignment="1">
      <alignment horizontal="center" vertical="center"/>
    </xf>
    <xf numFmtId="0" fontId="11" fillId="0" borderId="2" xfId="0" applyFont="1" applyBorder="1" applyAlignment="1">
      <alignment horizontal="center" vertical="center"/>
    </xf>
    <xf numFmtId="0" fontId="11" fillId="0" borderId="0" xfId="0" applyFont="1" applyAlignment="1">
      <alignment horizontal="center" vertical="center"/>
    </xf>
    <xf numFmtId="0" fontId="4" fillId="0" borderId="2" xfId="0" applyFont="1" applyBorder="1" applyAlignment="1">
      <alignment vertical="center"/>
    </xf>
    <xf numFmtId="0" fontId="4" fillId="0" borderId="0" xfId="0" applyFont="1" applyAlignment="1">
      <alignment vertical="center"/>
    </xf>
    <xf numFmtId="0" fontId="4" fillId="0" borderId="0" xfId="0" applyFont="1" applyAlignment="1">
      <alignment horizontal="center"/>
    </xf>
    <xf numFmtId="9" fontId="6" fillId="0" borderId="2" xfId="0" applyNumberFormat="1" applyFont="1" applyBorder="1" applyAlignment="1">
      <alignment horizontal="center" vertical="center"/>
    </xf>
    <xf numFmtId="0" fontId="14" fillId="0" borderId="0" xfId="0" applyFont="1" applyAlignment="1">
      <alignment horizontal="center" vertical="center"/>
    </xf>
    <xf numFmtId="0" fontId="13" fillId="0" borderId="0" xfId="0" applyFont="1" applyAlignment="1">
      <alignment horizontal="center" vertical="center"/>
    </xf>
    <xf numFmtId="0" fontId="11" fillId="0" borderId="0" xfId="0" applyFont="1" applyAlignment="1">
      <alignment horizontal="center"/>
    </xf>
    <xf numFmtId="0" fontId="4" fillId="0" borderId="2" xfId="0" applyFont="1" applyBorder="1"/>
    <xf numFmtId="0" fontId="4" fillId="0" borderId="0" xfId="0" applyFont="1"/>
    <xf numFmtId="164" fontId="4" fillId="0" borderId="0" xfId="0" applyNumberFormat="1" applyFont="1" applyAlignment="1">
      <alignment horizontal="center"/>
    </xf>
    <xf numFmtId="0" fontId="8" fillId="3" borderId="2" xfId="0" applyFont="1" applyFill="1" applyBorder="1" applyAlignment="1">
      <alignment horizontal="center" vertical="center"/>
    </xf>
    <xf numFmtId="2" fontId="0" fillId="0" borderId="1" xfId="0" applyNumberFormat="1" applyBorder="1" applyAlignment="1">
      <alignment horizontal="center"/>
    </xf>
    <xf numFmtId="165" fontId="0" fillId="0" borderId="1" xfId="0" applyNumberFormat="1" applyBorder="1" applyAlignment="1">
      <alignment horizontal="center"/>
    </xf>
    <xf numFmtId="0" fontId="14" fillId="0" borderId="2" xfId="0" applyFont="1" applyBorder="1" applyAlignment="1">
      <alignment horizontal="center" vertical="center"/>
    </xf>
    <xf numFmtId="164" fontId="3" fillId="0" borderId="0" xfId="0" applyNumberFormat="1" applyFont="1" applyBorder="1" applyAlignment="1">
      <alignment horizontal="center" vertical="center"/>
    </xf>
    <xf numFmtId="0" fontId="0" fillId="0" borderId="0" xfId="0" applyBorder="1"/>
    <xf numFmtId="164" fontId="8" fillId="0" borderId="0" xfId="0" applyNumberFormat="1" applyFont="1" applyBorder="1" applyAlignment="1">
      <alignment horizontal="center" vertical="center"/>
    </xf>
    <xf numFmtId="0" fontId="8" fillId="0" borderId="0" xfId="0" applyFont="1" applyBorder="1" applyAlignment="1">
      <alignment vertical="center"/>
    </xf>
    <xf numFmtId="164" fontId="1" fillId="0" borderId="0" xfId="0" applyNumberFormat="1" applyFont="1" applyBorder="1" applyAlignment="1">
      <alignment horizontal="center"/>
    </xf>
    <xf numFmtId="0" fontId="1" fillId="0" borderId="0" xfId="0" applyFont="1" applyBorder="1"/>
    <xf numFmtId="0" fontId="1" fillId="0" borderId="0" xfId="0" applyFont="1" applyBorder="1" applyAlignment="1">
      <alignment horizontal="center"/>
    </xf>
    <xf numFmtId="0" fontId="16" fillId="0" borderId="2" xfId="0" applyFont="1" applyBorder="1" applyAlignment="1" applyProtection="1">
      <alignment horizontal="center" vertical="center"/>
      <protection locked="0"/>
    </xf>
    <xf numFmtId="0" fontId="5" fillId="0" borderId="2" xfId="0" applyFont="1" applyBorder="1" applyAlignment="1">
      <alignment horizontal="center" vertical="center"/>
    </xf>
    <xf numFmtId="0" fontId="2" fillId="0" borderId="2" xfId="0" applyFont="1" applyBorder="1" applyAlignment="1">
      <alignment horizontal="center" vertical="center"/>
    </xf>
    <xf numFmtId="0" fontId="11" fillId="0" borderId="0" xfId="0" applyFont="1" applyBorder="1"/>
    <xf numFmtId="0" fontId="18" fillId="0" borderId="0" xfId="0" applyFont="1" applyBorder="1" applyAlignment="1">
      <alignment vertical="center"/>
    </xf>
    <xf numFmtId="0" fontId="11" fillId="0" borderId="0" xfId="0" applyFont="1"/>
    <xf numFmtId="0" fontId="21" fillId="0" borderId="0" xfId="0" applyFont="1" applyAlignment="1">
      <alignment horizontal="center" vertical="center"/>
    </xf>
    <xf numFmtId="0" fontId="19" fillId="0" borderId="0" xfId="0" applyFont="1" applyAlignment="1">
      <alignment horizontal="center" vertical="center"/>
    </xf>
    <xf numFmtId="0" fontId="11" fillId="4" borderId="2" xfId="0" applyFont="1" applyFill="1" applyBorder="1" applyAlignment="1">
      <alignment horizontal="center" vertical="center"/>
    </xf>
    <xf numFmtId="0" fontId="11" fillId="4" borderId="0" xfId="0" applyFont="1" applyFill="1" applyAlignment="1">
      <alignment horizontal="center" vertical="center"/>
    </xf>
    <xf numFmtId="0" fontId="22" fillId="0" borderId="0" xfId="0" applyFont="1" applyAlignment="1">
      <alignment horizontal="center" vertical="center"/>
    </xf>
    <xf numFmtId="0" fontId="22" fillId="0" borderId="2" xfId="0" applyFont="1" applyBorder="1" applyAlignment="1">
      <alignment horizontal="center" vertical="center"/>
    </xf>
    <xf numFmtId="164" fontId="11" fillId="0" borderId="2" xfId="0" applyNumberFormat="1" applyFont="1" applyBorder="1" applyAlignment="1">
      <alignment horizontal="center" vertical="center"/>
    </xf>
    <xf numFmtId="0" fontId="11" fillId="0" borderId="0" xfId="0" applyFont="1" applyBorder="1" applyAlignment="1">
      <alignment horizontal="center" vertical="center"/>
    </xf>
    <xf numFmtId="0" fontId="11" fillId="0" borderId="0" xfId="0" applyFont="1" applyBorder="1" applyAlignment="1">
      <alignment horizontal="center"/>
    </xf>
    <xf numFmtId="0" fontId="11" fillId="5" borderId="2" xfId="0" applyFont="1" applyFill="1" applyBorder="1" applyAlignment="1">
      <alignment horizontal="center" vertical="center"/>
    </xf>
    <xf numFmtId="0" fontId="11" fillId="5" borderId="2" xfId="0" applyFont="1" applyFill="1" applyBorder="1" applyAlignment="1">
      <alignment vertical="center"/>
    </xf>
    <xf numFmtId="0" fontId="11" fillId="5" borderId="2" xfId="0" applyFont="1" applyFill="1" applyBorder="1" applyAlignment="1">
      <alignment horizontal="center"/>
    </xf>
    <xf numFmtId="0" fontId="11" fillId="0" borderId="2" xfId="0" applyFont="1" applyBorder="1" applyAlignment="1">
      <alignment horizontal="center"/>
    </xf>
    <xf numFmtId="0" fontId="11" fillId="0" borderId="2" xfId="0" applyFont="1" applyBorder="1"/>
    <xf numFmtId="0" fontId="11" fillId="4" borderId="3" xfId="0" applyFont="1" applyFill="1" applyBorder="1" applyAlignment="1">
      <alignment horizontal="center" vertical="center"/>
    </xf>
    <xf numFmtId="0" fontId="19" fillId="0" borderId="3" xfId="0" applyFont="1" applyBorder="1" applyAlignment="1">
      <alignment horizontal="center" vertical="center"/>
    </xf>
    <xf numFmtId="166" fontId="11" fillId="0" borderId="2" xfId="0" applyNumberFormat="1" applyFont="1" applyBorder="1" applyAlignment="1">
      <alignment horizontal="center" vertical="center"/>
    </xf>
    <xf numFmtId="0" fontId="22" fillId="0" borderId="11" xfId="0" applyFont="1" applyBorder="1" applyAlignment="1">
      <alignment horizontal="center" vertical="center"/>
    </xf>
    <xf numFmtId="0" fontId="11" fillId="0" borderId="5" xfId="0" applyFont="1" applyBorder="1" applyAlignment="1">
      <alignment horizontal="center" vertical="center"/>
    </xf>
    <xf numFmtId="0" fontId="16" fillId="0" borderId="2" xfId="0" applyFont="1" applyFill="1" applyBorder="1" applyAlignment="1" applyProtection="1">
      <alignment horizontal="center" vertical="center"/>
      <protection locked="0"/>
    </xf>
    <xf numFmtId="0" fontId="16" fillId="0" borderId="12" xfId="0" applyFont="1" applyFill="1" applyBorder="1" applyAlignment="1" applyProtection="1">
      <alignment horizontal="center" vertical="center"/>
      <protection locked="0"/>
    </xf>
    <xf numFmtId="0" fontId="24" fillId="0" borderId="2" xfId="0" applyFont="1" applyBorder="1" applyAlignment="1">
      <alignment horizontal="center" vertical="center"/>
    </xf>
    <xf numFmtId="0" fontId="23" fillId="0" borderId="2" xfId="0" applyFont="1" applyFill="1" applyBorder="1" applyAlignment="1" applyProtection="1">
      <alignment horizontal="center" vertical="center"/>
      <protection locked="0"/>
    </xf>
    <xf numFmtId="0" fontId="23" fillId="0" borderId="2" xfId="0" applyFont="1" applyBorder="1" applyAlignment="1" applyProtection="1">
      <alignment horizontal="center" vertical="center"/>
      <protection locked="0"/>
    </xf>
    <xf numFmtId="0" fontId="3" fillId="0" borderId="0" xfId="0" applyFont="1"/>
    <xf numFmtId="9" fontId="4" fillId="0" borderId="2" xfId="0" applyNumberFormat="1" applyFont="1" applyBorder="1" applyAlignment="1">
      <alignment horizontal="center" vertical="center"/>
    </xf>
    <xf numFmtId="0" fontId="4" fillId="0" borderId="5" xfId="0" applyFont="1" applyBorder="1" applyAlignment="1">
      <alignment horizontal="center" vertical="center"/>
    </xf>
    <xf numFmtId="0" fontId="3" fillId="0" borderId="2" xfId="0" applyFont="1" applyBorder="1"/>
    <xf numFmtId="1" fontId="23" fillId="0" borderId="2" xfId="0" applyNumberFormat="1" applyFont="1" applyBorder="1" applyAlignment="1" applyProtection="1">
      <alignment horizontal="center" vertical="center"/>
      <protection locked="0"/>
    </xf>
    <xf numFmtId="1" fontId="23" fillId="0" borderId="2" xfId="0" applyNumberFormat="1" applyFont="1" applyFill="1" applyBorder="1" applyAlignment="1" applyProtection="1">
      <alignment horizontal="center" vertical="center"/>
      <protection locked="0"/>
    </xf>
    <xf numFmtId="0" fontId="1" fillId="0" borderId="0" xfId="0" applyFont="1" applyAlignment="1">
      <alignment horizontal="center" vertical="center"/>
    </xf>
    <xf numFmtId="0" fontId="1" fillId="0" borderId="2" xfId="1" applyNumberFormat="1" applyFont="1" applyBorder="1" applyAlignment="1">
      <alignment horizontal="center" vertical="center"/>
    </xf>
    <xf numFmtId="167" fontId="26" fillId="0" borderId="2" xfId="1" applyNumberFormat="1" applyFont="1" applyBorder="1" applyAlignment="1" applyProtection="1">
      <alignment horizontal="center" vertical="center" wrapText="1"/>
      <protection locked="0"/>
    </xf>
    <xf numFmtId="167" fontId="1" fillId="0" borderId="2" xfId="1" applyNumberFormat="1" applyFont="1" applyBorder="1" applyAlignment="1">
      <alignment horizontal="center" vertical="center"/>
    </xf>
    <xf numFmtId="167" fontId="1" fillId="0" borderId="0" xfId="1" applyNumberFormat="1" applyFont="1" applyBorder="1" applyAlignment="1">
      <alignment horizontal="center" vertical="center"/>
    </xf>
    <xf numFmtId="167" fontId="26" fillId="0" borderId="2" xfId="1" applyNumberFormat="1" applyFont="1" applyBorder="1" applyAlignment="1" applyProtection="1">
      <alignment horizontal="center" vertical="center"/>
      <protection locked="0"/>
    </xf>
    <xf numFmtId="16" fontId="1" fillId="0" borderId="2" xfId="1" applyNumberFormat="1" applyFont="1" applyBorder="1" applyAlignment="1">
      <alignment horizontal="center" vertical="center"/>
    </xf>
    <xf numFmtId="167" fontId="1" fillId="0" borderId="2" xfId="1" applyNumberFormat="1" applyFont="1" applyBorder="1" applyAlignment="1">
      <alignment horizontal="center"/>
    </xf>
    <xf numFmtId="167" fontId="1" fillId="2" borderId="2" xfId="1" applyNumberFormat="1" applyFont="1" applyFill="1" applyBorder="1" applyAlignment="1">
      <alignment horizontal="center"/>
    </xf>
    <xf numFmtId="167" fontId="1" fillId="18" borderId="2" xfId="1" applyNumberFormat="1" applyFont="1" applyFill="1" applyBorder="1" applyAlignment="1">
      <alignment horizontal="center"/>
    </xf>
    <xf numFmtId="167" fontId="1" fillId="0" borderId="0" xfId="0" applyNumberFormat="1" applyFont="1" applyAlignment="1">
      <alignment horizontal="center"/>
    </xf>
    <xf numFmtId="167" fontId="1" fillId="2" borderId="0" xfId="0" applyNumberFormat="1" applyFont="1" applyFill="1" applyAlignment="1">
      <alignment horizontal="center"/>
    </xf>
    <xf numFmtId="1" fontId="7" fillId="0" borderId="2" xfId="0" applyNumberFormat="1" applyFont="1" applyBorder="1" applyAlignment="1">
      <alignment horizontal="center" vertical="center"/>
    </xf>
    <xf numFmtId="1" fontId="9" fillId="0" borderId="2" xfId="0" applyNumberFormat="1" applyFont="1" applyBorder="1" applyAlignment="1">
      <alignment horizontal="center" vertical="center"/>
    </xf>
    <xf numFmtId="0" fontId="28" fillId="0" borderId="2" xfId="0" applyFont="1" applyBorder="1" applyAlignment="1" applyProtection="1">
      <alignment horizontal="center" vertical="center"/>
      <protection locked="0"/>
    </xf>
    <xf numFmtId="0" fontId="28" fillId="0" borderId="2" xfId="0" applyFont="1" applyFill="1" applyBorder="1" applyAlignment="1" applyProtection="1">
      <alignment horizontal="center" vertical="center"/>
      <protection locked="0"/>
    </xf>
    <xf numFmtId="0" fontId="16" fillId="4" borderId="2" xfId="0" applyFont="1" applyFill="1" applyBorder="1" applyAlignment="1" applyProtection="1">
      <alignment horizontal="center" vertical="center"/>
      <protection locked="0"/>
    </xf>
    <xf numFmtId="1" fontId="0" fillId="0" borderId="1" xfId="0" applyNumberFormat="1" applyBorder="1" applyAlignment="1">
      <alignment horizontal="center"/>
    </xf>
    <xf numFmtId="1" fontId="0" fillId="0" borderId="13" xfId="0" applyNumberFormat="1" applyFill="1" applyBorder="1" applyAlignment="1" applyProtection="1">
      <alignment horizontal="center"/>
      <protection locked="0"/>
    </xf>
    <xf numFmtId="0" fontId="29" fillId="0" borderId="2" xfId="0" applyFont="1" applyBorder="1" applyAlignment="1" applyProtection="1">
      <alignment horizontal="center" vertical="center"/>
      <protection locked="0"/>
    </xf>
    <xf numFmtId="1" fontId="8" fillId="3" borderId="2" xfId="0" applyNumberFormat="1" applyFont="1" applyFill="1" applyBorder="1" applyAlignment="1">
      <alignment horizontal="center" vertical="center"/>
    </xf>
    <xf numFmtId="1" fontId="4" fillId="0" borderId="2" xfId="0" applyNumberFormat="1" applyFont="1" applyBorder="1" applyAlignment="1">
      <alignment horizontal="center" vertical="center"/>
    </xf>
    <xf numFmtId="1" fontId="7" fillId="0" borderId="8" xfId="0" applyNumberFormat="1" applyFont="1" applyBorder="1" applyAlignment="1">
      <alignment horizontal="center" vertical="center"/>
    </xf>
    <xf numFmtId="0" fontId="4" fillId="0" borderId="2"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2" fillId="0" borderId="5" xfId="0" applyFont="1" applyBorder="1" applyAlignment="1">
      <alignment horizontal="center" vertical="center"/>
    </xf>
    <xf numFmtId="0" fontId="9" fillId="0" borderId="2" xfId="0" applyFont="1" applyBorder="1" applyAlignment="1">
      <alignment horizontal="center" vertical="center"/>
    </xf>
    <xf numFmtId="0" fontId="1" fillId="0" borderId="2" xfId="0" applyFont="1" applyBorder="1" applyAlignment="1">
      <alignment horizontal="center" vertical="center"/>
    </xf>
    <xf numFmtId="0" fontId="19" fillId="0" borderId="2" xfId="0" applyFont="1" applyBorder="1" applyAlignment="1">
      <alignment horizontal="center" vertical="center"/>
    </xf>
    <xf numFmtId="0" fontId="0" fillId="0" borderId="0" xfId="0" applyAlignment="1">
      <alignment horizontal="center" vertical="center"/>
    </xf>
    <xf numFmtId="0" fontId="0" fillId="0" borderId="14" xfId="0" applyBorder="1" applyAlignment="1">
      <alignment horizontal="center" vertical="center"/>
    </xf>
    <xf numFmtId="0" fontId="0" fillId="0" borderId="14" xfId="0" applyBorder="1" applyAlignment="1">
      <alignment horizontal="center"/>
    </xf>
    <xf numFmtId="1" fontId="0" fillId="0" borderId="2" xfId="0" applyNumberFormat="1" applyBorder="1" applyAlignment="1">
      <alignment horizontal="center"/>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18" xfId="0" applyBorder="1" applyAlignment="1">
      <alignment horizontal="center" vertical="center" wrapText="1"/>
    </xf>
    <xf numFmtId="1" fontId="0" fillId="0" borderId="20" xfId="0" applyNumberFormat="1" applyBorder="1" applyAlignment="1">
      <alignment horizontal="center"/>
    </xf>
    <xf numFmtId="0" fontId="0" fillId="19" borderId="17" xfId="0" applyFill="1" applyBorder="1" applyAlignment="1">
      <alignment horizontal="center" vertical="center"/>
    </xf>
    <xf numFmtId="1" fontId="0" fillId="19" borderId="19" xfId="0" applyNumberFormat="1" applyFill="1" applyBorder="1" applyAlignment="1">
      <alignment horizontal="center"/>
    </xf>
    <xf numFmtId="1" fontId="0" fillId="19" borderId="21" xfId="0" applyNumberFormat="1" applyFill="1" applyBorder="1" applyAlignment="1">
      <alignment horizontal="center"/>
    </xf>
    <xf numFmtId="0" fontId="0" fillId="19" borderId="22" xfId="0" applyFill="1" applyBorder="1" applyAlignment="1">
      <alignment horizontal="center" vertical="center"/>
    </xf>
    <xf numFmtId="0" fontId="0" fillId="19" borderId="3" xfId="0" applyFill="1" applyBorder="1" applyAlignment="1">
      <alignment horizontal="center" vertical="center" wrapText="1"/>
    </xf>
    <xf numFmtId="1" fontId="0" fillId="19" borderId="3" xfId="0" applyNumberFormat="1" applyFill="1" applyBorder="1" applyAlignment="1">
      <alignment horizontal="center"/>
    </xf>
    <xf numFmtId="1" fontId="0" fillId="19" borderId="23" xfId="0" applyNumberFormat="1" applyFill="1" applyBorder="1" applyAlignment="1">
      <alignment horizontal="center"/>
    </xf>
    <xf numFmtId="0" fontId="0" fillId="0" borderId="13" xfId="0" applyBorder="1" applyProtection="1">
      <protection locked="0"/>
    </xf>
    <xf numFmtId="0" fontId="0" fillId="0" borderId="13" xfId="0" applyBorder="1" applyAlignment="1" applyProtection="1">
      <alignment horizontal="center"/>
      <protection locked="0"/>
    </xf>
    <xf numFmtId="0" fontId="0" fillId="0" borderId="13" xfId="0" quotePrefix="1" applyBorder="1" applyAlignment="1" applyProtection="1">
      <alignment horizontal="center"/>
      <protection locked="0"/>
    </xf>
    <xf numFmtId="0" fontId="0" fillId="0" borderId="13" xfId="0" quotePrefix="1" applyBorder="1" applyProtection="1">
      <protection locked="0"/>
    </xf>
    <xf numFmtId="0" fontId="0" fillId="0" borderId="25" xfId="0" applyBorder="1" applyAlignment="1" applyProtection="1">
      <alignment horizontal="center"/>
      <protection locked="0"/>
    </xf>
    <xf numFmtId="0" fontId="0" fillId="0" borderId="28" xfId="0" applyBorder="1" applyProtection="1">
      <protection locked="0"/>
    </xf>
    <xf numFmtId="0" fontId="0" fillId="0" borderId="29" xfId="0" applyBorder="1" applyAlignment="1" applyProtection="1">
      <alignment horizontal="center"/>
      <protection locked="0"/>
    </xf>
    <xf numFmtId="0" fontId="0" fillId="0" borderId="30" xfId="0" applyBorder="1" applyAlignment="1" applyProtection="1">
      <alignment horizontal="center"/>
      <protection locked="0"/>
    </xf>
    <xf numFmtId="0" fontId="0" fillId="0" borderId="24" xfId="0" applyBorder="1" applyAlignment="1" applyProtection="1">
      <alignment horizontal="center"/>
      <protection locked="0"/>
    </xf>
    <xf numFmtId="0" fontId="0" fillId="0" borderId="28" xfId="0" quotePrefix="1" applyBorder="1" applyProtection="1">
      <protection locked="0"/>
    </xf>
    <xf numFmtId="0" fontId="0" fillId="0" borderId="31" xfId="0" applyBorder="1" applyAlignment="1" applyProtection="1">
      <alignment horizontal="center"/>
      <protection locked="0"/>
    </xf>
    <xf numFmtId="0" fontId="0" fillId="0" borderId="32" xfId="0" applyBorder="1" applyAlignment="1" applyProtection="1">
      <alignment horizontal="center"/>
      <protection locked="0"/>
    </xf>
    <xf numFmtId="0" fontId="0" fillId="0" borderId="3" xfId="0" applyBorder="1" applyAlignment="1">
      <alignment horizontal="center" vertical="center" wrapText="1"/>
    </xf>
    <xf numFmtId="0" fontId="0" fillId="0" borderId="2" xfId="0" applyBorder="1" applyAlignment="1">
      <alignment horizontal="center" vertical="center" wrapText="1"/>
    </xf>
    <xf numFmtId="164" fontId="3" fillId="4" borderId="2" xfId="0" applyNumberFormat="1" applyFont="1" applyFill="1" applyBorder="1" applyAlignment="1">
      <alignment horizontal="center" vertical="center"/>
    </xf>
    <xf numFmtId="0" fontId="0" fillId="4" borderId="0" xfId="0" applyFill="1" applyBorder="1"/>
    <xf numFmtId="0" fontId="0" fillId="4" borderId="0" xfId="0" applyFill="1"/>
    <xf numFmtId="0" fontId="0" fillId="0" borderId="0" xfId="0" applyAlignment="1">
      <alignment horizontal="center" vertical="center" wrapText="1"/>
    </xf>
    <xf numFmtId="1" fontId="0" fillId="0" borderId="44" xfId="0" applyNumberFormat="1" applyBorder="1" applyAlignment="1">
      <alignment horizontal="center"/>
    </xf>
    <xf numFmtId="1" fontId="0" fillId="0" borderId="45" xfId="0" applyNumberFormat="1" applyBorder="1" applyAlignment="1">
      <alignment horizontal="center"/>
    </xf>
    <xf numFmtId="169" fontId="0" fillId="0" borderId="2" xfId="0" applyNumberFormat="1" applyBorder="1" applyAlignment="1">
      <alignment horizontal="center"/>
    </xf>
    <xf numFmtId="169" fontId="0" fillId="0" borderId="20" xfId="0" applyNumberFormat="1" applyBorder="1" applyAlignment="1">
      <alignment horizontal="center"/>
    </xf>
    <xf numFmtId="0" fontId="0" fillId="19" borderId="19" xfId="0" applyFill="1" applyBorder="1" applyAlignment="1">
      <alignment horizontal="center" vertical="center" wrapText="1"/>
    </xf>
    <xf numFmtId="0" fontId="0" fillId="0" borderId="44" xfId="0" applyBorder="1" applyAlignment="1">
      <alignment horizontal="center" vertical="center" wrapText="1"/>
    </xf>
    <xf numFmtId="0" fontId="0" fillId="0" borderId="52" xfId="0" applyBorder="1" applyAlignment="1" applyProtection="1">
      <alignment horizontal="center"/>
      <protection locked="0"/>
    </xf>
    <xf numFmtId="1" fontId="0" fillId="0" borderId="51" xfId="0" applyNumberFormat="1" applyBorder="1" applyAlignment="1">
      <alignment horizontal="center"/>
    </xf>
    <xf numFmtId="0" fontId="0" fillId="0" borderId="50" xfId="0" applyBorder="1" applyAlignment="1" applyProtection="1">
      <alignment horizontal="center"/>
      <protection locked="0"/>
    </xf>
    <xf numFmtId="168" fontId="0" fillId="0" borderId="31" xfId="2" applyNumberFormat="1" applyFont="1" applyFill="1" applyBorder="1" applyAlignment="1" applyProtection="1">
      <alignment horizontal="center"/>
      <protection locked="0"/>
    </xf>
    <xf numFmtId="0" fontId="0" fillId="0" borderId="50" xfId="0" applyBorder="1" applyAlignment="1" applyProtection="1">
      <alignment horizontal="center" vertical="center"/>
      <protection locked="0"/>
    </xf>
    <xf numFmtId="168" fontId="0" fillId="0" borderId="49" xfId="0" applyNumberFormat="1" applyBorder="1" applyAlignment="1">
      <alignment horizontal="center" vertical="center"/>
    </xf>
    <xf numFmtId="0" fontId="28" fillId="0" borderId="4" xfId="0" applyFont="1" applyFill="1" applyBorder="1" applyAlignment="1" applyProtection="1">
      <alignment horizontal="center" vertical="center"/>
      <protection locked="0"/>
    </xf>
    <xf numFmtId="0" fontId="29" fillId="0" borderId="4" xfId="0" applyFont="1" applyBorder="1" applyAlignment="1" applyProtection="1">
      <alignment horizontal="center" vertical="center"/>
      <protection locked="0"/>
    </xf>
    <xf numFmtId="0" fontId="28" fillId="0" borderId="4" xfId="0" applyFont="1" applyBorder="1" applyAlignment="1" applyProtection="1">
      <alignment horizontal="center" vertical="center"/>
      <protection locked="0"/>
    </xf>
    <xf numFmtId="0" fontId="25" fillId="0" borderId="31" xfId="2" applyNumberFormat="1" applyFont="1" applyFill="1" applyBorder="1" applyAlignment="1" applyProtection="1">
      <alignment horizontal="center"/>
      <protection locked="0"/>
    </xf>
    <xf numFmtId="168" fontId="0" fillId="0" borderId="33" xfId="2" applyNumberFormat="1" applyFont="1" applyFill="1" applyBorder="1" applyAlignment="1" applyProtection="1">
      <alignment horizontal="center"/>
      <protection locked="0"/>
    </xf>
    <xf numFmtId="0" fontId="47" fillId="0" borderId="2" xfId="0" applyFont="1" applyBorder="1" applyAlignment="1" applyProtection="1">
      <alignment horizontal="center" vertical="center"/>
      <protection locked="0"/>
    </xf>
    <xf numFmtId="169" fontId="48" fillId="0" borderId="2" xfId="0" applyNumberFormat="1" applyFont="1" applyBorder="1" applyAlignment="1">
      <alignment horizontal="center"/>
    </xf>
    <xf numFmtId="1" fontId="8" fillId="0" borderId="8" xfId="0" applyNumberFormat="1" applyFont="1" applyBorder="1" applyAlignment="1">
      <alignment horizontal="center" vertical="center"/>
    </xf>
    <xf numFmtId="1" fontId="4" fillId="4" borderId="2" xfId="0" applyNumberFormat="1" applyFont="1" applyFill="1" applyBorder="1" applyAlignment="1">
      <alignment horizontal="center" vertical="center"/>
    </xf>
    <xf numFmtId="1" fontId="0" fillId="4" borderId="44" xfId="0" applyNumberFormat="1" applyFill="1" applyBorder="1" applyAlignment="1">
      <alignment horizontal="center"/>
    </xf>
    <xf numFmtId="1" fontId="0" fillId="4" borderId="2" xfId="0" applyNumberFormat="1" applyFill="1" applyBorder="1" applyAlignment="1">
      <alignment horizontal="center"/>
    </xf>
    <xf numFmtId="0" fontId="0" fillId="4" borderId="13" xfId="0" applyFill="1" applyBorder="1" applyProtection="1">
      <protection locked="0"/>
    </xf>
    <xf numFmtId="0" fontId="0" fillId="4" borderId="28" xfId="0" quotePrefix="1" applyFill="1" applyBorder="1" applyProtection="1">
      <protection locked="0"/>
    </xf>
    <xf numFmtId="0" fontId="0" fillId="4" borderId="31" xfId="0" applyFill="1" applyBorder="1" applyAlignment="1" applyProtection="1">
      <alignment horizontal="center"/>
      <protection locked="0"/>
    </xf>
    <xf numFmtId="0" fontId="0" fillId="4" borderId="32" xfId="0" applyFill="1" applyBorder="1" applyAlignment="1" applyProtection="1">
      <alignment horizontal="center"/>
      <protection locked="0"/>
    </xf>
    <xf numFmtId="0" fontId="0" fillId="4" borderId="24" xfId="0" applyFill="1" applyBorder="1" applyAlignment="1" applyProtection="1">
      <alignment horizontal="center"/>
      <protection locked="0"/>
    </xf>
    <xf numFmtId="0" fontId="0" fillId="4" borderId="0" xfId="0" applyFill="1" applyAlignment="1">
      <alignment vertical="center"/>
    </xf>
    <xf numFmtId="0" fontId="0" fillId="4" borderId="33" xfId="0" applyFill="1" applyBorder="1" applyAlignment="1" applyProtection="1">
      <alignment horizontal="center"/>
      <protection locked="0"/>
    </xf>
    <xf numFmtId="0" fontId="0" fillId="4" borderId="34" xfId="0" applyFill="1" applyBorder="1" applyAlignment="1" applyProtection="1">
      <alignment horizontal="center"/>
      <protection locked="0"/>
    </xf>
    <xf numFmtId="1" fontId="24" fillId="0" borderId="2" xfId="0" applyNumberFormat="1" applyFont="1" applyBorder="1" applyAlignment="1">
      <alignment horizontal="center" vertical="center"/>
    </xf>
    <xf numFmtId="0" fontId="45" fillId="0" borderId="2" xfId="0" applyFont="1" applyBorder="1" applyAlignment="1">
      <alignment horizontal="center" vertical="center"/>
    </xf>
    <xf numFmtId="0" fontId="49" fillId="0" borderId="2" xfId="0" applyFont="1" applyBorder="1" applyAlignment="1">
      <alignment horizontal="center" vertical="center"/>
    </xf>
    <xf numFmtId="0" fontId="45" fillId="0" borderId="2" xfId="0" applyFont="1" applyBorder="1" applyAlignment="1">
      <alignment horizontal="center" vertical="center" wrapText="1"/>
    </xf>
    <xf numFmtId="2" fontId="49" fillId="0" borderId="2" xfId="0" applyNumberFormat="1" applyFont="1" applyBorder="1" applyAlignment="1">
      <alignment horizontal="center" vertical="center" wrapText="1"/>
    </xf>
    <xf numFmtId="0" fontId="49" fillId="0" borderId="2" xfId="0" applyFont="1" applyBorder="1" applyAlignment="1">
      <alignment horizontal="center" vertical="center" wrapText="1"/>
    </xf>
    <xf numFmtId="0" fontId="50" fillId="0" borderId="2" xfId="0" applyFont="1" applyBorder="1" applyAlignment="1">
      <alignment horizontal="center"/>
    </xf>
    <xf numFmtId="0" fontId="45" fillId="0" borderId="2" xfId="0" applyFont="1" applyBorder="1" applyAlignment="1">
      <alignment horizontal="center"/>
    </xf>
    <xf numFmtId="0" fontId="49" fillId="0" borderId="2" xfId="0" applyFont="1" applyBorder="1" applyAlignment="1">
      <alignment horizontal="center"/>
    </xf>
    <xf numFmtId="2" fontId="43" fillId="0" borderId="2" xfId="0" applyNumberFormat="1" applyFont="1" applyBorder="1" applyAlignment="1">
      <alignment horizontal="center"/>
    </xf>
    <xf numFmtId="170" fontId="43" fillId="0" borderId="2" xfId="0" applyNumberFormat="1" applyFont="1" applyBorder="1" applyAlignment="1">
      <alignment horizontal="center"/>
    </xf>
    <xf numFmtId="1" fontId="16" fillId="0" borderId="2" xfId="0" applyNumberFormat="1" applyFont="1" applyBorder="1" applyAlignment="1" applyProtection="1">
      <alignment horizontal="center" vertical="center"/>
      <protection locked="0"/>
    </xf>
    <xf numFmtId="168" fontId="0" fillId="0" borderId="0" xfId="0" applyNumberFormat="1" applyAlignment="1">
      <alignment horizontal="center"/>
    </xf>
    <xf numFmtId="1" fontId="23" fillId="4" borderId="2" xfId="0" applyNumberFormat="1" applyFont="1" applyFill="1" applyBorder="1" applyAlignment="1" applyProtection="1">
      <alignment horizontal="center" vertical="center"/>
      <protection locked="0"/>
    </xf>
    <xf numFmtId="0" fontId="8" fillId="0" borderId="0" xfId="0" applyFont="1"/>
    <xf numFmtId="0" fontId="0" fillId="0" borderId="46" xfId="0" applyBorder="1" applyAlignment="1">
      <alignment horizontal="center" vertical="center"/>
    </xf>
    <xf numFmtId="0" fontId="0" fillId="0" borderId="47" xfId="0" applyBorder="1" applyAlignment="1">
      <alignment horizontal="center" vertical="center"/>
    </xf>
    <xf numFmtId="0" fontId="0" fillId="0" borderId="48" xfId="0" applyBorder="1" applyAlignment="1">
      <alignment horizontal="center" vertical="center"/>
    </xf>
    <xf numFmtId="0" fontId="0" fillId="0" borderId="26" xfId="0" applyBorder="1" applyAlignment="1" applyProtection="1">
      <alignment horizontal="center"/>
      <protection locked="0"/>
    </xf>
    <xf numFmtId="0" fontId="0" fillId="0" borderId="27" xfId="0" applyBorder="1" applyAlignment="1" applyProtection="1">
      <alignment horizontal="center"/>
      <protection locked="0"/>
    </xf>
    <xf numFmtId="0" fontId="4" fillId="0" borderId="2"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5" fillId="0" borderId="3" xfId="0" applyFont="1" applyBorder="1" applyAlignment="1">
      <alignment horizontal="center" vertical="center"/>
    </xf>
    <xf numFmtId="0" fontId="5" fillId="0" borderId="5" xfId="0" applyFont="1" applyBorder="1" applyAlignment="1">
      <alignment horizontal="center" vertical="center"/>
    </xf>
    <xf numFmtId="0" fontId="5" fillId="0" borderId="4" xfId="0" applyFont="1" applyBorder="1" applyAlignment="1">
      <alignment horizontal="center" vertical="center"/>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0" fillId="0" borderId="4" xfId="0" applyBorder="1" applyAlignment="1">
      <alignment horizontal="center" vertical="center" wrapText="1"/>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5" xfId="0" applyFont="1" applyBorder="1" applyAlignment="1">
      <alignment horizontal="center" vertical="center"/>
    </xf>
    <xf numFmtId="0" fontId="2" fillId="0" borderId="5" xfId="0" applyFont="1" applyBorder="1" applyAlignment="1">
      <alignment horizontal="center" vertical="center"/>
    </xf>
    <xf numFmtId="0" fontId="6" fillId="0" borderId="3" xfId="0" applyFont="1" applyBorder="1" applyAlignment="1">
      <alignment horizontal="center" vertical="center"/>
    </xf>
    <xf numFmtId="0" fontId="6" fillId="0" borderId="5" xfId="0" applyFont="1" applyBorder="1" applyAlignment="1">
      <alignment horizontal="center" vertical="center"/>
    </xf>
    <xf numFmtId="0" fontId="6" fillId="0" borderId="4" xfId="0" applyFont="1" applyBorder="1" applyAlignment="1">
      <alignment horizontal="center" vertical="center"/>
    </xf>
    <xf numFmtId="0" fontId="12" fillId="2" borderId="3" xfId="0" applyFont="1" applyFill="1" applyBorder="1" applyAlignment="1" applyProtection="1">
      <alignment horizontal="center" vertical="center" wrapText="1"/>
    </xf>
    <xf numFmtId="0" fontId="12" fillId="2" borderId="4" xfId="0" applyFont="1" applyFill="1" applyBorder="1" applyAlignment="1" applyProtection="1">
      <alignment horizontal="center" vertical="center" wrapText="1"/>
    </xf>
    <xf numFmtId="0" fontId="15" fillId="6" borderId="3" xfId="0" applyFont="1" applyFill="1" applyBorder="1" applyAlignment="1" applyProtection="1">
      <alignment horizontal="center" vertical="center" wrapText="1"/>
    </xf>
    <xf numFmtId="0" fontId="15" fillId="6" borderId="4" xfId="0" applyFont="1" applyFill="1" applyBorder="1" applyAlignment="1" applyProtection="1">
      <alignment horizontal="center" vertical="center" wrapText="1"/>
    </xf>
    <xf numFmtId="0" fontId="15" fillId="0" borderId="3" xfId="0" applyFont="1" applyBorder="1" applyAlignment="1" applyProtection="1">
      <alignment horizontal="center" vertical="center" wrapText="1"/>
    </xf>
    <xf numFmtId="0" fontId="15" fillId="0" borderId="4" xfId="0" applyFont="1" applyBorder="1" applyAlignment="1" applyProtection="1">
      <alignment horizontal="center" vertical="center" wrapText="1"/>
    </xf>
    <xf numFmtId="0" fontId="15" fillId="0" borderId="3" xfId="0" applyFont="1" applyFill="1" applyBorder="1" applyAlignment="1" applyProtection="1">
      <alignment horizontal="center" vertical="center" wrapText="1"/>
    </xf>
    <xf numFmtId="0" fontId="15" fillId="0" borderId="4" xfId="0" applyFont="1" applyFill="1" applyBorder="1" applyAlignment="1" applyProtection="1">
      <alignment horizontal="center" vertical="center" wrapText="1"/>
    </xf>
    <xf numFmtId="0" fontId="14" fillId="0" borderId="3" xfId="0" applyFont="1" applyBorder="1" applyAlignment="1">
      <alignment horizontal="center" vertical="center"/>
    </xf>
    <xf numFmtId="0" fontId="14" fillId="0" borderId="5" xfId="0" applyFont="1" applyBorder="1" applyAlignment="1">
      <alignment horizontal="center" vertical="center"/>
    </xf>
    <xf numFmtId="0" fontId="14" fillId="0" borderId="4" xfId="0" applyFont="1" applyBorder="1" applyAlignment="1">
      <alignment horizontal="center" vertical="center"/>
    </xf>
    <xf numFmtId="0" fontId="13" fillId="2" borderId="3"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10" fillId="0" borderId="3" xfId="0" applyFont="1" applyFill="1" applyBorder="1" applyAlignment="1">
      <alignment horizontal="center" vertical="center" wrapText="1"/>
    </xf>
    <xf numFmtId="0" fontId="10" fillId="0" borderId="4" xfId="0" applyFont="1" applyFill="1" applyBorder="1" applyAlignment="1">
      <alignment horizontal="center" vertical="center"/>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10" fillId="0" borderId="3" xfId="0" applyFont="1" applyBorder="1" applyAlignment="1">
      <alignment horizontal="center" vertical="center"/>
    </xf>
    <xf numFmtId="0" fontId="10" fillId="0" borderId="4" xfId="0" applyFont="1" applyBorder="1" applyAlignment="1">
      <alignment horizontal="center" vertical="center"/>
    </xf>
    <xf numFmtId="0" fontId="10" fillId="0" borderId="3" xfId="0" applyFont="1" applyBorder="1" applyAlignment="1">
      <alignment horizontal="center" vertical="center" wrapText="1"/>
    </xf>
    <xf numFmtId="0" fontId="6" fillId="6" borderId="2" xfId="0" applyFont="1" applyFill="1" applyBorder="1" applyAlignment="1">
      <alignment horizontal="center" vertical="center"/>
    </xf>
    <xf numFmtId="0" fontId="5" fillId="0" borderId="2" xfId="0" applyFont="1" applyBorder="1" applyAlignment="1">
      <alignment horizontal="center" vertical="center" wrapText="1"/>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10" fillId="0" borderId="3" xfId="0" applyFont="1" applyFill="1" applyBorder="1" applyAlignment="1">
      <alignment horizontal="center" vertical="center"/>
    </xf>
    <xf numFmtId="0" fontId="10" fillId="0" borderId="5" xfId="0" applyFont="1" applyFill="1" applyBorder="1" applyAlignment="1">
      <alignment horizontal="center" vertical="center"/>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9" fillId="0" borderId="9" xfId="0" applyFont="1" applyBorder="1" applyAlignment="1">
      <alignment horizontal="center" vertical="center"/>
    </xf>
    <xf numFmtId="0" fontId="9" fillId="0" borderId="10" xfId="0" applyFont="1" applyBorder="1" applyAlignment="1">
      <alignment horizontal="center" vertical="center"/>
    </xf>
    <xf numFmtId="0" fontId="9" fillId="0" borderId="8" xfId="0" applyFont="1" applyBorder="1" applyAlignment="1">
      <alignment horizontal="center" vertical="center"/>
    </xf>
    <xf numFmtId="0" fontId="9" fillId="8" borderId="2" xfId="0" applyFont="1" applyFill="1" applyBorder="1" applyAlignment="1">
      <alignment horizontal="center" vertical="center"/>
    </xf>
    <xf numFmtId="0" fontId="9" fillId="9" borderId="2" xfId="0" applyFont="1" applyFill="1" applyBorder="1" applyAlignment="1">
      <alignment horizontal="center" vertical="center"/>
    </xf>
    <xf numFmtId="0" fontId="9" fillId="7" borderId="2" xfId="0" applyFont="1" applyFill="1" applyBorder="1" applyAlignment="1">
      <alignment horizontal="center" vertical="center"/>
    </xf>
    <xf numFmtId="0" fontId="9" fillId="10" borderId="2" xfId="0" applyFont="1" applyFill="1" applyBorder="1" applyAlignment="1">
      <alignment horizontal="center" vertical="center"/>
    </xf>
    <xf numFmtId="0" fontId="9" fillId="11" borderId="2" xfId="0" applyFont="1" applyFill="1" applyBorder="1" applyAlignment="1">
      <alignment horizontal="center" vertical="center"/>
    </xf>
    <xf numFmtId="0" fontId="9" fillId="17" borderId="2" xfId="0" applyFont="1" applyFill="1" applyBorder="1" applyAlignment="1">
      <alignment horizontal="center" vertical="center"/>
    </xf>
    <xf numFmtId="0" fontId="9" fillId="12" borderId="2" xfId="0" applyFont="1" applyFill="1" applyBorder="1" applyAlignment="1">
      <alignment horizontal="center" vertical="center"/>
    </xf>
    <xf numFmtId="0" fontId="9" fillId="3" borderId="2" xfId="0" applyFont="1" applyFill="1" applyBorder="1" applyAlignment="1">
      <alignment horizontal="center" vertical="center"/>
    </xf>
    <xf numFmtId="0" fontId="27" fillId="14" borderId="2" xfId="0" applyFont="1" applyFill="1" applyBorder="1" applyAlignment="1">
      <alignment horizontal="center" vertical="center"/>
    </xf>
    <xf numFmtId="0" fontId="9" fillId="2" borderId="2" xfId="0" applyFont="1" applyFill="1" applyBorder="1" applyAlignment="1">
      <alignment horizontal="center" vertical="center"/>
    </xf>
    <xf numFmtId="0" fontId="9" fillId="15" borderId="2" xfId="0" applyFont="1" applyFill="1" applyBorder="1" applyAlignment="1">
      <alignment horizontal="center" vertical="center"/>
    </xf>
    <xf numFmtId="0" fontId="9" fillId="6" borderId="2" xfId="0" applyFont="1" applyFill="1" applyBorder="1" applyAlignment="1">
      <alignment horizontal="center" vertical="center"/>
    </xf>
    <xf numFmtId="0" fontId="9" fillId="16" borderId="2" xfId="0" applyFont="1" applyFill="1" applyBorder="1" applyAlignment="1">
      <alignment horizontal="center" vertical="center"/>
    </xf>
    <xf numFmtId="0" fontId="9" fillId="13" borderId="2" xfId="0" applyFont="1" applyFill="1" applyBorder="1" applyAlignment="1">
      <alignment horizontal="center" vertical="center"/>
    </xf>
    <xf numFmtId="0" fontId="9" fillId="0" borderId="2" xfId="0" applyFont="1" applyBorder="1" applyAlignment="1">
      <alignment horizontal="center" vertical="center"/>
    </xf>
    <xf numFmtId="43" fontId="9" fillId="0" borderId="3" xfId="1" applyFont="1" applyBorder="1" applyAlignment="1">
      <alignment horizontal="center" vertical="center"/>
    </xf>
    <xf numFmtId="43" fontId="9" fillId="0" borderId="4" xfId="1" applyFont="1" applyBorder="1" applyAlignment="1">
      <alignment horizontal="center" vertical="center"/>
    </xf>
    <xf numFmtId="0" fontId="1" fillId="0" borderId="2" xfId="0" applyFont="1" applyBorder="1" applyAlignment="1">
      <alignment horizontal="center" vertical="center" wrapText="1"/>
    </xf>
    <xf numFmtId="0" fontId="1" fillId="6" borderId="2" xfId="0" applyFont="1" applyFill="1" applyBorder="1" applyAlignment="1">
      <alignment horizontal="center" vertical="center" wrapText="1"/>
    </xf>
    <xf numFmtId="0" fontId="1" fillId="0" borderId="2" xfId="0" applyFont="1" applyBorder="1" applyAlignment="1">
      <alignment horizontal="center" vertical="center"/>
    </xf>
    <xf numFmtId="0" fontId="9" fillId="6" borderId="3" xfId="0" applyFont="1" applyFill="1" applyBorder="1" applyAlignment="1">
      <alignment horizontal="center" vertical="center"/>
    </xf>
    <xf numFmtId="0" fontId="9" fillId="6" borderId="4" xfId="0" applyFont="1" applyFill="1" applyBorder="1" applyAlignment="1">
      <alignment horizontal="center" vertical="center"/>
    </xf>
    <xf numFmtId="0" fontId="9" fillId="4" borderId="2" xfId="0" applyFont="1" applyFill="1" applyBorder="1" applyAlignment="1">
      <alignment horizontal="center" vertical="center"/>
    </xf>
    <xf numFmtId="0" fontId="9" fillId="0" borderId="2" xfId="0" applyFont="1" applyFill="1" applyBorder="1" applyAlignment="1">
      <alignment horizontal="center" vertical="center"/>
    </xf>
    <xf numFmtId="0" fontId="19" fillId="0" borderId="2" xfId="0" applyFont="1" applyBorder="1" applyAlignment="1">
      <alignment horizontal="center" vertical="center"/>
    </xf>
    <xf numFmtId="0" fontId="17" fillId="4" borderId="2" xfId="0" applyFont="1" applyFill="1" applyBorder="1" applyAlignment="1">
      <alignment horizontal="center" vertical="center" wrapText="1"/>
    </xf>
    <xf numFmtId="0" fontId="20" fillId="0" borderId="2" xfId="0" applyFont="1" applyFill="1" applyBorder="1" applyAlignment="1" applyProtection="1">
      <alignment horizontal="center" vertical="center" wrapText="1"/>
    </xf>
    <xf numFmtId="0" fontId="20" fillId="0" borderId="2" xfId="0" applyFont="1" applyBorder="1" applyAlignment="1" applyProtection="1">
      <alignment horizontal="center" vertical="center" wrapText="1"/>
    </xf>
    <xf numFmtId="0" fontId="21" fillId="0" borderId="2" xfId="0" applyFont="1" applyBorder="1" applyAlignment="1">
      <alignment horizontal="center" vertical="center"/>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L32"/>
  <sheetViews>
    <sheetView workbookViewId="0">
      <selection activeCell="J2" sqref="J2"/>
    </sheetView>
  </sheetViews>
  <sheetFormatPr defaultRowHeight="15"/>
  <cols>
    <col min="1" max="1" width="10.42578125" bestFit="1" customWidth="1"/>
    <col min="5" max="5" width="11.85546875" customWidth="1"/>
    <col min="6" max="6" width="12.85546875" customWidth="1"/>
    <col min="7" max="7" width="10.85546875" customWidth="1"/>
    <col min="9" max="10" width="12" customWidth="1"/>
    <col min="11" max="11" width="11.42578125" customWidth="1"/>
  </cols>
  <sheetData>
    <row r="1" spans="1:12" ht="60">
      <c r="A1" s="182" t="s">
        <v>3</v>
      </c>
      <c r="B1" s="182" t="s">
        <v>4</v>
      </c>
      <c r="C1" s="183" t="s">
        <v>5</v>
      </c>
      <c r="D1" s="182" t="s">
        <v>64</v>
      </c>
      <c r="E1" s="184" t="s">
        <v>395</v>
      </c>
      <c r="F1" s="185" t="s">
        <v>396</v>
      </c>
      <c r="G1" s="184" t="s">
        <v>402</v>
      </c>
      <c r="H1" s="185" t="s">
        <v>397</v>
      </c>
      <c r="I1" s="184" t="s">
        <v>398</v>
      </c>
      <c r="J1" s="186" t="s">
        <v>399</v>
      </c>
      <c r="K1" s="184" t="s">
        <v>400</v>
      </c>
      <c r="L1" s="184" t="s">
        <v>63</v>
      </c>
    </row>
    <row r="2" spans="1:12">
      <c r="A2" s="187" t="s">
        <v>401</v>
      </c>
      <c r="B2" s="188">
        <v>1</v>
      </c>
      <c r="C2" s="189">
        <v>9</v>
      </c>
      <c r="D2" s="188">
        <v>2021</v>
      </c>
      <c r="E2" s="120">
        <f>Combine!G3</f>
        <v>57128</v>
      </c>
      <c r="F2" s="190">
        <v>1.32</v>
      </c>
      <c r="G2" s="120">
        <f>Combine!M3</f>
        <v>3990.6759906759908</v>
      </c>
      <c r="H2" s="191">
        <v>9.1111000000000004</v>
      </c>
      <c r="I2" s="120">
        <f>Combine!J3</f>
        <v>545.42000000000007</v>
      </c>
      <c r="J2" s="190">
        <v>8.3788999999999998</v>
      </c>
      <c r="K2" s="120">
        <f>Combine!N3</f>
        <v>351</v>
      </c>
      <c r="L2" s="120">
        <f>Combine!O3</f>
        <v>783</v>
      </c>
    </row>
    <row r="3" spans="1:12">
      <c r="A3" s="187" t="s">
        <v>401</v>
      </c>
      <c r="B3" s="188">
        <v>2</v>
      </c>
      <c r="C3" s="189">
        <v>9</v>
      </c>
      <c r="D3" s="188">
        <v>2021</v>
      </c>
      <c r="E3" s="120">
        <f>Combine!G4</f>
        <v>63917</v>
      </c>
      <c r="F3" s="190">
        <v>1.32</v>
      </c>
      <c r="G3" s="120">
        <f>Combine!M4</f>
        <v>4469.3084693084693</v>
      </c>
      <c r="H3" s="191">
        <v>9.1111000000000004</v>
      </c>
      <c r="I3" s="120">
        <f>Combine!J4</f>
        <v>546.45000000000005</v>
      </c>
      <c r="J3" s="190">
        <v>8.3788999999999998</v>
      </c>
      <c r="K3" s="120">
        <f>Combine!N4</f>
        <v>356</v>
      </c>
      <c r="L3" s="120">
        <f>Combine!O4</f>
        <v>790</v>
      </c>
    </row>
    <row r="4" spans="1:12">
      <c r="A4" s="187" t="s">
        <v>401</v>
      </c>
      <c r="B4" s="188">
        <v>3</v>
      </c>
      <c r="C4" s="189">
        <v>9</v>
      </c>
      <c r="D4" s="188">
        <v>2021</v>
      </c>
      <c r="E4" s="120">
        <f>Combine!G5</f>
        <v>62548</v>
      </c>
      <c r="F4" s="190">
        <v>1.32</v>
      </c>
      <c r="G4" s="120">
        <f>Combine!M5</f>
        <v>4453.1468531468536</v>
      </c>
      <c r="H4" s="191">
        <v>9.1111000000000004</v>
      </c>
      <c r="I4" s="120">
        <f>Combine!J5</f>
        <v>545.54999999999995</v>
      </c>
      <c r="J4" s="190">
        <v>8.3788999999999998</v>
      </c>
      <c r="K4" s="120">
        <f>Combine!N5</f>
        <v>382</v>
      </c>
      <c r="L4" s="120">
        <f>Combine!O5</f>
        <v>863</v>
      </c>
    </row>
    <row r="5" spans="1:12">
      <c r="A5" s="187" t="s">
        <v>401</v>
      </c>
      <c r="B5" s="188">
        <v>4</v>
      </c>
      <c r="C5" s="189">
        <v>9</v>
      </c>
      <c r="D5" s="188">
        <v>2021</v>
      </c>
      <c r="E5" s="120">
        <f>Combine!G6</f>
        <v>60533</v>
      </c>
      <c r="F5" s="190">
        <v>1.32</v>
      </c>
      <c r="G5" s="120">
        <f>Combine!M6</f>
        <v>4238.0730380730383</v>
      </c>
      <c r="H5" s="191">
        <v>9.1111000000000004</v>
      </c>
      <c r="I5" s="120">
        <f>Combine!J6</f>
        <v>546</v>
      </c>
      <c r="J5" s="190">
        <v>8.3788999999999998</v>
      </c>
      <c r="K5" s="120">
        <f>Combine!N6</f>
        <v>430</v>
      </c>
      <c r="L5" s="120">
        <f>Combine!O6</f>
        <v>987</v>
      </c>
    </row>
    <row r="6" spans="1:12">
      <c r="A6" s="187" t="s">
        <v>401</v>
      </c>
      <c r="B6" s="188">
        <v>5</v>
      </c>
      <c r="C6" s="189">
        <v>9</v>
      </c>
      <c r="D6" s="188">
        <v>2021</v>
      </c>
      <c r="E6" s="120">
        <f>Combine!G7</f>
        <v>66277</v>
      </c>
      <c r="F6" s="190">
        <v>1.32</v>
      </c>
      <c r="G6" s="120">
        <f>Combine!M7</f>
        <v>4392.2299922299926</v>
      </c>
      <c r="H6" s="191">
        <v>9.1111000000000004</v>
      </c>
      <c r="I6" s="120">
        <f>Combine!J7</f>
        <v>551.35</v>
      </c>
      <c r="J6" s="190">
        <v>8.3788999999999998</v>
      </c>
      <c r="K6" s="120">
        <f>Combine!N7</f>
        <v>356</v>
      </c>
      <c r="L6" s="120">
        <f>Combine!O7</f>
        <v>794</v>
      </c>
    </row>
    <row r="7" spans="1:12">
      <c r="A7" s="187" t="s">
        <v>401</v>
      </c>
      <c r="B7" s="188">
        <v>6</v>
      </c>
      <c r="C7" s="189">
        <v>9</v>
      </c>
      <c r="D7" s="188">
        <v>2021</v>
      </c>
      <c r="E7" s="120">
        <f>Combine!G8</f>
        <v>64469</v>
      </c>
      <c r="F7" s="190">
        <v>1.32</v>
      </c>
      <c r="G7" s="120">
        <f>Combine!M8</f>
        <v>4486.7132867132868</v>
      </c>
      <c r="H7" s="191">
        <v>9.1111000000000004</v>
      </c>
      <c r="I7" s="120">
        <f>Combine!J8</f>
        <v>609.29999999999995</v>
      </c>
      <c r="J7" s="190">
        <v>8.3788999999999998</v>
      </c>
      <c r="K7" s="120">
        <f>Combine!N8</f>
        <v>376</v>
      </c>
      <c r="L7" s="120">
        <f>Combine!O8</f>
        <v>834</v>
      </c>
    </row>
    <row r="8" spans="1:12">
      <c r="A8" s="187" t="s">
        <v>401</v>
      </c>
      <c r="B8" s="188">
        <v>7</v>
      </c>
      <c r="C8" s="189">
        <v>9</v>
      </c>
      <c r="D8" s="188">
        <v>2021</v>
      </c>
      <c r="E8" s="120">
        <f>Combine!G9</f>
        <v>65982</v>
      </c>
      <c r="F8" s="190">
        <v>1.32</v>
      </c>
      <c r="G8" s="120">
        <f>Combine!M9</f>
        <v>3913.5975135975136</v>
      </c>
      <c r="H8" s="191">
        <v>9.1111000000000004</v>
      </c>
      <c r="I8" s="120">
        <f>Combine!J9</f>
        <v>600.70000000000005</v>
      </c>
      <c r="J8" s="190">
        <v>8.3788999999999998</v>
      </c>
      <c r="K8" s="120">
        <f>Combine!N9</f>
        <v>350</v>
      </c>
      <c r="L8" s="120">
        <f>Combine!O9</f>
        <v>781</v>
      </c>
    </row>
    <row r="9" spans="1:12">
      <c r="A9" s="187" t="s">
        <v>401</v>
      </c>
      <c r="B9" s="188">
        <v>8</v>
      </c>
      <c r="C9" s="189">
        <v>9</v>
      </c>
      <c r="D9" s="188">
        <v>2021</v>
      </c>
      <c r="E9" s="120">
        <f>Combine!G10</f>
        <v>65089</v>
      </c>
      <c r="F9" s="190">
        <v>1.32</v>
      </c>
      <c r="G9" s="120">
        <f>Combine!M10</f>
        <v>4093.8616938616938</v>
      </c>
      <c r="H9" s="191">
        <v>9.1111000000000004</v>
      </c>
      <c r="I9" s="120">
        <f>Combine!J10</f>
        <v>480.3</v>
      </c>
      <c r="J9" s="190">
        <v>8.3788999999999998</v>
      </c>
      <c r="K9" s="120">
        <f>Combine!N10</f>
        <v>353</v>
      </c>
      <c r="L9" s="120">
        <f>Combine!O10</f>
        <v>785</v>
      </c>
    </row>
    <row r="10" spans="1:12">
      <c r="A10" s="187" t="s">
        <v>401</v>
      </c>
      <c r="B10" s="188">
        <v>9</v>
      </c>
      <c r="C10" s="189">
        <v>9</v>
      </c>
      <c r="D10" s="188">
        <v>2021</v>
      </c>
      <c r="E10" s="120">
        <f>Combine!G11</f>
        <v>60148</v>
      </c>
      <c r="F10" s="190">
        <v>1.32</v>
      </c>
      <c r="G10" s="120">
        <f>Combine!M11</f>
        <v>4190.8313908313912</v>
      </c>
      <c r="H10" s="191">
        <v>9.1111000000000004</v>
      </c>
      <c r="I10" s="120">
        <f>Combine!J11</f>
        <v>739</v>
      </c>
      <c r="J10" s="190">
        <v>8.3788999999999998</v>
      </c>
      <c r="K10" s="120">
        <f>Combine!N11</f>
        <v>362</v>
      </c>
      <c r="L10" s="120">
        <f>Combine!O11</f>
        <v>807</v>
      </c>
    </row>
    <row r="11" spans="1:12">
      <c r="A11" s="187" t="s">
        <v>401</v>
      </c>
      <c r="B11" s="188">
        <v>10</v>
      </c>
      <c r="C11" s="189">
        <v>9</v>
      </c>
      <c r="D11" s="188">
        <v>2021</v>
      </c>
      <c r="E11" s="120">
        <f>Combine!G12</f>
        <v>69725</v>
      </c>
      <c r="F11" s="190">
        <v>1.32</v>
      </c>
      <c r="G11" s="120">
        <f>Combine!M12</f>
        <v>3892.4630924630924</v>
      </c>
      <c r="H11" s="191">
        <v>9.1111000000000004</v>
      </c>
      <c r="I11" s="120">
        <f>Combine!J12</f>
        <v>685</v>
      </c>
      <c r="J11" s="190">
        <v>8.3788999999999998</v>
      </c>
      <c r="K11" s="120">
        <f>Combine!N12</f>
        <v>385</v>
      </c>
      <c r="L11" s="120">
        <f>Combine!O12</f>
        <v>872</v>
      </c>
    </row>
    <row r="12" spans="1:12">
      <c r="A12" s="187" t="s">
        <v>401</v>
      </c>
      <c r="B12" s="188">
        <v>11</v>
      </c>
      <c r="C12" s="189">
        <v>9</v>
      </c>
      <c r="D12" s="188">
        <v>2021</v>
      </c>
      <c r="E12" s="120">
        <f>Combine!G13</f>
        <v>66683</v>
      </c>
      <c r="F12" s="190">
        <v>1.32</v>
      </c>
      <c r="G12" s="120">
        <f>Combine!M13</f>
        <v>4348.7179487179492</v>
      </c>
      <c r="H12" s="191">
        <v>9.1111000000000004</v>
      </c>
      <c r="I12" s="120">
        <f>Combine!J13</f>
        <v>531.54999999999995</v>
      </c>
      <c r="J12" s="190">
        <v>8.3788999999999998</v>
      </c>
      <c r="K12" s="120">
        <f>Combine!N13</f>
        <v>422</v>
      </c>
      <c r="L12" s="120">
        <f>Combine!O13</f>
        <v>963</v>
      </c>
    </row>
    <row r="13" spans="1:12">
      <c r="A13" s="187" t="s">
        <v>401</v>
      </c>
      <c r="B13" s="188">
        <v>12</v>
      </c>
      <c r="C13" s="189">
        <v>9</v>
      </c>
      <c r="D13" s="188">
        <v>2021</v>
      </c>
      <c r="E13" s="120">
        <f>Combine!G14</f>
        <v>66270</v>
      </c>
      <c r="F13" s="190">
        <v>1.32</v>
      </c>
      <c r="G13" s="120">
        <f>Combine!M14</f>
        <v>4321.3675213675215</v>
      </c>
      <c r="H13" s="191">
        <v>9.1111000000000004</v>
      </c>
      <c r="I13" s="120">
        <f>Combine!J14</f>
        <v>650.85</v>
      </c>
      <c r="J13" s="190">
        <v>8.3788999999999998</v>
      </c>
      <c r="K13" s="120">
        <f>Combine!N14</f>
        <v>368</v>
      </c>
      <c r="L13" s="120">
        <f>Combine!O14</f>
        <v>824</v>
      </c>
    </row>
    <row r="14" spans="1:12">
      <c r="A14" s="187" t="s">
        <v>401</v>
      </c>
      <c r="B14" s="188">
        <v>13</v>
      </c>
      <c r="C14" s="189">
        <v>9</v>
      </c>
      <c r="D14" s="188">
        <v>2021</v>
      </c>
      <c r="E14" s="120">
        <f>Combine!G15</f>
        <v>65704</v>
      </c>
      <c r="F14" s="190">
        <v>1.32</v>
      </c>
      <c r="G14" s="120">
        <f>Combine!M15</f>
        <v>4078.4982128982128</v>
      </c>
      <c r="H14" s="191">
        <v>9.1111000000000004</v>
      </c>
      <c r="I14" s="120">
        <f>Combine!J15</f>
        <v>579.15200000000027</v>
      </c>
      <c r="J14" s="190">
        <v>8.3788999999999998</v>
      </c>
      <c r="K14" s="120">
        <f>Combine!N15</f>
        <v>362</v>
      </c>
      <c r="L14" s="120">
        <f>Combine!O15</f>
        <v>816</v>
      </c>
    </row>
    <row r="15" spans="1:12">
      <c r="A15" s="187" t="s">
        <v>401</v>
      </c>
      <c r="B15" s="188">
        <v>14</v>
      </c>
      <c r="C15" s="189">
        <v>9</v>
      </c>
      <c r="D15" s="188">
        <v>2021</v>
      </c>
      <c r="E15" s="120">
        <f>Combine!G16</f>
        <v>68632</v>
      </c>
      <c r="F15" s="190">
        <v>1.32</v>
      </c>
      <c r="G15" s="120">
        <f>Combine!M16</f>
        <v>4453.4402486402478</v>
      </c>
      <c r="H15" s="191">
        <v>9.1111000000000004</v>
      </c>
      <c r="I15" s="120">
        <f>Combine!J16</f>
        <v>560.40200000000004</v>
      </c>
      <c r="J15" s="190">
        <v>8.3788999999999998</v>
      </c>
      <c r="K15" s="120">
        <f>Combine!N16</f>
        <v>357</v>
      </c>
      <c r="L15" s="120">
        <f>Combine!O16</f>
        <v>805</v>
      </c>
    </row>
    <row r="16" spans="1:12">
      <c r="A16" s="187" t="s">
        <v>401</v>
      </c>
      <c r="B16" s="188">
        <v>15</v>
      </c>
      <c r="C16" s="189">
        <v>9</v>
      </c>
      <c r="D16" s="188">
        <v>2021</v>
      </c>
      <c r="E16" s="120">
        <f>Combine!G17</f>
        <v>66334</v>
      </c>
      <c r="F16" s="190">
        <v>1.32</v>
      </c>
      <c r="G16" s="120">
        <f>Combine!M17</f>
        <v>4262.9146853146849</v>
      </c>
      <c r="H16" s="191">
        <v>9.1111000000000004</v>
      </c>
      <c r="I16" s="120">
        <f>Combine!J17</f>
        <v>557.04899999999941</v>
      </c>
      <c r="J16" s="190">
        <v>8.3788999999999998</v>
      </c>
      <c r="K16" s="120">
        <f>Combine!N17</f>
        <v>363</v>
      </c>
      <c r="L16" s="120">
        <f>Combine!O17</f>
        <v>808</v>
      </c>
    </row>
    <row r="17" spans="1:12">
      <c r="A17" s="187" t="s">
        <v>401</v>
      </c>
      <c r="B17" s="188">
        <v>16</v>
      </c>
      <c r="C17" s="189">
        <v>9</v>
      </c>
      <c r="D17" s="188">
        <v>2021</v>
      </c>
      <c r="E17" s="120">
        <f>Combine!G18</f>
        <v>63296</v>
      </c>
      <c r="F17" s="190">
        <v>1.32</v>
      </c>
      <c r="G17" s="120">
        <f>Combine!M18</f>
        <v>4464.8926184926186</v>
      </c>
      <c r="H17" s="191">
        <v>9.1111000000000004</v>
      </c>
      <c r="I17" s="120">
        <f>Combine!J18</f>
        <v>564.3840000000007</v>
      </c>
      <c r="J17" s="190">
        <v>8.3788999999999998</v>
      </c>
      <c r="K17" s="120">
        <f>Combine!N18</f>
        <v>373</v>
      </c>
      <c r="L17" s="120">
        <f>Combine!O18</f>
        <v>827</v>
      </c>
    </row>
    <row r="18" spans="1:12">
      <c r="A18" s="187" t="s">
        <v>401</v>
      </c>
      <c r="B18" s="188">
        <v>17</v>
      </c>
      <c r="C18" s="189">
        <v>9</v>
      </c>
      <c r="D18" s="188">
        <v>2021</v>
      </c>
      <c r="E18" s="120">
        <f>Combine!G19</f>
        <v>61387</v>
      </c>
      <c r="F18" s="190">
        <v>1.32</v>
      </c>
      <c r="G18" s="120">
        <f>Combine!M19</f>
        <v>4721.7827505827509</v>
      </c>
      <c r="H18" s="191">
        <v>9.1111000000000004</v>
      </c>
      <c r="I18" s="120">
        <f>Combine!J19</f>
        <v>580.30699999999922</v>
      </c>
      <c r="J18" s="190">
        <v>8.3788999999999998</v>
      </c>
      <c r="K18" s="120">
        <f>Combine!N19</f>
        <v>387</v>
      </c>
      <c r="L18" s="120">
        <f>Combine!O19</f>
        <v>875</v>
      </c>
    </row>
    <row r="19" spans="1:12">
      <c r="A19" s="187" t="s">
        <v>401</v>
      </c>
      <c r="B19" s="188">
        <v>18</v>
      </c>
      <c r="C19" s="189">
        <v>9</v>
      </c>
      <c r="D19" s="188">
        <v>2021</v>
      </c>
      <c r="E19" s="120">
        <f>Combine!G20</f>
        <v>64955</v>
      </c>
      <c r="F19" s="190">
        <v>1.32</v>
      </c>
      <c r="G19" s="120">
        <f>Combine!M20</f>
        <v>4762.3720279720283</v>
      </c>
      <c r="H19" s="191">
        <v>9.1111000000000004</v>
      </c>
      <c r="I19" s="120">
        <f>Combine!J20</f>
        <v>635.31000000000074</v>
      </c>
      <c r="J19" s="190">
        <v>8.3788999999999998</v>
      </c>
      <c r="K19" s="120">
        <f>Combine!N20</f>
        <v>452</v>
      </c>
      <c r="L19" s="120">
        <f>Combine!O20</f>
        <v>1029</v>
      </c>
    </row>
    <row r="20" spans="1:12">
      <c r="A20" s="187" t="s">
        <v>401</v>
      </c>
      <c r="B20" s="188">
        <v>19</v>
      </c>
      <c r="C20" s="189">
        <v>9</v>
      </c>
      <c r="D20" s="188">
        <v>2021</v>
      </c>
      <c r="E20" s="120">
        <f>Combine!G21</f>
        <v>65732</v>
      </c>
      <c r="F20" s="190">
        <v>1.32</v>
      </c>
      <c r="G20" s="120">
        <f>Combine!M21</f>
        <v>4600.9324009324009</v>
      </c>
      <c r="H20" s="191">
        <v>9.1111000000000004</v>
      </c>
      <c r="I20" s="120">
        <f>Combine!J21</f>
        <v>859.29599999999959</v>
      </c>
      <c r="J20" s="190">
        <v>8.3788999999999998</v>
      </c>
      <c r="K20" s="120">
        <f>Combine!N21</f>
        <v>398</v>
      </c>
      <c r="L20" s="120">
        <f>Combine!O21</f>
        <v>888</v>
      </c>
    </row>
    <row r="21" spans="1:12">
      <c r="A21" s="187" t="s">
        <v>401</v>
      </c>
      <c r="B21" s="188">
        <v>20</v>
      </c>
      <c r="C21" s="189">
        <v>9</v>
      </c>
      <c r="D21" s="188">
        <v>2021</v>
      </c>
      <c r="E21" s="120">
        <f>Combine!G22</f>
        <v>63152</v>
      </c>
      <c r="F21" s="190">
        <v>1.32</v>
      </c>
      <c r="G21" s="120">
        <f>Combine!M22</f>
        <v>4666.977466977467</v>
      </c>
      <c r="H21" s="191">
        <v>9.1111000000000004</v>
      </c>
      <c r="I21" s="120">
        <f>Combine!J22</f>
        <v>692.75</v>
      </c>
      <c r="J21" s="190">
        <v>8.3788999999999998</v>
      </c>
      <c r="K21" s="120">
        <f>Combine!N22</f>
        <v>383</v>
      </c>
      <c r="L21" s="120">
        <f>Combine!O22</f>
        <v>850</v>
      </c>
    </row>
    <row r="22" spans="1:12">
      <c r="A22" s="187" t="s">
        <v>401</v>
      </c>
      <c r="B22" s="188">
        <v>21</v>
      </c>
      <c r="C22" s="189">
        <v>9</v>
      </c>
      <c r="D22" s="188">
        <v>2021</v>
      </c>
      <c r="E22" s="120">
        <f>Combine!G23</f>
        <v>59861</v>
      </c>
      <c r="F22" s="190">
        <v>1.32</v>
      </c>
      <c r="G22" s="120">
        <f>Combine!M23</f>
        <v>4546.3869463869469</v>
      </c>
      <c r="H22" s="191">
        <v>9.1111000000000004</v>
      </c>
      <c r="I22" s="120">
        <f>Combine!J23</f>
        <v>706.85</v>
      </c>
      <c r="J22" s="190">
        <v>8.3788999999999998</v>
      </c>
      <c r="K22" s="120">
        <f>Combine!N23</f>
        <v>445</v>
      </c>
      <c r="L22" s="120">
        <f>Combine!O23</f>
        <v>1034</v>
      </c>
    </row>
    <row r="23" spans="1:12">
      <c r="A23" s="187" t="s">
        <v>401</v>
      </c>
      <c r="B23" s="188">
        <v>22</v>
      </c>
      <c r="C23" s="189">
        <v>9</v>
      </c>
      <c r="D23" s="188">
        <v>2021</v>
      </c>
      <c r="E23" s="120">
        <f>Combine!G24</f>
        <v>62031</v>
      </c>
      <c r="F23" s="190">
        <v>1.32</v>
      </c>
      <c r="G23" s="120">
        <f>Combine!M24</f>
        <v>4290.2874902874901</v>
      </c>
      <c r="H23" s="191">
        <v>9.1111000000000004</v>
      </c>
      <c r="I23" s="120">
        <f>Combine!J24</f>
        <v>632.29999999999995</v>
      </c>
      <c r="J23" s="190">
        <v>8.3788999999999998</v>
      </c>
      <c r="K23" s="120">
        <f>Combine!N24</f>
        <v>380</v>
      </c>
      <c r="L23" s="120">
        <f>Combine!O24</f>
        <v>856</v>
      </c>
    </row>
    <row r="24" spans="1:12">
      <c r="A24" s="187" t="s">
        <v>401</v>
      </c>
      <c r="B24" s="188">
        <v>23</v>
      </c>
      <c r="C24" s="189">
        <v>9</v>
      </c>
      <c r="D24" s="188">
        <v>2021</v>
      </c>
      <c r="E24" s="120">
        <f>Combine!G25</f>
        <v>67078</v>
      </c>
      <c r="F24" s="190">
        <v>1.32</v>
      </c>
      <c r="G24" s="120">
        <f>Combine!M25</f>
        <v>4399.6891996892</v>
      </c>
      <c r="H24" s="191">
        <v>9.1111000000000004</v>
      </c>
      <c r="I24" s="120">
        <f>Combine!J25</f>
        <v>826.8</v>
      </c>
      <c r="J24" s="190">
        <v>8.3788999999999998</v>
      </c>
      <c r="K24" s="120">
        <f>Combine!N25</f>
        <v>396</v>
      </c>
      <c r="L24" s="120">
        <f>Combine!O25</f>
        <v>880</v>
      </c>
    </row>
    <row r="25" spans="1:12">
      <c r="A25" s="187" t="s">
        <v>401</v>
      </c>
      <c r="B25" s="188">
        <v>24</v>
      </c>
      <c r="C25" s="189">
        <v>9</v>
      </c>
      <c r="D25" s="188">
        <v>2021</v>
      </c>
      <c r="E25" s="120">
        <f>Combine!G26</f>
        <v>67188</v>
      </c>
      <c r="F25" s="190">
        <v>1.32</v>
      </c>
      <c r="G25" s="120">
        <f>Combine!M26</f>
        <v>4604.8174048174051</v>
      </c>
      <c r="H25" s="191">
        <v>9.1111000000000004</v>
      </c>
      <c r="I25" s="120">
        <f>Combine!J26</f>
        <v>617.70000000000005</v>
      </c>
      <c r="J25" s="190">
        <v>8.3788999999999998</v>
      </c>
      <c r="K25" s="120">
        <f>Combine!N26</f>
        <v>394</v>
      </c>
      <c r="L25" s="120">
        <f>Combine!O26</f>
        <v>874</v>
      </c>
    </row>
    <row r="26" spans="1:12">
      <c r="A26" s="187" t="s">
        <v>401</v>
      </c>
      <c r="B26" s="188">
        <v>25</v>
      </c>
      <c r="C26" s="189">
        <v>9</v>
      </c>
      <c r="D26" s="188">
        <v>2021</v>
      </c>
      <c r="E26" s="120">
        <f>Combine!G27</f>
        <v>66337</v>
      </c>
      <c r="F26" s="190">
        <v>1.32</v>
      </c>
      <c r="G26" s="120">
        <f>Combine!M27</f>
        <v>3232.3232323232319</v>
      </c>
      <c r="H26" s="191">
        <v>9.1111000000000004</v>
      </c>
      <c r="I26" s="120">
        <f>Combine!J27</f>
        <v>670.9</v>
      </c>
      <c r="J26" s="190">
        <v>8.3788999999999998</v>
      </c>
      <c r="K26" s="120">
        <f>Combine!N27</f>
        <v>471</v>
      </c>
      <c r="L26" s="120">
        <f>Combine!O27</f>
        <v>1062</v>
      </c>
    </row>
    <row r="27" spans="1:12">
      <c r="A27" s="187" t="s">
        <v>401</v>
      </c>
      <c r="B27" s="188">
        <v>26</v>
      </c>
      <c r="C27" s="189">
        <v>9</v>
      </c>
      <c r="D27" s="188">
        <v>2021</v>
      </c>
      <c r="E27" s="120">
        <f>Combine!G28</f>
        <v>64304</v>
      </c>
      <c r="F27" s="190">
        <v>1.32</v>
      </c>
      <c r="G27" s="120">
        <f>Combine!M28</f>
        <v>4613.5198135198134</v>
      </c>
      <c r="H27" s="191">
        <v>9.1111000000000004</v>
      </c>
      <c r="I27" s="120">
        <f>Combine!J28</f>
        <v>691.35</v>
      </c>
      <c r="J27" s="190">
        <v>8.3788999999999998</v>
      </c>
      <c r="K27" s="120">
        <f>Combine!N28</f>
        <v>412</v>
      </c>
      <c r="L27" s="120">
        <f>Combine!O28</f>
        <v>906</v>
      </c>
    </row>
    <row r="28" spans="1:12">
      <c r="A28" s="187" t="s">
        <v>401</v>
      </c>
      <c r="B28" s="188">
        <v>27</v>
      </c>
      <c r="C28" s="189">
        <v>9</v>
      </c>
      <c r="D28" s="188">
        <v>2021</v>
      </c>
      <c r="E28" s="120">
        <f>Combine!G29</f>
        <v>64370</v>
      </c>
      <c r="F28" s="190">
        <v>1.32</v>
      </c>
      <c r="G28" s="120">
        <f>Combine!M29</f>
        <v>4455.6332556332554</v>
      </c>
      <c r="H28" s="191">
        <v>9.1111000000000004</v>
      </c>
      <c r="I28" s="120">
        <f>Combine!J29</f>
        <v>530.1</v>
      </c>
      <c r="J28" s="190">
        <v>8.3788999999999998</v>
      </c>
      <c r="K28" s="120">
        <f>Combine!N29</f>
        <v>387</v>
      </c>
      <c r="L28" s="120">
        <f>Combine!O29</f>
        <v>852</v>
      </c>
    </row>
    <row r="29" spans="1:12">
      <c r="A29" s="187" t="s">
        <v>401</v>
      </c>
      <c r="B29" s="188">
        <v>28</v>
      </c>
      <c r="C29" s="189">
        <v>9</v>
      </c>
      <c r="D29" s="188">
        <v>2021</v>
      </c>
      <c r="E29" s="120">
        <f>Combine!G30</f>
        <v>64477</v>
      </c>
      <c r="F29" s="190">
        <v>1.32</v>
      </c>
      <c r="G29" s="120">
        <f>Combine!M30</f>
        <v>4624.7086247086245</v>
      </c>
      <c r="H29" s="191">
        <v>9.1111000000000004</v>
      </c>
      <c r="I29" s="120">
        <f>Combine!J30</f>
        <v>641.6</v>
      </c>
      <c r="J29" s="190">
        <v>8.3788999999999998</v>
      </c>
      <c r="K29" s="120">
        <f>Combine!N30</f>
        <v>395</v>
      </c>
      <c r="L29" s="120">
        <f>Combine!O30</f>
        <v>870</v>
      </c>
    </row>
    <row r="30" spans="1:12">
      <c r="A30" s="187" t="s">
        <v>401</v>
      </c>
      <c r="B30" s="188">
        <v>29</v>
      </c>
      <c r="C30" s="189">
        <v>9</v>
      </c>
      <c r="D30" s="188">
        <v>2021</v>
      </c>
      <c r="E30" s="120">
        <f>Combine!G31</f>
        <v>65295</v>
      </c>
      <c r="F30" s="190">
        <v>1.32</v>
      </c>
      <c r="G30" s="120">
        <f>Combine!M31</f>
        <v>4387.2571872571871</v>
      </c>
      <c r="H30" s="191">
        <v>9.1111000000000004</v>
      </c>
      <c r="I30" s="120">
        <f>Combine!J31</f>
        <v>641.29999999999995</v>
      </c>
      <c r="J30" s="190">
        <v>8.3788999999999998</v>
      </c>
      <c r="K30" s="120">
        <f>Combine!N31</f>
        <v>401</v>
      </c>
      <c r="L30" s="120">
        <f>Combine!O31</f>
        <v>876</v>
      </c>
    </row>
    <row r="31" spans="1:12">
      <c r="A31" s="187" t="s">
        <v>401</v>
      </c>
      <c r="B31" s="188">
        <v>30</v>
      </c>
      <c r="C31" s="189">
        <v>9</v>
      </c>
      <c r="D31" s="188">
        <v>2021</v>
      </c>
      <c r="E31" s="120">
        <f>Combine!G32</f>
        <v>72357</v>
      </c>
      <c r="F31" s="190">
        <v>1.32</v>
      </c>
      <c r="G31" s="120">
        <f>Combine!M32</f>
        <v>4281.5850815850818</v>
      </c>
      <c r="H31" s="191">
        <v>9.1111000000000004</v>
      </c>
      <c r="I31" s="120">
        <f>Combine!J32</f>
        <v>297.72500000000002</v>
      </c>
      <c r="J31" s="190">
        <v>8.3788999999999998</v>
      </c>
      <c r="K31" s="120">
        <f>Combine!N32</f>
        <v>425</v>
      </c>
      <c r="L31" s="120">
        <f>Combine!O32</f>
        <v>955</v>
      </c>
    </row>
    <row r="32" spans="1:12">
      <c r="A32" s="187" t="s">
        <v>401</v>
      </c>
      <c r="B32" s="188">
        <v>31</v>
      </c>
      <c r="C32" s="189">
        <v>9</v>
      </c>
      <c r="D32" s="188">
        <v>2021</v>
      </c>
      <c r="E32" s="120">
        <f>Combine!G33</f>
        <v>0</v>
      </c>
      <c r="F32" s="190">
        <v>1.32</v>
      </c>
      <c r="G32" s="120">
        <f>Combine!M33</f>
        <v>0</v>
      </c>
      <c r="H32" s="191">
        <v>9.1111000000000004</v>
      </c>
      <c r="I32" s="120">
        <f>Combine!J33</f>
        <v>0</v>
      </c>
      <c r="J32" s="190">
        <v>8.3788999999999998</v>
      </c>
      <c r="K32" s="120">
        <f>Combine!N33</f>
        <v>0</v>
      </c>
      <c r="L32" s="120">
        <f>Combine!O33</f>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5"/>
  <sheetViews>
    <sheetView topLeftCell="B1" zoomScaleNormal="100" workbookViewId="0">
      <pane xSplit="3" ySplit="2" topLeftCell="E21" activePane="bottomRight" state="frozen"/>
      <selection activeCell="B1" sqref="B1"/>
      <selection pane="topRight" activeCell="E1" sqref="E1"/>
      <selection pane="bottomLeft" activeCell="B3" sqref="B3"/>
      <selection pane="bottomRight" activeCell="L31" sqref="L31"/>
    </sheetView>
  </sheetViews>
  <sheetFormatPr defaultRowHeight="15"/>
  <cols>
    <col min="1" max="1" width="23.140625" hidden="1" customWidth="1"/>
    <col min="2" max="2" width="6.5703125" style="1" customWidth="1"/>
    <col min="3" max="4" width="12.140625" style="1" customWidth="1"/>
    <col min="5" max="6" width="15.7109375" style="1" customWidth="1"/>
    <col min="7" max="10" width="12.5703125" style="1" customWidth="1"/>
    <col min="11" max="12" width="15.7109375" style="1" customWidth="1"/>
    <col min="13" max="13" width="12.5703125" style="1" customWidth="1"/>
    <col min="14" max="16" width="15.7109375" style="1" customWidth="1"/>
    <col min="17" max="17" width="9.140625" style="1"/>
  </cols>
  <sheetData>
    <row r="1" spans="1:17" s="2" customFormat="1" ht="45.95" customHeight="1">
      <c r="B1" s="117"/>
      <c r="C1" s="117"/>
      <c r="D1" s="117"/>
      <c r="E1" s="121" t="s">
        <v>0</v>
      </c>
      <c r="F1" s="122" t="s">
        <v>1</v>
      </c>
      <c r="G1" s="128" t="s">
        <v>2</v>
      </c>
      <c r="H1" s="121" t="s">
        <v>0</v>
      </c>
      <c r="I1" s="122" t="s">
        <v>1</v>
      </c>
      <c r="J1" s="125" t="s">
        <v>2</v>
      </c>
      <c r="K1" s="121" t="s">
        <v>0</v>
      </c>
      <c r="L1" s="122" t="s">
        <v>1</v>
      </c>
      <c r="M1" s="128" t="s">
        <v>2</v>
      </c>
      <c r="N1" s="196" t="s">
        <v>66</v>
      </c>
      <c r="O1" s="197"/>
      <c r="P1" s="198"/>
    </row>
    <row r="2" spans="1:17" s="2" customFormat="1" ht="60" customHeight="1">
      <c r="A2" s="4" t="s">
        <v>3</v>
      </c>
      <c r="B2" s="5" t="s">
        <v>4</v>
      </c>
      <c r="C2" s="5" t="s">
        <v>5</v>
      </c>
      <c r="D2" s="118"/>
      <c r="E2" s="123" t="s">
        <v>6</v>
      </c>
      <c r="F2" s="144" t="s">
        <v>6</v>
      </c>
      <c r="G2" s="154" t="s">
        <v>6</v>
      </c>
      <c r="H2" s="155" t="s">
        <v>9</v>
      </c>
      <c r="I2" s="145" t="s">
        <v>9</v>
      </c>
      <c r="J2" s="154" t="s">
        <v>9</v>
      </c>
      <c r="K2" s="123" t="s">
        <v>7</v>
      </c>
      <c r="L2" s="109">
        <v>335</v>
      </c>
      <c r="M2" s="129" t="s">
        <v>8</v>
      </c>
      <c r="N2" s="161" t="s">
        <v>10</v>
      </c>
      <c r="O2" s="5" t="s">
        <v>11</v>
      </c>
      <c r="P2" s="160" t="s">
        <v>12</v>
      </c>
      <c r="Q2" s="149" t="s">
        <v>394</v>
      </c>
    </row>
    <row r="3" spans="1:17" ht="15.75">
      <c r="A3" s="7" t="s">
        <v>14</v>
      </c>
      <c r="B3" s="7">
        <v>1</v>
      </c>
      <c r="C3" s="7">
        <v>9</v>
      </c>
      <c r="D3" s="119">
        <v>2021</v>
      </c>
      <c r="E3" s="150">
        <f>'Athens Daily - EL'!AK8</f>
        <v>39141.5</v>
      </c>
      <c r="F3" s="152">
        <f>'Athens Daily - EL'!AL8</f>
        <v>17986.5</v>
      </c>
      <c r="G3" s="130">
        <f>SUM(E3,F3)</f>
        <v>57128</v>
      </c>
      <c r="H3" s="150">
        <f>'Athens Daily - Water'!R7</f>
        <v>397.42000000000007</v>
      </c>
      <c r="I3" s="120">
        <f>'Athens Daily - Water'!S7</f>
        <v>148</v>
      </c>
      <c r="J3" s="126">
        <f t="shared" ref="J3:J33" si="0">SUM(H3,I3)</f>
        <v>545.42000000000007</v>
      </c>
      <c r="K3" s="150">
        <f>'Athens Daily - Gas'!BH9</f>
        <v>94646.399999999994</v>
      </c>
      <c r="L3" s="120">
        <f>'Athens Daily - Gas'!BI9</f>
        <v>59433.600000000006</v>
      </c>
      <c r="M3" s="130">
        <f>SUM(K3,L3)/38.61</f>
        <v>3990.6759906759908</v>
      </c>
      <c r="N3" s="159">
        <f>Occ!G10</f>
        <v>351</v>
      </c>
      <c r="O3" s="102">
        <f>Occ!H10</f>
        <v>783</v>
      </c>
      <c r="P3" s="158">
        <v>918</v>
      </c>
      <c r="Q3" s="167"/>
    </row>
    <row r="4" spans="1:17" ht="15.75">
      <c r="A4" s="7" t="s">
        <v>14</v>
      </c>
      <c r="B4" s="7">
        <v>2</v>
      </c>
      <c r="C4" s="7">
        <v>9</v>
      </c>
      <c r="D4" s="119">
        <v>2021</v>
      </c>
      <c r="E4" s="150">
        <f>'Athens Daily - EL'!AK9</f>
        <v>45696.5</v>
      </c>
      <c r="F4" s="152">
        <f>'Athens Daily - EL'!AL9</f>
        <v>18220.5</v>
      </c>
      <c r="G4" s="130">
        <f t="shared" ref="G4:G33" si="1">SUM(E4,F4)</f>
        <v>63917</v>
      </c>
      <c r="H4" s="150">
        <f>'Athens Daily - Water'!R8</f>
        <v>396</v>
      </c>
      <c r="I4" s="120">
        <f>'Athens Daily - Water'!S8</f>
        <v>150.44999999999999</v>
      </c>
      <c r="J4" s="126">
        <f t="shared" si="0"/>
        <v>546.45000000000005</v>
      </c>
      <c r="K4" s="150">
        <f>'Athens Daily - Gas'!BH10</f>
        <v>110371.2</v>
      </c>
      <c r="L4" s="120">
        <f>'Athens Daily - Gas'!BI10</f>
        <v>62188.800000000003</v>
      </c>
      <c r="M4" s="130">
        <f t="shared" ref="M4:M33" si="2">SUM(K4,L4)/38.61</f>
        <v>4469.3084693084693</v>
      </c>
      <c r="N4" s="159">
        <f>Occ!G11</f>
        <v>356</v>
      </c>
      <c r="O4" s="102">
        <f>Occ!H11</f>
        <v>790</v>
      </c>
      <c r="P4" s="158">
        <v>918</v>
      </c>
      <c r="Q4" s="167"/>
    </row>
    <row r="5" spans="1:17" ht="15.75">
      <c r="A5" s="7" t="s">
        <v>14</v>
      </c>
      <c r="B5" s="7">
        <v>3</v>
      </c>
      <c r="C5" s="7">
        <v>9</v>
      </c>
      <c r="D5" s="119">
        <v>2021</v>
      </c>
      <c r="E5" s="150">
        <f>'Athens Daily - EL'!AK10</f>
        <v>45149</v>
      </c>
      <c r="F5" s="152">
        <f>'Athens Daily - EL'!AL10</f>
        <v>17399</v>
      </c>
      <c r="G5" s="130">
        <f t="shared" si="1"/>
        <v>62548</v>
      </c>
      <c r="H5" s="150">
        <f>'Athens Daily - Water'!R9</f>
        <v>397</v>
      </c>
      <c r="I5" s="120">
        <f>'Athens Daily - Water'!S9</f>
        <v>148.55000000000001</v>
      </c>
      <c r="J5" s="126">
        <f t="shared" si="0"/>
        <v>545.54999999999995</v>
      </c>
      <c r="K5" s="150">
        <f>'Athens Daily - Gas'!BH11</f>
        <v>110016</v>
      </c>
      <c r="L5" s="120">
        <f>'Athens Daily - Gas'!BI11</f>
        <v>61920</v>
      </c>
      <c r="M5" s="130">
        <f t="shared" si="2"/>
        <v>4453.1468531468536</v>
      </c>
      <c r="N5" s="159">
        <f>Occ!G12</f>
        <v>382</v>
      </c>
      <c r="O5" s="102">
        <f>Occ!H12</f>
        <v>863</v>
      </c>
      <c r="P5" s="158">
        <v>918</v>
      </c>
      <c r="Q5" s="167"/>
    </row>
    <row r="6" spans="1:17" ht="15.75">
      <c r="A6" s="7" t="s">
        <v>14</v>
      </c>
      <c r="B6" s="7">
        <v>4</v>
      </c>
      <c r="C6" s="7">
        <v>9</v>
      </c>
      <c r="D6" s="119">
        <v>2021</v>
      </c>
      <c r="E6" s="150">
        <f>'Athens Daily - EL'!AK11</f>
        <v>44023</v>
      </c>
      <c r="F6" s="152">
        <f>'Athens Daily - EL'!AL11</f>
        <v>16510</v>
      </c>
      <c r="G6" s="130">
        <f t="shared" si="1"/>
        <v>60533</v>
      </c>
      <c r="H6" s="150">
        <f>'Athens Daily - Water'!R10</f>
        <v>396</v>
      </c>
      <c r="I6" s="120">
        <f>'Athens Daily - Water'!S10</f>
        <v>150</v>
      </c>
      <c r="J6" s="126">
        <f t="shared" si="0"/>
        <v>546</v>
      </c>
      <c r="K6" s="150">
        <f>'Athens Daily - Gas'!BH12</f>
        <v>106329.60000000001</v>
      </c>
      <c r="L6" s="120">
        <f>'Athens Daily - Gas'!BI12</f>
        <v>57302.400000000001</v>
      </c>
      <c r="M6" s="130">
        <f t="shared" si="2"/>
        <v>4238.0730380730383</v>
      </c>
      <c r="N6" s="159">
        <f>Occ!G13</f>
        <v>430</v>
      </c>
      <c r="O6" s="102">
        <f>Occ!H13</f>
        <v>987</v>
      </c>
      <c r="P6" s="158">
        <v>918</v>
      </c>
      <c r="Q6" s="167"/>
    </row>
    <row r="7" spans="1:17" ht="15.75">
      <c r="A7" s="7" t="s">
        <v>14</v>
      </c>
      <c r="B7" s="7">
        <v>5</v>
      </c>
      <c r="C7" s="7">
        <v>9</v>
      </c>
      <c r="D7" s="119">
        <v>2021</v>
      </c>
      <c r="E7" s="150">
        <f>'Athens Daily - EL'!AK12</f>
        <v>50228.5</v>
      </c>
      <c r="F7" s="152">
        <f>'Athens Daily - EL'!AL12</f>
        <v>16048.5</v>
      </c>
      <c r="G7" s="130">
        <f t="shared" si="1"/>
        <v>66277</v>
      </c>
      <c r="H7" s="150">
        <f>'Athens Daily - Water'!R11</f>
        <v>402</v>
      </c>
      <c r="I7" s="120">
        <f>'Athens Daily - Water'!S11</f>
        <v>149.35000000000002</v>
      </c>
      <c r="J7" s="126">
        <f t="shared" si="0"/>
        <v>551.35</v>
      </c>
      <c r="K7" s="150">
        <f>'Athens Daily - Gas'!BH13</f>
        <v>110947.2</v>
      </c>
      <c r="L7" s="120">
        <f>'Athens Daily - Gas'!BI13</f>
        <v>58636.800000000003</v>
      </c>
      <c r="M7" s="130">
        <f t="shared" si="2"/>
        <v>4392.2299922299926</v>
      </c>
      <c r="N7" s="159">
        <f>Occ!G14</f>
        <v>356</v>
      </c>
      <c r="O7" s="102">
        <f>Occ!H14</f>
        <v>794</v>
      </c>
      <c r="P7" s="158">
        <v>918</v>
      </c>
      <c r="Q7" s="167"/>
    </row>
    <row r="8" spans="1:17" ht="15.75">
      <c r="A8" s="7" t="s">
        <v>14</v>
      </c>
      <c r="B8" s="7">
        <v>6</v>
      </c>
      <c r="C8" s="7">
        <v>9</v>
      </c>
      <c r="D8" s="119">
        <v>2021</v>
      </c>
      <c r="E8" s="150">
        <f>'Athens Daily - EL'!AK13</f>
        <v>45515</v>
      </c>
      <c r="F8" s="152">
        <f>'Athens Daily - EL'!AL13</f>
        <v>18954</v>
      </c>
      <c r="G8" s="130">
        <f t="shared" si="1"/>
        <v>64469</v>
      </c>
      <c r="H8" s="150">
        <f>'Athens Daily - Water'!R12</f>
        <v>439</v>
      </c>
      <c r="I8" s="120">
        <f>'Athens Daily - Water'!S12</f>
        <v>170.3</v>
      </c>
      <c r="J8" s="126">
        <f t="shared" si="0"/>
        <v>609.29999999999995</v>
      </c>
      <c r="K8" s="150">
        <f>'Athens Daily - Gas'!BH14</f>
        <v>113548.79999999999</v>
      </c>
      <c r="L8" s="120">
        <f>'Athens Daily - Gas'!BI14</f>
        <v>59683.200000000004</v>
      </c>
      <c r="M8" s="130">
        <f t="shared" si="2"/>
        <v>4486.7132867132868</v>
      </c>
      <c r="N8" s="159">
        <f>Occ!G15</f>
        <v>376</v>
      </c>
      <c r="O8" s="102">
        <f>Occ!H15</f>
        <v>834</v>
      </c>
      <c r="P8" s="158">
        <v>918</v>
      </c>
      <c r="Q8" s="167"/>
    </row>
    <row r="9" spans="1:17" ht="15.75">
      <c r="A9" s="7" t="s">
        <v>14</v>
      </c>
      <c r="B9" s="7">
        <v>7</v>
      </c>
      <c r="C9" s="7">
        <v>9</v>
      </c>
      <c r="D9" s="119">
        <v>2021</v>
      </c>
      <c r="E9" s="150">
        <f>'Athens Daily - EL'!AK14</f>
        <v>46456</v>
      </c>
      <c r="F9" s="152">
        <f>'Athens Daily - EL'!AL14</f>
        <v>19526</v>
      </c>
      <c r="G9" s="130">
        <f t="shared" si="1"/>
        <v>65982</v>
      </c>
      <c r="H9" s="150">
        <f>'Athens Daily - Water'!R13</f>
        <v>423</v>
      </c>
      <c r="I9" s="120">
        <f>'Athens Daily - Water'!S13</f>
        <v>177.7</v>
      </c>
      <c r="J9" s="126">
        <f t="shared" si="0"/>
        <v>600.70000000000005</v>
      </c>
      <c r="K9" s="150">
        <f>'Athens Daily - Gas'!BH15</f>
        <v>97353.600000000006</v>
      </c>
      <c r="L9" s="120">
        <f>'Athens Daily - Gas'!BI15</f>
        <v>53750.400000000001</v>
      </c>
      <c r="M9" s="130">
        <f t="shared" si="2"/>
        <v>3913.5975135975136</v>
      </c>
      <c r="N9" s="159">
        <f>Occ!G16</f>
        <v>350</v>
      </c>
      <c r="O9" s="102">
        <f>Occ!H16</f>
        <v>781</v>
      </c>
      <c r="P9" s="158">
        <v>918</v>
      </c>
      <c r="Q9" s="167"/>
    </row>
    <row r="10" spans="1:17">
      <c r="A10" s="7" t="s">
        <v>14</v>
      </c>
      <c r="B10" s="7">
        <v>8</v>
      </c>
      <c r="C10" s="7">
        <v>9</v>
      </c>
      <c r="D10" s="119">
        <v>2021</v>
      </c>
      <c r="E10" s="150">
        <f>'Athens Daily - EL'!AK15</f>
        <v>45652.5</v>
      </c>
      <c r="F10" s="152">
        <f>'Athens Daily - EL'!AL15</f>
        <v>19436.5</v>
      </c>
      <c r="G10" s="130">
        <f t="shared" si="1"/>
        <v>65089</v>
      </c>
      <c r="H10" s="150">
        <f>'Athens Daily - Water'!R14</f>
        <v>330</v>
      </c>
      <c r="I10" s="120">
        <f>'Athens Daily - Water'!S14</f>
        <v>150.30000000000001</v>
      </c>
      <c r="J10" s="126">
        <f t="shared" si="0"/>
        <v>480.3</v>
      </c>
      <c r="K10" s="150">
        <f>'Athens Daily - Gas'!BH16</f>
        <v>101625.60000000001</v>
      </c>
      <c r="L10" s="120">
        <f>'Athens Daily - Gas'!BI16</f>
        <v>56438.400000000001</v>
      </c>
      <c r="M10" s="130">
        <f t="shared" si="2"/>
        <v>4093.8616938616938</v>
      </c>
      <c r="N10" s="159">
        <f>Occ!G17</f>
        <v>353</v>
      </c>
      <c r="O10" s="102">
        <f>Occ!H17</f>
        <v>785</v>
      </c>
      <c r="P10" s="158">
        <v>918</v>
      </c>
      <c r="Q10" s="99"/>
    </row>
    <row r="11" spans="1:17">
      <c r="A11" s="7" t="s">
        <v>14</v>
      </c>
      <c r="B11" s="7">
        <v>9</v>
      </c>
      <c r="C11" s="7">
        <v>9</v>
      </c>
      <c r="D11" s="119">
        <v>2021</v>
      </c>
      <c r="E11" s="150">
        <f>'Athens Daily - EL'!AK16</f>
        <v>43161.5</v>
      </c>
      <c r="F11" s="152">
        <f>'Athens Daily - EL'!AL16</f>
        <v>16986.5</v>
      </c>
      <c r="G11" s="130">
        <f t="shared" si="1"/>
        <v>60148</v>
      </c>
      <c r="H11" s="150">
        <f>'Athens Daily - Water'!R15</f>
        <v>549</v>
      </c>
      <c r="I11" s="120">
        <f>'Athens Daily - Water'!S15</f>
        <v>190</v>
      </c>
      <c r="J11" s="126">
        <f t="shared" si="0"/>
        <v>739</v>
      </c>
      <c r="K11" s="150">
        <f>'Athens Daily - Gas'!BH17</f>
        <v>106761.60000000001</v>
      </c>
      <c r="L11" s="120">
        <f>'Athens Daily - Gas'!BI17</f>
        <v>55046.400000000001</v>
      </c>
      <c r="M11" s="130">
        <f t="shared" si="2"/>
        <v>4190.8313908313912</v>
      </c>
      <c r="N11" s="159">
        <f>Occ!G18</f>
        <v>362</v>
      </c>
      <c r="O11" s="102">
        <f>Occ!H18</f>
        <v>807</v>
      </c>
      <c r="P11" s="158">
        <v>918</v>
      </c>
      <c r="Q11" s="99"/>
    </row>
    <row r="12" spans="1:17" ht="15.75">
      <c r="A12" s="7" t="s">
        <v>14</v>
      </c>
      <c r="B12" s="7">
        <v>10</v>
      </c>
      <c r="C12" s="7">
        <v>9</v>
      </c>
      <c r="D12" s="119">
        <v>2021</v>
      </c>
      <c r="E12" s="150">
        <f>'Athens Daily - EL'!AK17</f>
        <v>48211.5</v>
      </c>
      <c r="F12" s="152">
        <f>'Athens Daily - EL'!AL17</f>
        <v>21513.5</v>
      </c>
      <c r="G12" s="130">
        <f t="shared" si="1"/>
        <v>69725</v>
      </c>
      <c r="H12" s="150">
        <f>'Athens Daily - Water'!R16</f>
        <v>508</v>
      </c>
      <c r="I12" s="120">
        <f>'Athens Daily - Water'!S16</f>
        <v>177</v>
      </c>
      <c r="J12" s="126">
        <f t="shared" si="0"/>
        <v>685</v>
      </c>
      <c r="K12" s="150">
        <f>'Athens Daily - Gas'!BH18</f>
        <v>95596.799999999988</v>
      </c>
      <c r="L12" s="120">
        <f>'Athens Daily - Gas'!BI18</f>
        <v>54691.200000000004</v>
      </c>
      <c r="M12" s="130">
        <f t="shared" si="2"/>
        <v>3892.4630924630924</v>
      </c>
      <c r="N12" s="159">
        <f>Occ!G19</f>
        <v>385</v>
      </c>
      <c r="O12" s="102">
        <f>Occ!H19</f>
        <v>872</v>
      </c>
      <c r="P12" s="158">
        <v>918</v>
      </c>
      <c r="Q12" s="167"/>
    </row>
    <row r="13" spans="1:17" ht="15.75">
      <c r="A13" s="7" t="s">
        <v>14</v>
      </c>
      <c r="B13" s="7">
        <v>11</v>
      </c>
      <c r="C13" s="7">
        <v>9</v>
      </c>
      <c r="D13" s="119">
        <v>2021</v>
      </c>
      <c r="E13" s="150">
        <f>'Athens Daily - EL'!AK18</f>
        <v>47143</v>
      </c>
      <c r="F13" s="152">
        <f>'Athens Daily - EL'!AL18</f>
        <v>19540</v>
      </c>
      <c r="G13" s="130">
        <f t="shared" si="1"/>
        <v>66683</v>
      </c>
      <c r="H13" s="150">
        <f>'Athens Daily - Water'!R17</f>
        <v>351</v>
      </c>
      <c r="I13" s="120">
        <f>'Athens Daily - Water'!S17</f>
        <v>180.55</v>
      </c>
      <c r="J13" s="126">
        <f t="shared" si="0"/>
        <v>531.54999999999995</v>
      </c>
      <c r="K13" s="150">
        <f>'Athens Daily - Gas'!BH19</f>
        <v>110467.2</v>
      </c>
      <c r="L13" s="120">
        <f>'Athens Daily - Gas'!BI19</f>
        <v>57436.800000000003</v>
      </c>
      <c r="M13" s="130">
        <f t="shared" si="2"/>
        <v>4348.7179487179492</v>
      </c>
      <c r="N13" s="159">
        <f>Occ!G20</f>
        <v>422</v>
      </c>
      <c r="O13" s="102">
        <f>Occ!H20</f>
        <v>963</v>
      </c>
      <c r="P13" s="158">
        <v>918</v>
      </c>
      <c r="Q13" s="167"/>
    </row>
    <row r="14" spans="1:17" ht="15.75">
      <c r="A14" s="7" t="s">
        <v>14</v>
      </c>
      <c r="B14" s="7">
        <v>12</v>
      </c>
      <c r="C14" s="7">
        <v>9</v>
      </c>
      <c r="D14" s="119">
        <v>2021</v>
      </c>
      <c r="E14" s="150">
        <f>'Athens Daily - EL'!AK19</f>
        <v>46362.5</v>
      </c>
      <c r="F14" s="152">
        <f>'Athens Daily - EL'!AL19</f>
        <v>19907.5</v>
      </c>
      <c r="G14" s="130">
        <f t="shared" si="1"/>
        <v>66270</v>
      </c>
      <c r="H14" s="150">
        <f>'Athens Daily - Water'!R18</f>
        <v>498</v>
      </c>
      <c r="I14" s="120">
        <f>'Athens Daily - Water'!S18</f>
        <v>152.85000000000002</v>
      </c>
      <c r="J14" s="126">
        <f t="shared" si="0"/>
        <v>650.85</v>
      </c>
      <c r="K14" s="150">
        <f>'Athens Daily - Gas'!BH20</f>
        <v>109516.79999999999</v>
      </c>
      <c r="L14" s="120">
        <f>'Athens Daily - Gas'!BI20</f>
        <v>57331.200000000004</v>
      </c>
      <c r="M14" s="130">
        <f t="shared" si="2"/>
        <v>4321.3675213675215</v>
      </c>
      <c r="N14" s="159">
        <f>Occ!G21</f>
        <v>368</v>
      </c>
      <c r="O14" s="102">
        <f>Occ!H21</f>
        <v>824</v>
      </c>
      <c r="P14" s="158">
        <v>918</v>
      </c>
      <c r="Q14" s="167"/>
    </row>
    <row r="15" spans="1:17">
      <c r="A15" s="7" t="s">
        <v>14</v>
      </c>
      <c r="B15" s="7">
        <v>13</v>
      </c>
      <c r="C15" s="7">
        <v>9</v>
      </c>
      <c r="D15" s="119">
        <v>2021</v>
      </c>
      <c r="E15" s="150">
        <f>'Athens Daily - EL'!AK20</f>
        <v>45590.5</v>
      </c>
      <c r="F15" s="168">
        <f>'Athens Daily - EL'!AL20</f>
        <v>20113.5</v>
      </c>
      <c r="G15" s="130">
        <f t="shared" si="1"/>
        <v>65704</v>
      </c>
      <c r="H15" s="150">
        <f>'Athens Daily - Water'!R19</f>
        <v>423.70200000000023</v>
      </c>
      <c r="I15" s="120">
        <f>'Athens Daily - Water'!S19</f>
        <v>155.44999999999999</v>
      </c>
      <c r="J15" s="126">
        <f t="shared" si="0"/>
        <v>579.15200000000027</v>
      </c>
      <c r="K15" s="150">
        <f>'Athens Daily - Gas'!BH21</f>
        <v>103298.016</v>
      </c>
      <c r="L15" s="120">
        <f>'Athens Daily - Gas'!BI21</f>
        <v>54172.800000000003</v>
      </c>
      <c r="M15" s="130">
        <f t="shared" si="2"/>
        <v>4078.4982128982128</v>
      </c>
      <c r="N15" s="159">
        <f>Occ!G22</f>
        <v>362</v>
      </c>
      <c r="O15" s="102">
        <f>Occ!H22</f>
        <v>816</v>
      </c>
      <c r="P15" s="158">
        <v>918</v>
      </c>
      <c r="Q15" s="164"/>
    </row>
    <row r="16" spans="1:17">
      <c r="A16" s="7" t="s">
        <v>14</v>
      </c>
      <c r="B16" s="7">
        <v>14</v>
      </c>
      <c r="C16" s="7">
        <v>9</v>
      </c>
      <c r="D16" s="119">
        <v>2021</v>
      </c>
      <c r="E16" s="150">
        <f>'Athens Daily - EL'!AK21</f>
        <v>48066.5</v>
      </c>
      <c r="F16" s="152">
        <f>'Athens Daily - EL'!AL21</f>
        <v>20565.5</v>
      </c>
      <c r="G16" s="130">
        <f t="shared" si="1"/>
        <v>68632</v>
      </c>
      <c r="H16" s="150">
        <f>'Athens Daily - Water'!R20</f>
        <v>402.90200000000004</v>
      </c>
      <c r="I16" s="120">
        <f>'Athens Daily - Water'!S20</f>
        <v>157.5</v>
      </c>
      <c r="J16" s="126">
        <f t="shared" si="0"/>
        <v>560.40200000000004</v>
      </c>
      <c r="K16" s="150">
        <f>'Athens Daily - Gas'!BH22</f>
        <v>110968.12799999998</v>
      </c>
      <c r="L16" s="120">
        <f>'Athens Daily - Gas'!BI22</f>
        <v>60979.200000000004</v>
      </c>
      <c r="M16" s="130">
        <f t="shared" si="2"/>
        <v>4453.4402486402478</v>
      </c>
      <c r="N16" s="159">
        <f>Occ!G23</f>
        <v>357</v>
      </c>
      <c r="O16" s="102">
        <f>Occ!H23</f>
        <v>805</v>
      </c>
      <c r="P16" s="158">
        <v>918</v>
      </c>
      <c r="Q16" s="164"/>
    </row>
    <row r="17" spans="1:17">
      <c r="A17" s="7" t="s">
        <v>14</v>
      </c>
      <c r="B17" s="7">
        <v>15</v>
      </c>
      <c r="C17" s="7">
        <v>9</v>
      </c>
      <c r="D17" s="119">
        <v>2021</v>
      </c>
      <c r="E17" s="150">
        <f>'Athens Daily - EL'!AK22</f>
        <v>46938.5</v>
      </c>
      <c r="F17" s="152">
        <f>'Athens Daily - EL'!AL22</f>
        <v>19395.5</v>
      </c>
      <c r="G17" s="130">
        <f t="shared" si="1"/>
        <v>66334</v>
      </c>
      <c r="H17" s="150">
        <f>'Athens Daily - Water'!R21</f>
        <v>409.89899999999943</v>
      </c>
      <c r="I17" s="120">
        <f>'Athens Daily - Water'!S21</f>
        <v>147.15</v>
      </c>
      <c r="J17" s="126">
        <f t="shared" si="0"/>
        <v>557.04899999999941</v>
      </c>
      <c r="K17" s="150">
        <f>'Athens Daily - Gas'!BH23</f>
        <v>106789.53599999999</v>
      </c>
      <c r="L17" s="120">
        <f>'Athens Daily - Gas'!BI23</f>
        <v>57801.599999999999</v>
      </c>
      <c r="M17" s="130">
        <f t="shared" si="2"/>
        <v>4262.9146853146849</v>
      </c>
      <c r="N17" s="159">
        <f>Occ!G24</f>
        <v>363</v>
      </c>
      <c r="O17" s="102">
        <f>Occ!H24</f>
        <v>808</v>
      </c>
      <c r="P17" s="158">
        <v>918</v>
      </c>
      <c r="Q17" s="164"/>
    </row>
    <row r="18" spans="1:17">
      <c r="A18" s="7" t="s">
        <v>14</v>
      </c>
      <c r="B18" s="7">
        <v>16</v>
      </c>
      <c r="C18" s="7">
        <v>9</v>
      </c>
      <c r="D18" s="119">
        <v>2021</v>
      </c>
      <c r="E18" s="150">
        <f>'Athens Daily - EL'!AK23</f>
        <v>45246.5</v>
      </c>
      <c r="F18" s="152">
        <f>'Athens Daily - EL'!AL23</f>
        <v>18049.5</v>
      </c>
      <c r="G18" s="130">
        <f t="shared" si="1"/>
        <v>63296</v>
      </c>
      <c r="H18" s="150">
        <f>'Athens Daily - Water'!R22</f>
        <v>416.33400000000074</v>
      </c>
      <c r="I18" s="120">
        <f>'Athens Daily - Water'!S22</f>
        <v>148.05000000000001</v>
      </c>
      <c r="J18" s="126">
        <f t="shared" si="0"/>
        <v>564.3840000000007</v>
      </c>
      <c r="K18" s="150">
        <f>'Athens Daily - Gas'!BH24</f>
        <v>113397.504</v>
      </c>
      <c r="L18" s="120">
        <f>'Athens Daily - Gas'!BI24</f>
        <v>58992</v>
      </c>
      <c r="M18" s="130">
        <f t="shared" si="2"/>
        <v>4464.8926184926186</v>
      </c>
      <c r="N18" s="159">
        <f>Occ!G25</f>
        <v>373</v>
      </c>
      <c r="O18" s="102">
        <f>Occ!H25</f>
        <v>827</v>
      </c>
      <c r="P18" s="158">
        <v>918</v>
      </c>
      <c r="Q18" s="163"/>
    </row>
    <row r="19" spans="1:17">
      <c r="A19" s="7" t="s">
        <v>14</v>
      </c>
      <c r="B19" s="7">
        <v>17</v>
      </c>
      <c r="C19" s="7">
        <v>9</v>
      </c>
      <c r="D19" s="119">
        <v>2021</v>
      </c>
      <c r="E19" s="150">
        <f>'Athens Daily - EL'!AK24</f>
        <v>44583.5</v>
      </c>
      <c r="F19" s="152">
        <f>'Athens Daily - EL'!AL24</f>
        <v>16803.5</v>
      </c>
      <c r="G19" s="130">
        <f t="shared" si="1"/>
        <v>61387</v>
      </c>
      <c r="H19" s="150">
        <f>'Athens Daily - Water'!R23</f>
        <v>427.90699999999924</v>
      </c>
      <c r="I19" s="120">
        <f>'Athens Daily - Water'!S23</f>
        <v>152.4</v>
      </c>
      <c r="J19" s="126">
        <f t="shared" si="0"/>
        <v>580.30699999999922</v>
      </c>
      <c r="K19" s="150">
        <f>'Athens Daily - Gas'!BH25</f>
        <v>117296.83200000001</v>
      </c>
      <c r="L19" s="120">
        <f>'Athens Daily - Gas'!BI25</f>
        <v>65011.200000000004</v>
      </c>
      <c r="M19" s="130">
        <f t="shared" si="2"/>
        <v>4721.7827505827509</v>
      </c>
      <c r="N19" s="159">
        <f>Occ!G26</f>
        <v>387</v>
      </c>
      <c r="O19" s="102">
        <f>Occ!H26</f>
        <v>875</v>
      </c>
      <c r="P19" s="158">
        <v>918</v>
      </c>
      <c r="Q19" s="163"/>
    </row>
    <row r="20" spans="1:17">
      <c r="A20" s="7" t="s">
        <v>14</v>
      </c>
      <c r="B20" s="7">
        <v>18</v>
      </c>
      <c r="C20" s="7">
        <v>9</v>
      </c>
      <c r="D20" s="119">
        <v>2021</v>
      </c>
      <c r="E20" s="150">
        <f>'Athens Daily - EL'!AK25</f>
        <v>46438</v>
      </c>
      <c r="F20" s="152">
        <f>'Athens Daily - EL'!AL25</f>
        <v>18517</v>
      </c>
      <c r="G20" s="130">
        <f t="shared" si="1"/>
        <v>64955</v>
      </c>
      <c r="H20" s="150">
        <f>'Athens Daily - Water'!R24</f>
        <v>472.16000000000076</v>
      </c>
      <c r="I20" s="120">
        <f>'Athens Daily - Water'!S24</f>
        <v>163.15</v>
      </c>
      <c r="J20" s="126">
        <f t="shared" si="0"/>
        <v>635.31000000000074</v>
      </c>
      <c r="K20" s="150">
        <f>'Athens Daily - Gas'!BH26</f>
        <v>117990.38399999999</v>
      </c>
      <c r="L20" s="120">
        <f>'Athens Daily - Gas'!BI26</f>
        <v>65884.800000000003</v>
      </c>
      <c r="M20" s="130">
        <f t="shared" si="2"/>
        <v>4762.3720279720283</v>
      </c>
      <c r="N20" s="159">
        <f>Occ!G27</f>
        <v>452</v>
      </c>
      <c r="O20" s="102">
        <f>Occ!H27</f>
        <v>1029</v>
      </c>
      <c r="P20" s="158">
        <v>918</v>
      </c>
      <c r="Q20" s="163"/>
    </row>
    <row r="21" spans="1:17">
      <c r="A21" s="7" t="s">
        <v>14</v>
      </c>
      <c r="B21" s="7">
        <v>19</v>
      </c>
      <c r="C21" s="7">
        <v>9</v>
      </c>
      <c r="D21" s="119">
        <v>2021</v>
      </c>
      <c r="E21" s="150">
        <f>'Athens Daily - EL'!AK26</f>
        <v>46845</v>
      </c>
      <c r="F21" s="152">
        <f>'Athens Daily - EL'!AL26</f>
        <v>18887</v>
      </c>
      <c r="G21" s="130">
        <f t="shared" si="1"/>
        <v>65732</v>
      </c>
      <c r="H21" s="150">
        <f>'Athens Daily - Water'!R25</f>
        <v>621.09599999999955</v>
      </c>
      <c r="I21" s="120">
        <f>'Athens Daily - Water'!S25</f>
        <v>238.2</v>
      </c>
      <c r="J21" s="126">
        <f t="shared" si="0"/>
        <v>859.29599999999959</v>
      </c>
      <c r="K21" s="150">
        <f>'Athens Daily - Gas'!BH27</f>
        <v>113322</v>
      </c>
      <c r="L21" s="172">
        <f>'Athens Daily - Gas'!BI27</f>
        <v>64320</v>
      </c>
      <c r="M21" s="130">
        <f t="shared" si="2"/>
        <v>4600.9324009324009</v>
      </c>
      <c r="N21" s="159">
        <f>Occ!G28</f>
        <v>398</v>
      </c>
      <c r="O21" s="102">
        <f>Occ!H28</f>
        <v>888</v>
      </c>
      <c r="P21" s="158">
        <v>918</v>
      </c>
      <c r="Q21" s="163"/>
    </row>
    <row r="22" spans="1:17">
      <c r="A22" s="7" t="s">
        <v>14</v>
      </c>
      <c r="B22" s="7">
        <v>20</v>
      </c>
      <c r="C22" s="7">
        <v>9</v>
      </c>
      <c r="D22" s="119">
        <v>2021</v>
      </c>
      <c r="E22" s="150">
        <f>'Athens Daily - EL'!AK27</f>
        <v>45104</v>
      </c>
      <c r="F22" s="152">
        <f>'Athens Daily - EL'!AL27</f>
        <v>18048</v>
      </c>
      <c r="G22" s="130">
        <f t="shared" si="1"/>
        <v>63152</v>
      </c>
      <c r="H22" s="150">
        <f>'Athens Daily - Water'!R26</f>
        <v>479</v>
      </c>
      <c r="I22" s="120">
        <f>'Athens Daily - Water'!S26</f>
        <v>213.75</v>
      </c>
      <c r="J22" s="126">
        <f t="shared" si="0"/>
        <v>692.75</v>
      </c>
      <c r="K22" s="150">
        <f>'Athens Daily - Gas'!BH28</f>
        <v>115296</v>
      </c>
      <c r="L22" s="120">
        <f>'Athens Daily - Gas'!BI28</f>
        <v>64896</v>
      </c>
      <c r="M22" s="130">
        <f t="shared" si="2"/>
        <v>4666.977466977467</v>
      </c>
      <c r="N22" s="159">
        <f>Occ!G29</f>
        <v>383</v>
      </c>
      <c r="O22" s="102">
        <f>Occ!H29</f>
        <v>850</v>
      </c>
      <c r="P22" s="158">
        <v>918</v>
      </c>
      <c r="Q22" s="164"/>
    </row>
    <row r="23" spans="1:17">
      <c r="A23" s="7" t="s">
        <v>14</v>
      </c>
      <c r="B23" s="7">
        <v>21</v>
      </c>
      <c r="C23" s="7">
        <v>9</v>
      </c>
      <c r="D23" s="119">
        <v>2021</v>
      </c>
      <c r="E23" s="150">
        <f>'Athens Daily - EL'!AK28</f>
        <v>43213.5</v>
      </c>
      <c r="F23" s="152">
        <f>'Athens Daily - EL'!AL28</f>
        <v>16647.5</v>
      </c>
      <c r="G23" s="130">
        <f t="shared" si="1"/>
        <v>59861</v>
      </c>
      <c r="H23" s="171">
        <f>'Athens Daily - Water'!R27</f>
        <v>476</v>
      </c>
      <c r="I23" s="172">
        <f>'Athens Daily - Water'!S27</f>
        <v>230.85</v>
      </c>
      <c r="J23" s="126">
        <f t="shared" si="0"/>
        <v>706.85</v>
      </c>
      <c r="K23" s="150">
        <f>'Athens Daily - Gas'!BH29</f>
        <v>112032</v>
      </c>
      <c r="L23" s="120">
        <f>'Athens Daily - Gas'!BI29</f>
        <v>63504</v>
      </c>
      <c r="M23" s="130">
        <f t="shared" si="2"/>
        <v>4546.3869463869469</v>
      </c>
      <c r="N23" s="159">
        <f>Occ!G30</f>
        <v>445</v>
      </c>
      <c r="O23" s="102">
        <f>Occ!H30</f>
        <v>1034</v>
      </c>
      <c r="P23" s="158">
        <v>918</v>
      </c>
      <c r="Q23" s="164"/>
    </row>
    <row r="24" spans="1:17">
      <c r="A24" s="7" t="s">
        <v>14</v>
      </c>
      <c r="B24" s="7">
        <v>22</v>
      </c>
      <c r="C24" s="7">
        <v>9</v>
      </c>
      <c r="D24" s="119">
        <v>2021</v>
      </c>
      <c r="E24" s="150">
        <f>'Athens Daily - EL'!AK29</f>
        <v>44146.5</v>
      </c>
      <c r="F24" s="152">
        <f>'Athens Daily - EL'!AL29</f>
        <v>17884.5</v>
      </c>
      <c r="G24" s="130">
        <f t="shared" si="1"/>
        <v>62031</v>
      </c>
      <c r="H24" s="171">
        <f>'Athens Daily - Water'!R28</f>
        <v>494</v>
      </c>
      <c r="I24" s="172">
        <f>'Athens Daily - Water'!S28</f>
        <v>138.30000000000001</v>
      </c>
      <c r="J24" s="126">
        <f t="shared" si="0"/>
        <v>632.29999999999995</v>
      </c>
      <c r="K24" s="150">
        <f>'Athens Daily - Gas'!BH30</f>
        <v>106848</v>
      </c>
      <c r="L24" s="120">
        <f>'Athens Daily - Gas'!BI30</f>
        <v>58800</v>
      </c>
      <c r="M24" s="130">
        <f t="shared" si="2"/>
        <v>4290.2874902874901</v>
      </c>
      <c r="N24" s="159">
        <f>Occ!G31</f>
        <v>380</v>
      </c>
      <c r="O24" s="102">
        <f>Occ!H31</f>
        <v>856</v>
      </c>
      <c r="P24" s="158">
        <v>918</v>
      </c>
      <c r="Q24" s="164"/>
    </row>
    <row r="25" spans="1:17">
      <c r="A25" s="7" t="s">
        <v>14</v>
      </c>
      <c r="B25" s="7">
        <v>23</v>
      </c>
      <c r="C25" s="7">
        <v>9</v>
      </c>
      <c r="D25" s="119">
        <v>2021</v>
      </c>
      <c r="E25" s="150">
        <f>'Athens Daily - EL'!AK30</f>
        <v>46885</v>
      </c>
      <c r="F25" s="152">
        <f>'Athens Daily - EL'!AL30</f>
        <v>20193</v>
      </c>
      <c r="G25" s="130">
        <f t="shared" si="1"/>
        <v>67078</v>
      </c>
      <c r="H25" s="171">
        <f>'Athens Daily - Water'!R29</f>
        <v>667</v>
      </c>
      <c r="I25" s="172">
        <f>'Athens Daily - Water'!S29</f>
        <v>159.80000000000001</v>
      </c>
      <c r="J25" s="126">
        <f t="shared" si="0"/>
        <v>826.8</v>
      </c>
      <c r="K25" s="171">
        <f>'Athens Daily - Gas'!BH31</f>
        <v>108960</v>
      </c>
      <c r="L25" s="120">
        <f>'Athens Daily - Gas'!BI31</f>
        <v>60912</v>
      </c>
      <c r="M25" s="130">
        <f t="shared" si="2"/>
        <v>4399.6891996892</v>
      </c>
      <c r="N25" s="159">
        <f>Occ!G32</f>
        <v>396</v>
      </c>
      <c r="O25" s="102">
        <f>Occ!H32</f>
        <v>880</v>
      </c>
      <c r="P25" s="158">
        <v>918</v>
      </c>
      <c r="Q25" s="164"/>
    </row>
    <row r="26" spans="1:17">
      <c r="A26" s="7" t="s">
        <v>14</v>
      </c>
      <c r="B26" s="7">
        <v>24</v>
      </c>
      <c r="C26" s="7">
        <v>9</v>
      </c>
      <c r="D26" s="119">
        <v>2021</v>
      </c>
      <c r="E26" s="150">
        <f>'Athens Daily - EL'!AK31</f>
        <v>47441.5</v>
      </c>
      <c r="F26" s="152">
        <f>'Athens Daily - EL'!AL31</f>
        <v>19746.5</v>
      </c>
      <c r="G26" s="130">
        <f t="shared" si="1"/>
        <v>67188</v>
      </c>
      <c r="H26" s="171">
        <f>'Athens Daily - Water'!R30</f>
        <v>472</v>
      </c>
      <c r="I26" s="172">
        <f>'Athens Daily - Water'!S30</f>
        <v>145.69999999999999</v>
      </c>
      <c r="J26" s="126">
        <f t="shared" si="0"/>
        <v>617.70000000000005</v>
      </c>
      <c r="K26" s="150">
        <f>'Athens Daily - Gas'!BH32</f>
        <v>115152</v>
      </c>
      <c r="L26" s="120">
        <f>'Athens Daily - Gas'!BI32</f>
        <v>62640</v>
      </c>
      <c r="M26" s="130">
        <f t="shared" si="2"/>
        <v>4604.8174048174051</v>
      </c>
      <c r="N26" s="159">
        <f>Occ!G33</f>
        <v>394</v>
      </c>
      <c r="O26" s="102">
        <f>Occ!H33</f>
        <v>874</v>
      </c>
      <c r="P26" s="158">
        <v>918</v>
      </c>
      <c r="Q26" s="164"/>
    </row>
    <row r="27" spans="1:17">
      <c r="A27" s="7" t="s">
        <v>14</v>
      </c>
      <c r="B27" s="7">
        <v>25</v>
      </c>
      <c r="C27" s="7">
        <v>9</v>
      </c>
      <c r="D27" s="119">
        <v>2021</v>
      </c>
      <c r="E27" s="150">
        <f>'Athens Daily - EL'!AK32</f>
        <v>46796</v>
      </c>
      <c r="F27" s="152">
        <f>'Athens Daily - EL'!AL32</f>
        <v>19541</v>
      </c>
      <c r="G27" s="130">
        <f t="shared" si="1"/>
        <v>66337</v>
      </c>
      <c r="H27" s="171">
        <f>'Athens Daily - Water'!R31</f>
        <v>503</v>
      </c>
      <c r="I27" s="172">
        <f>'Athens Daily - Water'!S31</f>
        <v>167.9</v>
      </c>
      <c r="J27" s="126">
        <f t="shared" si="0"/>
        <v>670.9</v>
      </c>
      <c r="K27" s="150">
        <f>'Athens Daily - Gas'!BH33</f>
        <v>81964.799999999988</v>
      </c>
      <c r="L27" s="120">
        <f>'Athens Daily - Gas'!BI33</f>
        <v>42835.199999999997</v>
      </c>
      <c r="M27" s="130">
        <f t="shared" si="2"/>
        <v>3232.3232323232319</v>
      </c>
      <c r="N27" s="159">
        <f>Occ!G34</f>
        <v>471</v>
      </c>
      <c r="O27" s="102">
        <f>Occ!H34</f>
        <v>1062</v>
      </c>
      <c r="P27" s="158">
        <v>918</v>
      </c>
      <c r="Q27" s="162"/>
    </row>
    <row r="28" spans="1:17">
      <c r="A28" s="7" t="s">
        <v>14</v>
      </c>
      <c r="B28" s="7">
        <v>26</v>
      </c>
      <c r="C28" s="7">
        <v>9</v>
      </c>
      <c r="D28" s="119">
        <v>2021</v>
      </c>
      <c r="E28" s="150">
        <f>'Athens Daily - EL'!AK33</f>
        <v>45931</v>
      </c>
      <c r="F28" s="152">
        <f>'Athens Daily - EL'!AL33</f>
        <v>18373</v>
      </c>
      <c r="G28" s="130">
        <f t="shared" si="1"/>
        <v>64304</v>
      </c>
      <c r="H28" s="150">
        <f>'Athens Daily - Water'!R32</f>
        <v>525</v>
      </c>
      <c r="I28" s="120">
        <f>'Athens Daily - Water'!S32</f>
        <v>166.35000000000002</v>
      </c>
      <c r="J28" s="126">
        <f t="shared" si="0"/>
        <v>691.35</v>
      </c>
      <c r="K28" s="150">
        <f>'Athens Daily - Gas'!BH34</f>
        <v>120432</v>
      </c>
      <c r="L28" s="120">
        <f>'Athens Daily - Gas'!BI34</f>
        <v>57696</v>
      </c>
      <c r="M28" s="130">
        <f t="shared" si="2"/>
        <v>4613.5198135198134</v>
      </c>
      <c r="N28" s="159">
        <f>Occ!G35</f>
        <v>412</v>
      </c>
      <c r="O28" s="102">
        <f>Occ!H35</f>
        <v>906</v>
      </c>
      <c r="P28" s="158">
        <v>918</v>
      </c>
      <c r="Q28" s="162"/>
    </row>
    <row r="29" spans="1:17">
      <c r="A29" s="7" t="s">
        <v>14</v>
      </c>
      <c r="B29" s="7">
        <v>27</v>
      </c>
      <c r="C29" s="7">
        <v>9</v>
      </c>
      <c r="D29" s="119">
        <v>2021</v>
      </c>
      <c r="E29" s="150">
        <f>'Athens Daily - EL'!AK34</f>
        <v>44976</v>
      </c>
      <c r="F29" s="152">
        <f>'Athens Daily - EL'!AL34</f>
        <v>19394</v>
      </c>
      <c r="G29" s="130">
        <f t="shared" si="1"/>
        <v>64370</v>
      </c>
      <c r="H29" s="150">
        <f>'Athens Daily - Water'!R33</f>
        <v>381</v>
      </c>
      <c r="I29" s="120">
        <f>'Athens Daily - Water'!S33</f>
        <v>149.10000000000002</v>
      </c>
      <c r="J29" s="126">
        <f t="shared" si="0"/>
        <v>530.1</v>
      </c>
      <c r="K29" s="150">
        <f>'Athens Daily - Gas'!BH35</f>
        <v>114192</v>
      </c>
      <c r="L29" s="120">
        <f>'Athens Daily - Gas'!BI35</f>
        <v>57840</v>
      </c>
      <c r="M29" s="130">
        <f t="shared" si="2"/>
        <v>4455.6332556332554</v>
      </c>
      <c r="N29" s="159">
        <f>Occ!G36</f>
        <v>387</v>
      </c>
      <c r="O29" s="102">
        <f>Occ!H36</f>
        <v>852</v>
      </c>
      <c r="P29" s="158">
        <v>918</v>
      </c>
      <c r="Q29" s="162"/>
    </row>
    <row r="30" spans="1:17">
      <c r="A30" s="7" t="s">
        <v>14</v>
      </c>
      <c r="B30" s="7">
        <v>28</v>
      </c>
      <c r="C30" s="7">
        <v>9</v>
      </c>
      <c r="D30" s="119">
        <v>2021</v>
      </c>
      <c r="E30" s="150">
        <f>'Athens Daily - EL'!AK35</f>
        <v>45673</v>
      </c>
      <c r="F30" s="152">
        <f>'Athens Daily - EL'!AL35</f>
        <v>18804</v>
      </c>
      <c r="G30" s="130">
        <f t="shared" si="1"/>
        <v>64477</v>
      </c>
      <c r="H30" s="150">
        <f>'Athens Daily - Water'!R34</f>
        <v>442</v>
      </c>
      <c r="I30" s="120">
        <f>'Athens Daily - Water'!S34</f>
        <v>199.60000000000002</v>
      </c>
      <c r="J30" s="126">
        <f t="shared" si="0"/>
        <v>641.6</v>
      </c>
      <c r="K30" s="150">
        <f>'Athens Daily - Gas'!BH36</f>
        <v>112099.2</v>
      </c>
      <c r="L30" s="120">
        <f>'Athens Daily - Gas'!BI36</f>
        <v>66460.800000000003</v>
      </c>
      <c r="M30" s="130">
        <f t="shared" si="2"/>
        <v>4624.7086247086245</v>
      </c>
      <c r="N30" s="159">
        <f>Occ!G37</f>
        <v>395</v>
      </c>
      <c r="O30" s="102">
        <f>Occ!H37</f>
        <v>870</v>
      </c>
      <c r="P30" s="158">
        <v>918</v>
      </c>
      <c r="Q30" s="162"/>
    </row>
    <row r="31" spans="1:17">
      <c r="A31" s="7" t="s">
        <v>14</v>
      </c>
      <c r="B31" s="7">
        <v>29</v>
      </c>
      <c r="C31" s="7">
        <v>9</v>
      </c>
      <c r="D31" s="119">
        <v>2021</v>
      </c>
      <c r="E31" s="150">
        <f>'Athens Daily - EL'!AK36</f>
        <v>45945</v>
      </c>
      <c r="F31" s="152">
        <f>'Athens Daily - EL'!AL36</f>
        <v>19350</v>
      </c>
      <c r="G31" s="130">
        <f t="shared" si="1"/>
        <v>65295</v>
      </c>
      <c r="H31" s="150">
        <f>'Athens Daily - Water'!R35</f>
        <v>467</v>
      </c>
      <c r="I31" s="120">
        <f>'Athens Daily - Water'!S35</f>
        <v>174.3</v>
      </c>
      <c r="J31" s="126">
        <f t="shared" si="0"/>
        <v>641.29999999999995</v>
      </c>
      <c r="K31" s="150">
        <f>'Athens Daily - Gas'!BH37</f>
        <v>108739.2</v>
      </c>
      <c r="L31" s="120">
        <f>'Athens Daily - Gas'!BI37</f>
        <v>60652.800000000003</v>
      </c>
      <c r="M31" s="130">
        <f t="shared" si="2"/>
        <v>4387.2571872571871</v>
      </c>
      <c r="N31" s="159">
        <f>Occ!G38</f>
        <v>401</v>
      </c>
      <c r="O31" s="102">
        <f>Occ!H38</f>
        <v>876</v>
      </c>
      <c r="P31" s="158">
        <v>918</v>
      </c>
      <c r="Q31" s="162"/>
    </row>
    <row r="32" spans="1:17">
      <c r="A32" s="7" t="s">
        <v>14</v>
      </c>
      <c r="B32" s="7">
        <v>30</v>
      </c>
      <c r="C32" s="7">
        <v>9</v>
      </c>
      <c r="D32" s="119">
        <v>2021</v>
      </c>
      <c r="E32" s="150">
        <f>'Athens Daily - EL'!AK37</f>
        <v>50609.5</v>
      </c>
      <c r="F32" s="152">
        <f>'Athens Daily - EL'!AL37</f>
        <v>21747.5</v>
      </c>
      <c r="G32" s="130">
        <f t="shared" si="1"/>
        <v>72357</v>
      </c>
      <c r="H32" s="150">
        <f>'Athens Daily - Water'!R36</f>
        <v>220</v>
      </c>
      <c r="I32" s="120">
        <f>'Athens Daily - Water'!S36</f>
        <v>77.724999999999994</v>
      </c>
      <c r="J32" s="126">
        <f t="shared" si="0"/>
        <v>297.72500000000002</v>
      </c>
      <c r="K32" s="150">
        <f>'Athens Daily - Gas'!BH38</f>
        <v>105331.2</v>
      </c>
      <c r="L32" s="120">
        <f>'Athens Daily - Gas'!BI38</f>
        <v>59980.800000000003</v>
      </c>
      <c r="M32" s="130">
        <f t="shared" si="2"/>
        <v>4281.5850815850818</v>
      </c>
      <c r="N32" s="159">
        <f>Occ!G39</f>
        <v>425</v>
      </c>
      <c r="O32" s="102">
        <f>Occ!H39</f>
        <v>955</v>
      </c>
      <c r="P32" s="158">
        <v>918</v>
      </c>
      <c r="Q32" s="162"/>
    </row>
    <row r="33" spans="1:17" ht="15.75" thickBot="1">
      <c r="A33" s="7" t="s">
        <v>14</v>
      </c>
      <c r="B33" s="7">
        <v>31</v>
      </c>
      <c r="C33" s="7">
        <v>9</v>
      </c>
      <c r="D33" s="119">
        <v>2021</v>
      </c>
      <c r="E33" s="151">
        <f>'Athens Daily - EL'!AK7</f>
        <v>0</v>
      </c>
      <c r="F33" s="153">
        <f>'Athens Daily - EL'!AL7</f>
        <v>0</v>
      </c>
      <c r="G33" s="131">
        <f t="shared" si="1"/>
        <v>0</v>
      </c>
      <c r="H33" s="151">
        <f>'Athens Daily - Water'!R37</f>
        <v>0</v>
      </c>
      <c r="I33" s="124">
        <f>'Athens Daily - Water'!S37</f>
        <v>0</v>
      </c>
      <c r="J33" s="127">
        <f t="shared" si="0"/>
        <v>0</v>
      </c>
      <c r="K33" s="151">
        <f>'Athens Daily - Gas'!BH39</f>
        <v>0</v>
      </c>
      <c r="L33" s="124">
        <f>'Athens Daily - Gas'!BI39</f>
        <v>0</v>
      </c>
      <c r="M33" s="131">
        <f t="shared" si="2"/>
        <v>0</v>
      </c>
      <c r="N33" s="166">
        <f>Occ!G40</f>
        <v>0</v>
      </c>
      <c r="O33" s="157">
        <f>Occ!H40</f>
        <v>0</v>
      </c>
      <c r="P33" s="156">
        <v>918</v>
      </c>
      <c r="Q33" s="162"/>
    </row>
    <row r="35" spans="1:17">
      <c r="N35" s="193"/>
    </row>
  </sheetData>
  <mergeCells count="1">
    <mergeCell ref="N1:P1"/>
  </mergeCells>
  <phoneticPr fontId="30"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3"/>
  <sheetViews>
    <sheetView tabSelected="1" topLeftCell="A4" zoomScaleNormal="100" workbookViewId="0">
      <pane xSplit="2" ySplit="6" topLeftCell="C10" activePane="bottomRight" state="frozen"/>
      <selection activeCell="A4" sqref="A4"/>
      <selection pane="topRight" activeCell="C4" sqref="C4"/>
      <selection pane="bottomLeft" activeCell="A10" sqref="A10"/>
      <selection pane="bottomRight" activeCell="E24" sqref="E24"/>
    </sheetView>
  </sheetViews>
  <sheetFormatPr defaultRowHeight="15"/>
  <cols>
    <col min="1" max="1" width="9.140625" style="2"/>
    <col min="2" max="2" width="13" style="2" customWidth="1"/>
    <col min="3" max="3" width="14.7109375" style="3" bestFit="1" customWidth="1"/>
    <col min="4" max="4" width="15.85546875" style="3" bestFit="1" customWidth="1"/>
    <col min="5" max="5" width="15.5703125" style="3" customWidth="1"/>
    <col min="6" max="6" width="13.7109375" style="3" customWidth="1"/>
    <col min="7" max="7" width="17.42578125" style="3" bestFit="1" customWidth="1"/>
    <col min="8" max="8" width="12" style="3" bestFit="1" customWidth="1"/>
    <col min="9" max="9" width="13.7109375" style="3" customWidth="1"/>
    <col min="10" max="10" width="14.140625" style="2" bestFit="1" customWidth="1"/>
    <col min="11" max="11" width="18" style="2" bestFit="1" customWidth="1"/>
    <col min="12" max="12" width="15.140625" style="2" bestFit="1" customWidth="1"/>
    <col min="13" max="13" width="17.5703125" style="2" bestFit="1" customWidth="1"/>
    <col min="14" max="14" width="13.7109375" style="2" customWidth="1"/>
    <col min="15" max="257" width="9.140625" style="2"/>
    <col min="258" max="258" width="13" style="2" customWidth="1"/>
    <col min="259" max="259" width="14.7109375" style="2" bestFit="1" customWidth="1"/>
    <col min="260" max="260" width="15.85546875" style="2" bestFit="1" customWidth="1"/>
    <col min="261" max="261" width="15.5703125" style="2" customWidth="1"/>
    <col min="262" max="262" width="13.7109375" style="2" customWidth="1"/>
    <col min="263" max="263" width="17.42578125" style="2" bestFit="1" customWidth="1"/>
    <col min="264" max="264" width="12" style="2" bestFit="1" customWidth="1"/>
    <col min="265" max="265" width="13.7109375" style="2" customWidth="1"/>
    <col min="266" max="266" width="14.140625" style="2" bestFit="1" customWidth="1"/>
    <col min="267" max="267" width="18" style="2" bestFit="1" customWidth="1"/>
    <col min="268" max="268" width="15.140625" style="2" bestFit="1" customWidth="1"/>
    <col min="269" max="269" width="17.5703125" style="2" bestFit="1" customWidth="1"/>
    <col min="270" max="270" width="13.7109375" style="2" customWidth="1"/>
    <col min="271" max="513" width="9.140625" style="2"/>
    <col min="514" max="514" width="13" style="2" customWidth="1"/>
    <col min="515" max="515" width="14.7109375" style="2" bestFit="1" customWidth="1"/>
    <col min="516" max="516" width="15.85546875" style="2" bestFit="1" customWidth="1"/>
    <col min="517" max="517" width="15.5703125" style="2" customWidth="1"/>
    <col min="518" max="518" width="13.7109375" style="2" customWidth="1"/>
    <col min="519" max="519" width="17.42578125" style="2" bestFit="1" customWidth="1"/>
    <col min="520" max="520" width="12" style="2" bestFit="1" customWidth="1"/>
    <col min="521" max="521" width="13.7109375" style="2" customWidth="1"/>
    <col min="522" max="522" width="14.140625" style="2" bestFit="1" customWidth="1"/>
    <col min="523" max="523" width="18" style="2" bestFit="1" customWidth="1"/>
    <col min="524" max="524" width="15.140625" style="2" bestFit="1" customWidth="1"/>
    <col min="525" max="525" width="17.5703125" style="2" bestFit="1" customWidth="1"/>
    <col min="526" max="526" width="13.7109375" style="2" customWidth="1"/>
    <col min="527" max="769" width="9.140625" style="2"/>
    <col min="770" max="770" width="13" style="2" customWidth="1"/>
    <col min="771" max="771" width="14.7109375" style="2" bestFit="1" customWidth="1"/>
    <col min="772" max="772" width="15.85546875" style="2" bestFit="1" customWidth="1"/>
    <col min="773" max="773" width="15.5703125" style="2" customWidth="1"/>
    <col min="774" max="774" width="13.7109375" style="2" customWidth="1"/>
    <col min="775" max="775" width="17.42578125" style="2" bestFit="1" customWidth="1"/>
    <col min="776" max="776" width="12" style="2" bestFit="1" customWidth="1"/>
    <col min="777" max="777" width="13.7109375" style="2" customWidth="1"/>
    <col min="778" max="778" width="14.140625" style="2" bestFit="1" customWidth="1"/>
    <col min="779" max="779" width="18" style="2" bestFit="1" customWidth="1"/>
    <col min="780" max="780" width="15.140625" style="2" bestFit="1" customWidth="1"/>
    <col min="781" max="781" width="17.5703125" style="2" bestFit="1" customWidth="1"/>
    <col min="782" max="782" width="13.7109375" style="2" customWidth="1"/>
    <col min="783" max="1025" width="9.140625" style="2"/>
    <col min="1026" max="1026" width="13" style="2" customWidth="1"/>
    <col min="1027" max="1027" width="14.7109375" style="2" bestFit="1" customWidth="1"/>
    <col min="1028" max="1028" width="15.85546875" style="2" bestFit="1" customWidth="1"/>
    <col min="1029" max="1029" width="15.5703125" style="2" customWidth="1"/>
    <col min="1030" max="1030" width="13.7109375" style="2" customWidth="1"/>
    <col min="1031" max="1031" width="17.42578125" style="2" bestFit="1" customWidth="1"/>
    <col min="1032" max="1032" width="12" style="2" bestFit="1" customWidth="1"/>
    <col min="1033" max="1033" width="13.7109375" style="2" customWidth="1"/>
    <col min="1034" max="1034" width="14.140625" style="2" bestFit="1" customWidth="1"/>
    <col min="1035" max="1035" width="18" style="2" bestFit="1" customWidth="1"/>
    <col min="1036" max="1036" width="15.140625" style="2" bestFit="1" customWidth="1"/>
    <col min="1037" max="1037" width="17.5703125" style="2" bestFit="1" customWidth="1"/>
    <col min="1038" max="1038" width="13.7109375" style="2" customWidth="1"/>
    <col min="1039" max="1281" width="9.140625" style="2"/>
    <col min="1282" max="1282" width="13" style="2" customWidth="1"/>
    <col min="1283" max="1283" width="14.7109375" style="2" bestFit="1" customWidth="1"/>
    <col min="1284" max="1284" width="15.85546875" style="2" bestFit="1" customWidth="1"/>
    <col min="1285" max="1285" width="15.5703125" style="2" customWidth="1"/>
    <col min="1286" max="1286" width="13.7109375" style="2" customWidth="1"/>
    <col min="1287" max="1287" width="17.42578125" style="2" bestFit="1" customWidth="1"/>
    <col min="1288" max="1288" width="12" style="2" bestFit="1" customWidth="1"/>
    <col min="1289" max="1289" width="13.7109375" style="2" customWidth="1"/>
    <col min="1290" max="1290" width="14.140625" style="2" bestFit="1" customWidth="1"/>
    <col min="1291" max="1291" width="18" style="2" bestFit="1" customWidth="1"/>
    <col min="1292" max="1292" width="15.140625" style="2" bestFit="1" customWidth="1"/>
    <col min="1293" max="1293" width="17.5703125" style="2" bestFit="1" customWidth="1"/>
    <col min="1294" max="1294" width="13.7109375" style="2" customWidth="1"/>
    <col min="1295" max="1537" width="9.140625" style="2"/>
    <col min="1538" max="1538" width="13" style="2" customWidth="1"/>
    <col min="1539" max="1539" width="14.7109375" style="2" bestFit="1" customWidth="1"/>
    <col min="1540" max="1540" width="15.85546875" style="2" bestFit="1" customWidth="1"/>
    <col min="1541" max="1541" width="15.5703125" style="2" customWidth="1"/>
    <col min="1542" max="1542" width="13.7109375" style="2" customWidth="1"/>
    <col min="1543" max="1543" width="17.42578125" style="2" bestFit="1" customWidth="1"/>
    <col min="1544" max="1544" width="12" style="2" bestFit="1" customWidth="1"/>
    <col min="1545" max="1545" width="13.7109375" style="2" customWidth="1"/>
    <col min="1546" max="1546" width="14.140625" style="2" bestFit="1" customWidth="1"/>
    <col min="1547" max="1547" width="18" style="2" bestFit="1" customWidth="1"/>
    <col min="1548" max="1548" width="15.140625" style="2" bestFit="1" customWidth="1"/>
    <col min="1549" max="1549" width="17.5703125" style="2" bestFit="1" customWidth="1"/>
    <col min="1550" max="1550" width="13.7109375" style="2" customWidth="1"/>
    <col min="1551" max="1793" width="9.140625" style="2"/>
    <col min="1794" max="1794" width="13" style="2" customWidth="1"/>
    <col min="1795" max="1795" width="14.7109375" style="2" bestFit="1" customWidth="1"/>
    <col min="1796" max="1796" width="15.85546875" style="2" bestFit="1" customWidth="1"/>
    <col min="1797" max="1797" width="15.5703125" style="2" customWidth="1"/>
    <col min="1798" max="1798" width="13.7109375" style="2" customWidth="1"/>
    <col min="1799" max="1799" width="17.42578125" style="2" bestFit="1" customWidth="1"/>
    <col min="1800" max="1800" width="12" style="2" bestFit="1" customWidth="1"/>
    <col min="1801" max="1801" width="13.7109375" style="2" customWidth="1"/>
    <col min="1802" max="1802" width="14.140625" style="2" bestFit="1" customWidth="1"/>
    <col min="1803" max="1803" width="18" style="2" bestFit="1" customWidth="1"/>
    <col min="1804" max="1804" width="15.140625" style="2" bestFit="1" customWidth="1"/>
    <col min="1805" max="1805" width="17.5703125" style="2" bestFit="1" customWidth="1"/>
    <col min="1806" max="1806" width="13.7109375" style="2" customWidth="1"/>
    <col min="1807" max="2049" width="9.140625" style="2"/>
    <col min="2050" max="2050" width="13" style="2" customWidth="1"/>
    <col min="2051" max="2051" width="14.7109375" style="2" bestFit="1" customWidth="1"/>
    <col min="2052" max="2052" width="15.85546875" style="2" bestFit="1" customWidth="1"/>
    <col min="2053" max="2053" width="15.5703125" style="2" customWidth="1"/>
    <col min="2054" max="2054" width="13.7109375" style="2" customWidth="1"/>
    <col min="2055" max="2055" width="17.42578125" style="2" bestFit="1" customWidth="1"/>
    <col min="2056" max="2056" width="12" style="2" bestFit="1" customWidth="1"/>
    <col min="2057" max="2057" width="13.7109375" style="2" customWidth="1"/>
    <col min="2058" max="2058" width="14.140625" style="2" bestFit="1" customWidth="1"/>
    <col min="2059" max="2059" width="18" style="2" bestFit="1" customWidth="1"/>
    <col min="2060" max="2060" width="15.140625" style="2" bestFit="1" customWidth="1"/>
    <col min="2061" max="2061" width="17.5703125" style="2" bestFit="1" customWidth="1"/>
    <col min="2062" max="2062" width="13.7109375" style="2" customWidth="1"/>
    <col min="2063" max="2305" width="9.140625" style="2"/>
    <col min="2306" max="2306" width="13" style="2" customWidth="1"/>
    <col min="2307" max="2307" width="14.7109375" style="2" bestFit="1" customWidth="1"/>
    <col min="2308" max="2308" width="15.85546875" style="2" bestFit="1" customWidth="1"/>
    <col min="2309" max="2309" width="15.5703125" style="2" customWidth="1"/>
    <col min="2310" max="2310" width="13.7109375" style="2" customWidth="1"/>
    <col min="2311" max="2311" width="17.42578125" style="2" bestFit="1" customWidth="1"/>
    <col min="2312" max="2312" width="12" style="2" bestFit="1" customWidth="1"/>
    <col min="2313" max="2313" width="13.7109375" style="2" customWidth="1"/>
    <col min="2314" max="2314" width="14.140625" style="2" bestFit="1" customWidth="1"/>
    <col min="2315" max="2315" width="18" style="2" bestFit="1" customWidth="1"/>
    <col min="2316" max="2316" width="15.140625" style="2" bestFit="1" customWidth="1"/>
    <col min="2317" max="2317" width="17.5703125" style="2" bestFit="1" customWidth="1"/>
    <col min="2318" max="2318" width="13.7109375" style="2" customWidth="1"/>
    <col min="2319" max="2561" width="9.140625" style="2"/>
    <col min="2562" max="2562" width="13" style="2" customWidth="1"/>
    <col min="2563" max="2563" width="14.7109375" style="2" bestFit="1" customWidth="1"/>
    <col min="2564" max="2564" width="15.85546875" style="2" bestFit="1" customWidth="1"/>
    <col min="2565" max="2565" width="15.5703125" style="2" customWidth="1"/>
    <col min="2566" max="2566" width="13.7109375" style="2" customWidth="1"/>
    <col min="2567" max="2567" width="17.42578125" style="2" bestFit="1" customWidth="1"/>
    <col min="2568" max="2568" width="12" style="2" bestFit="1" customWidth="1"/>
    <col min="2569" max="2569" width="13.7109375" style="2" customWidth="1"/>
    <col min="2570" max="2570" width="14.140625" style="2" bestFit="1" customWidth="1"/>
    <col min="2571" max="2571" width="18" style="2" bestFit="1" customWidth="1"/>
    <col min="2572" max="2572" width="15.140625" style="2" bestFit="1" customWidth="1"/>
    <col min="2573" max="2573" width="17.5703125" style="2" bestFit="1" customWidth="1"/>
    <col min="2574" max="2574" width="13.7109375" style="2" customWidth="1"/>
    <col min="2575" max="2817" width="9.140625" style="2"/>
    <col min="2818" max="2818" width="13" style="2" customWidth="1"/>
    <col min="2819" max="2819" width="14.7109375" style="2" bestFit="1" customWidth="1"/>
    <col min="2820" max="2820" width="15.85546875" style="2" bestFit="1" customWidth="1"/>
    <col min="2821" max="2821" width="15.5703125" style="2" customWidth="1"/>
    <col min="2822" max="2822" width="13.7109375" style="2" customWidth="1"/>
    <col min="2823" max="2823" width="17.42578125" style="2" bestFit="1" customWidth="1"/>
    <col min="2824" max="2824" width="12" style="2" bestFit="1" customWidth="1"/>
    <col min="2825" max="2825" width="13.7109375" style="2" customWidth="1"/>
    <col min="2826" max="2826" width="14.140625" style="2" bestFit="1" customWidth="1"/>
    <col min="2827" max="2827" width="18" style="2" bestFit="1" customWidth="1"/>
    <col min="2828" max="2828" width="15.140625" style="2" bestFit="1" customWidth="1"/>
    <col min="2829" max="2829" width="17.5703125" style="2" bestFit="1" customWidth="1"/>
    <col min="2830" max="2830" width="13.7109375" style="2" customWidth="1"/>
    <col min="2831" max="3073" width="9.140625" style="2"/>
    <col min="3074" max="3074" width="13" style="2" customWidth="1"/>
    <col min="3075" max="3075" width="14.7109375" style="2" bestFit="1" customWidth="1"/>
    <col min="3076" max="3076" width="15.85546875" style="2" bestFit="1" customWidth="1"/>
    <col min="3077" max="3077" width="15.5703125" style="2" customWidth="1"/>
    <col min="3078" max="3078" width="13.7109375" style="2" customWidth="1"/>
    <col min="3079" max="3079" width="17.42578125" style="2" bestFit="1" customWidth="1"/>
    <col min="3080" max="3080" width="12" style="2" bestFit="1" customWidth="1"/>
    <col min="3081" max="3081" width="13.7109375" style="2" customWidth="1"/>
    <col min="3082" max="3082" width="14.140625" style="2" bestFit="1" customWidth="1"/>
    <col min="3083" max="3083" width="18" style="2" bestFit="1" customWidth="1"/>
    <col min="3084" max="3084" width="15.140625" style="2" bestFit="1" customWidth="1"/>
    <col min="3085" max="3085" width="17.5703125" style="2" bestFit="1" customWidth="1"/>
    <col min="3086" max="3086" width="13.7109375" style="2" customWidth="1"/>
    <col min="3087" max="3329" width="9.140625" style="2"/>
    <col min="3330" max="3330" width="13" style="2" customWidth="1"/>
    <col min="3331" max="3331" width="14.7109375" style="2" bestFit="1" customWidth="1"/>
    <col min="3332" max="3332" width="15.85546875" style="2" bestFit="1" customWidth="1"/>
    <col min="3333" max="3333" width="15.5703125" style="2" customWidth="1"/>
    <col min="3334" max="3334" width="13.7109375" style="2" customWidth="1"/>
    <col min="3335" max="3335" width="17.42578125" style="2" bestFit="1" customWidth="1"/>
    <col min="3336" max="3336" width="12" style="2" bestFit="1" customWidth="1"/>
    <col min="3337" max="3337" width="13.7109375" style="2" customWidth="1"/>
    <col min="3338" max="3338" width="14.140625" style="2" bestFit="1" customWidth="1"/>
    <col min="3339" max="3339" width="18" style="2" bestFit="1" customWidth="1"/>
    <col min="3340" max="3340" width="15.140625" style="2" bestFit="1" customWidth="1"/>
    <col min="3341" max="3341" width="17.5703125" style="2" bestFit="1" customWidth="1"/>
    <col min="3342" max="3342" width="13.7109375" style="2" customWidth="1"/>
    <col min="3343" max="3585" width="9.140625" style="2"/>
    <col min="3586" max="3586" width="13" style="2" customWidth="1"/>
    <col min="3587" max="3587" width="14.7109375" style="2" bestFit="1" customWidth="1"/>
    <col min="3588" max="3588" width="15.85546875" style="2" bestFit="1" customWidth="1"/>
    <col min="3589" max="3589" width="15.5703125" style="2" customWidth="1"/>
    <col min="3590" max="3590" width="13.7109375" style="2" customWidth="1"/>
    <col min="3591" max="3591" width="17.42578125" style="2" bestFit="1" customWidth="1"/>
    <col min="3592" max="3592" width="12" style="2" bestFit="1" customWidth="1"/>
    <col min="3593" max="3593" width="13.7109375" style="2" customWidth="1"/>
    <col min="3594" max="3594" width="14.140625" style="2" bestFit="1" customWidth="1"/>
    <col min="3595" max="3595" width="18" style="2" bestFit="1" customWidth="1"/>
    <col min="3596" max="3596" width="15.140625" style="2" bestFit="1" customWidth="1"/>
    <col min="3597" max="3597" width="17.5703125" style="2" bestFit="1" customWidth="1"/>
    <col min="3598" max="3598" width="13.7109375" style="2" customWidth="1"/>
    <col min="3599" max="3841" width="9.140625" style="2"/>
    <col min="3842" max="3842" width="13" style="2" customWidth="1"/>
    <col min="3843" max="3843" width="14.7109375" style="2" bestFit="1" customWidth="1"/>
    <col min="3844" max="3844" width="15.85546875" style="2" bestFit="1" customWidth="1"/>
    <col min="3845" max="3845" width="15.5703125" style="2" customWidth="1"/>
    <col min="3846" max="3846" width="13.7109375" style="2" customWidth="1"/>
    <col min="3847" max="3847" width="17.42578125" style="2" bestFit="1" customWidth="1"/>
    <col min="3848" max="3848" width="12" style="2" bestFit="1" customWidth="1"/>
    <col min="3849" max="3849" width="13.7109375" style="2" customWidth="1"/>
    <col min="3850" max="3850" width="14.140625" style="2" bestFit="1" customWidth="1"/>
    <col min="3851" max="3851" width="18" style="2" bestFit="1" customWidth="1"/>
    <col min="3852" max="3852" width="15.140625" style="2" bestFit="1" customWidth="1"/>
    <col min="3853" max="3853" width="17.5703125" style="2" bestFit="1" customWidth="1"/>
    <col min="3854" max="3854" width="13.7109375" style="2" customWidth="1"/>
    <col min="3855" max="4097" width="9.140625" style="2"/>
    <col min="4098" max="4098" width="13" style="2" customWidth="1"/>
    <col min="4099" max="4099" width="14.7109375" style="2" bestFit="1" customWidth="1"/>
    <col min="4100" max="4100" width="15.85546875" style="2" bestFit="1" customWidth="1"/>
    <col min="4101" max="4101" width="15.5703125" style="2" customWidth="1"/>
    <col min="4102" max="4102" width="13.7109375" style="2" customWidth="1"/>
    <col min="4103" max="4103" width="17.42578125" style="2" bestFit="1" customWidth="1"/>
    <col min="4104" max="4104" width="12" style="2" bestFit="1" customWidth="1"/>
    <col min="4105" max="4105" width="13.7109375" style="2" customWidth="1"/>
    <col min="4106" max="4106" width="14.140625" style="2" bestFit="1" customWidth="1"/>
    <col min="4107" max="4107" width="18" style="2" bestFit="1" customWidth="1"/>
    <col min="4108" max="4108" width="15.140625" style="2" bestFit="1" customWidth="1"/>
    <col min="4109" max="4109" width="17.5703125" style="2" bestFit="1" customWidth="1"/>
    <col min="4110" max="4110" width="13.7109375" style="2" customWidth="1"/>
    <col min="4111" max="4353" width="9.140625" style="2"/>
    <col min="4354" max="4354" width="13" style="2" customWidth="1"/>
    <col min="4355" max="4355" width="14.7109375" style="2" bestFit="1" customWidth="1"/>
    <col min="4356" max="4356" width="15.85546875" style="2" bestFit="1" customWidth="1"/>
    <col min="4357" max="4357" width="15.5703125" style="2" customWidth="1"/>
    <col min="4358" max="4358" width="13.7109375" style="2" customWidth="1"/>
    <col min="4359" max="4359" width="17.42578125" style="2" bestFit="1" customWidth="1"/>
    <col min="4360" max="4360" width="12" style="2" bestFit="1" customWidth="1"/>
    <col min="4361" max="4361" width="13.7109375" style="2" customWidth="1"/>
    <col min="4362" max="4362" width="14.140625" style="2" bestFit="1" customWidth="1"/>
    <col min="4363" max="4363" width="18" style="2" bestFit="1" customWidth="1"/>
    <col min="4364" max="4364" width="15.140625" style="2" bestFit="1" customWidth="1"/>
    <col min="4365" max="4365" width="17.5703125" style="2" bestFit="1" customWidth="1"/>
    <col min="4366" max="4366" width="13.7109375" style="2" customWidth="1"/>
    <col min="4367" max="4609" width="9.140625" style="2"/>
    <col min="4610" max="4610" width="13" style="2" customWidth="1"/>
    <col min="4611" max="4611" width="14.7109375" style="2" bestFit="1" customWidth="1"/>
    <col min="4612" max="4612" width="15.85546875" style="2" bestFit="1" customWidth="1"/>
    <col min="4613" max="4613" width="15.5703125" style="2" customWidth="1"/>
    <col min="4614" max="4614" width="13.7109375" style="2" customWidth="1"/>
    <col min="4615" max="4615" width="17.42578125" style="2" bestFit="1" customWidth="1"/>
    <col min="4616" max="4616" width="12" style="2" bestFit="1" customWidth="1"/>
    <col min="4617" max="4617" width="13.7109375" style="2" customWidth="1"/>
    <col min="4618" max="4618" width="14.140625" style="2" bestFit="1" customWidth="1"/>
    <col min="4619" max="4619" width="18" style="2" bestFit="1" customWidth="1"/>
    <col min="4620" max="4620" width="15.140625" style="2" bestFit="1" customWidth="1"/>
    <col min="4621" max="4621" width="17.5703125" style="2" bestFit="1" customWidth="1"/>
    <col min="4622" max="4622" width="13.7109375" style="2" customWidth="1"/>
    <col min="4623" max="4865" width="9.140625" style="2"/>
    <col min="4866" max="4866" width="13" style="2" customWidth="1"/>
    <col min="4867" max="4867" width="14.7109375" style="2" bestFit="1" customWidth="1"/>
    <col min="4868" max="4868" width="15.85546875" style="2" bestFit="1" customWidth="1"/>
    <col min="4869" max="4869" width="15.5703125" style="2" customWidth="1"/>
    <col min="4870" max="4870" width="13.7109375" style="2" customWidth="1"/>
    <col min="4871" max="4871" width="17.42578125" style="2" bestFit="1" customWidth="1"/>
    <col min="4872" max="4872" width="12" style="2" bestFit="1" customWidth="1"/>
    <col min="4873" max="4873" width="13.7109375" style="2" customWidth="1"/>
    <col min="4874" max="4874" width="14.140625" style="2" bestFit="1" customWidth="1"/>
    <col min="4875" max="4875" width="18" style="2" bestFit="1" customWidth="1"/>
    <col min="4876" max="4876" width="15.140625" style="2" bestFit="1" customWidth="1"/>
    <col min="4877" max="4877" width="17.5703125" style="2" bestFit="1" customWidth="1"/>
    <col min="4878" max="4878" width="13.7109375" style="2" customWidth="1"/>
    <col min="4879" max="5121" width="9.140625" style="2"/>
    <col min="5122" max="5122" width="13" style="2" customWidth="1"/>
    <col min="5123" max="5123" width="14.7109375" style="2" bestFit="1" customWidth="1"/>
    <col min="5124" max="5124" width="15.85546875" style="2" bestFit="1" customWidth="1"/>
    <col min="5125" max="5125" width="15.5703125" style="2" customWidth="1"/>
    <col min="5126" max="5126" width="13.7109375" style="2" customWidth="1"/>
    <col min="5127" max="5127" width="17.42578125" style="2" bestFit="1" customWidth="1"/>
    <col min="5128" max="5128" width="12" style="2" bestFit="1" customWidth="1"/>
    <col min="5129" max="5129" width="13.7109375" style="2" customWidth="1"/>
    <col min="5130" max="5130" width="14.140625" style="2" bestFit="1" customWidth="1"/>
    <col min="5131" max="5131" width="18" style="2" bestFit="1" customWidth="1"/>
    <col min="5132" max="5132" width="15.140625" style="2" bestFit="1" customWidth="1"/>
    <col min="5133" max="5133" width="17.5703125" style="2" bestFit="1" customWidth="1"/>
    <col min="5134" max="5134" width="13.7109375" style="2" customWidth="1"/>
    <col min="5135" max="5377" width="9.140625" style="2"/>
    <col min="5378" max="5378" width="13" style="2" customWidth="1"/>
    <col min="5379" max="5379" width="14.7109375" style="2" bestFit="1" customWidth="1"/>
    <col min="5380" max="5380" width="15.85546875" style="2" bestFit="1" customWidth="1"/>
    <col min="5381" max="5381" width="15.5703125" style="2" customWidth="1"/>
    <col min="5382" max="5382" width="13.7109375" style="2" customWidth="1"/>
    <col min="5383" max="5383" width="17.42578125" style="2" bestFit="1" customWidth="1"/>
    <col min="5384" max="5384" width="12" style="2" bestFit="1" customWidth="1"/>
    <col min="5385" max="5385" width="13.7109375" style="2" customWidth="1"/>
    <col min="5386" max="5386" width="14.140625" style="2" bestFit="1" customWidth="1"/>
    <col min="5387" max="5387" width="18" style="2" bestFit="1" customWidth="1"/>
    <col min="5388" max="5388" width="15.140625" style="2" bestFit="1" customWidth="1"/>
    <col min="5389" max="5389" width="17.5703125" style="2" bestFit="1" customWidth="1"/>
    <col min="5390" max="5390" width="13.7109375" style="2" customWidth="1"/>
    <col min="5391" max="5633" width="9.140625" style="2"/>
    <col min="5634" max="5634" width="13" style="2" customWidth="1"/>
    <col min="5635" max="5635" width="14.7109375" style="2" bestFit="1" customWidth="1"/>
    <col min="5636" max="5636" width="15.85546875" style="2" bestFit="1" customWidth="1"/>
    <col min="5637" max="5637" width="15.5703125" style="2" customWidth="1"/>
    <col min="5638" max="5638" width="13.7109375" style="2" customWidth="1"/>
    <col min="5639" max="5639" width="17.42578125" style="2" bestFit="1" customWidth="1"/>
    <col min="5640" max="5640" width="12" style="2" bestFit="1" customWidth="1"/>
    <col min="5641" max="5641" width="13.7109375" style="2" customWidth="1"/>
    <col min="5642" max="5642" width="14.140625" style="2" bestFit="1" customWidth="1"/>
    <col min="5643" max="5643" width="18" style="2" bestFit="1" customWidth="1"/>
    <col min="5644" max="5644" width="15.140625" style="2" bestFit="1" customWidth="1"/>
    <col min="5645" max="5645" width="17.5703125" style="2" bestFit="1" customWidth="1"/>
    <col min="5646" max="5646" width="13.7109375" style="2" customWidth="1"/>
    <col min="5647" max="5889" width="9.140625" style="2"/>
    <col min="5890" max="5890" width="13" style="2" customWidth="1"/>
    <col min="5891" max="5891" width="14.7109375" style="2" bestFit="1" customWidth="1"/>
    <col min="5892" max="5892" width="15.85546875" style="2" bestFit="1" customWidth="1"/>
    <col min="5893" max="5893" width="15.5703125" style="2" customWidth="1"/>
    <col min="5894" max="5894" width="13.7109375" style="2" customWidth="1"/>
    <col min="5895" max="5895" width="17.42578125" style="2" bestFit="1" customWidth="1"/>
    <col min="5896" max="5896" width="12" style="2" bestFit="1" customWidth="1"/>
    <col min="5897" max="5897" width="13.7109375" style="2" customWidth="1"/>
    <col min="5898" max="5898" width="14.140625" style="2" bestFit="1" customWidth="1"/>
    <col min="5899" max="5899" width="18" style="2" bestFit="1" customWidth="1"/>
    <col min="5900" max="5900" width="15.140625" style="2" bestFit="1" customWidth="1"/>
    <col min="5901" max="5901" width="17.5703125" style="2" bestFit="1" customWidth="1"/>
    <col min="5902" max="5902" width="13.7109375" style="2" customWidth="1"/>
    <col min="5903" max="6145" width="9.140625" style="2"/>
    <col min="6146" max="6146" width="13" style="2" customWidth="1"/>
    <col min="6147" max="6147" width="14.7109375" style="2" bestFit="1" customWidth="1"/>
    <col min="6148" max="6148" width="15.85546875" style="2" bestFit="1" customWidth="1"/>
    <col min="6149" max="6149" width="15.5703125" style="2" customWidth="1"/>
    <col min="6150" max="6150" width="13.7109375" style="2" customWidth="1"/>
    <col min="6151" max="6151" width="17.42578125" style="2" bestFit="1" customWidth="1"/>
    <col min="6152" max="6152" width="12" style="2" bestFit="1" customWidth="1"/>
    <col min="6153" max="6153" width="13.7109375" style="2" customWidth="1"/>
    <col min="6154" max="6154" width="14.140625" style="2" bestFit="1" customWidth="1"/>
    <col min="6155" max="6155" width="18" style="2" bestFit="1" customWidth="1"/>
    <col min="6156" max="6156" width="15.140625" style="2" bestFit="1" customWidth="1"/>
    <col min="6157" max="6157" width="17.5703125" style="2" bestFit="1" customWidth="1"/>
    <col min="6158" max="6158" width="13.7109375" style="2" customWidth="1"/>
    <col min="6159" max="6401" width="9.140625" style="2"/>
    <col min="6402" max="6402" width="13" style="2" customWidth="1"/>
    <col min="6403" max="6403" width="14.7109375" style="2" bestFit="1" customWidth="1"/>
    <col min="6404" max="6404" width="15.85546875" style="2" bestFit="1" customWidth="1"/>
    <col min="6405" max="6405" width="15.5703125" style="2" customWidth="1"/>
    <col min="6406" max="6406" width="13.7109375" style="2" customWidth="1"/>
    <col min="6407" max="6407" width="17.42578125" style="2" bestFit="1" customWidth="1"/>
    <col min="6408" max="6408" width="12" style="2" bestFit="1" customWidth="1"/>
    <col min="6409" max="6409" width="13.7109375" style="2" customWidth="1"/>
    <col min="6410" max="6410" width="14.140625" style="2" bestFit="1" customWidth="1"/>
    <col min="6411" max="6411" width="18" style="2" bestFit="1" customWidth="1"/>
    <col min="6412" max="6412" width="15.140625" style="2" bestFit="1" customWidth="1"/>
    <col min="6413" max="6413" width="17.5703125" style="2" bestFit="1" customWidth="1"/>
    <col min="6414" max="6414" width="13.7109375" style="2" customWidth="1"/>
    <col min="6415" max="6657" width="9.140625" style="2"/>
    <col min="6658" max="6658" width="13" style="2" customWidth="1"/>
    <col min="6659" max="6659" width="14.7109375" style="2" bestFit="1" customWidth="1"/>
    <col min="6660" max="6660" width="15.85546875" style="2" bestFit="1" customWidth="1"/>
    <col min="6661" max="6661" width="15.5703125" style="2" customWidth="1"/>
    <col min="6662" max="6662" width="13.7109375" style="2" customWidth="1"/>
    <col min="6663" max="6663" width="17.42578125" style="2" bestFit="1" customWidth="1"/>
    <col min="6664" max="6664" width="12" style="2" bestFit="1" customWidth="1"/>
    <col min="6665" max="6665" width="13.7109375" style="2" customWidth="1"/>
    <col min="6666" max="6666" width="14.140625" style="2" bestFit="1" customWidth="1"/>
    <col min="6667" max="6667" width="18" style="2" bestFit="1" customWidth="1"/>
    <col min="6668" max="6668" width="15.140625" style="2" bestFit="1" customWidth="1"/>
    <col min="6669" max="6669" width="17.5703125" style="2" bestFit="1" customWidth="1"/>
    <col min="6670" max="6670" width="13.7109375" style="2" customWidth="1"/>
    <col min="6671" max="6913" width="9.140625" style="2"/>
    <col min="6914" max="6914" width="13" style="2" customWidth="1"/>
    <col min="6915" max="6915" width="14.7109375" style="2" bestFit="1" customWidth="1"/>
    <col min="6916" max="6916" width="15.85546875" style="2" bestFit="1" customWidth="1"/>
    <col min="6917" max="6917" width="15.5703125" style="2" customWidth="1"/>
    <col min="6918" max="6918" width="13.7109375" style="2" customWidth="1"/>
    <col min="6919" max="6919" width="17.42578125" style="2" bestFit="1" customWidth="1"/>
    <col min="6920" max="6920" width="12" style="2" bestFit="1" customWidth="1"/>
    <col min="6921" max="6921" width="13.7109375" style="2" customWidth="1"/>
    <col min="6922" max="6922" width="14.140625" style="2" bestFit="1" customWidth="1"/>
    <col min="6923" max="6923" width="18" style="2" bestFit="1" customWidth="1"/>
    <col min="6924" max="6924" width="15.140625" style="2" bestFit="1" customWidth="1"/>
    <col min="6925" max="6925" width="17.5703125" style="2" bestFit="1" customWidth="1"/>
    <col min="6926" max="6926" width="13.7109375" style="2" customWidth="1"/>
    <col min="6927" max="7169" width="9.140625" style="2"/>
    <col min="7170" max="7170" width="13" style="2" customWidth="1"/>
    <col min="7171" max="7171" width="14.7109375" style="2" bestFit="1" customWidth="1"/>
    <col min="7172" max="7172" width="15.85546875" style="2" bestFit="1" customWidth="1"/>
    <col min="7173" max="7173" width="15.5703125" style="2" customWidth="1"/>
    <col min="7174" max="7174" width="13.7109375" style="2" customWidth="1"/>
    <col min="7175" max="7175" width="17.42578125" style="2" bestFit="1" customWidth="1"/>
    <col min="7176" max="7176" width="12" style="2" bestFit="1" customWidth="1"/>
    <col min="7177" max="7177" width="13.7109375" style="2" customWidth="1"/>
    <col min="7178" max="7178" width="14.140625" style="2" bestFit="1" customWidth="1"/>
    <col min="7179" max="7179" width="18" style="2" bestFit="1" customWidth="1"/>
    <col min="7180" max="7180" width="15.140625" style="2" bestFit="1" customWidth="1"/>
    <col min="7181" max="7181" width="17.5703125" style="2" bestFit="1" customWidth="1"/>
    <col min="7182" max="7182" width="13.7109375" style="2" customWidth="1"/>
    <col min="7183" max="7425" width="9.140625" style="2"/>
    <col min="7426" max="7426" width="13" style="2" customWidth="1"/>
    <col min="7427" max="7427" width="14.7109375" style="2" bestFit="1" customWidth="1"/>
    <col min="7428" max="7428" width="15.85546875" style="2" bestFit="1" customWidth="1"/>
    <col min="7429" max="7429" width="15.5703125" style="2" customWidth="1"/>
    <col min="7430" max="7430" width="13.7109375" style="2" customWidth="1"/>
    <col min="7431" max="7431" width="17.42578125" style="2" bestFit="1" customWidth="1"/>
    <col min="7432" max="7432" width="12" style="2" bestFit="1" customWidth="1"/>
    <col min="7433" max="7433" width="13.7109375" style="2" customWidth="1"/>
    <col min="7434" max="7434" width="14.140625" style="2" bestFit="1" customWidth="1"/>
    <col min="7435" max="7435" width="18" style="2" bestFit="1" customWidth="1"/>
    <col min="7436" max="7436" width="15.140625" style="2" bestFit="1" customWidth="1"/>
    <col min="7437" max="7437" width="17.5703125" style="2" bestFit="1" customWidth="1"/>
    <col min="7438" max="7438" width="13.7109375" style="2" customWidth="1"/>
    <col min="7439" max="7681" width="9.140625" style="2"/>
    <col min="7682" max="7682" width="13" style="2" customWidth="1"/>
    <col min="7683" max="7683" width="14.7109375" style="2" bestFit="1" customWidth="1"/>
    <col min="7684" max="7684" width="15.85546875" style="2" bestFit="1" customWidth="1"/>
    <col min="7685" max="7685" width="15.5703125" style="2" customWidth="1"/>
    <col min="7686" max="7686" width="13.7109375" style="2" customWidth="1"/>
    <col min="7687" max="7687" width="17.42578125" style="2" bestFit="1" customWidth="1"/>
    <col min="7688" max="7688" width="12" style="2" bestFit="1" customWidth="1"/>
    <col min="7689" max="7689" width="13.7109375" style="2" customWidth="1"/>
    <col min="7690" max="7690" width="14.140625" style="2" bestFit="1" customWidth="1"/>
    <col min="7691" max="7691" width="18" style="2" bestFit="1" customWidth="1"/>
    <col min="7692" max="7692" width="15.140625" style="2" bestFit="1" customWidth="1"/>
    <col min="7693" max="7693" width="17.5703125" style="2" bestFit="1" customWidth="1"/>
    <col min="7694" max="7694" width="13.7109375" style="2" customWidth="1"/>
    <col min="7695" max="7937" width="9.140625" style="2"/>
    <col min="7938" max="7938" width="13" style="2" customWidth="1"/>
    <col min="7939" max="7939" width="14.7109375" style="2" bestFit="1" customWidth="1"/>
    <col min="7940" max="7940" width="15.85546875" style="2" bestFit="1" customWidth="1"/>
    <col min="7941" max="7941" width="15.5703125" style="2" customWidth="1"/>
    <col min="7942" max="7942" width="13.7109375" style="2" customWidth="1"/>
    <col min="7943" max="7943" width="17.42578125" style="2" bestFit="1" customWidth="1"/>
    <col min="7944" max="7944" width="12" style="2" bestFit="1" customWidth="1"/>
    <col min="7945" max="7945" width="13.7109375" style="2" customWidth="1"/>
    <col min="7946" max="7946" width="14.140625" style="2" bestFit="1" customWidth="1"/>
    <col min="7947" max="7947" width="18" style="2" bestFit="1" customWidth="1"/>
    <col min="7948" max="7948" width="15.140625" style="2" bestFit="1" customWidth="1"/>
    <col min="7949" max="7949" width="17.5703125" style="2" bestFit="1" customWidth="1"/>
    <col min="7950" max="7950" width="13.7109375" style="2" customWidth="1"/>
    <col min="7951" max="8193" width="9.140625" style="2"/>
    <col min="8194" max="8194" width="13" style="2" customWidth="1"/>
    <col min="8195" max="8195" width="14.7109375" style="2" bestFit="1" customWidth="1"/>
    <col min="8196" max="8196" width="15.85546875" style="2" bestFit="1" customWidth="1"/>
    <col min="8197" max="8197" width="15.5703125" style="2" customWidth="1"/>
    <col min="8198" max="8198" width="13.7109375" style="2" customWidth="1"/>
    <col min="8199" max="8199" width="17.42578125" style="2" bestFit="1" customWidth="1"/>
    <col min="8200" max="8200" width="12" style="2" bestFit="1" customWidth="1"/>
    <col min="8201" max="8201" width="13.7109375" style="2" customWidth="1"/>
    <col min="8202" max="8202" width="14.140625" style="2" bestFit="1" customWidth="1"/>
    <col min="8203" max="8203" width="18" style="2" bestFit="1" customWidth="1"/>
    <col min="8204" max="8204" width="15.140625" style="2" bestFit="1" customWidth="1"/>
    <col min="8205" max="8205" width="17.5703125" style="2" bestFit="1" customWidth="1"/>
    <col min="8206" max="8206" width="13.7109375" style="2" customWidth="1"/>
    <col min="8207" max="8449" width="9.140625" style="2"/>
    <col min="8450" max="8450" width="13" style="2" customWidth="1"/>
    <col min="8451" max="8451" width="14.7109375" style="2" bestFit="1" customWidth="1"/>
    <col min="8452" max="8452" width="15.85546875" style="2" bestFit="1" customWidth="1"/>
    <col min="8453" max="8453" width="15.5703125" style="2" customWidth="1"/>
    <col min="8454" max="8454" width="13.7109375" style="2" customWidth="1"/>
    <col min="8455" max="8455" width="17.42578125" style="2" bestFit="1" customWidth="1"/>
    <col min="8456" max="8456" width="12" style="2" bestFit="1" customWidth="1"/>
    <col min="8457" max="8457" width="13.7109375" style="2" customWidth="1"/>
    <col min="8458" max="8458" width="14.140625" style="2" bestFit="1" customWidth="1"/>
    <col min="8459" max="8459" width="18" style="2" bestFit="1" customWidth="1"/>
    <col min="8460" max="8460" width="15.140625" style="2" bestFit="1" customWidth="1"/>
    <col min="8461" max="8461" width="17.5703125" style="2" bestFit="1" customWidth="1"/>
    <col min="8462" max="8462" width="13.7109375" style="2" customWidth="1"/>
    <col min="8463" max="8705" width="9.140625" style="2"/>
    <col min="8706" max="8706" width="13" style="2" customWidth="1"/>
    <col min="8707" max="8707" width="14.7109375" style="2" bestFit="1" customWidth="1"/>
    <col min="8708" max="8708" width="15.85546875" style="2" bestFit="1" customWidth="1"/>
    <col min="8709" max="8709" width="15.5703125" style="2" customWidth="1"/>
    <col min="8710" max="8710" width="13.7109375" style="2" customWidth="1"/>
    <col min="8711" max="8711" width="17.42578125" style="2" bestFit="1" customWidth="1"/>
    <col min="8712" max="8712" width="12" style="2" bestFit="1" customWidth="1"/>
    <col min="8713" max="8713" width="13.7109375" style="2" customWidth="1"/>
    <col min="8714" max="8714" width="14.140625" style="2" bestFit="1" customWidth="1"/>
    <col min="8715" max="8715" width="18" style="2" bestFit="1" customWidth="1"/>
    <col min="8716" max="8716" width="15.140625" style="2" bestFit="1" customWidth="1"/>
    <col min="8717" max="8717" width="17.5703125" style="2" bestFit="1" customWidth="1"/>
    <col min="8718" max="8718" width="13.7109375" style="2" customWidth="1"/>
    <col min="8719" max="8961" width="9.140625" style="2"/>
    <col min="8962" max="8962" width="13" style="2" customWidth="1"/>
    <col min="8963" max="8963" width="14.7109375" style="2" bestFit="1" customWidth="1"/>
    <col min="8964" max="8964" width="15.85546875" style="2" bestFit="1" customWidth="1"/>
    <col min="8965" max="8965" width="15.5703125" style="2" customWidth="1"/>
    <col min="8966" max="8966" width="13.7109375" style="2" customWidth="1"/>
    <col min="8967" max="8967" width="17.42578125" style="2" bestFit="1" customWidth="1"/>
    <col min="8968" max="8968" width="12" style="2" bestFit="1" customWidth="1"/>
    <col min="8969" max="8969" width="13.7109375" style="2" customWidth="1"/>
    <col min="8970" max="8970" width="14.140625" style="2" bestFit="1" customWidth="1"/>
    <col min="8971" max="8971" width="18" style="2" bestFit="1" customWidth="1"/>
    <col min="8972" max="8972" width="15.140625" style="2" bestFit="1" customWidth="1"/>
    <col min="8973" max="8973" width="17.5703125" style="2" bestFit="1" customWidth="1"/>
    <col min="8974" max="8974" width="13.7109375" style="2" customWidth="1"/>
    <col min="8975" max="9217" width="9.140625" style="2"/>
    <col min="9218" max="9218" width="13" style="2" customWidth="1"/>
    <col min="9219" max="9219" width="14.7109375" style="2" bestFit="1" customWidth="1"/>
    <col min="9220" max="9220" width="15.85546875" style="2" bestFit="1" customWidth="1"/>
    <col min="9221" max="9221" width="15.5703125" style="2" customWidth="1"/>
    <col min="9222" max="9222" width="13.7109375" style="2" customWidth="1"/>
    <col min="9223" max="9223" width="17.42578125" style="2" bestFit="1" customWidth="1"/>
    <col min="9224" max="9224" width="12" style="2" bestFit="1" customWidth="1"/>
    <col min="9225" max="9225" width="13.7109375" style="2" customWidth="1"/>
    <col min="9226" max="9226" width="14.140625" style="2" bestFit="1" customWidth="1"/>
    <col min="9227" max="9227" width="18" style="2" bestFit="1" customWidth="1"/>
    <col min="9228" max="9228" width="15.140625" style="2" bestFit="1" customWidth="1"/>
    <col min="9229" max="9229" width="17.5703125" style="2" bestFit="1" customWidth="1"/>
    <col min="9230" max="9230" width="13.7109375" style="2" customWidth="1"/>
    <col min="9231" max="9473" width="9.140625" style="2"/>
    <col min="9474" max="9474" width="13" style="2" customWidth="1"/>
    <col min="9475" max="9475" width="14.7109375" style="2" bestFit="1" customWidth="1"/>
    <col min="9476" max="9476" width="15.85546875" style="2" bestFit="1" customWidth="1"/>
    <col min="9477" max="9477" width="15.5703125" style="2" customWidth="1"/>
    <col min="9478" max="9478" width="13.7109375" style="2" customWidth="1"/>
    <col min="9479" max="9479" width="17.42578125" style="2" bestFit="1" customWidth="1"/>
    <col min="9480" max="9480" width="12" style="2" bestFit="1" customWidth="1"/>
    <col min="9481" max="9481" width="13.7109375" style="2" customWidth="1"/>
    <col min="9482" max="9482" width="14.140625" style="2" bestFit="1" customWidth="1"/>
    <col min="9483" max="9483" width="18" style="2" bestFit="1" customWidth="1"/>
    <col min="9484" max="9484" width="15.140625" style="2" bestFit="1" customWidth="1"/>
    <col min="9485" max="9485" width="17.5703125" style="2" bestFit="1" customWidth="1"/>
    <col min="9486" max="9486" width="13.7109375" style="2" customWidth="1"/>
    <col min="9487" max="9729" width="9.140625" style="2"/>
    <col min="9730" max="9730" width="13" style="2" customWidth="1"/>
    <col min="9731" max="9731" width="14.7109375" style="2" bestFit="1" customWidth="1"/>
    <col min="9732" max="9732" width="15.85546875" style="2" bestFit="1" customWidth="1"/>
    <col min="9733" max="9733" width="15.5703125" style="2" customWidth="1"/>
    <col min="9734" max="9734" width="13.7109375" style="2" customWidth="1"/>
    <col min="9735" max="9735" width="17.42578125" style="2" bestFit="1" customWidth="1"/>
    <col min="9736" max="9736" width="12" style="2" bestFit="1" customWidth="1"/>
    <col min="9737" max="9737" width="13.7109375" style="2" customWidth="1"/>
    <col min="9738" max="9738" width="14.140625" style="2" bestFit="1" customWidth="1"/>
    <col min="9739" max="9739" width="18" style="2" bestFit="1" customWidth="1"/>
    <col min="9740" max="9740" width="15.140625" style="2" bestFit="1" customWidth="1"/>
    <col min="9741" max="9741" width="17.5703125" style="2" bestFit="1" customWidth="1"/>
    <col min="9742" max="9742" width="13.7109375" style="2" customWidth="1"/>
    <col min="9743" max="9985" width="9.140625" style="2"/>
    <col min="9986" max="9986" width="13" style="2" customWidth="1"/>
    <col min="9987" max="9987" width="14.7109375" style="2" bestFit="1" customWidth="1"/>
    <col min="9988" max="9988" width="15.85546875" style="2" bestFit="1" customWidth="1"/>
    <col min="9989" max="9989" width="15.5703125" style="2" customWidth="1"/>
    <col min="9990" max="9990" width="13.7109375" style="2" customWidth="1"/>
    <col min="9991" max="9991" width="17.42578125" style="2" bestFit="1" customWidth="1"/>
    <col min="9992" max="9992" width="12" style="2" bestFit="1" customWidth="1"/>
    <col min="9993" max="9993" width="13.7109375" style="2" customWidth="1"/>
    <col min="9994" max="9994" width="14.140625" style="2" bestFit="1" customWidth="1"/>
    <col min="9995" max="9995" width="18" style="2" bestFit="1" customWidth="1"/>
    <col min="9996" max="9996" width="15.140625" style="2" bestFit="1" customWidth="1"/>
    <col min="9997" max="9997" width="17.5703125" style="2" bestFit="1" customWidth="1"/>
    <col min="9998" max="9998" width="13.7109375" style="2" customWidth="1"/>
    <col min="9999" max="10241" width="9.140625" style="2"/>
    <col min="10242" max="10242" width="13" style="2" customWidth="1"/>
    <col min="10243" max="10243" width="14.7109375" style="2" bestFit="1" customWidth="1"/>
    <col min="10244" max="10244" width="15.85546875" style="2" bestFit="1" customWidth="1"/>
    <col min="10245" max="10245" width="15.5703125" style="2" customWidth="1"/>
    <col min="10246" max="10246" width="13.7109375" style="2" customWidth="1"/>
    <col min="10247" max="10247" width="17.42578125" style="2" bestFit="1" customWidth="1"/>
    <col min="10248" max="10248" width="12" style="2" bestFit="1" customWidth="1"/>
    <col min="10249" max="10249" width="13.7109375" style="2" customWidth="1"/>
    <col min="10250" max="10250" width="14.140625" style="2" bestFit="1" customWidth="1"/>
    <col min="10251" max="10251" width="18" style="2" bestFit="1" customWidth="1"/>
    <col min="10252" max="10252" width="15.140625" style="2" bestFit="1" customWidth="1"/>
    <col min="10253" max="10253" width="17.5703125" style="2" bestFit="1" customWidth="1"/>
    <col min="10254" max="10254" width="13.7109375" style="2" customWidth="1"/>
    <col min="10255" max="10497" width="9.140625" style="2"/>
    <col min="10498" max="10498" width="13" style="2" customWidth="1"/>
    <col min="10499" max="10499" width="14.7109375" style="2" bestFit="1" customWidth="1"/>
    <col min="10500" max="10500" width="15.85546875" style="2" bestFit="1" customWidth="1"/>
    <col min="10501" max="10501" width="15.5703125" style="2" customWidth="1"/>
    <col min="10502" max="10502" width="13.7109375" style="2" customWidth="1"/>
    <col min="10503" max="10503" width="17.42578125" style="2" bestFit="1" customWidth="1"/>
    <col min="10504" max="10504" width="12" style="2" bestFit="1" customWidth="1"/>
    <col min="10505" max="10505" width="13.7109375" style="2" customWidth="1"/>
    <col min="10506" max="10506" width="14.140625" style="2" bestFit="1" customWidth="1"/>
    <col min="10507" max="10507" width="18" style="2" bestFit="1" customWidth="1"/>
    <col min="10508" max="10508" width="15.140625" style="2" bestFit="1" customWidth="1"/>
    <col min="10509" max="10509" width="17.5703125" style="2" bestFit="1" customWidth="1"/>
    <col min="10510" max="10510" width="13.7109375" style="2" customWidth="1"/>
    <col min="10511" max="10753" width="9.140625" style="2"/>
    <col min="10754" max="10754" width="13" style="2" customWidth="1"/>
    <col min="10755" max="10755" width="14.7109375" style="2" bestFit="1" customWidth="1"/>
    <col min="10756" max="10756" width="15.85546875" style="2" bestFit="1" customWidth="1"/>
    <col min="10757" max="10757" width="15.5703125" style="2" customWidth="1"/>
    <col min="10758" max="10758" width="13.7109375" style="2" customWidth="1"/>
    <col min="10759" max="10759" width="17.42578125" style="2" bestFit="1" customWidth="1"/>
    <col min="10760" max="10760" width="12" style="2" bestFit="1" customWidth="1"/>
    <col min="10761" max="10761" width="13.7109375" style="2" customWidth="1"/>
    <col min="10762" max="10762" width="14.140625" style="2" bestFit="1" customWidth="1"/>
    <col min="10763" max="10763" width="18" style="2" bestFit="1" customWidth="1"/>
    <col min="10764" max="10764" width="15.140625" style="2" bestFit="1" customWidth="1"/>
    <col min="10765" max="10765" width="17.5703125" style="2" bestFit="1" customWidth="1"/>
    <col min="10766" max="10766" width="13.7109375" style="2" customWidth="1"/>
    <col min="10767" max="11009" width="9.140625" style="2"/>
    <col min="11010" max="11010" width="13" style="2" customWidth="1"/>
    <col min="11011" max="11011" width="14.7109375" style="2" bestFit="1" customWidth="1"/>
    <col min="11012" max="11012" width="15.85546875" style="2" bestFit="1" customWidth="1"/>
    <col min="11013" max="11013" width="15.5703125" style="2" customWidth="1"/>
    <col min="11014" max="11014" width="13.7109375" style="2" customWidth="1"/>
    <col min="11015" max="11015" width="17.42578125" style="2" bestFit="1" customWidth="1"/>
    <col min="11016" max="11016" width="12" style="2" bestFit="1" customWidth="1"/>
    <col min="11017" max="11017" width="13.7109375" style="2" customWidth="1"/>
    <col min="11018" max="11018" width="14.140625" style="2" bestFit="1" customWidth="1"/>
    <col min="11019" max="11019" width="18" style="2" bestFit="1" customWidth="1"/>
    <col min="11020" max="11020" width="15.140625" style="2" bestFit="1" customWidth="1"/>
    <col min="11021" max="11021" width="17.5703125" style="2" bestFit="1" customWidth="1"/>
    <col min="11022" max="11022" width="13.7109375" style="2" customWidth="1"/>
    <col min="11023" max="11265" width="9.140625" style="2"/>
    <col min="11266" max="11266" width="13" style="2" customWidth="1"/>
    <col min="11267" max="11267" width="14.7109375" style="2" bestFit="1" customWidth="1"/>
    <col min="11268" max="11268" width="15.85546875" style="2" bestFit="1" customWidth="1"/>
    <col min="11269" max="11269" width="15.5703125" style="2" customWidth="1"/>
    <col min="11270" max="11270" width="13.7109375" style="2" customWidth="1"/>
    <col min="11271" max="11271" width="17.42578125" style="2" bestFit="1" customWidth="1"/>
    <col min="11272" max="11272" width="12" style="2" bestFit="1" customWidth="1"/>
    <col min="11273" max="11273" width="13.7109375" style="2" customWidth="1"/>
    <col min="11274" max="11274" width="14.140625" style="2" bestFit="1" customWidth="1"/>
    <col min="11275" max="11275" width="18" style="2" bestFit="1" customWidth="1"/>
    <col min="11276" max="11276" width="15.140625" style="2" bestFit="1" customWidth="1"/>
    <col min="11277" max="11277" width="17.5703125" style="2" bestFit="1" customWidth="1"/>
    <col min="11278" max="11278" width="13.7109375" style="2" customWidth="1"/>
    <col min="11279" max="11521" width="9.140625" style="2"/>
    <col min="11522" max="11522" width="13" style="2" customWidth="1"/>
    <col min="11523" max="11523" width="14.7109375" style="2" bestFit="1" customWidth="1"/>
    <col min="11524" max="11524" width="15.85546875" style="2" bestFit="1" customWidth="1"/>
    <col min="11525" max="11525" width="15.5703125" style="2" customWidth="1"/>
    <col min="11526" max="11526" width="13.7109375" style="2" customWidth="1"/>
    <col min="11527" max="11527" width="17.42578125" style="2" bestFit="1" customWidth="1"/>
    <col min="11528" max="11528" width="12" style="2" bestFit="1" customWidth="1"/>
    <col min="11529" max="11529" width="13.7109375" style="2" customWidth="1"/>
    <col min="11530" max="11530" width="14.140625" style="2" bestFit="1" customWidth="1"/>
    <col min="11531" max="11531" width="18" style="2" bestFit="1" customWidth="1"/>
    <col min="11532" max="11532" width="15.140625" style="2" bestFit="1" customWidth="1"/>
    <col min="11533" max="11533" width="17.5703125" style="2" bestFit="1" customWidth="1"/>
    <col min="11534" max="11534" width="13.7109375" style="2" customWidth="1"/>
    <col min="11535" max="11777" width="9.140625" style="2"/>
    <col min="11778" max="11778" width="13" style="2" customWidth="1"/>
    <col min="11779" max="11779" width="14.7109375" style="2" bestFit="1" customWidth="1"/>
    <col min="11780" max="11780" width="15.85546875" style="2" bestFit="1" customWidth="1"/>
    <col min="11781" max="11781" width="15.5703125" style="2" customWidth="1"/>
    <col min="11782" max="11782" width="13.7109375" style="2" customWidth="1"/>
    <col min="11783" max="11783" width="17.42578125" style="2" bestFit="1" customWidth="1"/>
    <col min="11784" max="11784" width="12" style="2" bestFit="1" customWidth="1"/>
    <col min="11785" max="11785" width="13.7109375" style="2" customWidth="1"/>
    <col min="11786" max="11786" width="14.140625" style="2" bestFit="1" customWidth="1"/>
    <col min="11787" max="11787" width="18" style="2" bestFit="1" customWidth="1"/>
    <col min="11788" max="11788" width="15.140625" style="2" bestFit="1" customWidth="1"/>
    <col min="11789" max="11789" width="17.5703125" style="2" bestFit="1" customWidth="1"/>
    <col min="11790" max="11790" width="13.7109375" style="2" customWidth="1"/>
    <col min="11791" max="12033" width="9.140625" style="2"/>
    <col min="12034" max="12034" width="13" style="2" customWidth="1"/>
    <col min="12035" max="12035" width="14.7109375" style="2" bestFit="1" customWidth="1"/>
    <col min="12036" max="12036" width="15.85546875" style="2" bestFit="1" customWidth="1"/>
    <col min="12037" max="12037" width="15.5703125" style="2" customWidth="1"/>
    <col min="12038" max="12038" width="13.7109375" style="2" customWidth="1"/>
    <col min="12039" max="12039" width="17.42578125" style="2" bestFit="1" customWidth="1"/>
    <col min="12040" max="12040" width="12" style="2" bestFit="1" customWidth="1"/>
    <col min="12041" max="12041" width="13.7109375" style="2" customWidth="1"/>
    <col min="12042" max="12042" width="14.140625" style="2" bestFit="1" customWidth="1"/>
    <col min="12043" max="12043" width="18" style="2" bestFit="1" customWidth="1"/>
    <col min="12044" max="12044" width="15.140625" style="2" bestFit="1" customWidth="1"/>
    <col min="12045" max="12045" width="17.5703125" style="2" bestFit="1" customWidth="1"/>
    <col min="12046" max="12046" width="13.7109375" style="2" customWidth="1"/>
    <col min="12047" max="12289" width="9.140625" style="2"/>
    <col min="12290" max="12290" width="13" style="2" customWidth="1"/>
    <col min="12291" max="12291" width="14.7109375" style="2" bestFit="1" customWidth="1"/>
    <col min="12292" max="12292" width="15.85546875" style="2" bestFit="1" customWidth="1"/>
    <col min="12293" max="12293" width="15.5703125" style="2" customWidth="1"/>
    <col min="12294" max="12294" width="13.7109375" style="2" customWidth="1"/>
    <col min="12295" max="12295" width="17.42578125" style="2" bestFit="1" customWidth="1"/>
    <col min="12296" max="12296" width="12" style="2" bestFit="1" customWidth="1"/>
    <col min="12297" max="12297" width="13.7109375" style="2" customWidth="1"/>
    <col min="12298" max="12298" width="14.140625" style="2" bestFit="1" customWidth="1"/>
    <col min="12299" max="12299" width="18" style="2" bestFit="1" customWidth="1"/>
    <col min="12300" max="12300" width="15.140625" style="2" bestFit="1" customWidth="1"/>
    <col min="12301" max="12301" width="17.5703125" style="2" bestFit="1" customWidth="1"/>
    <col min="12302" max="12302" width="13.7109375" style="2" customWidth="1"/>
    <col min="12303" max="12545" width="9.140625" style="2"/>
    <col min="12546" max="12546" width="13" style="2" customWidth="1"/>
    <col min="12547" max="12547" width="14.7109375" style="2" bestFit="1" customWidth="1"/>
    <col min="12548" max="12548" width="15.85546875" style="2" bestFit="1" customWidth="1"/>
    <col min="12549" max="12549" width="15.5703125" style="2" customWidth="1"/>
    <col min="12550" max="12550" width="13.7109375" style="2" customWidth="1"/>
    <col min="12551" max="12551" width="17.42578125" style="2" bestFit="1" customWidth="1"/>
    <col min="12552" max="12552" width="12" style="2" bestFit="1" customWidth="1"/>
    <col min="12553" max="12553" width="13.7109375" style="2" customWidth="1"/>
    <col min="12554" max="12554" width="14.140625" style="2" bestFit="1" customWidth="1"/>
    <col min="12555" max="12555" width="18" style="2" bestFit="1" customWidth="1"/>
    <col min="12556" max="12556" width="15.140625" style="2" bestFit="1" customWidth="1"/>
    <col min="12557" max="12557" width="17.5703125" style="2" bestFit="1" customWidth="1"/>
    <col min="12558" max="12558" width="13.7109375" style="2" customWidth="1"/>
    <col min="12559" max="12801" width="9.140625" style="2"/>
    <col min="12802" max="12802" width="13" style="2" customWidth="1"/>
    <col min="12803" max="12803" width="14.7109375" style="2" bestFit="1" customWidth="1"/>
    <col min="12804" max="12804" width="15.85546875" style="2" bestFit="1" customWidth="1"/>
    <col min="12805" max="12805" width="15.5703125" style="2" customWidth="1"/>
    <col min="12806" max="12806" width="13.7109375" style="2" customWidth="1"/>
    <col min="12807" max="12807" width="17.42578125" style="2" bestFit="1" customWidth="1"/>
    <col min="12808" max="12808" width="12" style="2" bestFit="1" customWidth="1"/>
    <col min="12809" max="12809" width="13.7109375" style="2" customWidth="1"/>
    <col min="12810" max="12810" width="14.140625" style="2" bestFit="1" customWidth="1"/>
    <col min="12811" max="12811" width="18" style="2" bestFit="1" customWidth="1"/>
    <col min="12812" max="12812" width="15.140625" style="2" bestFit="1" customWidth="1"/>
    <col min="12813" max="12813" width="17.5703125" style="2" bestFit="1" customWidth="1"/>
    <col min="12814" max="12814" width="13.7109375" style="2" customWidth="1"/>
    <col min="12815" max="13057" width="9.140625" style="2"/>
    <col min="13058" max="13058" width="13" style="2" customWidth="1"/>
    <col min="13059" max="13059" width="14.7109375" style="2" bestFit="1" customWidth="1"/>
    <col min="13060" max="13060" width="15.85546875" style="2" bestFit="1" customWidth="1"/>
    <col min="13061" max="13061" width="15.5703125" style="2" customWidth="1"/>
    <col min="13062" max="13062" width="13.7109375" style="2" customWidth="1"/>
    <col min="13063" max="13063" width="17.42578125" style="2" bestFit="1" customWidth="1"/>
    <col min="13064" max="13064" width="12" style="2" bestFit="1" customWidth="1"/>
    <col min="13065" max="13065" width="13.7109375" style="2" customWidth="1"/>
    <col min="13066" max="13066" width="14.140625" style="2" bestFit="1" customWidth="1"/>
    <col min="13067" max="13067" width="18" style="2" bestFit="1" customWidth="1"/>
    <col min="13068" max="13068" width="15.140625" style="2" bestFit="1" customWidth="1"/>
    <col min="13069" max="13069" width="17.5703125" style="2" bestFit="1" customWidth="1"/>
    <col min="13070" max="13070" width="13.7109375" style="2" customWidth="1"/>
    <col min="13071" max="13313" width="9.140625" style="2"/>
    <col min="13314" max="13314" width="13" style="2" customWidth="1"/>
    <col min="13315" max="13315" width="14.7109375" style="2" bestFit="1" customWidth="1"/>
    <col min="13316" max="13316" width="15.85546875" style="2" bestFit="1" customWidth="1"/>
    <col min="13317" max="13317" width="15.5703125" style="2" customWidth="1"/>
    <col min="13318" max="13318" width="13.7109375" style="2" customWidth="1"/>
    <col min="13319" max="13319" width="17.42578125" style="2" bestFit="1" customWidth="1"/>
    <col min="13320" max="13320" width="12" style="2" bestFit="1" customWidth="1"/>
    <col min="13321" max="13321" width="13.7109375" style="2" customWidth="1"/>
    <col min="13322" max="13322" width="14.140625" style="2" bestFit="1" customWidth="1"/>
    <col min="13323" max="13323" width="18" style="2" bestFit="1" customWidth="1"/>
    <col min="13324" max="13324" width="15.140625" style="2" bestFit="1" customWidth="1"/>
    <col min="13325" max="13325" width="17.5703125" style="2" bestFit="1" customWidth="1"/>
    <col min="13326" max="13326" width="13.7109375" style="2" customWidth="1"/>
    <col min="13327" max="13569" width="9.140625" style="2"/>
    <col min="13570" max="13570" width="13" style="2" customWidth="1"/>
    <col min="13571" max="13571" width="14.7109375" style="2" bestFit="1" customWidth="1"/>
    <col min="13572" max="13572" width="15.85546875" style="2" bestFit="1" customWidth="1"/>
    <col min="13573" max="13573" width="15.5703125" style="2" customWidth="1"/>
    <col min="13574" max="13574" width="13.7109375" style="2" customWidth="1"/>
    <col min="13575" max="13575" width="17.42578125" style="2" bestFit="1" customWidth="1"/>
    <col min="13576" max="13576" width="12" style="2" bestFit="1" customWidth="1"/>
    <col min="13577" max="13577" width="13.7109375" style="2" customWidth="1"/>
    <col min="13578" max="13578" width="14.140625" style="2" bestFit="1" customWidth="1"/>
    <col min="13579" max="13579" width="18" style="2" bestFit="1" customWidth="1"/>
    <col min="13580" max="13580" width="15.140625" style="2" bestFit="1" customWidth="1"/>
    <col min="13581" max="13581" width="17.5703125" style="2" bestFit="1" customWidth="1"/>
    <col min="13582" max="13582" width="13.7109375" style="2" customWidth="1"/>
    <col min="13583" max="13825" width="9.140625" style="2"/>
    <col min="13826" max="13826" width="13" style="2" customWidth="1"/>
    <col min="13827" max="13827" width="14.7109375" style="2" bestFit="1" customWidth="1"/>
    <col min="13828" max="13828" width="15.85546875" style="2" bestFit="1" customWidth="1"/>
    <col min="13829" max="13829" width="15.5703125" style="2" customWidth="1"/>
    <col min="13830" max="13830" width="13.7109375" style="2" customWidth="1"/>
    <col min="13831" max="13831" width="17.42578125" style="2" bestFit="1" customWidth="1"/>
    <col min="13832" max="13832" width="12" style="2" bestFit="1" customWidth="1"/>
    <col min="13833" max="13833" width="13.7109375" style="2" customWidth="1"/>
    <col min="13834" max="13834" width="14.140625" style="2" bestFit="1" customWidth="1"/>
    <col min="13835" max="13835" width="18" style="2" bestFit="1" customWidth="1"/>
    <col min="13836" max="13836" width="15.140625" style="2" bestFit="1" customWidth="1"/>
    <col min="13837" max="13837" width="17.5703125" style="2" bestFit="1" customWidth="1"/>
    <col min="13838" max="13838" width="13.7109375" style="2" customWidth="1"/>
    <col min="13839" max="14081" width="9.140625" style="2"/>
    <col min="14082" max="14082" width="13" style="2" customWidth="1"/>
    <col min="14083" max="14083" width="14.7109375" style="2" bestFit="1" customWidth="1"/>
    <col min="14084" max="14084" width="15.85546875" style="2" bestFit="1" customWidth="1"/>
    <col min="14085" max="14085" width="15.5703125" style="2" customWidth="1"/>
    <col min="14086" max="14086" width="13.7109375" style="2" customWidth="1"/>
    <col min="14087" max="14087" width="17.42578125" style="2" bestFit="1" customWidth="1"/>
    <col min="14088" max="14088" width="12" style="2" bestFit="1" customWidth="1"/>
    <col min="14089" max="14089" width="13.7109375" style="2" customWidth="1"/>
    <col min="14090" max="14090" width="14.140625" style="2" bestFit="1" customWidth="1"/>
    <col min="14091" max="14091" width="18" style="2" bestFit="1" customWidth="1"/>
    <col min="14092" max="14092" width="15.140625" style="2" bestFit="1" customWidth="1"/>
    <col min="14093" max="14093" width="17.5703125" style="2" bestFit="1" customWidth="1"/>
    <col min="14094" max="14094" width="13.7109375" style="2" customWidth="1"/>
    <col min="14095" max="14337" width="9.140625" style="2"/>
    <col min="14338" max="14338" width="13" style="2" customWidth="1"/>
    <col min="14339" max="14339" width="14.7109375" style="2" bestFit="1" customWidth="1"/>
    <col min="14340" max="14340" width="15.85546875" style="2" bestFit="1" customWidth="1"/>
    <col min="14341" max="14341" width="15.5703125" style="2" customWidth="1"/>
    <col min="14342" max="14342" width="13.7109375" style="2" customWidth="1"/>
    <col min="14343" max="14343" width="17.42578125" style="2" bestFit="1" customWidth="1"/>
    <col min="14344" max="14344" width="12" style="2" bestFit="1" customWidth="1"/>
    <col min="14345" max="14345" width="13.7109375" style="2" customWidth="1"/>
    <col min="14346" max="14346" width="14.140625" style="2" bestFit="1" customWidth="1"/>
    <col min="14347" max="14347" width="18" style="2" bestFit="1" customWidth="1"/>
    <col min="14348" max="14348" width="15.140625" style="2" bestFit="1" customWidth="1"/>
    <col min="14349" max="14349" width="17.5703125" style="2" bestFit="1" customWidth="1"/>
    <col min="14350" max="14350" width="13.7109375" style="2" customWidth="1"/>
    <col min="14351" max="14593" width="9.140625" style="2"/>
    <col min="14594" max="14594" width="13" style="2" customWidth="1"/>
    <col min="14595" max="14595" width="14.7109375" style="2" bestFit="1" customWidth="1"/>
    <col min="14596" max="14596" width="15.85546875" style="2" bestFit="1" customWidth="1"/>
    <col min="14597" max="14597" width="15.5703125" style="2" customWidth="1"/>
    <col min="14598" max="14598" width="13.7109375" style="2" customWidth="1"/>
    <col min="14599" max="14599" width="17.42578125" style="2" bestFit="1" customWidth="1"/>
    <col min="14600" max="14600" width="12" style="2" bestFit="1" customWidth="1"/>
    <col min="14601" max="14601" width="13.7109375" style="2" customWidth="1"/>
    <col min="14602" max="14602" width="14.140625" style="2" bestFit="1" customWidth="1"/>
    <col min="14603" max="14603" width="18" style="2" bestFit="1" customWidth="1"/>
    <col min="14604" max="14604" width="15.140625" style="2" bestFit="1" customWidth="1"/>
    <col min="14605" max="14605" width="17.5703125" style="2" bestFit="1" customWidth="1"/>
    <col min="14606" max="14606" width="13.7109375" style="2" customWidth="1"/>
    <col min="14607" max="14849" width="9.140625" style="2"/>
    <col min="14850" max="14850" width="13" style="2" customWidth="1"/>
    <col min="14851" max="14851" width="14.7109375" style="2" bestFit="1" customWidth="1"/>
    <col min="14852" max="14852" width="15.85546875" style="2" bestFit="1" customWidth="1"/>
    <col min="14853" max="14853" width="15.5703125" style="2" customWidth="1"/>
    <col min="14854" max="14854" width="13.7109375" style="2" customWidth="1"/>
    <col min="14855" max="14855" width="17.42578125" style="2" bestFit="1" customWidth="1"/>
    <col min="14856" max="14856" width="12" style="2" bestFit="1" customWidth="1"/>
    <col min="14857" max="14857" width="13.7109375" style="2" customWidth="1"/>
    <col min="14858" max="14858" width="14.140625" style="2" bestFit="1" customWidth="1"/>
    <col min="14859" max="14859" width="18" style="2" bestFit="1" customWidth="1"/>
    <col min="14860" max="14860" width="15.140625" style="2" bestFit="1" customWidth="1"/>
    <col min="14861" max="14861" width="17.5703125" style="2" bestFit="1" customWidth="1"/>
    <col min="14862" max="14862" width="13.7109375" style="2" customWidth="1"/>
    <col min="14863" max="15105" width="9.140625" style="2"/>
    <col min="15106" max="15106" width="13" style="2" customWidth="1"/>
    <col min="15107" max="15107" width="14.7109375" style="2" bestFit="1" customWidth="1"/>
    <col min="15108" max="15108" width="15.85546875" style="2" bestFit="1" customWidth="1"/>
    <col min="15109" max="15109" width="15.5703125" style="2" customWidth="1"/>
    <col min="15110" max="15110" width="13.7109375" style="2" customWidth="1"/>
    <col min="15111" max="15111" width="17.42578125" style="2" bestFit="1" customWidth="1"/>
    <col min="15112" max="15112" width="12" style="2" bestFit="1" customWidth="1"/>
    <col min="15113" max="15113" width="13.7109375" style="2" customWidth="1"/>
    <col min="15114" max="15114" width="14.140625" style="2" bestFit="1" customWidth="1"/>
    <col min="15115" max="15115" width="18" style="2" bestFit="1" customWidth="1"/>
    <col min="15116" max="15116" width="15.140625" style="2" bestFit="1" customWidth="1"/>
    <col min="15117" max="15117" width="17.5703125" style="2" bestFit="1" customWidth="1"/>
    <col min="15118" max="15118" width="13.7109375" style="2" customWidth="1"/>
    <col min="15119" max="15361" width="9.140625" style="2"/>
    <col min="15362" max="15362" width="13" style="2" customWidth="1"/>
    <col min="15363" max="15363" width="14.7109375" style="2" bestFit="1" customWidth="1"/>
    <col min="15364" max="15364" width="15.85546875" style="2" bestFit="1" customWidth="1"/>
    <col min="15365" max="15365" width="15.5703125" style="2" customWidth="1"/>
    <col min="15366" max="15366" width="13.7109375" style="2" customWidth="1"/>
    <col min="15367" max="15367" width="17.42578125" style="2" bestFit="1" customWidth="1"/>
    <col min="15368" max="15368" width="12" style="2" bestFit="1" customWidth="1"/>
    <col min="15369" max="15369" width="13.7109375" style="2" customWidth="1"/>
    <col min="15370" max="15370" width="14.140625" style="2" bestFit="1" customWidth="1"/>
    <col min="15371" max="15371" width="18" style="2" bestFit="1" customWidth="1"/>
    <col min="15372" max="15372" width="15.140625" style="2" bestFit="1" customWidth="1"/>
    <col min="15373" max="15373" width="17.5703125" style="2" bestFit="1" customWidth="1"/>
    <col min="15374" max="15374" width="13.7109375" style="2" customWidth="1"/>
    <col min="15375" max="15617" width="9.140625" style="2"/>
    <col min="15618" max="15618" width="13" style="2" customWidth="1"/>
    <col min="15619" max="15619" width="14.7109375" style="2" bestFit="1" customWidth="1"/>
    <col min="15620" max="15620" width="15.85546875" style="2" bestFit="1" customWidth="1"/>
    <col min="15621" max="15621" width="15.5703125" style="2" customWidth="1"/>
    <col min="15622" max="15622" width="13.7109375" style="2" customWidth="1"/>
    <col min="15623" max="15623" width="17.42578125" style="2" bestFit="1" customWidth="1"/>
    <col min="15624" max="15624" width="12" style="2" bestFit="1" customWidth="1"/>
    <col min="15625" max="15625" width="13.7109375" style="2" customWidth="1"/>
    <col min="15626" max="15626" width="14.140625" style="2" bestFit="1" customWidth="1"/>
    <col min="15627" max="15627" width="18" style="2" bestFit="1" customWidth="1"/>
    <col min="15628" max="15628" width="15.140625" style="2" bestFit="1" customWidth="1"/>
    <col min="15629" max="15629" width="17.5703125" style="2" bestFit="1" customWidth="1"/>
    <col min="15630" max="15630" width="13.7109375" style="2" customWidth="1"/>
    <col min="15631" max="15873" width="9.140625" style="2"/>
    <col min="15874" max="15874" width="13" style="2" customWidth="1"/>
    <col min="15875" max="15875" width="14.7109375" style="2" bestFit="1" customWidth="1"/>
    <col min="15876" max="15876" width="15.85546875" style="2" bestFit="1" customWidth="1"/>
    <col min="15877" max="15877" width="15.5703125" style="2" customWidth="1"/>
    <col min="15878" max="15878" width="13.7109375" style="2" customWidth="1"/>
    <col min="15879" max="15879" width="17.42578125" style="2" bestFit="1" customWidth="1"/>
    <col min="15880" max="15880" width="12" style="2" bestFit="1" customWidth="1"/>
    <col min="15881" max="15881" width="13.7109375" style="2" customWidth="1"/>
    <col min="15882" max="15882" width="14.140625" style="2" bestFit="1" customWidth="1"/>
    <col min="15883" max="15883" width="18" style="2" bestFit="1" customWidth="1"/>
    <col min="15884" max="15884" width="15.140625" style="2" bestFit="1" customWidth="1"/>
    <col min="15885" max="15885" width="17.5703125" style="2" bestFit="1" customWidth="1"/>
    <col min="15886" max="15886" width="13.7109375" style="2" customWidth="1"/>
    <col min="15887" max="16129" width="9.140625" style="2"/>
    <col min="16130" max="16130" width="13" style="2" customWidth="1"/>
    <col min="16131" max="16131" width="14.7109375" style="2" bestFit="1" customWidth="1"/>
    <col min="16132" max="16132" width="15.85546875" style="2" bestFit="1" customWidth="1"/>
    <col min="16133" max="16133" width="15.5703125" style="2" customWidth="1"/>
    <col min="16134" max="16134" width="13.7109375" style="2" customWidth="1"/>
    <col min="16135" max="16135" width="17.42578125" style="2" bestFit="1" customWidth="1"/>
    <col min="16136" max="16136" width="12" style="2" bestFit="1" customWidth="1"/>
    <col min="16137" max="16137" width="13.7109375" style="2" customWidth="1"/>
    <col min="16138" max="16138" width="14.140625" style="2" bestFit="1" customWidth="1"/>
    <col min="16139" max="16139" width="18" style="2" bestFit="1" customWidth="1"/>
    <col min="16140" max="16140" width="15.140625" style="2" bestFit="1" customWidth="1"/>
    <col min="16141" max="16141" width="17.5703125" style="2" bestFit="1" customWidth="1"/>
    <col min="16142" max="16142" width="13.7109375" style="2" customWidth="1"/>
    <col min="16143" max="16384" width="9.140625" style="2"/>
  </cols>
  <sheetData>
    <row r="1" spans="1:14">
      <c r="A1" s="132" t="s">
        <v>15</v>
      </c>
      <c r="B1" s="132" t="s">
        <v>16</v>
      </c>
      <c r="C1" s="133"/>
      <c r="D1" s="133"/>
      <c r="E1" s="133"/>
      <c r="F1" s="133"/>
      <c r="G1" s="133"/>
      <c r="H1" s="133"/>
      <c r="I1" s="133"/>
      <c r="J1" s="132"/>
      <c r="K1" s="132"/>
      <c r="L1" s="132"/>
      <c r="M1" s="132"/>
      <c r="N1" s="132"/>
    </row>
    <row r="2" spans="1:14">
      <c r="A2" s="132"/>
      <c r="B2" s="132"/>
      <c r="C2" s="133"/>
      <c r="D2" s="133"/>
      <c r="E2" s="133"/>
      <c r="F2" s="133"/>
      <c r="G2" s="133"/>
      <c r="H2" s="133"/>
      <c r="I2" s="133"/>
      <c r="J2" s="132"/>
      <c r="K2" s="132"/>
      <c r="L2" s="132"/>
      <c r="M2" s="132"/>
      <c r="N2" s="132"/>
    </row>
    <row r="3" spans="1:14">
      <c r="A3" s="132"/>
      <c r="B3" s="132"/>
      <c r="C3" s="134" t="s">
        <v>17</v>
      </c>
      <c r="D3" s="134"/>
      <c r="E3" s="134"/>
      <c r="F3" s="134"/>
      <c r="G3" s="134"/>
      <c r="H3" s="134"/>
      <c r="I3" s="134"/>
      <c r="J3" s="135"/>
      <c r="K3" s="135"/>
      <c r="L3" s="135"/>
      <c r="M3" s="135"/>
      <c r="N3" s="135"/>
    </row>
    <row r="4" spans="1:14">
      <c r="A4" s="132"/>
      <c r="B4" s="132"/>
      <c r="C4" s="133" t="s">
        <v>18</v>
      </c>
      <c r="D4" s="133"/>
      <c r="E4" s="133"/>
      <c r="F4" s="133"/>
      <c r="G4" s="133"/>
      <c r="H4" s="133"/>
      <c r="I4" s="133"/>
      <c r="J4" s="132"/>
      <c r="K4" s="132"/>
      <c r="L4" s="132"/>
      <c r="M4" s="132"/>
      <c r="N4" s="132"/>
    </row>
    <row r="5" spans="1:14">
      <c r="A5" s="132"/>
      <c r="B5" s="132"/>
      <c r="C5" s="133" t="s">
        <v>19</v>
      </c>
      <c r="D5" s="133"/>
      <c r="E5" s="133"/>
      <c r="F5" s="133"/>
      <c r="G5" s="133"/>
      <c r="H5" s="133"/>
      <c r="I5" s="133"/>
      <c r="J5" s="132"/>
      <c r="K5" s="132"/>
      <c r="L5" s="132"/>
      <c r="M5" s="132"/>
      <c r="N5" s="132"/>
    </row>
    <row r="6" spans="1:14">
      <c r="A6" s="132"/>
      <c r="B6" s="132"/>
      <c r="C6" s="133" t="s">
        <v>12</v>
      </c>
      <c r="D6" s="133"/>
      <c r="E6" s="133"/>
      <c r="F6" s="133"/>
      <c r="G6" s="133"/>
      <c r="H6" s="133"/>
      <c r="I6" s="133"/>
      <c r="J6" s="132"/>
      <c r="K6" s="132"/>
      <c r="L6" s="132"/>
      <c r="M6" s="132"/>
      <c r="N6" s="132"/>
    </row>
    <row r="7" spans="1:14">
      <c r="A7" s="132"/>
      <c r="B7" s="132" t="s">
        <v>20</v>
      </c>
      <c r="C7" s="133" t="s">
        <v>403</v>
      </c>
      <c r="D7" s="133"/>
      <c r="E7" s="133"/>
      <c r="F7" s="133"/>
      <c r="G7" s="133"/>
      <c r="H7" s="133"/>
      <c r="I7" s="133"/>
      <c r="J7" s="132"/>
      <c r="K7" s="132"/>
      <c r="L7" s="132"/>
      <c r="M7" s="132"/>
      <c r="N7" s="132"/>
    </row>
    <row r="8" spans="1:14" ht="15.75" thickBot="1">
      <c r="A8" s="132"/>
      <c r="B8" s="132" t="s">
        <v>21</v>
      </c>
      <c r="C8" s="136"/>
      <c r="D8" s="136"/>
      <c r="E8" s="136"/>
      <c r="F8" s="136"/>
      <c r="G8" s="199" t="s">
        <v>22</v>
      </c>
      <c r="H8" s="200"/>
      <c r="I8" s="133"/>
      <c r="J8" s="132"/>
      <c r="K8" s="132"/>
      <c r="L8" s="132"/>
      <c r="M8" s="132"/>
      <c r="N8" s="132"/>
    </row>
    <row r="9" spans="1:14">
      <c r="A9" s="132"/>
      <c r="B9" s="137" t="s">
        <v>23</v>
      </c>
      <c r="C9" s="138" t="s">
        <v>24</v>
      </c>
      <c r="D9" s="139" t="s">
        <v>25</v>
      </c>
      <c r="E9" s="138" t="s">
        <v>26</v>
      </c>
      <c r="F9" s="139" t="s">
        <v>25</v>
      </c>
      <c r="G9" s="138" t="s">
        <v>27</v>
      </c>
      <c r="H9" s="139" t="s">
        <v>11</v>
      </c>
      <c r="I9" s="140" t="s">
        <v>12</v>
      </c>
      <c r="J9" s="132"/>
      <c r="K9" s="132"/>
      <c r="L9" s="132"/>
      <c r="M9" s="132"/>
      <c r="N9" s="132"/>
    </row>
    <row r="10" spans="1:14">
      <c r="A10" s="132"/>
      <c r="B10" s="141" t="s">
        <v>28</v>
      </c>
      <c r="C10" s="142">
        <v>55</v>
      </c>
      <c r="D10" s="143">
        <v>99</v>
      </c>
      <c r="E10" s="142">
        <v>296</v>
      </c>
      <c r="F10" s="143">
        <v>684</v>
      </c>
      <c r="G10" s="165">
        <f>C10+E10</f>
        <v>351</v>
      </c>
      <c r="H10" s="143">
        <f>D10+F10</f>
        <v>783</v>
      </c>
      <c r="I10" s="140">
        <v>918</v>
      </c>
      <c r="J10" s="132"/>
      <c r="K10" s="132"/>
      <c r="L10" s="132"/>
      <c r="M10" s="132"/>
      <c r="N10" s="132"/>
    </row>
    <row r="11" spans="1:14">
      <c r="A11" s="132"/>
      <c r="B11" s="141" t="s">
        <v>29</v>
      </c>
      <c r="C11" s="142">
        <v>60</v>
      </c>
      <c r="D11" s="143">
        <v>106</v>
      </c>
      <c r="E11" s="142">
        <v>296</v>
      </c>
      <c r="F11" s="143">
        <v>684</v>
      </c>
      <c r="G11" s="165">
        <f t="shared" ref="G11:G40" si="0">C11+E11</f>
        <v>356</v>
      </c>
      <c r="H11" s="143">
        <f t="shared" ref="H11:H40" si="1">D11+F11</f>
        <v>790</v>
      </c>
      <c r="I11" s="140">
        <v>918</v>
      </c>
      <c r="J11" s="132"/>
      <c r="K11" s="132"/>
      <c r="L11" s="132"/>
      <c r="M11" s="132"/>
      <c r="N11" s="132"/>
    </row>
    <row r="12" spans="1:14">
      <c r="A12" s="132"/>
      <c r="B12" s="141" t="s">
        <v>30</v>
      </c>
      <c r="C12" s="142">
        <v>85</v>
      </c>
      <c r="D12" s="143">
        <v>176</v>
      </c>
      <c r="E12" s="142">
        <v>297</v>
      </c>
      <c r="F12" s="143">
        <v>687</v>
      </c>
      <c r="G12" s="165">
        <f t="shared" si="0"/>
        <v>382</v>
      </c>
      <c r="H12" s="143">
        <f t="shared" si="1"/>
        <v>863</v>
      </c>
      <c r="I12" s="140">
        <v>918</v>
      </c>
      <c r="J12" s="132"/>
      <c r="K12" s="132"/>
      <c r="L12" s="132"/>
      <c r="M12" s="132"/>
      <c r="N12" s="132"/>
    </row>
    <row r="13" spans="1:14">
      <c r="A13" s="132"/>
      <c r="B13" s="141" t="s">
        <v>31</v>
      </c>
      <c r="C13" s="142">
        <v>133</v>
      </c>
      <c r="D13" s="143">
        <v>301</v>
      </c>
      <c r="E13" s="142">
        <v>297</v>
      </c>
      <c r="F13" s="143">
        <v>686</v>
      </c>
      <c r="G13" s="165">
        <f t="shared" si="0"/>
        <v>430</v>
      </c>
      <c r="H13" s="143">
        <f t="shared" si="1"/>
        <v>987</v>
      </c>
      <c r="I13" s="140">
        <v>918</v>
      </c>
      <c r="J13" s="132"/>
      <c r="K13" s="132"/>
      <c r="L13" s="132"/>
      <c r="M13" s="132"/>
      <c r="N13" s="132"/>
    </row>
    <row r="14" spans="1:14">
      <c r="A14" s="132"/>
      <c r="B14" s="141" t="s">
        <v>32</v>
      </c>
      <c r="C14" s="142">
        <v>59</v>
      </c>
      <c r="D14" s="143">
        <v>108</v>
      </c>
      <c r="E14" s="142">
        <v>297</v>
      </c>
      <c r="F14" s="143">
        <v>686</v>
      </c>
      <c r="G14" s="165">
        <f t="shared" si="0"/>
        <v>356</v>
      </c>
      <c r="H14" s="143">
        <f t="shared" si="1"/>
        <v>794</v>
      </c>
      <c r="I14" s="140">
        <v>918</v>
      </c>
      <c r="J14" s="132"/>
      <c r="K14" s="132"/>
      <c r="L14" s="132"/>
      <c r="M14" s="132"/>
      <c r="N14" s="132"/>
    </row>
    <row r="15" spans="1:14">
      <c r="A15" s="132"/>
      <c r="B15" s="141" t="s">
        <v>33</v>
      </c>
      <c r="C15" s="142">
        <v>80</v>
      </c>
      <c r="D15" s="143">
        <v>153</v>
      </c>
      <c r="E15" s="142">
        <v>296</v>
      </c>
      <c r="F15" s="143">
        <v>681</v>
      </c>
      <c r="G15" s="165">
        <f t="shared" si="0"/>
        <v>376</v>
      </c>
      <c r="H15" s="143">
        <f t="shared" si="1"/>
        <v>834</v>
      </c>
      <c r="I15" s="140">
        <v>918</v>
      </c>
      <c r="J15" s="132"/>
      <c r="K15" s="132"/>
      <c r="L15" s="132"/>
      <c r="M15" s="132"/>
      <c r="N15" s="132"/>
    </row>
    <row r="16" spans="1:14">
      <c r="A16" s="132"/>
      <c r="B16" s="141" t="s">
        <v>34</v>
      </c>
      <c r="C16" s="142">
        <v>56</v>
      </c>
      <c r="D16" s="143">
        <v>105</v>
      </c>
      <c r="E16" s="142">
        <v>294</v>
      </c>
      <c r="F16" s="143">
        <v>676</v>
      </c>
      <c r="G16" s="165">
        <f t="shared" si="0"/>
        <v>350</v>
      </c>
      <c r="H16" s="143">
        <f t="shared" si="1"/>
        <v>781</v>
      </c>
      <c r="I16" s="140">
        <v>918</v>
      </c>
      <c r="J16" s="132"/>
      <c r="K16" s="132"/>
      <c r="L16" s="132"/>
      <c r="M16" s="132"/>
      <c r="N16" s="132"/>
    </row>
    <row r="17" spans="1:14">
      <c r="A17" s="132"/>
      <c r="B17" s="141" t="s">
        <v>35</v>
      </c>
      <c r="C17" s="142">
        <v>56</v>
      </c>
      <c r="D17" s="143">
        <v>106</v>
      </c>
      <c r="E17" s="142">
        <v>297</v>
      </c>
      <c r="F17" s="143">
        <v>679</v>
      </c>
      <c r="G17" s="165">
        <f t="shared" si="0"/>
        <v>353</v>
      </c>
      <c r="H17" s="143">
        <f t="shared" si="1"/>
        <v>785</v>
      </c>
      <c r="I17" s="140">
        <v>918</v>
      </c>
      <c r="J17" s="132"/>
      <c r="K17" s="132"/>
      <c r="L17" s="132"/>
      <c r="M17" s="132"/>
      <c r="N17" s="132"/>
    </row>
    <row r="18" spans="1:14">
      <c r="A18" s="132"/>
      <c r="B18" s="141" t="s">
        <v>36</v>
      </c>
      <c r="C18" s="142">
        <v>63</v>
      </c>
      <c r="D18" s="143">
        <v>122</v>
      </c>
      <c r="E18" s="142">
        <v>299</v>
      </c>
      <c r="F18" s="143">
        <v>685</v>
      </c>
      <c r="G18" s="165">
        <f t="shared" si="0"/>
        <v>362</v>
      </c>
      <c r="H18" s="143">
        <f t="shared" si="1"/>
        <v>807</v>
      </c>
      <c r="I18" s="140">
        <v>918</v>
      </c>
      <c r="J18" s="132"/>
      <c r="K18" s="132"/>
      <c r="L18" s="132"/>
      <c r="M18" s="132"/>
      <c r="N18" s="132"/>
    </row>
    <row r="19" spans="1:14">
      <c r="A19" s="132"/>
      <c r="B19" s="141" t="s">
        <v>37</v>
      </c>
      <c r="C19" s="142">
        <v>87</v>
      </c>
      <c r="D19" s="143">
        <v>188</v>
      </c>
      <c r="E19" s="142">
        <v>298</v>
      </c>
      <c r="F19" s="143">
        <v>684</v>
      </c>
      <c r="G19" s="165">
        <f t="shared" si="0"/>
        <v>385</v>
      </c>
      <c r="H19" s="143">
        <f t="shared" si="1"/>
        <v>872</v>
      </c>
      <c r="I19" s="140">
        <v>918</v>
      </c>
      <c r="J19" s="132"/>
      <c r="K19" s="132"/>
      <c r="L19" s="132"/>
      <c r="M19" s="132"/>
      <c r="N19" s="132"/>
    </row>
    <row r="20" spans="1:14">
      <c r="A20" s="132"/>
      <c r="B20" s="141" t="s">
        <v>38</v>
      </c>
      <c r="C20" s="142">
        <v>123</v>
      </c>
      <c r="D20" s="143">
        <v>276</v>
      </c>
      <c r="E20" s="142">
        <v>299</v>
      </c>
      <c r="F20" s="143">
        <v>687</v>
      </c>
      <c r="G20" s="165">
        <f t="shared" si="0"/>
        <v>422</v>
      </c>
      <c r="H20" s="143">
        <f t="shared" si="1"/>
        <v>963</v>
      </c>
      <c r="I20" s="140">
        <v>918</v>
      </c>
      <c r="J20" s="132"/>
      <c r="K20" s="132"/>
      <c r="L20" s="132"/>
      <c r="M20" s="132"/>
      <c r="N20" s="132"/>
    </row>
    <row r="21" spans="1:14">
      <c r="A21" s="132"/>
      <c r="B21" s="141" t="s">
        <v>39</v>
      </c>
      <c r="C21" s="142">
        <v>71</v>
      </c>
      <c r="D21" s="143">
        <v>139</v>
      </c>
      <c r="E21" s="165">
        <v>297</v>
      </c>
      <c r="F21" s="143">
        <v>685</v>
      </c>
      <c r="G21" s="165">
        <f t="shared" si="0"/>
        <v>368</v>
      </c>
      <c r="H21" s="143">
        <f t="shared" si="1"/>
        <v>824</v>
      </c>
      <c r="I21" s="140">
        <v>918</v>
      </c>
      <c r="J21" s="132"/>
      <c r="K21" s="132"/>
      <c r="L21" s="132"/>
      <c r="M21" s="132"/>
      <c r="N21" s="132"/>
    </row>
    <row r="22" spans="1:14">
      <c r="A22" s="132"/>
      <c r="B22" s="141" t="s">
        <v>40</v>
      </c>
      <c r="C22" s="142">
        <v>67</v>
      </c>
      <c r="D22" s="143">
        <v>134</v>
      </c>
      <c r="E22" s="165">
        <v>295</v>
      </c>
      <c r="F22" s="143">
        <v>682</v>
      </c>
      <c r="G22" s="165">
        <f t="shared" si="0"/>
        <v>362</v>
      </c>
      <c r="H22" s="143">
        <f t="shared" si="1"/>
        <v>816</v>
      </c>
      <c r="I22" s="140">
        <v>918</v>
      </c>
      <c r="J22" s="132"/>
      <c r="K22" s="132"/>
      <c r="L22" s="132"/>
      <c r="M22" s="132"/>
      <c r="N22" s="132"/>
    </row>
    <row r="23" spans="1:14">
      <c r="A23" s="132"/>
      <c r="B23" s="141" t="s">
        <v>41</v>
      </c>
      <c r="C23" s="142">
        <v>61</v>
      </c>
      <c r="D23" s="143">
        <v>120</v>
      </c>
      <c r="E23" s="165">
        <v>296</v>
      </c>
      <c r="F23" s="143">
        <v>685</v>
      </c>
      <c r="G23" s="165">
        <f t="shared" si="0"/>
        <v>357</v>
      </c>
      <c r="H23" s="143">
        <f t="shared" si="1"/>
        <v>805</v>
      </c>
      <c r="I23" s="140">
        <v>918</v>
      </c>
      <c r="J23" s="132"/>
      <c r="K23" s="132"/>
      <c r="L23" s="132"/>
      <c r="M23" s="132"/>
      <c r="N23" s="132"/>
    </row>
    <row r="24" spans="1:14">
      <c r="A24" s="132"/>
      <c r="B24" s="141" t="s">
        <v>42</v>
      </c>
      <c r="C24" s="142">
        <v>63</v>
      </c>
      <c r="D24" s="143">
        <v>117</v>
      </c>
      <c r="E24" s="165">
        <v>300</v>
      </c>
      <c r="F24" s="143">
        <v>691</v>
      </c>
      <c r="G24" s="165">
        <f t="shared" si="0"/>
        <v>363</v>
      </c>
      <c r="H24" s="143">
        <f t="shared" si="1"/>
        <v>808</v>
      </c>
      <c r="I24" s="140">
        <v>918</v>
      </c>
      <c r="J24" s="132"/>
      <c r="K24" s="132"/>
      <c r="L24" s="132"/>
      <c r="M24" s="132"/>
      <c r="N24" s="132"/>
    </row>
    <row r="25" spans="1:14">
      <c r="A25" s="132"/>
      <c r="B25" s="141" t="s">
        <v>43</v>
      </c>
      <c r="C25" s="142">
        <v>70</v>
      </c>
      <c r="D25" s="176">
        <v>131</v>
      </c>
      <c r="E25" s="165">
        <v>303</v>
      </c>
      <c r="F25" s="143">
        <v>696</v>
      </c>
      <c r="G25" s="165">
        <f t="shared" si="0"/>
        <v>373</v>
      </c>
      <c r="H25" s="143">
        <f t="shared" si="1"/>
        <v>827</v>
      </c>
      <c r="I25" s="140">
        <v>918</v>
      </c>
      <c r="J25" s="132"/>
      <c r="K25" s="132"/>
      <c r="L25" s="132"/>
      <c r="M25" s="132"/>
      <c r="N25" s="132"/>
    </row>
    <row r="26" spans="1:14">
      <c r="A26" s="132"/>
      <c r="B26" s="141" t="s">
        <v>44</v>
      </c>
      <c r="C26" s="142">
        <v>81</v>
      </c>
      <c r="D26" s="143">
        <v>172</v>
      </c>
      <c r="E26" s="165">
        <v>306</v>
      </c>
      <c r="F26" s="143">
        <v>703</v>
      </c>
      <c r="G26" s="165">
        <f t="shared" si="0"/>
        <v>387</v>
      </c>
      <c r="H26" s="143">
        <f t="shared" si="1"/>
        <v>875</v>
      </c>
      <c r="I26" s="140">
        <v>918</v>
      </c>
      <c r="J26" s="132"/>
      <c r="K26" s="132"/>
      <c r="L26" s="132"/>
      <c r="M26" s="132"/>
      <c r="N26" s="132"/>
    </row>
    <row r="27" spans="1:14">
      <c r="A27" s="132"/>
      <c r="B27" s="141" t="s">
        <v>45</v>
      </c>
      <c r="C27" s="142">
        <v>143</v>
      </c>
      <c r="D27" s="143">
        <v>322</v>
      </c>
      <c r="E27" s="165">
        <v>309</v>
      </c>
      <c r="F27" s="143">
        <v>707</v>
      </c>
      <c r="G27" s="165">
        <f t="shared" si="0"/>
        <v>452</v>
      </c>
      <c r="H27" s="143">
        <f t="shared" si="1"/>
        <v>1029</v>
      </c>
      <c r="I27" s="140">
        <v>918</v>
      </c>
      <c r="J27" s="132"/>
      <c r="K27" s="132"/>
      <c r="L27" s="132"/>
      <c r="M27" s="132"/>
      <c r="N27" s="132"/>
    </row>
    <row r="28" spans="1:14">
      <c r="A28" s="132"/>
      <c r="B28" s="141" t="s">
        <v>46</v>
      </c>
      <c r="C28" s="142">
        <v>92</v>
      </c>
      <c r="D28" s="143">
        <v>187</v>
      </c>
      <c r="E28" s="165">
        <v>306</v>
      </c>
      <c r="F28" s="143">
        <v>701</v>
      </c>
      <c r="G28" s="165">
        <f t="shared" si="0"/>
        <v>398</v>
      </c>
      <c r="H28" s="143">
        <f t="shared" si="1"/>
        <v>888</v>
      </c>
      <c r="I28" s="140">
        <v>918</v>
      </c>
      <c r="J28" s="132"/>
      <c r="K28" s="132"/>
      <c r="L28" s="132"/>
      <c r="M28" s="132"/>
      <c r="N28" s="132"/>
    </row>
    <row r="29" spans="1:14">
      <c r="A29" s="132"/>
      <c r="B29" s="141" t="s">
        <v>47</v>
      </c>
      <c r="C29" s="142">
        <v>77</v>
      </c>
      <c r="D29" s="143">
        <v>151</v>
      </c>
      <c r="E29" s="165">
        <v>306</v>
      </c>
      <c r="F29" s="143">
        <v>699</v>
      </c>
      <c r="G29" s="165">
        <f t="shared" si="0"/>
        <v>383</v>
      </c>
      <c r="H29" s="143">
        <f t="shared" si="1"/>
        <v>850</v>
      </c>
      <c r="I29" s="140">
        <v>918</v>
      </c>
      <c r="J29" s="132"/>
      <c r="K29" s="132"/>
      <c r="L29" s="132"/>
      <c r="M29" s="132"/>
      <c r="N29" s="132"/>
    </row>
    <row r="30" spans="1:14">
      <c r="A30" s="132"/>
      <c r="B30" s="141" t="s">
        <v>48</v>
      </c>
      <c r="C30" s="142">
        <v>137</v>
      </c>
      <c r="D30" s="143">
        <v>331</v>
      </c>
      <c r="E30" s="165">
        <v>308</v>
      </c>
      <c r="F30" s="143">
        <v>703</v>
      </c>
      <c r="G30" s="165">
        <f t="shared" si="0"/>
        <v>445</v>
      </c>
      <c r="H30" s="143">
        <f t="shared" si="1"/>
        <v>1034</v>
      </c>
      <c r="I30" s="140">
        <v>918</v>
      </c>
      <c r="J30" s="132"/>
      <c r="K30" s="132"/>
      <c r="L30" s="132"/>
      <c r="M30" s="132"/>
      <c r="N30" s="132"/>
    </row>
    <row r="31" spans="1:14">
      <c r="A31" s="132"/>
      <c r="B31" s="141" t="s">
        <v>49</v>
      </c>
      <c r="C31" s="142">
        <v>73</v>
      </c>
      <c r="D31" s="143">
        <v>154</v>
      </c>
      <c r="E31" s="165">
        <v>307</v>
      </c>
      <c r="F31" s="143">
        <v>702</v>
      </c>
      <c r="G31" s="165">
        <f t="shared" si="0"/>
        <v>380</v>
      </c>
      <c r="H31" s="143">
        <f t="shared" si="1"/>
        <v>856</v>
      </c>
      <c r="I31" s="140">
        <v>918</v>
      </c>
      <c r="J31" s="132"/>
      <c r="K31" s="132"/>
      <c r="L31" s="132"/>
      <c r="M31" s="132"/>
      <c r="N31" s="132"/>
    </row>
    <row r="32" spans="1:14">
      <c r="A32" s="132"/>
      <c r="B32" s="141" t="s">
        <v>50</v>
      </c>
      <c r="C32" s="142">
        <v>88</v>
      </c>
      <c r="D32" s="143">
        <v>176</v>
      </c>
      <c r="E32" s="165">
        <v>308</v>
      </c>
      <c r="F32" s="143">
        <v>704</v>
      </c>
      <c r="G32" s="165">
        <f t="shared" si="0"/>
        <v>396</v>
      </c>
      <c r="H32" s="143">
        <f t="shared" si="1"/>
        <v>880</v>
      </c>
      <c r="I32" s="140">
        <v>918</v>
      </c>
      <c r="J32" s="132"/>
      <c r="K32" s="132"/>
      <c r="L32" s="132"/>
      <c r="M32" s="132"/>
      <c r="N32" s="132"/>
    </row>
    <row r="33" spans="1:14">
      <c r="A33" s="132"/>
      <c r="B33" s="141" t="s">
        <v>51</v>
      </c>
      <c r="C33" s="142">
        <v>85</v>
      </c>
      <c r="D33" s="143">
        <v>170</v>
      </c>
      <c r="E33" s="165">
        <v>309</v>
      </c>
      <c r="F33" s="143">
        <v>704</v>
      </c>
      <c r="G33" s="165">
        <f t="shared" si="0"/>
        <v>394</v>
      </c>
      <c r="H33" s="143">
        <f t="shared" si="1"/>
        <v>874</v>
      </c>
      <c r="I33" s="140">
        <v>918</v>
      </c>
      <c r="J33" s="132"/>
      <c r="K33" s="132"/>
      <c r="L33" s="132"/>
      <c r="M33" s="132"/>
      <c r="N33" s="132"/>
    </row>
    <row r="34" spans="1:14">
      <c r="A34" s="132"/>
      <c r="B34" s="141" t="s">
        <v>52</v>
      </c>
      <c r="C34" s="142">
        <v>159</v>
      </c>
      <c r="D34" s="143">
        <v>355</v>
      </c>
      <c r="E34" s="165">
        <v>312</v>
      </c>
      <c r="F34" s="143">
        <v>707</v>
      </c>
      <c r="G34" s="165">
        <f t="shared" si="0"/>
        <v>471</v>
      </c>
      <c r="H34" s="143">
        <f t="shared" si="1"/>
        <v>1062</v>
      </c>
      <c r="I34" s="140">
        <v>918</v>
      </c>
      <c r="J34" s="132"/>
      <c r="K34" s="132"/>
      <c r="L34" s="132"/>
      <c r="M34" s="132"/>
      <c r="N34" s="132"/>
    </row>
    <row r="35" spans="1:14">
      <c r="A35" s="132"/>
      <c r="B35" s="141" t="s">
        <v>53</v>
      </c>
      <c r="C35" s="142">
        <v>101</v>
      </c>
      <c r="D35" s="143">
        <v>203</v>
      </c>
      <c r="E35" s="142">
        <v>311</v>
      </c>
      <c r="F35" s="143">
        <v>703</v>
      </c>
      <c r="G35" s="165">
        <f t="shared" si="0"/>
        <v>412</v>
      </c>
      <c r="H35" s="143">
        <f t="shared" si="1"/>
        <v>906</v>
      </c>
      <c r="I35" s="140">
        <v>918</v>
      </c>
      <c r="J35" s="132"/>
      <c r="K35" s="132"/>
      <c r="L35" s="132"/>
      <c r="M35" s="132"/>
      <c r="N35" s="132"/>
    </row>
    <row r="36" spans="1:14">
      <c r="A36" s="132"/>
      <c r="B36" s="141" t="s">
        <v>54</v>
      </c>
      <c r="C36" s="142">
        <v>75</v>
      </c>
      <c r="D36" s="143">
        <v>144</v>
      </c>
      <c r="E36" s="142">
        <v>312</v>
      </c>
      <c r="F36" s="143">
        <v>708</v>
      </c>
      <c r="G36" s="165">
        <f t="shared" si="0"/>
        <v>387</v>
      </c>
      <c r="H36" s="143">
        <f t="shared" si="1"/>
        <v>852</v>
      </c>
      <c r="I36" s="140">
        <v>918</v>
      </c>
      <c r="J36" s="132"/>
      <c r="K36" s="132"/>
      <c r="L36" s="132"/>
      <c r="M36" s="132"/>
      <c r="N36" s="132"/>
    </row>
    <row r="37" spans="1:14">
      <c r="A37" s="132"/>
      <c r="B37" s="141" t="s">
        <v>55</v>
      </c>
      <c r="C37" s="142">
        <v>82</v>
      </c>
      <c r="D37" s="143">
        <v>158</v>
      </c>
      <c r="E37" s="142">
        <v>313</v>
      </c>
      <c r="F37" s="143">
        <v>712</v>
      </c>
      <c r="G37" s="165">
        <f t="shared" si="0"/>
        <v>395</v>
      </c>
      <c r="H37" s="143">
        <f t="shared" si="1"/>
        <v>870</v>
      </c>
      <c r="I37" s="140">
        <v>918</v>
      </c>
      <c r="J37" s="132"/>
      <c r="K37" s="132"/>
      <c r="L37" s="132"/>
      <c r="M37" s="132"/>
      <c r="N37" s="132"/>
    </row>
    <row r="38" spans="1:14" s="178" customFormat="1">
      <c r="A38" s="173"/>
      <c r="B38" s="174" t="s">
        <v>56</v>
      </c>
      <c r="C38" s="175">
        <v>88</v>
      </c>
      <c r="D38" s="176">
        <v>164</v>
      </c>
      <c r="E38" s="175">
        <v>313</v>
      </c>
      <c r="F38" s="176">
        <v>712</v>
      </c>
      <c r="G38" s="165">
        <f t="shared" si="0"/>
        <v>401</v>
      </c>
      <c r="H38" s="143">
        <f t="shared" si="1"/>
        <v>876</v>
      </c>
      <c r="I38" s="177">
        <v>918</v>
      </c>
      <c r="J38" s="173"/>
      <c r="K38" s="173"/>
      <c r="L38" s="173"/>
      <c r="M38" s="173"/>
      <c r="N38" s="173"/>
    </row>
    <row r="39" spans="1:14" s="178" customFormat="1">
      <c r="A39" s="173"/>
      <c r="B39" s="174" t="s">
        <v>57</v>
      </c>
      <c r="C39" s="175">
        <v>125</v>
      </c>
      <c r="D39" s="176">
        <v>268</v>
      </c>
      <c r="E39" s="175">
        <v>300</v>
      </c>
      <c r="F39" s="176">
        <v>687</v>
      </c>
      <c r="G39" s="165">
        <f t="shared" si="0"/>
        <v>425</v>
      </c>
      <c r="H39" s="143">
        <f t="shared" si="1"/>
        <v>955</v>
      </c>
      <c r="I39" s="177">
        <v>918</v>
      </c>
      <c r="J39" s="173"/>
      <c r="K39" s="173"/>
      <c r="L39" s="173"/>
      <c r="M39" s="173"/>
      <c r="N39" s="173"/>
    </row>
    <row r="40" spans="1:14" s="178" customFormat="1" ht="15.75" thickBot="1">
      <c r="A40" s="173"/>
      <c r="B40" s="174" t="s">
        <v>58</v>
      </c>
      <c r="C40" s="179"/>
      <c r="D40" s="180"/>
      <c r="E40" s="179"/>
      <c r="F40" s="180"/>
      <c r="G40" s="165">
        <f t="shared" si="0"/>
        <v>0</v>
      </c>
      <c r="H40" s="143">
        <f t="shared" si="1"/>
        <v>0</v>
      </c>
      <c r="I40" s="177">
        <v>918</v>
      </c>
      <c r="J40" s="173"/>
      <c r="K40" s="173"/>
      <c r="L40" s="173"/>
      <c r="M40" s="173"/>
      <c r="N40" s="173"/>
    </row>
    <row r="41" spans="1:14">
      <c r="C41" s="117"/>
      <c r="E41" s="117"/>
      <c r="F41" s="117"/>
      <c r="G41" s="3">
        <f>SUM(G10:G40)</f>
        <v>11672</v>
      </c>
    </row>
    <row r="43" spans="1:14">
      <c r="E43" s="117"/>
      <c r="F43" s="117"/>
    </row>
  </sheetData>
  <mergeCells count="1">
    <mergeCell ref="G8:H8"/>
  </mergeCells>
  <phoneticPr fontId="30" type="noConversion"/>
  <dataValidations disablePrompts="1" count="1">
    <dataValidation type="list" allowBlank="1" showInputMessage="1" sqref="I1:K1 JE1:JG1 TA1:TC1 ACW1:ACY1 AMS1:AMU1 AWO1:AWQ1 BGK1:BGM1 BQG1:BQI1 CAC1:CAE1 CJY1:CKA1 CTU1:CTW1 DDQ1:DDS1 DNM1:DNO1 DXI1:DXK1 EHE1:EHG1 ERA1:ERC1 FAW1:FAY1 FKS1:FKU1 FUO1:FUQ1 GEK1:GEM1 GOG1:GOI1 GYC1:GYE1 HHY1:HIA1 HRU1:HRW1 IBQ1:IBS1 ILM1:ILO1 IVI1:IVK1 JFE1:JFG1 JPA1:JPC1 JYW1:JYY1 KIS1:KIU1 KSO1:KSQ1 LCK1:LCM1 LMG1:LMI1 LWC1:LWE1 MFY1:MGA1 MPU1:MPW1 MZQ1:MZS1 NJM1:NJO1 NTI1:NTK1 ODE1:ODG1 ONA1:ONC1 OWW1:OWY1 PGS1:PGU1 PQO1:PQQ1 QAK1:QAM1 QKG1:QKI1 QUC1:QUE1 RDY1:REA1 RNU1:RNW1 RXQ1:RXS1 SHM1:SHO1 SRI1:SRK1 TBE1:TBG1 TLA1:TLC1 TUW1:TUY1 UES1:UEU1 UOO1:UOQ1 UYK1:UYM1 VIG1:VII1 VSC1:VSE1 WBY1:WCA1 WLU1:WLW1 WVQ1:WVS1 I65537:K65537 JE65537:JG65537 TA65537:TC65537 ACW65537:ACY65537 AMS65537:AMU65537 AWO65537:AWQ65537 BGK65537:BGM65537 BQG65537:BQI65537 CAC65537:CAE65537 CJY65537:CKA65537 CTU65537:CTW65537 DDQ65537:DDS65537 DNM65537:DNO65537 DXI65537:DXK65537 EHE65537:EHG65537 ERA65537:ERC65537 FAW65537:FAY65537 FKS65537:FKU65537 FUO65537:FUQ65537 GEK65537:GEM65537 GOG65537:GOI65537 GYC65537:GYE65537 HHY65537:HIA65537 HRU65537:HRW65537 IBQ65537:IBS65537 ILM65537:ILO65537 IVI65537:IVK65537 JFE65537:JFG65537 JPA65537:JPC65537 JYW65537:JYY65537 KIS65537:KIU65537 KSO65537:KSQ65537 LCK65537:LCM65537 LMG65537:LMI65537 LWC65537:LWE65537 MFY65537:MGA65537 MPU65537:MPW65537 MZQ65537:MZS65537 NJM65537:NJO65537 NTI65537:NTK65537 ODE65537:ODG65537 ONA65537:ONC65537 OWW65537:OWY65537 PGS65537:PGU65537 PQO65537:PQQ65537 QAK65537:QAM65537 QKG65537:QKI65537 QUC65537:QUE65537 RDY65537:REA65537 RNU65537:RNW65537 RXQ65537:RXS65537 SHM65537:SHO65537 SRI65537:SRK65537 TBE65537:TBG65537 TLA65537:TLC65537 TUW65537:TUY65537 UES65537:UEU65537 UOO65537:UOQ65537 UYK65537:UYM65537 VIG65537:VII65537 VSC65537:VSE65537 WBY65537:WCA65537 WLU65537:WLW65537 WVQ65537:WVS65537 I131073:K131073 JE131073:JG131073 TA131073:TC131073 ACW131073:ACY131073 AMS131073:AMU131073 AWO131073:AWQ131073 BGK131073:BGM131073 BQG131073:BQI131073 CAC131073:CAE131073 CJY131073:CKA131073 CTU131073:CTW131073 DDQ131073:DDS131073 DNM131073:DNO131073 DXI131073:DXK131073 EHE131073:EHG131073 ERA131073:ERC131073 FAW131073:FAY131073 FKS131073:FKU131073 FUO131073:FUQ131073 GEK131073:GEM131073 GOG131073:GOI131073 GYC131073:GYE131073 HHY131073:HIA131073 HRU131073:HRW131073 IBQ131073:IBS131073 ILM131073:ILO131073 IVI131073:IVK131073 JFE131073:JFG131073 JPA131073:JPC131073 JYW131073:JYY131073 KIS131073:KIU131073 KSO131073:KSQ131073 LCK131073:LCM131073 LMG131073:LMI131073 LWC131073:LWE131073 MFY131073:MGA131073 MPU131073:MPW131073 MZQ131073:MZS131073 NJM131073:NJO131073 NTI131073:NTK131073 ODE131073:ODG131073 ONA131073:ONC131073 OWW131073:OWY131073 PGS131073:PGU131073 PQO131073:PQQ131073 QAK131073:QAM131073 QKG131073:QKI131073 QUC131073:QUE131073 RDY131073:REA131073 RNU131073:RNW131073 RXQ131073:RXS131073 SHM131073:SHO131073 SRI131073:SRK131073 TBE131073:TBG131073 TLA131073:TLC131073 TUW131073:TUY131073 UES131073:UEU131073 UOO131073:UOQ131073 UYK131073:UYM131073 VIG131073:VII131073 VSC131073:VSE131073 WBY131073:WCA131073 WLU131073:WLW131073 WVQ131073:WVS131073 I196609:K196609 JE196609:JG196609 TA196609:TC196609 ACW196609:ACY196609 AMS196609:AMU196609 AWO196609:AWQ196609 BGK196609:BGM196609 BQG196609:BQI196609 CAC196609:CAE196609 CJY196609:CKA196609 CTU196609:CTW196609 DDQ196609:DDS196609 DNM196609:DNO196609 DXI196609:DXK196609 EHE196609:EHG196609 ERA196609:ERC196609 FAW196609:FAY196609 FKS196609:FKU196609 FUO196609:FUQ196609 GEK196609:GEM196609 GOG196609:GOI196609 GYC196609:GYE196609 HHY196609:HIA196609 HRU196609:HRW196609 IBQ196609:IBS196609 ILM196609:ILO196609 IVI196609:IVK196609 JFE196609:JFG196609 JPA196609:JPC196609 JYW196609:JYY196609 KIS196609:KIU196609 KSO196609:KSQ196609 LCK196609:LCM196609 LMG196609:LMI196609 LWC196609:LWE196609 MFY196609:MGA196609 MPU196609:MPW196609 MZQ196609:MZS196609 NJM196609:NJO196609 NTI196609:NTK196609 ODE196609:ODG196609 ONA196609:ONC196609 OWW196609:OWY196609 PGS196609:PGU196609 PQO196609:PQQ196609 QAK196609:QAM196609 QKG196609:QKI196609 QUC196609:QUE196609 RDY196609:REA196609 RNU196609:RNW196609 RXQ196609:RXS196609 SHM196609:SHO196609 SRI196609:SRK196609 TBE196609:TBG196609 TLA196609:TLC196609 TUW196609:TUY196609 UES196609:UEU196609 UOO196609:UOQ196609 UYK196609:UYM196609 VIG196609:VII196609 VSC196609:VSE196609 WBY196609:WCA196609 WLU196609:WLW196609 WVQ196609:WVS196609 I262145:K262145 JE262145:JG262145 TA262145:TC262145 ACW262145:ACY262145 AMS262145:AMU262145 AWO262145:AWQ262145 BGK262145:BGM262145 BQG262145:BQI262145 CAC262145:CAE262145 CJY262145:CKA262145 CTU262145:CTW262145 DDQ262145:DDS262145 DNM262145:DNO262145 DXI262145:DXK262145 EHE262145:EHG262145 ERA262145:ERC262145 FAW262145:FAY262145 FKS262145:FKU262145 FUO262145:FUQ262145 GEK262145:GEM262145 GOG262145:GOI262145 GYC262145:GYE262145 HHY262145:HIA262145 HRU262145:HRW262145 IBQ262145:IBS262145 ILM262145:ILO262145 IVI262145:IVK262145 JFE262145:JFG262145 JPA262145:JPC262145 JYW262145:JYY262145 KIS262145:KIU262145 KSO262145:KSQ262145 LCK262145:LCM262145 LMG262145:LMI262145 LWC262145:LWE262145 MFY262145:MGA262145 MPU262145:MPW262145 MZQ262145:MZS262145 NJM262145:NJO262145 NTI262145:NTK262145 ODE262145:ODG262145 ONA262145:ONC262145 OWW262145:OWY262145 PGS262145:PGU262145 PQO262145:PQQ262145 QAK262145:QAM262145 QKG262145:QKI262145 QUC262145:QUE262145 RDY262145:REA262145 RNU262145:RNW262145 RXQ262145:RXS262145 SHM262145:SHO262145 SRI262145:SRK262145 TBE262145:TBG262145 TLA262145:TLC262145 TUW262145:TUY262145 UES262145:UEU262145 UOO262145:UOQ262145 UYK262145:UYM262145 VIG262145:VII262145 VSC262145:VSE262145 WBY262145:WCA262145 WLU262145:WLW262145 WVQ262145:WVS262145 I327681:K327681 JE327681:JG327681 TA327681:TC327681 ACW327681:ACY327681 AMS327681:AMU327681 AWO327681:AWQ327681 BGK327681:BGM327681 BQG327681:BQI327681 CAC327681:CAE327681 CJY327681:CKA327681 CTU327681:CTW327681 DDQ327681:DDS327681 DNM327681:DNO327681 DXI327681:DXK327681 EHE327681:EHG327681 ERA327681:ERC327681 FAW327681:FAY327681 FKS327681:FKU327681 FUO327681:FUQ327681 GEK327681:GEM327681 GOG327681:GOI327681 GYC327681:GYE327681 HHY327681:HIA327681 HRU327681:HRW327681 IBQ327681:IBS327681 ILM327681:ILO327681 IVI327681:IVK327681 JFE327681:JFG327681 JPA327681:JPC327681 JYW327681:JYY327681 KIS327681:KIU327681 KSO327681:KSQ327681 LCK327681:LCM327681 LMG327681:LMI327681 LWC327681:LWE327681 MFY327681:MGA327681 MPU327681:MPW327681 MZQ327681:MZS327681 NJM327681:NJO327681 NTI327681:NTK327681 ODE327681:ODG327681 ONA327681:ONC327681 OWW327681:OWY327681 PGS327681:PGU327681 PQO327681:PQQ327681 QAK327681:QAM327681 QKG327681:QKI327681 QUC327681:QUE327681 RDY327681:REA327681 RNU327681:RNW327681 RXQ327681:RXS327681 SHM327681:SHO327681 SRI327681:SRK327681 TBE327681:TBG327681 TLA327681:TLC327681 TUW327681:TUY327681 UES327681:UEU327681 UOO327681:UOQ327681 UYK327681:UYM327681 VIG327681:VII327681 VSC327681:VSE327681 WBY327681:WCA327681 WLU327681:WLW327681 WVQ327681:WVS327681 I393217:K393217 JE393217:JG393217 TA393217:TC393217 ACW393217:ACY393217 AMS393217:AMU393217 AWO393217:AWQ393217 BGK393217:BGM393217 BQG393217:BQI393217 CAC393217:CAE393217 CJY393217:CKA393217 CTU393217:CTW393217 DDQ393217:DDS393217 DNM393217:DNO393217 DXI393217:DXK393217 EHE393217:EHG393217 ERA393217:ERC393217 FAW393217:FAY393217 FKS393217:FKU393217 FUO393217:FUQ393217 GEK393217:GEM393217 GOG393217:GOI393217 GYC393217:GYE393217 HHY393217:HIA393217 HRU393217:HRW393217 IBQ393217:IBS393217 ILM393217:ILO393217 IVI393217:IVK393217 JFE393217:JFG393217 JPA393217:JPC393217 JYW393217:JYY393217 KIS393217:KIU393217 KSO393217:KSQ393217 LCK393217:LCM393217 LMG393217:LMI393217 LWC393217:LWE393217 MFY393217:MGA393217 MPU393217:MPW393217 MZQ393217:MZS393217 NJM393217:NJO393217 NTI393217:NTK393217 ODE393217:ODG393217 ONA393217:ONC393217 OWW393217:OWY393217 PGS393217:PGU393217 PQO393217:PQQ393217 QAK393217:QAM393217 QKG393217:QKI393217 QUC393217:QUE393217 RDY393217:REA393217 RNU393217:RNW393217 RXQ393217:RXS393217 SHM393217:SHO393217 SRI393217:SRK393217 TBE393217:TBG393217 TLA393217:TLC393217 TUW393217:TUY393217 UES393217:UEU393217 UOO393217:UOQ393217 UYK393217:UYM393217 VIG393217:VII393217 VSC393217:VSE393217 WBY393217:WCA393217 WLU393217:WLW393217 WVQ393217:WVS393217 I458753:K458753 JE458753:JG458753 TA458753:TC458753 ACW458753:ACY458753 AMS458753:AMU458753 AWO458753:AWQ458753 BGK458753:BGM458753 BQG458753:BQI458753 CAC458753:CAE458753 CJY458753:CKA458753 CTU458753:CTW458753 DDQ458753:DDS458753 DNM458753:DNO458753 DXI458753:DXK458753 EHE458753:EHG458753 ERA458753:ERC458753 FAW458753:FAY458753 FKS458753:FKU458753 FUO458753:FUQ458753 GEK458753:GEM458753 GOG458753:GOI458753 GYC458753:GYE458753 HHY458753:HIA458753 HRU458753:HRW458753 IBQ458753:IBS458753 ILM458753:ILO458753 IVI458753:IVK458753 JFE458753:JFG458753 JPA458753:JPC458753 JYW458753:JYY458753 KIS458753:KIU458753 KSO458753:KSQ458753 LCK458753:LCM458753 LMG458753:LMI458753 LWC458753:LWE458753 MFY458753:MGA458753 MPU458753:MPW458753 MZQ458753:MZS458753 NJM458753:NJO458753 NTI458753:NTK458753 ODE458753:ODG458753 ONA458753:ONC458753 OWW458753:OWY458753 PGS458753:PGU458753 PQO458753:PQQ458753 QAK458753:QAM458753 QKG458753:QKI458753 QUC458753:QUE458753 RDY458753:REA458753 RNU458753:RNW458753 RXQ458753:RXS458753 SHM458753:SHO458753 SRI458753:SRK458753 TBE458753:TBG458753 TLA458753:TLC458753 TUW458753:TUY458753 UES458753:UEU458753 UOO458753:UOQ458753 UYK458753:UYM458753 VIG458753:VII458753 VSC458753:VSE458753 WBY458753:WCA458753 WLU458753:WLW458753 WVQ458753:WVS458753 I524289:K524289 JE524289:JG524289 TA524289:TC524289 ACW524289:ACY524289 AMS524289:AMU524289 AWO524289:AWQ524289 BGK524289:BGM524289 BQG524289:BQI524289 CAC524289:CAE524289 CJY524289:CKA524289 CTU524289:CTW524289 DDQ524289:DDS524289 DNM524289:DNO524289 DXI524289:DXK524289 EHE524289:EHG524289 ERA524289:ERC524289 FAW524289:FAY524289 FKS524289:FKU524289 FUO524289:FUQ524289 GEK524289:GEM524289 GOG524289:GOI524289 GYC524289:GYE524289 HHY524289:HIA524289 HRU524289:HRW524289 IBQ524289:IBS524289 ILM524289:ILO524289 IVI524289:IVK524289 JFE524289:JFG524289 JPA524289:JPC524289 JYW524289:JYY524289 KIS524289:KIU524289 KSO524289:KSQ524289 LCK524289:LCM524289 LMG524289:LMI524289 LWC524289:LWE524289 MFY524289:MGA524289 MPU524289:MPW524289 MZQ524289:MZS524289 NJM524289:NJO524289 NTI524289:NTK524289 ODE524289:ODG524289 ONA524289:ONC524289 OWW524289:OWY524289 PGS524289:PGU524289 PQO524289:PQQ524289 QAK524289:QAM524289 QKG524289:QKI524289 QUC524289:QUE524289 RDY524289:REA524289 RNU524289:RNW524289 RXQ524289:RXS524289 SHM524289:SHO524289 SRI524289:SRK524289 TBE524289:TBG524289 TLA524289:TLC524289 TUW524289:TUY524289 UES524289:UEU524289 UOO524289:UOQ524289 UYK524289:UYM524289 VIG524289:VII524289 VSC524289:VSE524289 WBY524289:WCA524289 WLU524289:WLW524289 WVQ524289:WVS524289 I589825:K589825 JE589825:JG589825 TA589825:TC589825 ACW589825:ACY589825 AMS589825:AMU589825 AWO589825:AWQ589825 BGK589825:BGM589825 BQG589825:BQI589825 CAC589825:CAE589825 CJY589825:CKA589825 CTU589825:CTW589825 DDQ589825:DDS589825 DNM589825:DNO589825 DXI589825:DXK589825 EHE589825:EHG589825 ERA589825:ERC589825 FAW589825:FAY589825 FKS589825:FKU589825 FUO589825:FUQ589825 GEK589825:GEM589825 GOG589825:GOI589825 GYC589825:GYE589825 HHY589825:HIA589825 HRU589825:HRW589825 IBQ589825:IBS589825 ILM589825:ILO589825 IVI589825:IVK589825 JFE589825:JFG589825 JPA589825:JPC589825 JYW589825:JYY589825 KIS589825:KIU589825 KSO589825:KSQ589825 LCK589825:LCM589825 LMG589825:LMI589825 LWC589825:LWE589825 MFY589825:MGA589825 MPU589825:MPW589825 MZQ589825:MZS589825 NJM589825:NJO589825 NTI589825:NTK589825 ODE589825:ODG589825 ONA589825:ONC589825 OWW589825:OWY589825 PGS589825:PGU589825 PQO589825:PQQ589825 QAK589825:QAM589825 QKG589825:QKI589825 QUC589825:QUE589825 RDY589825:REA589825 RNU589825:RNW589825 RXQ589825:RXS589825 SHM589825:SHO589825 SRI589825:SRK589825 TBE589825:TBG589825 TLA589825:TLC589825 TUW589825:TUY589825 UES589825:UEU589825 UOO589825:UOQ589825 UYK589825:UYM589825 VIG589825:VII589825 VSC589825:VSE589825 WBY589825:WCA589825 WLU589825:WLW589825 WVQ589825:WVS589825 I655361:K655361 JE655361:JG655361 TA655361:TC655361 ACW655361:ACY655361 AMS655361:AMU655361 AWO655361:AWQ655361 BGK655361:BGM655361 BQG655361:BQI655361 CAC655361:CAE655361 CJY655361:CKA655361 CTU655361:CTW655361 DDQ655361:DDS655361 DNM655361:DNO655361 DXI655361:DXK655361 EHE655361:EHG655361 ERA655361:ERC655361 FAW655361:FAY655361 FKS655361:FKU655361 FUO655361:FUQ655361 GEK655361:GEM655361 GOG655361:GOI655361 GYC655361:GYE655361 HHY655361:HIA655361 HRU655361:HRW655361 IBQ655361:IBS655361 ILM655361:ILO655361 IVI655361:IVK655361 JFE655361:JFG655361 JPA655361:JPC655361 JYW655361:JYY655361 KIS655361:KIU655361 KSO655361:KSQ655361 LCK655361:LCM655361 LMG655361:LMI655361 LWC655361:LWE655361 MFY655361:MGA655361 MPU655361:MPW655361 MZQ655361:MZS655361 NJM655361:NJO655361 NTI655361:NTK655361 ODE655361:ODG655361 ONA655361:ONC655361 OWW655361:OWY655361 PGS655361:PGU655361 PQO655361:PQQ655361 QAK655361:QAM655361 QKG655361:QKI655361 QUC655361:QUE655361 RDY655361:REA655361 RNU655361:RNW655361 RXQ655361:RXS655361 SHM655361:SHO655361 SRI655361:SRK655361 TBE655361:TBG655361 TLA655361:TLC655361 TUW655361:TUY655361 UES655361:UEU655361 UOO655361:UOQ655361 UYK655361:UYM655361 VIG655361:VII655361 VSC655361:VSE655361 WBY655361:WCA655361 WLU655361:WLW655361 WVQ655361:WVS655361 I720897:K720897 JE720897:JG720897 TA720897:TC720897 ACW720897:ACY720897 AMS720897:AMU720897 AWO720897:AWQ720897 BGK720897:BGM720897 BQG720897:BQI720897 CAC720897:CAE720897 CJY720897:CKA720897 CTU720897:CTW720897 DDQ720897:DDS720897 DNM720897:DNO720897 DXI720897:DXK720897 EHE720897:EHG720897 ERA720897:ERC720897 FAW720897:FAY720897 FKS720897:FKU720897 FUO720897:FUQ720897 GEK720897:GEM720897 GOG720897:GOI720897 GYC720897:GYE720897 HHY720897:HIA720897 HRU720897:HRW720897 IBQ720897:IBS720897 ILM720897:ILO720897 IVI720897:IVK720897 JFE720897:JFG720897 JPA720897:JPC720897 JYW720897:JYY720897 KIS720897:KIU720897 KSO720897:KSQ720897 LCK720897:LCM720897 LMG720897:LMI720897 LWC720897:LWE720897 MFY720897:MGA720897 MPU720897:MPW720897 MZQ720897:MZS720897 NJM720897:NJO720897 NTI720897:NTK720897 ODE720897:ODG720897 ONA720897:ONC720897 OWW720897:OWY720897 PGS720897:PGU720897 PQO720897:PQQ720897 QAK720897:QAM720897 QKG720897:QKI720897 QUC720897:QUE720897 RDY720897:REA720897 RNU720897:RNW720897 RXQ720897:RXS720897 SHM720897:SHO720897 SRI720897:SRK720897 TBE720897:TBG720897 TLA720897:TLC720897 TUW720897:TUY720897 UES720897:UEU720897 UOO720897:UOQ720897 UYK720897:UYM720897 VIG720897:VII720897 VSC720897:VSE720897 WBY720897:WCA720897 WLU720897:WLW720897 WVQ720897:WVS720897 I786433:K786433 JE786433:JG786433 TA786433:TC786433 ACW786433:ACY786433 AMS786433:AMU786433 AWO786433:AWQ786433 BGK786433:BGM786433 BQG786433:BQI786433 CAC786433:CAE786433 CJY786433:CKA786433 CTU786433:CTW786433 DDQ786433:DDS786433 DNM786433:DNO786433 DXI786433:DXK786433 EHE786433:EHG786433 ERA786433:ERC786433 FAW786433:FAY786433 FKS786433:FKU786433 FUO786433:FUQ786433 GEK786433:GEM786433 GOG786433:GOI786433 GYC786433:GYE786433 HHY786433:HIA786433 HRU786433:HRW786433 IBQ786433:IBS786433 ILM786433:ILO786433 IVI786433:IVK786433 JFE786433:JFG786433 JPA786433:JPC786433 JYW786433:JYY786433 KIS786433:KIU786433 KSO786433:KSQ786433 LCK786433:LCM786433 LMG786433:LMI786433 LWC786433:LWE786433 MFY786433:MGA786433 MPU786433:MPW786433 MZQ786433:MZS786433 NJM786433:NJO786433 NTI786433:NTK786433 ODE786433:ODG786433 ONA786433:ONC786433 OWW786433:OWY786433 PGS786433:PGU786433 PQO786433:PQQ786433 QAK786433:QAM786433 QKG786433:QKI786433 QUC786433:QUE786433 RDY786433:REA786433 RNU786433:RNW786433 RXQ786433:RXS786433 SHM786433:SHO786433 SRI786433:SRK786433 TBE786433:TBG786433 TLA786433:TLC786433 TUW786433:TUY786433 UES786433:UEU786433 UOO786433:UOQ786433 UYK786433:UYM786433 VIG786433:VII786433 VSC786433:VSE786433 WBY786433:WCA786433 WLU786433:WLW786433 WVQ786433:WVS786433 I851969:K851969 JE851969:JG851969 TA851969:TC851969 ACW851969:ACY851969 AMS851969:AMU851969 AWO851969:AWQ851969 BGK851969:BGM851969 BQG851969:BQI851969 CAC851969:CAE851969 CJY851969:CKA851969 CTU851969:CTW851969 DDQ851969:DDS851969 DNM851969:DNO851969 DXI851969:DXK851969 EHE851969:EHG851969 ERA851969:ERC851969 FAW851969:FAY851969 FKS851969:FKU851969 FUO851969:FUQ851969 GEK851969:GEM851969 GOG851969:GOI851969 GYC851969:GYE851969 HHY851969:HIA851969 HRU851969:HRW851969 IBQ851969:IBS851969 ILM851969:ILO851969 IVI851969:IVK851969 JFE851969:JFG851969 JPA851969:JPC851969 JYW851969:JYY851969 KIS851969:KIU851969 KSO851969:KSQ851969 LCK851969:LCM851969 LMG851969:LMI851969 LWC851969:LWE851969 MFY851969:MGA851969 MPU851969:MPW851969 MZQ851969:MZS851969 NJM851969:NJO851969 NTI851969:NTK851969 ODE851969:ODG851969 ONA851969:ONC851969 OWW851969:OWY851969 PGS851969:PGU851969 PQO851969:PQQ851969 QAK851969:QAM851969 QKG851969:QKI851969 QUC851969:QUE851969 RDY851969:REA851969 RNU851969:RNW851969 RXQ851969:RXS851969 SHM851969:SHO851969 SRI851969:SRK851969 TBE851969:TBG851969 TLA851969:TLC851969 TUW851969:TUY851969 UES851969:UEU851969 UOO851969:UOQ851969 UYK851969:UYM851969 VIG851969:VII851969 VSC851969:VSE851969 WBY851969:WCA851969 WLU851969:WLW851969 WVQ851969:WVS851969 I917505:K917505 JE917505:JG917505 TA917505:TC917505 ACW917505:ACY917505 AMS917505:AMU917505 AWO917505:AWQ917505 BGK917505:BGM917505 BQG917505:BQI917505 CAC917505:CAE917505 CJY917505:CKA917505 CTU917505:CTW917505 DDQ917505:DDS917505 DNM917505:DNO917505 DXI917505:DXK917505 EHE917505:EHG917505 ERA917505:ERC917505 FAW917505:FAY917505 FKS917505:FKU917505 FUO917505:FUQ917505 GEK917505:GEM917505 GOG917505:GOI917505 GYC917505:GYE917505 HHY917505:HIA917505 HRU917505:HRW917505 IBQ917505:IBS917505 ILM917505:ILO917505 IVI917505:IVK917505 JFE917505:JFG917505 JPA917505:JPC917505 JYW917505:JYY917505 KIS917505:KIU917505 KSO917505:KSQ917505 LCK917505:LCM917505 LMG917505:LMI917505 LWC917505:LWE917505 MFY917505:MGA917505 MPU917505:MPW917505 MZQ917505:MZS917505 NJM917505:NJO917505 NTI917505:NTK917505 ODE917505:ODG917505 ONA917505:ONC917505 OWW917505:OWY917505 PGS917505:PGU917505 PQO917505:PQQ917505 QAK917505:QAM917505 QKG917505:QKI917505 QUC917505:QUE917505 RDY917505:REA917505 RNU917505:RNW917505 RXQ917505:RXS917505 SHM917505:SHO917505 SRI917505:SRK917505 TBE917505:TBG917505 TLA917505:TLC917505 TUW917505:TUY917505 UES917505:UEU917505 UOO917505:UOQ917505 UYK917505:UYM917505 VIG917505:VII917505 VSC917505:VSE917505 WBY917505:WCA917505 WLU917505:WLW917505 WVQ917505:WVS917505 I983041:K983041 JE983041:JG983041 TA983041:TC983041 ACW983041:ACY983041 AMS983041:AMU983041 AWO983041:AWQ983041 BGK983041:BGM983041 BQG983041:BQI983041 CAC983041:CAE983041 CJY983041:CKA983041 CTU983041:CTW983041 DDQ983041:DDS983041 DNM983041:DNO983041 DXI983041:DXK983041 EHE983041:EHG983041 ERA983041:ERC983041 FAW983041:FAY983041 FKS983041:FKU983041 FUO983041:FUQ983041 GEK983041:GEM983041 GOG983041:GOI983041 GYC983041:GYE983041 HHY983041:HIA983041 HRU983041:HRW983041 IBQ983041:IBS983041 ILM983041:ILO983041 IVI983041:IVK983041 JFE983041:JFG983041 JPA983041:JPC983041 JYW983041:JYY983041 KIS983041:KIU983041 KSO983041:KSQ983041 LCK983041:LCM983041 LMG983041:LMI983041 LWC983041:LWE983041 MFY983041:MGA983041 MPU983041:MPW983041 MZQ983041:MZS983041 NJM983041:NJO983041 NTI983041:NTK983041 ODE983041:ODG983041 ONA983041:ONC983041 OWW983041:OWY983041 PGS983041:PGU983041 PQO983041:PQQ983041 QAK983041:QAM983041 QKG983041:QKI983041 QUC983041:QUE983041 RDY983041:REA983041 RNU983041:RNW983041 RXQ983041:RXS983041 SHM983041:SHO983041 SRI983041:SRK983041 TBE983041:TBG983041 TLA983041:TLC983041 TUW983041:TUY983041 UES983041:UEU983041 UOO983041:UOQ983041 UYK983041:UYM983041 VIG983041:VII983041 VSC983041:VSE983041 WBY983041:WCA983041 WLU983041:WLW983041 WVQ983041:WVS983041 G1 JC1 SY1 ACU1 AMQ1 AWM1 BGI1 BQE1 CAA1 CJW1 CTS1 DDO1 DNK1 DXG1 EHC1 EQY1 FAU1 FKQ1 FUM1 GEI1 GOE1 GYA1 HHW1 HRS1 IBO1 ILK1 IVG1 JFC1 JOY1 JYU1 KIQ1 KSM1 LCI1 LME1 LWA1 MFW1 MPS1 MZO1 NJK1 NTG1 ODC1 OMY1 OWU1 PGQ1 PQM1 QAI1 QKE1 QUA1 RDW1 RNS1 RXO1 SHK1 SRG1 TBC1 TKY1 TUU1 UEQ1 UOM1 UYI1 VIE1 VSA1 WBW1 WLS1 WVO1 G65537 JC65537 SY65537 ACU65537 AMQ65537 AWM65537 BGI65537 BQE65537 CAA65537 CJW65537 CTS65537 DDO65537 DNK65537 DXG65537 EHC65537 EQY65537 FAU65537 FKQ65537 FUM65537 GEI65537 GOE65537 GYA65537 HHW65537 HRS65537 IBO65537 ILK65537 IVG65537 JFC65537 JOY65537 JYU65537 KIQ65537 KSM65537 LCI65537 LME65537 LWA65537 MFW65537 MPS65537 MZO65537 NJK65537 NTG65537 ODC65537 OMY65537 OWU65537 PGQ65537 PQM65537 QAI65537 QKE65537 QUA65537 RDW65537 RNS65537 RXO65537 SHK65537 SRG65537 TBC65537 TKY65537 TUU65537 UEQ65537 UOM65537 UYI65537 VIE65537 VSA65537 WBW65537 WLS65537 WVO65537 G131073 JC131073 SY131073 ACU131073 AMQ131073 AWM131073 BGI131073 BQE131073 CAA131073 CJW131073 CTS131073 DDO131073 DNK131073 DXG131073 EHC131073 EQY131073 FAU131073 FKQ131073 FUM131073 GEI131073 GOE131073 GYA131073 HHW131073 HRS131073 IBO131073 ILK131073 IVG131073 JFC131073 JOY131073 JYU131073 KIQ131073 KSM131073 LCI131073 LME131073 LWA131073 MFW131073 MPS131073 MZO131073 NJK131073 NTG131073 ODC131073 OMY131073 OWU131073 PGQ131073 PQM131073 QAI131073 QKE131073 QUA131073 RDW131073 RNS131073 RXO131073 SHK131073 SRG131073 TBC131073 TKY131073 TUU131073 UEQ131073 UOM131073 UYI131073 VIE131073 VSA131073 WBW131073 WLS131073 WVO131073 G196609 JC196609 SY196609 ACU196609 AMQ196609 AWM196609 BGI196609 BQE196609 CAA196609 CJW196609 CTS196609 DDO196609 DNK196609 DXG196609 EHC196609 EQY196609 FAU196609 FKQ196609 FUM196609 GEI196609 GOE196609 GYA196609 HHW196609 HRS196609 IBO196609 ILK196609 IVG196609 JFC196609 JOY196609 JYU196609 KIQ196609 KSM196609 LCI196609 LME196609 LWA196609 MFW196609 MPS196609 MZO196609 NJK196609 NTG196609 ODC196609 OMY196609 OWU196609 PGQ196609 PQM196609 QAI196609 QKE196609 QUA196609 RDW196609 RNS196609 RXO196609 SHK196609 SRG196609 TBC196609 TKY196609 TUU196609 UEQ196609 UOM196609 UYI196609 VIE196609 VSA196609 WBW196609 WLS196609 WVO196609 G262145 JC262145 SY262145 ACU262145 AMQ262145 AWM262145 BGI262145 BQE262145 CAA262145 CJW262145 CTS262145 DDO262145 DNK262145 DXG262145 EHC262145 EQY262145 FAU262145 FKQ262145 FUM262145 GEI262145 GOE262145 GYA262145 HHW262145 HRS262145 IBO262145 ILK262145 IVG262145 JFC262145 JOY262145 JYU262145 KIQ262145 KSM262145 LCI262145 LME262145 LWA262145 MFW262145 MPS262145 MZO262145 NJK262145 NTG262145 ODC262145 OMY262145 OWU262145 PGQ262145 PQM262145 QAI262145 QKE262145 QUA262145 RDW262145 RNS262145 RXO262145 SHK262145 SRG262145 TBC262145 TKY262145 TUU262145 UEQ262145 UOM262145 UYI262145 VIE262145 VSA262145 WBW262145 WLS262145 WVO262145 G327681 JC327681 SY327681 ACU327681 AMQ327681 AWM327681 BGI327681 BQE327681 CAA327681 CJW327681 CTS327681 DDO327681 DNK327681 DXG327681 EHC327681 EQY327681 FAU327681 FKQ327681 FUM327681 GEI327681 GOE327681 GYA327681 HHW327681 HRS327681 IBO327681 ILK327681 IVG327681 JFC327681 JOY327681 JYU327681 KIQ327681 KSM327681 LCI327681 LME327681 LWA327681 MFW327681 MPS327681 MZO327681 NJK327681 NTG327681 ODC327681 OMY327681 OWU327681 PGQ327681 PQM327681 QAI327681 QKE327681 QUA327681 RDW327681 RNS327681 RXO327681 SHK327681 SRG327681 TBC327681 TKY327681 TUU327681 UEQ327681 UOM327681 UYI327681 VIE327681 VSA327681 WBW327681 WLS327681 WVO327681 G393217 JC393217 SY393217 ACU393217 AMQ393217 AWM393217 BGI393217 BQE393217 CAA393217 CJW393217 CTS393217 DDO393217 DNK393217 DXG393217 EHC393217 EQY393217 FAU393217 FKQ393217 FUM393217 GEI393217 GOE393217 GYA393217 HHW393217 HRS393217 IBO393217 ILK393217 IVG393217 JFC393217 JOY393217 JYU393217 KIQ393217 KSM393217 LCI393217 LME393217 LWA393217 MFW393217 MPS393217 MZO393217 NJK393217 NTG393217 ODC393217 OMY393217 OWU393217 PGQ393217 PQM393217 QAI393217 QKE393217 QUA393217 RDW393217 RNS393217 RXO393217 SHK393217 SRG393217 TBC393217 TKY393217 TUU393217 UEQ393217 UOM393217 UYI393217 VIE393217 VSA393217 WBW393217 WLS393217 WVO393217 G458753 JC458753 SY458753 ACU458753 AMQ458753 AWM458753 BGI458753 BQE458753 CAA458753 CJW458753 CTS458753 DDO458753 DNK458753 DXG458753 EHC458753 EQY458753 FAU458753 FKQ458753 FUM458753 GEI458753 GOE458753 GYA458753 HHW458753 HRS458753 IBO458753 ILK458753 IVG458753 JFC458753 JOY458753 JYU458753 KIQ458753 KSM458753 LCI458753 LME458753 LWA458753 MFW458753 MPS458753 MZO458753 NJK458753 NTG458753 ODC458753 OMY458753 OWU458753 PGQ458753 PQM458753 QAI458753 QKE458753 QUA458753 RDW458753 RNS458753 RXO458753 SHK458753 SRG458753 TBC458753 TKY458753 TUU458753 UEQ458753 UOM458753 UYI458753 VIE458753 VSA458753 WBW458753 WLS458753 WVO458753 G524289 JC524289 SY524289 ACU524289 AMQ524289 AWM524289 BGI524289 BQE524289 CAA524289 CJW524289 CTS524289 DDO524289 DNK524289 DXG524289 EHC524289 EQY524289 FAU524289 FKQ524289 FUM524289 GEI524289 GOE524289 GYA524289 HHW524289 HRS524289 IBO524289 ILK524289 IVG524289 JFC524289 JOY524289 JYU524289 KIQ524289 KSM524289 LCI524289 LME524289 LWA524289 MFW524289 MPS524289 MZO524289 NJK524289 NTG524289 ODC524289 OMY524289 OWU524289 PGQ524289 PQM524289 QAI524289 QKE524289 QUA524289 RDW524289 RNS524289 RXO524289 SHK524289 SRG524289 TBC524289 TKY524289 TUU524289 UEQ524289 UOM524289 UYI524289 VIE524289 VSA524289 WBW524289 WLS524289 WVO524289 G589825 JC589825 SY589825 ACU589825 AMQ589825 AWM589825 BGI589825 BQE589825 CAA589825 CJW589825 CTS589825 DDO589825 DNK589825 DXG589825 EHC589825 EQY589825 FAU589825 FKQ589825 FUM589825 GEI589825 GOE589825 GYA589825 HHW589825 HRS589825 IBO589825 ILK589825 IVG589825 JFC589825 JOY589825 JYU589825 KIQ589825 KSM589825 LCI589825 LME589825 LWA589825 MFW589825 MPS589825 MZO589825 NJK589825 NTG589825 ODC589825 OMY589825 OWU589825 PGQ589825 PQM589825 QAI589825 QKE589825 QUA589825 RDW589825 RNS589825 RXO589825 SHK589825 SRG589825 TBC589825 TKY589825 TUU589825 UEQ589825 UOM589825 UYI589825 VIE589825 VSA589825 WBW589825 WLS589825 WVO589825 G655361 JC655361 SY655361 ACU655361 AMQ655361 AWM655361 BGI655361 BQE655361 CAA655361 CJW655361 CTS655361 DDO655361 DNK655361 DXG655361 EHC655361 EQY655361 FAU655361 FKQ655361 FUM655361 GEI655361 GOE655361 GYA655361 HHW655361 HRS655361 IBO655361 ILK655361 IVG655361 JFC655361 JOY655361 JYU655361 KIQ655361 KSM655361 LCI655361 LME655361 LWA655361 MFW655361 MPS655361 MZO655361 NJK655361 NTG655361 ODC655361 OMY655361 OWU655361 PGQ655361 PQM655361 QAI655361 QKE655361 QUA655361 RDW655361 RNS655361 RXO655361 SHK655361 SRG655361 TBC655361 TKY655361 TUU655361 UEQ655361 UOM655361 UYI655361 VIE655361 VSA655361 WBW655361 WLS655361 WVO655361 G720897 JC720897 SY720897 ACU720897 AMQ720897 AWM720897 BGI720897 BQE720897 CAA720897 CJW720897 CTS720897 DDO720897 DNK720897 DXG720897 EHC720897 EQY720897 FAU720897 FKQ720897 FUM720897 GEI720897 GOE720897 GYA720897 HHW720897 HRS720897 IBO720897 ILK720897 IVG720897 JFC720897 JOY720897 JYU720897 KIQ720897 KSM720897 LCI720897 LME720897 LWA720897 MFW720897 MPS720897 MZO720897 NJK720897 NTG720897 ODC720897 OMY720897 OWU720897 PGQ720897 PQM720897 QAI720897 QKE720897 QUA720897 RDW720897 RNS720897 RXO720897 SHK720897 SRG720897 TBC720897 TKY720897 TUU720897 UEQ720897 UOM720897 UYI720897 VIE720897 VSA720897 WBW720897 WLS720897 WVO720897 G786433 JC786433 SY786433 ACU786433 AMQ786433 AWM786433 BGI786433 BQE786433 CAA786433 CJW786433 CTS786433 DDO786433 DNK786433 DXG786433 EHC786433 EQY786433 FAU786433 FKQ786433 FUM786433 GEI786433 GOE786433 GYA786433 HHW786433 HRS786433 IBO786433 ILK786433 IVG786433 JFC786433 JOY786433 JYU786433 KIQ786433 KSM786433 LCI786433 LME786433 LWA786433 MFW786433 MPS786433 MZO786433 NJK786433 NTG786433 ODC786433 OMY786433 OWU786433 PGQ786433 PQM786433 QAI786433 QKE786433 QUA786433 RDW786433 RNS786433 RXO786433 SHK786433 SRG786433 TBC786433 TKY786433 TUU786433 UEQ786433 UOM786433 UYI786433 VIE786433 VSA786433 WBW786433 WLS786433 WVO786433 G851969 JC851969 SY851969 ACU851969 AMQ851969 AWM851969 BGI851969 BQE851969 CAA851969 CJW851969 CTS851969 DDO851969 DNK851969 DXG851969 EHC851969 EQY851969 FAU851969 FKQ851969 FUM851969 GEI851969 GOE851969 GYA851969 HHW851969 HRS851969 IBO851969 ILK851969 IVG851969 JFC851969 JOY851969 JYU851969 KIQ851969 KSM851969 LCI851969 LME851969 LWA851969 MFW851969 MPS851969 MZO851969 NJK851969 NTG851969 ODC851969 OMY851969 OWU851969 PGQ851969 PQM851969 QAI851969 QKE851969 QUA851969 RDW851969 RNS851969 RXO851969 SHK851969 SRG851969 TBC851969 TKY851969 TUU851969 UEQ851969 UOM851969 UYI851969 VIE851969 VSA851969 WBW851969 WLS851969 WVO851969 G917505 JC917505 SY917505 ACU917505 AMQ917505 AWM917505 BGI917505 BQE917505 CAA917505 CJW917505 CTS917505 DDO917505 DNK917505 DXG917505 EHC917505 EQY917505 FAU917505 FKQ917505 FUM917505 GEI917505 GOE917505 GYA917505 HHW917505 HRS917505 IBO917505 ILK917505 IVG917505 JFC917505 JOY917505 JYU917505 KIQ917505 KSM917505 LCI917505 LME917505 LWA917505 MFW917505 MPS917505 MZO917505 NJK917505 NTG917505 ODC917505 OMY917505 OWU917505 PGQ917505 PQM917505 QAI917505 QKE917505 QUA917505 RDW917505 RNS917505 RXO917505 SHK917505 SRG917505 TBC917505 TKY917505 TUU917505 UEQ917505 UOM917505 UYI917505 VIE917505 VSA917505 WBW917505 WLS917505 WVO917505 G983041 JC983041 SY983041 ACU983041 AMQ983041 AWM983041 BGI983041 BQE983041 CAA983041 CJW983041 CTS983041 DDO983041 DNK983041 DXG983041 EHC983041 EQY983041 FAU983041 FKQ983041 FUM983041 GEI983041 GOE983041 GYA983041 HHW983041 HRS983041 IBO983041 ILK983041 IVG983041 JFC983041 JOY983041 JYU983041 KIQ983041 KSM983041 LCI983041 LME983041 LWA983041 MFW983041 MPS983041 MZO983041 NJK983041 NTG983041 ODC983041 OMY983041 OWU983041 PGQ983041 PQM983041 QAI983041 QKE983041 QUA983041 RDW983041 RNS983041 RXO983041 SHK983041 SRG983041 TBC983041 TKY983041 TUU983041 UEQ983041 UOM983041 UYI983041 VIE983041 VSA983041 WBW983041 WLS983041 WVO983041 E1 JA1 SW1 ACS1 AMO1 AWK1 BGG1 BQC1 BZY1 CJU1 CTQ1 DDM1 DNI1 DXE1 EHA1 EQW1 FAS1 FKO1 FUK1 GEG1 GOC1 GXY1 HHU1 HRQ1 IBM1 ILI1 IVE1 JFA1 JOW1 JYS1 KIO1 KSK1 LCG1 LMC1 LVY1 MFU1 MPQ1 MZM1 NJI1 NTE1 ODA1 OMW1 OWS1 PGO1 PQK1 QAG1 QKC1 QTY1 RDU1 RNQ1 RXM1 SHI1 SRE1 TBA1 TKW1 TUS1 UEO1 UOK1 UYG1 VIC1 VRY1 WBU1 WLQ1 WVM1 E65537 JA65537 SW65537 ACS65537 AMO65537 AWK65537 BGG65537 BQC65537 BZY65537 CJU65537 CTQ65537 DDM65537 DNI65537 DXE65537 EHA65537 EQW65537 FAS65537 FKO65537 FUK65537 GEG65537 GOC65537 GXY65537 HHU65537 HRQ65537 IBM65537 ILI65537 IVE65537 JFA65537 JOW65537 JYS65537 KIO65537 KSK65537 LCG65537 LMC65537 LVY65537 MFU65537 MPQ65537 MZM65537 NJI65537 NTE65537 ODA65537 OMW65537 OWS65537 PGO65537 PQK65537 QAG65537 QKC65537 QTY65537 RDU65537 RNQ65537 RXM65537 SHI65537 SRE65537 TBA65537 TKW65537 TUS65537 UEO65537 UOK65537 UYG65537 VIC65537 VRY65537 WBU65537 WLQ65537 WVM65537 E131073 JA131073 SW131073 ACS131073 AMO131073 AWK131073 BGG131073 BQC131073 BZY131073 CJU131073 CTQ131073 DDM131073 DNI131073 DXE131073 EHA131073 EQW131073 FAS131073 FKO131073 FUK131073 GEG131073 GOC131073 GXY131073 HHU131073 HRQ131073 IBM131073 ILI131073 IVE131073 JFA131073 JOW131073 JYS131073 KIO131073 KSK131073 LCG131073 LMC131073 LVY131073 MFU131073 MPQ131073 MZM131073 NJI131073 NTE131073 ODA131073 OMW131073 OWS131073 PGO131073 PQK131073 QAG131073 QKC131073 QTY131073 RDU131073 RNQ131073 RXM131073 SHI131073 SRE131073 TBA131073 TKW131073 TUS131073 UEO131073 UOK131073 UYG131073 VIC131073 VRY131073 WBU131073 WLQ131073 WVM131073 E196609 JA196609 SW196609 ACS196609 AMO196609 AWK196609 BGG196609 BQC196609 BZY196609 CJU196609 CTQ196609 DDM196609 DNI196609 DXE196609 EHA196609 EQW196609 FAS196609 FKO196609 FUK196609 GEG196609 GOC196609 GXY196609 HHU196609 HRQ196609 IBM196609 ILI196609 IVE196609 JFA196609 JOW196609 JYS196609 KIO196609 KSK196609 LCG196609 LMC196609 LVY196609 MFU196609 MPQ196609 MZM196609 NJI196609 NTE196609 ODA196609 OMW196609 OWS196609 PGO196609 PQK196609 QAG196609 QKC196609 QTY196609 RDU196609 RNQ196609 RXM196609 SHI196609 SRE196609 TBA196609 TKW196609 TUS196609 UEO196609 UOK196609 UYG196609 VIC196609 VRY196609 WBU196609 WLQ196609 WVM196609 E262145 JA262145 SW262145 ACS262145 AMO262145 AWK262145 BGG262145 BQC262145 BZY262145 CJU262145 CTQ262145 DDM262145 DNI262145 DXE262145 EHA262145 EQW262145 FAS262145 FKO262145 FUK262145 GEG262145 GOC262145 GXY262145 HHU262145 HRQ262145 IBM262145 ILI262145 IVE262145 JFA262145 JOW262145 JYS262145 KIO262145 KSK262145 LCG262145 LMC262145 LVY262145 MFU262145 MPQ262145 MZM262145 NJI262145 NTE262145 ODA262145 OMW262145 OWS262145 PGO262145 PQK262145 QAG262145 QKC262145 QTY262145 RDU262145 RNQ262145 RXM262145 SHI262145 SRE262145 TBA262145 TKW262145 TUS262145 UEO262145 UOK262145 UYG262145 VIC262145 VRY262145 WBU262145 WLQ262145 WVM262145 E327681 JA327681 SW327681 ACS327681 AMO327681 AWK327681 BGG327681 BQC327681 BZY327681 CJU327681 CTQ327681 DDM327681 DNI327681 DXE327681 EHA327681 EQW327681 FAS327681 FKO327681 FUK327681 GEG327681 GOC327681 GXY327681 HHU327681 HRQ327681 IBM327681 ILI327681 IVE327681 JFA327681 JOW327681 JYS327681 KIO327681 KSK327681 LCG327681 LMC327681 LVY327681 MFU327681 MPQ327681 MZM327681 NJI327681 NTE327681 ODA327681 OMW327681 OWS327681 PGO327681 PQK327681 QAG327681 QKC327681 QTY327681 RDU327681 RNQ327681 RXM327681 SHI327681 SRE327681 TBA327681 TKW327681 TUS327681 UEO327681 UOK327681 UYG327681 VIC327681 VRY327681 WBU327681 WLQ327681 WVM327681 E393217 JA393217 SW393217 ACS393217 AMO393217 AWK393217 BGG393217 BQC393217 BZY393217 CJU393217 CTQ393217 DDM393217 DNI393217 DXE393217 EHA393217 EQW393217 FAS393217 FKO393217 FUK393217 GEG393217 GOC393217 GXY393217 HHU393217 HRQ393217 IBM393217 ILI393217 IVE393217 JFA393217 JOW393217 JYS393217 KIO393217 KSK393217 LCG393217 LMC393217 LVY393217 MFU393217 MPQ393217 MZM393217 NJI393217 NTE393217 ODA393217 OMW393217 OWS393217 PGO393217 PQK393217 QAG393217 QKC393217 QTY393217 RDU393217 RNQ393217 RXM393217 SHI393217 SRE393217 TBA393217 TKW393217 TUS393217 UEO393217 UOK393217 UYG393217 VIC393217 VRY393217 WBU393217 WLQ393217 WVM393217 E458753 JA458753 SW458753 ACS458753 AMO458753 AWK458753 BGG458753 BQC458753 BZY458753 CJU458753 CTQ458753 DDM458753 DNI458753 DXE458753 EHA458753 EQW458753 FAS458753 FKO458753 FUK458753 GEG458753 GOC458753 GXY458753 HHU458753 HRQ458753 IBM458753 ILI458753 IVE458753 JFA458753 JOW458753 JYS458753 KIO458753 KSK458753 LCG458753 LMC458753 LVY458753 MFU458753 MPQ458753 MZM458753 NJI458753 NTE458753 ODA458753 OMW458753 OWS458753 PGO458753 PQK458753 QAG458753 QKC458753 QTY458753 RDU458753 RNQ458753 RXM458753 SHI458753 SRE458753 TBA458753 TKW458753 TUS458753 UEO458753 UOK458753 UYG458753 VIC458753 VRY458753 WBU458753 WLQ458753 WVM458753 E524289 JA524289 SW524289 ACS524289 AMO524289 AWK524289 BGG524289 BQC524289 BZY524289 CJU524289 CTQ524289 DDM524289 DNI524289 DXE524289 EHA524289 EQW524289 FAS524289 FKO524289 FUK524289 GEG524289 GOC524289 GXY524289 HHU524289 HRQ524289 IBM524289 ILI524289 IVE524289 JFA524289 JOW524289 JYS524289 KIO524289 KSK524289 LCG524289 LMC524289 LVY524289 MFU524289 MPQ524289 MZM524289 NJI524289 NTE524289 ODA524289 OMW524289 OWS524289 PGO524289 PQK524289 QAG524289 QKC524289 QTY524289 RDU524289 RNQ524289 RXM524289 SHI524289 SRE524289 TBA524289 TKW524289 TUS524289 UEO524289 UOK524289 UYG524289 VIC524289 VRY524289 WBU524289 WLQ524289 WVM524289 E589825 JA589825 SW589825 ACS589825 AMO589825 AWK589825 BGG589825 BQC589825 BZY589825 CJU589825 CTQ589825 DDM589825 DNI589825 DXE589825 EHA589825 EQW589825 FAS589825 FKO589825 FUK589825 GEG589825 GOC589825 GXY589825 HHU589825 HRQ589825 IBM589825 ILI589825 IVE589825 JFA589825 JOW589825 JYS589825 KIO589825 KSK589825 LCG589825 LMC589825 LVY589825 MFU589825 MPQ589825 MZM589825 NJI589825 NTE589825 ODA589825 OMW589825 OWS589825 PGO589825 PQK589825 QAG589825 QKC589825 QTY589825 RDU589825 RNQ589825 RXM589825 SHI589825 SRE589825 TBA589825 TKW589825 TUS589825 UEO589825 UOK589825 UYG589825 VIC589825 VRY589825 WBU589825 WLQ589825 WVM589825 E655361 JA655361 SW655361 ACS655361 AMO655361 AWK655361 BGG655361 BQC655361 BZY655361 CJU655361 CTQ655361 DDM655361 DNI655361 DXE655361 EHA655361 EQW655361 FAS655361 FKO655361 FUK655361 GEG655361 GOC655361 GXY655361 HHU655361 HRQ655361 IBM655361 ILI655361 IVE655361 JFA655361 JOW655361 JYS655361 KIO655361 KSK655361 LCG655361 LMC655361 LVY655361 MFU655361 MPQ655361 MZM655361 NJI655361 NTE655361 ODA655361 OMW655361 OWS655361 PGO655361 PQK655361 QAG655361 QKC655361 QTY655361 RDU655361 RNQ655361 RXM655361 SHI655361 SRE655361 TBA655361 TKW655361 TUS655361 UEO655361 UOK655361 UYG655361 VIC655361 VRY655361 WBU655361 WLQ655361 WVM655361 E720897 JA720897 SW720897 ACS720897 AMO720897 AWK720897 BGG720897 BQC720897 BZY720897 CJU720897 CTQ720897 DDM720897 DNI720897 DXE720897 EHA720897 EQW720897 FAS720897 FKO720897 FUK720897 GEG720897 GOC720897 GXY720897 HHU720897 HRQ720897 IBM720897 ILI720897 IVE720897 JFA720897 JOW720897 JYS720897 KIO720897 KSK720897 LCG720897 LMC720897 LVY720897 MFU720897 MPQ720897 MZM720897 NJI720897 NTE720897 ODA720897 OMW720897 OWS720897 PGO720897 PQK720897 QAG720897 QKC720897 QTY720897 RDU720897 RNQ720897 RXM720897 SHI720897 SRE720897 TBA720897 TKW720897 TUS720897 UEO720897 UOK720897 UYG720897 VIC720897 VRY720897 WBU720897 WLQ720897 WVM720897 E786433 JA786433 SW786433 ACS786433 AMO786433 AWK786433 BGG786433 BQC786433 BZY786433 CJU786433 CTQ786433 DDM786433 DNI786433 DXE786433 EHA786433 EQW786433 FAS786433 FKO786433 FUK786433 GEG786433 GOC786433 GXY786433 HHU786433 HRQ786433 IBM786433 ILI786433 IVE786433 JFA786433 JOW786433 JYS786433 KIO786433 KSK786433 LCG786433 LMC786433 LVY786433 MFU786433 MPQ786433 MZM786433 NJI786433 NTE786433 ODA786433 OMW786433 OWS786433 PGO786433 PQK786433 QAG786433 QKC786433 QTY786433 RDU786433 RNQ786433 RXM786433 SHI786433 SRE786433 TBA786433 TKW786433 TUS786433 UEO786433 UOK786433 UYG786433 VIC786433 VRY786433 WBU786433 WLQ786433 WVM786433 E851969 JA851969 SW851969 ACS851969 AMO851969 AWK851969 BGG851969 BQC851969 BZY851969 CJU851969 CTQ851969 DDM851969 DNI851969 DXE851969 EHA851969 EQW851969 FAS851969 FKO851969 FUK851969 GEG851969 GOC851969 GXY851969 HHU851969 HRQ851969 IBM851969 ILI851969 IVE851969 JFA851969 JOW851969 JYS851969 KIO851969 KSK851969 LCG851969 LMC851969 LVY851969 MFU851969 MPQ851969 MZM851969 NJI851969 NTE851969 ODA851969 OMW851969 OWS851969 PGO851969 PQK851969 QAG851969 QKC851969 QTY851969 RDU851969 RNQ851969 RXM851969 SHI851969 SRE851969 TBA851969 TKW851969 TUS851969 UEO851969 UOK851969 UYG851969 VIC851969 VRY851969 WBU851969 WLQ851969 WVM851969 E917505 JA917505 SW917505 ACS917505 AMO917505 AWK917505 BGG917505 BQC917505 BZY917505 CJU917505 CTQ917505 DDM917505 DNI917505 DXE917505 EHA917505 EQW917505 FAS917505 FKO917505 FUK917505 GEG917505 GOC917505 GXY917505 HHU917505 HRQ917505 IBM917505 ILI917505 IVE917505 JFA917505 JOW917505 JYS917505 KIO917505 KSK917505 LCG917505 LMC917505 LVY917505 MFU917505 MPQ917505 MZM917505 NJI917505 NTE917505 ODA917505 OMW917505 OWS917505 PGO917505 PQK917505 QAG917505 QKC917505 QTY917505 RDU917505 RNQ917505 RXM917505 SHI917505 SRE917505 TBA917505 TKW917505 TUS917505 UEO917505 UOK917505 UYG917505 VIC917505 VRY917505 WBU917505 WLQ917505 WVM917505 E983041 JA983041 SW983041 ACS983041 AMO983041 AWK983041 BGG983041 BQC983041 BZY983041 CJU983041 CTQ983041 DDM983041 DNI983041 DXE983041 EHA983041 EQW983041 FAS983041 FKO983041 FUK983041 GEG983041 GOC983041 GXY983041 HHU983041 HRQ983041 IBM983041 ILI983041 IVE983041 JFA983041 JOW983041 JYS983041 KIO983041 KSK983041 LCG983041 LMC983041 LVY983041 MFU983041 MPQ983041 MZM983041 NJI983041 NTE983041 ODA983041 OMW983041 OWS983041 PGO983041 PQK983041 QAG983041 QKC983041 QTY983041 RDU983041 RNQ983041 RXM983041 SHI983041 SRE983041 TBA983041 TKW983041 TUS983041 UEO983041 UOK983041 UYG983041 VIC983041 VRY983041 WBU983041 WLQ983041 WVM983041 B1 IX1 ST1 ACP1 AML1 AWH1 BGD1 BPZ1 BZV1 CJR1 CTN1 DDJ1 DNF1 DXB1 EGX1 EQT1 FAP1 FKL1 FUH1 GED1 GNZ1 GXV1 HHR1 HRN1 IBJ1 ILF1 IVB1 JEX1 JOT1 JYP1 KIL1 KSH1 LCD1 LLZ1 LVV1 MFR1 MPN1 MZJ1 NJF1 NTB1 OCX1 OMT1 OWP1 PGL1 PQH1 QAD1 QJZ1 QTV1 RDR1 RNN1 RXJ1 SHF1 SRB1 TAX1 TKT1 TUP1 UEL1 UOH1 UYD1 VHZ1 VRV1 WBR1 WLN1 WVJ1 B65537 IX65537 ST65537 ACP65537 AML65537 AWH65537 BGD65537 BPZ65537 BZV65537 CJR65537 CTN65537 DDJ65537 DNF65537 DXB65537 EGX65537 EQT65537 FAP65537 FKL65537 FUH65537 GED65537 GNZ65537 GXV65537 HHR65537 HRN65537 IBJ65537 ILF65537 IVB65537 JEX65537 JOT65537 JYP65537 KIL65537 KSH65537 LCD65537 LLZ65537 LVV65537 MFR65537 MPN65537 MZJ65537 NJF65537 NTB65537 OCX65537 OMT65537 OWP65537 PGL65537 PQH65537 QAD65537 QJZ65537 QTV65537 RDR65537 RNN65537 RXJ65537 SHF65537 SRB65537 TAX65537 TKT65537 TUP65537 UEL65537 UOH65537 UYD65537 VHZ65537 VRV65537 WBR65537 WLN65537 WVJ65537 B131073 IX131073 ST131073 ACP131073 AML131073 AWH131073 BGD131073 BPZ131073 BZV131073 CJR131073 CTN131073 DDJ131073 DNF131073 DXB131073 EGX131073 EQT131073 FAP131073 FKL131073 FUH131073 GED131073 GNZ131073 GXV131073 HHR131073 HRN131073 IBJ131073 ILF131073 IVB131073 JEX131073 JOT131073 JYP131073 KIL131073 KSH131073 LCD131073 LLZ131073 LVV131073 MFR131073 MPN131073 MZJ131073 NJF131073 NTB131073 OCX131073 OMT131073 OWP131073 PGL131073 PQH131073 QAD131073 QJZ131073 QTV131073 RDR131073 RNN131073 RXJ131073 SHF131073 SRB131073 TAX131073 TKT131073 TUP131073 UEL131073 UOH131073 UYD131073 VHZ131073 VRV131073 WBR131073 WLN131073 WVJ131073 B196609 IX196609 ST196609 ACP196609 AML196609 AWH196609 BGD196609 BPZ196609 BZV196609 CJR196609 CTN196609 DDJ196609 DNF196609 DXB196609 EGX196609 EQT196609 FAP196609 FKL196609 FUH196609 GED196609 GNZ196609 GXV196609 HHR196609 HRN196609 IBJ196609 ILF196609 IVB196609 JEX196609 JOT196609 JYP196609 KIL196609 KSH196609 LCD196609 LLZ196609 LVV196609 MFR196609 MPN196609 MZJ196609 NJF196609 NTB196609 OCX196609 OMT196609 OWP196609 PGL196609 PQH196609 QAD196609 QJZ196609 QTV196609 RDR196609 RNN196609 RXJ196609 SHF196609 SRB196609 TAX196609 TKT196609 TUP196609 UEL196609 UOH196609 UYD196609 VHZ196609 VRV196609 WBR196609 WLN196609 WVJ196609 B262145 IX262145 ST262145 ACP262145 AML262145 AWH262145 BGD262145 BPZ262145 BZV262145 CJR262145 CTN262145 DDJ262145 DNF262145 DXB262145 EGX262145 EQT262145 FAP262145 FKL262145 FUH262145 GED262145 GNZ262145 GXV262145 HHR262145 HRN262145 IBJ262145 ILF262145 IVB262145 JEX262145 JOT262145 JYP262145 KIL262145 KSH262145 LCD262145 LLZ262145 LVV262145 MFR262145 MPN262145 MZJ262145 NJF262145 NTB262145 OCX262145 OMT262145 OWP262145 PGL262145 PQH262145 QAD262145 QJZ262145 QTV262145 RDR262145 RNN262145 RXJ262145 SHF262145 SRB262145 TAX262145 TKT262145 TUP262145 UEL262145 UOH262145 UYD262145 VHZ262145 VRV262145 WBR262145 WLN262145 WVJ262145 B327681 IX327681 ST327681 ACP327681 AML327681 AWH327681 BGD327681 BPZ327681 BZV327681 CJR327681 CTN327681 DDJ327681 DNF327681 DXB327681 EGX327681 EQT327681 FAP327681 FKL327681 FUH327681 GED327681 GNZ327681 GXV327681 HHR327681 HRN327681 IBJ327681 ILF327681 IVB327681 JEX327681 JOT327681 JYP327681 KIL327681 KSH327681 LCD327681 LLZ327681 LVV327681 MFR327681 MPN327681 MZJ327681 NJF327681 NTB327681 OCX327681 OMT327681 OWP327681 PGL327681 PQH327681 QAD327681 QJZ327681 QTV327681 RDR327681 RNN327681 RXJ327681 SHF327681 SRB327681 TAX327681 TKT327681 TUP327681 UEL327681 UOH327681 UYD327681 VHZ327681 VRV327681 WBR327681 WLN327681 WVJ327681 B393217 IX393217 ST393217 ACP393217 AML393217 AWH393217 BGD393217 BPZ393217 BZV393217 CJR393217 CTN393217 DDJ393217 DNF393217 DXB393217 EGX393217 EQT393217 FAP393217 FKL393217 FUH393217 GED393217 GNZ393217 GXV393217 HHR393217 HRN393217 IBJ393217 ILF393217 IVB393217 JEX393217 JOT393217 JYP393217 KIL393217 KSH393217 LCD393217 LLZ393217 LVV393217 MFR393217 MPN393217 MZJ393217 NJF393217 NTB393217 OCX393217 OMT393217 OWP393217 PGL393217 PQH393217 QAD393217 QJZ393217 QTV393217 RDR393217 RNN393217 RXJ393217 SHF393217 SRB393217 TAX393217 TKT393217 TUP393217 UEL393217 UOH393217 UYD393217 VHZ393217 VRV393217 WBR393217 WLN393217 WVJ393217 B458753 IX458753 ST458753 ACP458753 AML458753 AWH458753 BGD458753 BPZ458753 BZV458753 CJR458753 CTN458753 DDJ458753 DNF458753 DXB458753 EGX458753 EQT458753 FAP458753 FKL458753 FUH458753 GED458753 GNZ458753 GXV458753 HHR458753 HRN458753 IBJ458753 ILF458753 IVB458753 JEX458753 JOT458753 JYP458753 KIL458753 KSH458753 LCD458753 LLZ458753 LVV458753 MFR458753 MPN458753 MZJ458753 NJF458753 NTB458753 OCX458753 OMT458753 OWP458753 PGL458753 PQH458753 QAD458753 QJZ458753 QTV458753 RDR458753 RNN458753 RXJ458753 SHF458753 SRB458753 TAX458753 TKT458753 TUP458753 UEL458753 UOH458753 UYD458753 VHZ458753 VRV458753 WBR458753 WLN458753 WVJ458753 B524289 IX524289 ST524289 ACP524289 AML524289 AWH524289 BGD524289 BPZ524289 BZV524289 CJR524289 CTN524289 DDJ524289 DNF524289 DXB524289 EGX524289 EQT524289 FAP524289 FKL524289 FUH524289 GED524289 GNZ524289 GXV524289 HHR524289 HRN524289 IBJ524289 ILF524289 IVB524289 JEX524289 JOT524289 JYP524289 KIL524289 KSH524289 LCD524289 LLZ524289 LVV524289 MFR524289 MPN524289 MZJ524289 NJF524289 NTB524289 OCX524289 OMT524289 OWP524289 PGL524289 PQH524289 QAD524289 QJZ524289 QTV524289 RDR524289 RNN524289 RXJ524289 SHF524289 SRB524289 TAX524289 TKT524289 TUP524289 UEL524289 UOH524289 UYD524289 VHZ524289 VRV524289 WBR524289 WLN524289 WVJ524289 B589825 IX589825 ST589825 ACP589825 AML589825 AWH589825 BGD589825 BPZ589825 BZV589825 CJR589825 CTN589825 DDJ589825 DNF589825 DXB589825 EGX589825 EQT589825 FAP589825 FKL589825 FUH589825 GED589825 GNZ589825 GXV589825 HHR589825 HRN589825 IBJ589825 ILF589825 IVB589825 JEX589825 JOT589825 JYP589825 KIL589825 KSH589825 LCD589825 LLZ589825 LVV589825 MFR589825 MPN589825 MZJ589825 NJF589825 NTB589825 OCX589825 OMT589825 OWP589825 PGL589825 PQH589825 QAD589825 QJZ589825 QTV589825 RDR589825 RNN589825 RXJ589825 SHF589825 SRB589825 TAX589825 TKT589825 TUP589825 UEL589825 UOH589825 UYD589825 VHZ589825 VRV589825 WBR589825 WLN589825 WVJ589825 B655361 IX655361 ST655361 ACP655361 AML655361 AWH655361 BGD655361 BPZ655361 BZV655361 CJR655361 CTN655361 DDJ655361 DNF655361 DXB655361 EGX655361 EQT655361 FAP655361 FKL655361 FUH655361 GED655361 GNZ655361 GXV655361 HHR655361 HRN655361 IBJ655361 ILF655361 IVB655361 JEX655361 JOT655361 JYP655361 KIL655361 KSH655361 LCD655361 LLZ655361 LVV655361 MFR655361 MPN655361 MZJ655361 NJF655361 NTB655361 OCX655361 OMT655361 OWP655361 PGL655361 PQH655361 QAD655361 QJZ655361 QTV655361 RDR655361 RNN655361 RXJ655361 SHF655361 SRB655361 TAX655361 TKT655361 TUP655361 UEL655361 UOH655361 UYD655361 VHZ655361 VRV655361 WBR655361 WLN655361 WVJ655361 B720897 IX720897 ST720897 ACP720897 AML720897 AWH720897 BGD720897 BPZ720897 BZV720897 CJR720897 CTN720897 DDJ720897 DNF720897 DXB720897 EGX720897 EQT720897 FAP720897 FKL720897 FUH720897 GED720897 GNZ720897 GXV720897 HHR720897 HRN720897 IBJ720897 ILF720897 IVB720897 JEX720897 JOT720897 JYP720897 KIL720897 KSH720897 LCD720897 LLZ720897 LVV720897 MFR720897 MPN720897 MZJ720897 NJF720897 NTB720897 OCX720897 OMT720897 OWP720897 PGL720897 PQH720897 QAD720897 QJZ720897 QTV720897 RDR720897 RNN720897 RXJ720897 SHF720897 SRB720897 TAX720897 TKT720897 TUP720897 UEL720897 UOH720897 UYD720897 VHZ720897 VRV720897 WBR720897 WLN720897 WVJ720897 B786433 IX786433 ST786433 ACP786433 AML786433 AWH786433 BGD786433 BPZ786433 BZV786433 CJR786433 CTN786433 DDJ786433 DNF786433 DXB786433 EGX786433 EQT786433 FAP786433 FKL786433 FUH786433 GED786433 GNZ786433 GXV786433 HHR786433 HRN786433 IBJ786433 ILF786433 IVB786433 JEX786433 JOT786433 JYP786433 KIL786433 KSH786433 LCD786433 LLZ786433 LVV786433 MFR786433 MPN786433 MZJ786433 NJF786433 NTB786433 OCX786433 OMT786433 OWP786433 PGL786433 PQH786433 QAD786433 QJZ786433 QTV786433 RDR786433 RNN786433 RXJ786433 SHF786433 SRB786433 TAX786433 TKT786433 TUP786433 UEL786433 UOH786433 UYD786433 VHZ786433 VRV786433 WBR786433 WLN786433 WVJ786433 B851969 IX851969 ST851969 ACP851969 AML851969 AWH851969 BGD851969 BPZ851969 BZV851969 CJR851969 CTN851969 DDJ851969 DNF851969 DXB851969 EGX851969 EQT851969 FAP851969 FKL851969 FUH851969 GED851969 GNZ851969 GXV851969 HHR851969 HRN851969 IBJ851969 ILF851969 IVB851969 JEX851969 JOT851969 JYP851969 KIL851969 KSH851969 LCD851969 LLZ851969 LVV851969 MFR851969 MPN851969 MZJ851969 NJF851969 NTB851969 OCX851969 OMT851969 OWP851969 PGL851969 PQH851969 QAD851969 QJZ851969 QTV851969 RDR851969 RNN851969 RXJ851969 SHF851969 SRB851969 TAX851969 TKT851969 TUP851969 UEL851969 UOH851969 UYD851969 VHZ851969 VRV851969 WBR851969 WLN851969 WVJ851969 B917505 IX917505 ST917505 ACP917505 AML917505 AWH917505 BGD917505 BPZ917505 BZV917505 CJR917505 CTN917505 DDJ917505 DNF917505 DXB917505 EGX917505 EQT917505 FAP917505 FKL917505 FUH917505 GED917505 GNZ917505 GXV917505 HHR917505 HRN917505 IBJ917505 ILF917505 IVB917505 JEX917505 JOT917505 JYP917505 KIL917505 KSH917505 LCD917505 LLZ917505 LVV917505 MFR917505 MPN917505 MZJ917505 NJF917505 NTB917505 OCX917505 OMT917505 OWP917505 PGL917505 PQH917505 QAD917505 QJZ917505 QTV917505 RDR917505 RNN917505 RXJ917505 SHF917505 SRB917505 TAX917505 TKT917505 TUP917505 UEL917505 UOH917505 UYD917505 VHZ917505 VRV917505 WBR917505 WLN917505 WVJ917505 B983041 IX983041 ST983041 ACP983041 AML983041 AWH983041 BGD983041 BPZ983041 BZV983041 CJR983041 CTN983041 DDJ983041 DNF983041 DXB983041 EGX983041 EQT983041 FAP983041 FKL983041 FUH983041 GED983041 GNZ983041 GXV983041 HHR983041 HRN983041 IBJ983041 ILF983041 IVB983041 JEX983041 JOT983041 JYP983041 KIL983041 KSH983041 LCD983041 LLZ983041 LVV983041 MFR983041 MPN983041 MZJ983041 NJF983041 NTB983041 OCX983041 OMT983041 OWP983041 PGL983041 PQH983041 QAD983041 QJZ983041 QTV983041 RDR983041 RNN983041 RXJ983041 SHF983041 SRB983041 TAX983041 TKT983041 TUP983041 UEL983041 UOH983041 UYD983041 VHZ983041 VRV983041 WBR983041 WLN983041 WVJ983041">
      <formula1>"..."</formula1>
    </dataValidation>
  </dataValidations>
  <printOptions horizontalCentered="1"/>
  <pageMargins left="0.25" right="0.25" top="0.25" bottom="0.25" header="0.3" footer="0.3"/>
  <pageSetup scale="6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2"/>
  <sheetViews>
    <sheetView zoomScale="115" zoomScaleNormal="115" workbookViewId="0">
      <pane xSplit="4" ySplit="1" topLeftCell="E2" activePane="bottomRight" state="frozen"/>
      <selection pane="topRight" activeCell="E1" sqref="E1"/>
      <selection pane="bottomLeft" activeCell="A2" sqref="A2"/>
      <selection pane="bottomRight"/>
    </sheetView>
  </sheetViews>
  <sheetFormatPr defaultRowHeight="15"/>
  <cols>
    <col min="1" max="1" width="23.140625" hidden="1" customWidth="1"/>
    <col min="2" max="2" width="12.140625" style="1" customWidth="1"/>
    <col min="3" max="4" width="12.140625" style="1" hidden="1" customWidth="1"/>
    <col min="5" max="5" width="15.7109375" style="1" customWidth="1"/>
    <col min="6" max="7" width="15.7109375" style="1" hidden="1" customWidth="1"/>
    <col min="8" max="8" width="15.7109375" style="1" customWidth="1"/>
    <col min="9" max="9" width="15.7109375" style="1" hidden="1" customWidth="1"/>
    <col min="10" max="10" width="15.7109375" style="1" customWidth="1"/>
    <col min="11" max="11" width="15.7109375" style="1" hidden="1" customWidth="1"/>
    <col min="12" max="13" width="15.7109375" style="1" customWidth="1"/>
  </cols>
  <sheetData>
    <row r="1" spans="1:14" s="2" customFormat="1" ht="60" customHeight="1">
      <c r="A1" s="4" t="s">
        <v>3</v>
      </c>
      <c r="B1" s="5" t="s">
        <v>4</v>
      </c>
      <c r="C1" s="5" t="s">
        <v>5</v>
      </c>
      <c r="D1" s="5"/>
      <c r="E1" s="6" t="s">
        <v>6</v>
      </c>
      <c r="F1" s="6" t="s">
        <v>59</v>
      </c>
      <c r="G1" s="6" t="s">
        <v>7</v>
      </c>
      <c r="H1" s="6" t="s">
        <v>8</v>
      </c>
      <c r="I1" s="6" t="s">
        <v>60</v>
      </c>
      <c r="J1" s="6" t="s">
        <v>9</v>
      </c>
      <c r="K1" s="6" t="s">
        <v>61</v>
      </c>
      <c r="L1" s="5" t="s">
        <v>62</v>
      </c>
      <c r="M1" s="5" t="s">
        <v>63</v>
      </c>
      <c r="N1" s="2" t="s">
        <v>13</v>
      </c>
    </row>
    <row r="2" spans="1:14">
      <c r="A2" s="7" t="s">
        <v>14</v>
      </c>
      <c r="B2" s="7">
        <v>1</v>
      </c>
      <c r="C2" s="7">
        <v>1</v>
      </c>
      <c r="D2" s="7">
        <v>2021</v>
      </c>
      <c r="E2" s="102">
        <f>'Athens Daily - EL'!AK8</f>
        <v>39141.5</v>
      </c>
      <c r="F2" s="102"/>
      <c r="G2" s="102">
        <f>'Athens Daily - Gas'!BH9</f>
        <v>94646.399999999994</v>
      </c>
      <c r="H2" s="102">
        <f>G2/38.3</f>
        <v>2471.1853785900785</v>
      </c>
      <c r="I2" s="102"/>
      <c r="J2" s="102">
        <f>'Athens Daily - Water'!R7</f>
        <v>397.42000000000007</v>
      </c>
      <c r="K2" s="102"/>
      <c r="L2" s="103">
        <v>142</v>
      </c>
      <c r="M2" s="102">
        <f>L2*2</f>
        <v>284</v>
      </c>
      <c r="N2" s="99">
        <v>10</v>
      </c>
    </row>
    <row r="3" spans="1:14">
      <c r="A3" s="7" t="s">
        <v>14</v>
      </c>
      <c r="B3" s="7">
        <v>2</v>
      </c>
      <c r="C3" s="7">
        <v>1</v>
      </c>
      <c r="D3" s="7">
        <v>2021</v>
      </c>
      <c r="E3" s="102">
        <f>'Athens Daily - EL'!AK9</f>
        <v>45696.5</v>
      </c>
      <c r="F3" s="102"/>
      <c r="G3" s="102">
        <f>'Athens Daily - Gas'!BH10</f>
        <v>110371.2</v>
      </c>
      <c r="H3" s="102">
        <f t="shared" ref="H3:H32" si="0">G3/38.3</f>
        <v>2881.7545691906007</v>
      </c>
      <c r="I3" s="102"/>
      <c r="J3" s="102">
        <f>'Athens Daily - Water'!R8</f>
        <v>396</v>
      </c>
      <c r="K3" s="102"/>
      <c r="L3" s="103">
        <v>102</v>
      </c>
      <c r="M3" s="102">
        <f t="shared" ref="M3:M32" si="1">L3*2</f>
        <v>204</v>
      </c>
      <c r="N3" s="99">
        <v>12</v>
      </c>
    </row>
    <row r="4" spans="1:14">
      <c r="A4" s="7" t="s">
        <v>14</v>
      </c>
      <c r="B4" s="7">
        <v>3</v>
      </c>
      <c r="C4" s="7">
        <v>1</v>
      </c>
      <c r="D4" s="7">
        <v>2021</v>
      </c>
      <c r="E4" s="102">
        <f>'Athens Daily - EL'!AK10</f>
        <v>45149</v>
      </c>
      <c r="F4" s="102"/>
      <c r="G4" s="102">
        <f>'Athens Daily - Gas'!BH11</f>
        <v>110016</v>
      </c>
      <c r="H4" s="102">
        <f t="shared" si="0"/>
        <v>2872.4804177545693</v>
      </c>
      <c r="I4" s="102"/>
      <c r="J4" s="102">
        <f>'Athens Daily - Water'!R9</f>
        <v>397</v>
      </c>
      <c r="K4" s="102"/>
      <c r="L4" s="103">
        <v>55</v>
      </c>
      <c r="M4" s="102">
        <f t="shared" si="1"/>
        <v>110</v>
      </c>
      <c r="N4" s="99">
        <v>15</v>
      </c>
    </row>
    <row r="5" spans="1:14">
      <c r="A5" s="7" t="s">
        <v>14</v>
      </c>
      <c r="B5" s="7">
        <v>4</v>
      </c>
      <c r="C5" s="7">
        <v>1</v>
      </c>
      <c r="D5" s="7">
        <v>2021</v>
      </c>
      <c r="E5" s="102">
        <f>'Athens Daily - EL'!AK11</f>
        <v>44023</v>
      </c>
      <c r="F5" s="102"/>
      <c r="G5" s="102">
        <f>'Athens Daily - Gas'!BH12</f>
        <v>106329.60000000001</v>
      </c>
      <c r="H5" s="102">
        <f t="shared" si="0"/>
        <v>2776.2297650130554</v>
      </c>
      <c r="I5" s="102"/>
      <c r="J5" s="102">
        <f>'Athens Daily - Water'!R10</f>
        <v>396</v>
      </c>
      <c r="K5" s="102"/>
      <c r="L5" s="103">
        <v>45</v>
      </c>
      <c r="M5" s="102">
        <f t="shared" si="1"/>
        <v>90</v>
      </c>
      <c r="N5" s="99">
        <v>17</v>
      </c>
    </row>
    <row r="6" spans="1:14">
      <c r="A6" s="7" t="s">
        <v>14</v>
      </c>
      <c r="B6" s="7">
        <v>5</v>
      </c>
      <c r="C6" s="7">
        <v>1</v>
      </c>
      <c r="D6" s="7">
        <v>2021</v>
      </c>
      <c r="E6" s="102">
        <f>'Athens Daily - EL'!AK12</f>
        <v>50228.5</v>
      </c>
      <c r="F6" s="102"/>
      <c r="G6" s="102">
        <f>'Athens Daily - Gas'!BH13</f>
        <v>110947.2</v>
      </c>
      <c r="H6" s="102">
        <f t="shared" si="0"/>
        <v>2896.7937336814621</v>
      </c>
      <c r="I6" s="102"/>
      <c r="J6" s="102">
        <f>'Athens Daily - Water'!R11</f>
        <v>402</v>
      </c>
      <c r="K6" s="102"/>
      <c r="L6" s="103">
        <v>34</v>
      </c>
      <c r="M6" s="102">
        <f t="shared" si="1"/>
        <v>68</v>
      </c>
      <c r="N6" s="99">
        <v>15</v>
      </c>
    </row>
    <row r="7" spans="1:14">
      <c r="A7" s="7" t="s">
        <v>14</v>
      </c>
      <c r="B7" s="7">
        <v>6</v>
      </c>
      <c r="C7" s="7">
        <v>1</v>
      </c>
      <c r="D7" s="7">
        <v>2021</v>
      </c>
      <c r="E7" s="102">
        <f>'Athens Daily - EL'!AK13</f>
        <v>45515</v>
      </c>
      <c r="F7" s="102"/>
      <c r="G7" s="102">
        <f>'Athens Daily - Gas'!BH14</f>
        <v>113548.79999999999</v>
      </c>
      <c r="H7" s="102">
        <f t="shared" si="0"/>
        <v>2964.7206266318535</v>
      </c>
      <c r="I7" s="102"/>
      <c r="J7" s="102">
        <f>'Athens Daily - Water'!R12</f>
        <v>439</v>
      </c>
      <c r="K7" s="102"/>
      <c r="L7" s="103">
        <v>36</v>
      </c>
      <c r="M7" s="102">
        <f t="shared" si="1"/>
        <v>72</v>
      </c>
      <c r="N7" s="99"/>
    </row>
    <row r="8" spans="1:14">
      <c r="A8" s="7" t="s">
        <v>14</v>
      </c>
      <c r="B8" s="7">
        <v>7</v>
      </c>
      <c r="C8" s="7">
        <v>1</v>
      </c>
      <c r="D8" s="7">
        <v>2021</v>
      </c>
      <c r="E8" s="102">
        <f>'Athens Daily - EL'!AK14</f>
        <v>46456</v>
      </c>
      <c r="F8" s="102"/>
      <c r="G8" s="102">
        <f>'Athens Daily - Gas'!BH15</f>
        <v>97353.600000000006</v>
      </c>
      <c r="H8" s="102">
        <f t="shared" si="0"/>
        <v>2541.8694516971282</v>
      </c>
      <c r="I8" s="102"/>
      <c r="J8" s="102">
        <f>'Athens Daily - Water'!R13</f>
        <v>423</v>
      </c>
      <c r="K8" s="102"/>
      <c r="L8" s="103">
        <v>60</v>
      </c>
      <c r="M8" s="102">
        <f t="shared" si="1"/>
        <v>120</v>
      </c>
      <c r="N8" s="99"/>
    </row>
    <row r="9" spans="1:14">
      <c r="A9" s="7" t="s">
        <v>14</v>
      </c>
      <c r="B9" s="7">
        <v>8</v>
      </c>
      <c r="C9" s="7">
        <v>1</v>
      </c>
      <c r="D9" s="7">
        <v>2021</v>
      </c>
      <c r="E9" s="102">
        <f>'Athens Daily - EL'!AK15</f>
        <v>45652.5</v>
      </c>
      <c r="F9" s="102"/>
      <c r="G9" s="102">
        <f>'Athens Daily - Gas'!BH16</f>
        <v>101625.60000000001</v>
      </c>
      <c r="H9" s="102">
        <f t="shared" si="0"/>
        <v>2653.4099216710188</v>
      </c>
      <c r="I9" s="102"/>
      <c r="J9" s="102">
        <f>'Athens Daily - Water'!R14</f>
        <v>330</v>
      </c>
      <c r="K9" s="102"/>
      <c r="L9" s="103">
        <v>64</v>
      </c>
      <c r="M9" s="102">
        <f t="shared" si="1"/>
        <v>128</v>
      </c>
      <c r="N9" s="99"/>
    </row>
    <row r="10" spans="1:14">
      <c r="A10" s="7" t="s">
        <v>14</v>
      </c>
      <c r="B10" s="7">
        <v>9</v>
      </c>
      <c r="C10" s="7">
        <v>1</v>
      </c>
      <c r="D10" s="7">
        <v>2021</v>
      </c>
      <c r="E10" s="102">
        <f>'Athens Daily - EL'!AK16</f>
        <v>43161.5</v>
      </c>
      <c r="F10" s="102"/>
      <c r="G10" s="102">
        <f>'Athens Daily - Gas'!BH17</f>
        <v>106761.60000000001</v>
      </c>
      <c r="H10" s="102">
        <f t="shared" si="0"/>
        <v>2787.5091383812014</v>
      </c>
      <c r="I10" s="102"/>
      <c r="J10" s="102">
        <f>'Athens Daily - Water'!R15</f>
        <v>549</v>
      </c>
      <c r="K10" s="102"/>
      <c r="L10" s="103">
        <v>100</v>
      </c>
      <c r="M10" s="102">
        <f t="shared" si="1"/>
        <v>200</v>
      </c>
      <c r="N10" s="99">
        <v>9</v>
      </c>
    </row>
    <row r="11" spans="1:14">
      <c r="A11" s="7" t="s">
        <v>14</v>
      </c>
      <c r="B11" s="7">
        <v>10</v>
      </c>
      <c r="C11" s="7">
        <v>1</v>
      </c>
      <c r="D11" s="7">
        <v>2021</v>
      </c>
      <c r="E11" s="102">
        <f>'Athens Daily - EL'!AK17</f>
        <v>48211.5</v>
      </c>
      <c r="F11" s="102"/>
      <c r="G11" s="102">
        <f>'Athens Daily - Gas'!BH18</f>
        <v>95596.799999999988</v>
      </c>
      <c r="H11" s="102">
        <f t="shared" si="0"/>
        <v>2496</v>
      </c>
      <c r="I11" s="102"/>
      <c r="J11" s="102">
        <f>'Athens Daily - Water'!R16</f>
        <v>508</v>
      </c>
      <c r="K11" s="102"/>
      <c r="L11" s="103">
        <v>63</v>
      </c>
      <c r="M11" s="102">
        <f t="shared" si="1"/>
        <v>126</v>
      </c>
      <c r="N11" s="99">
        <v>12</v>
      </c>
    </row>
    <row r="12" spans="1:14">
      <c r="A12" s="7" t="s">
        <v>14</v>
      </c>
      <c r="B12" s="7">
        <v>11</v>
      </c>
      <c r="C12" s="7">
        <v>1</v>
      </c>
      <c r="D12" s="7">
        <v>2021</v>
      </c>
      <c r="E12" s="102">
        <f>'Athens Daily - EL'!AK18</f>
        <v>47143</v>
      </c>
      <c r="F12" s="102"/>
      <c r="G12" s="102">
        <f>'Athens Daily - Gas'!BH19</f>
        <v>110467.2</v>
      </c>
      <c r="H12" s="102">
        <f t="shared" si="0"/>
        <v>2884.2610966057441</v>
      </c>
      <c r="I12" s="102"/>
      <c r="J12" s="102">
        <f>'Athens Daily - Water'!R17</f>
        <v>351</v>
      </c>
      <c r="K12" s="102"/>
      <c r="L12" s="103">
        <v>39</v>
      </c>
      <c r="M12" s="102">
        <f t="shared" si="1"/>
        <v>78</v>
      </c>
      <c r="N12" s="99">
        <v>12</v>
      </c>
    </row>
    <row r="13" spans="1:14">
      <c r="A13" s="7" t="s">
        <v>14</v>
      </c>
      <c r="B13" s="7">
        <v>12</v>
      </c>
      <c r="C13" s="7">
        <v>1</v>
      </c>
      <c r="D13" s="7">
        <v>2021</v>
      </c>
      <c r="E13" s="102">
        <f>'Athens Daily - EL'!AK19</f>
        <v>46362.5</v>
      </c>
      <c r="F13" s="102"/>
      <c r="G13" s="102">
        <f>'Athens Daily - Gas'!BH20</f>
        <v>109516.79999999999</v>
      </c>
      <c r="H13" s="102">
        <f t="shared" si="0"/>
        <v>2859.4464751958226</v>
      </c>
      <c r="I13" s="102"/>
      <c r="J13" s="102">
        <f>'Athens Daily - Water'!R18</f>
        <v>498</v>
      </c>
      <c r="K13" s="102"/>
      <c r="L13" s="103">
        <v>43</v>
      </c>
      <c r="M13" s="102">
        <f t="shared" si="1"/>
        <v>86</v>
      </c>
      <c r="N13" s="99">
        <v>10</v>
      </c>
    </row>
    <row r="14" spans="1:14">
      <c r="A14" s="7" t="s">
        <v>14</v>
      </c>
      <c r="B14" s="7">
        <v>13</v>
      </c>
      <c r="C14" s="7">
        <v>1</v>
      </c>
      <c r="D14" s="7">
        <v>2021</v>
      </c>
      <c r="E14" s="102">
        <f>'Athens Daily - EL'!AK20</f>
        <v>45590.5</v>
      </c>
      <c r="F14" s="102"/>
      <c r="G14" s="102">
        <f>'Athens Daily - Gas'!BH21</f>
        <v>103298.016</v>
      </c>
      <c r="H14" s="102">
        <f t="shared" si="0"/>
        <v>2697.0761357702354</v>
      </c>
      <c r="I14" s="102"/>
      <c r="J14" s="102">
        <f>'Athens Daily - Water'!R19</f>
        <v>423.70200000000023</v>
      </c>
      <c r="K14" s="102"/>
      <c r="L14" s="103">
        <v>46</v>
      </c>
      <c r="M14" s="102">
        <f t="shared" si="1"/>
        <v>92</v>
      </c>
      <c r="N14" s="99">
        <v>12</v>
      </c>
    </row>
    <row r="15" spans="1:14">
      <c r="A15" s="7" t="s">
        <v>14</v>
      </c>
      <c r="B15" s="7">
        <v>14</v>
      </c>
      <c r="C15" s="7">
        <v>1</v>
      </c>
      <c r="D15" s="7">
        <v>2021</v>
      </c>
      <c r="E15" s="102">
        <f>'Athens Daily - EL'!AK21</f>
        <v>48066.5</v>
      </c>
      <c r="F15" s="102"/>
      <c r="G15" s="102">
        <f>'Athens Daily - Gas'!BH22</f>
        <v>110968.12799999998</v>
      </c>
      <c r="H15" s="102">
        <f t="shared" si="0"/>
        <v>2897.3401566579632</v>
      </c>
      <c r="I15" s="102"/>
      <c r="J15" s="102">
        <f>'Athens Daily - Water'!R20</f>
        <v>402.90200000000004</v>
      </c>
      <c r="K15" s="102"/>
      <c r="L15" s="103">
        <v>55</v>
      </c>
      <c r="M15" s="102">
        <f t="shared" si="1"/>
        <v>110</v>
      </c>
      <c r="N15" s="99">
        <v>13</v>
      </c>
    </row>
    <row r="16" spans="1:14">
      <c r="A16" s="7" t="s">
        <v>14</v>
      </c>
      <c r="B16" s="7">
        <v>15</v>
      </c>
      <c r="C16" s="7">
        <v>1</v>
      </c>
      <c r="D16" s="7">
        <v>2021</v>
      </c>
      <c r="E16" s="102">
        <f>'Athens Daily - EL'!AK22</f>
        <v>46938.5</v>
      </c>
      <c r="F16" s="102"/>
      <c r="G16" s="102">
        <f>'Athens Daily - Gas'!BH23</f>
        <v>106789.53599999999</v>
      </c>
      <c r="H16" s="102">
        <f t="shared" si="0"/>
        <v>2788.2385378590079</v>
      </c>
      <c r="I16" s="102"/>
      <c r="J16" s="102">
        <f>'Athens Daily - Water'!R21</f>
        <v>409.89899999999943</v>
      </c>
      <c r="K16" s="102"/>
      <c r="L16" s="103">
        <v>74</v>
      </c>
      <c r="M16" s="102">
        <f t="shared" si="1"/>
        <v>148</v>
      </c>
      <c r="N16" s="99">
        <v>13</v>
      </c>
    </row>
    <row r="17" spans="1:14">
      <c r="A17" s="7" t="s">
        <v>14</v>
      </c>
      <c r="B17" s="7">
        <v>16</v>
      </c>
      <c r="C17" s="7">
        <v>1</v>
      </c>
      <c r="D17" s="7">
        <v>2021</v>
      </c>
      <c r="E17" s="102">
        <f>'Athens Daily - EL'!AK23</f>
        <v>45246.5</v>
      </c>
      <c r="F17" s="102"/>
      <c r="G17" s="102">
        <f>'Athens Daily - Gas'!BH24</f>
        <v>113397.504</v>
      </c>
      <c r="H17" s="102">
        <f t="shared" si="0"/>
        <v>2960.7703394255877</v>
      </c>
      <c r="I17" s="102"/>
      <c r="J17" s="102">
        <f>'Athens Daily - Water'!R22</f>
        <v>416.33400000000074</v>
      </c>
      <c r="K17" s="102"/>
      <c r="L17" s="103">
        <v>149</v>
      </c>
      <c r="M17" s="102">
        <f t="shared" si="1"/>
        <v>298</v>
      </c>
      <c r="N17" s="104"/>
    </row>
    <row r="18" spans="1:14">
      <c r="A18" s="7" t="s">
        <v>14</v>
      </c>
      <c r="B18" s="7">
        <v>17</v>
      </c>
      <c r="C18" s="7">
        <v>1</v>
      </c>
      <c r="D18" s="7">
        <v>2021</v>
      </c>
      <c r="E18" s="102">
        <f>'Athens Daily - EL'!AK24</f>
        <v>44583.5</v>
      </c>
      <c r="F18" s="102"/>
      <c r="G18" s="102">
        <f>'Athens Daily - Gas'!BH25</f>
        <v>117296.83200000001</v>
      </c>
      <c r="H18" s="102">
        <f t="shared" si="0"/>
        <v>3062.580469973891</v>
      </c>
      <c r="I18" s="102"/>
      <c r="J18" s="102">
        <f>'Athens Daily - Water'!R23</f>
        <v>427.90699999999924</v>
      </c>
      <c r="K18" s="102"/>
      <c r="L18" s="103">
        <v>64</v>
      </c>
      <c r="M18" s="102">
        <f t="shared" si="1"/>
        <v>128</v>
      </c>
      <c r="N18" s="104"/>
    </row>
    <row r="19" spans="1:14">
      <c r="A19" s="7" t="s">
        <v>14</v>
      </c>
      <c r="B19" s="7">
        <v>18</v>
      </c>
      <c r="C19" s="7">
        <v>1</v>
      </c>
      <c r="D19" s="7">
        <v>2021</v>
      </c>
      <c r="E19" s="102">
        <f>'Athens Daily - EL'!AK25</f>
        <v>46438</v>
      </c>
      <c r="F19" s="102"/>
      <c r="G19" s="102">
        <f>'Athens Daily - Gas'!BH26</f>
        <v>117990.38399999999</v>
      </c>
      <c r="H19" s="102">
        <f t="shared" si="0"/>
        <v>3080.6888772845955</v>
      </c>
      <c r="I19" s="102"/>
      <c r="J19" s="102">
        <f>'Athens Daily - Water'!R24</f>
        <v>472.16000000000076</v>
      </c>
      <c r="K19" s="102"/>
      <c r="L19" s="103">
        <v>58</v>
      </c>
      <c r="M19" s="102">
        <f t="shared" si="1"/>
        <v>116</v>
      </c>
      <c r="N19" s="104"/>
    </row>
    <row r="20" spans="1:14">
      <c r="A20" s="7" t="s">
        <v>14</v>
      </c>
      <c r="B20" s="7">
        <v>19</v>
      </c>
      <c r="C20" s="7">
        <v>1</v>
      </c>
      <c r="D20" s="7">
        <v>2021</v>
      </c>
      <c r="E20" s="102">
        <f>'Athens Daily - EL'!AK26</f>
        <v>46845</v>
      </c>
      <c r="F20" s="102"/>
      <c r="G20" s="102">
        <f>'Athens Daily - Gas'!BH27</f>
        <v>113322</v>
      </c>
      <c r="H20" s="102">
        <f t="shared" si="0"/>
        <v>2958.7989556135772</v>
      </c>
      <c r="I20" s="102"/>
      <c r="J20" s="102">
        <f>'Athens Daily - Water'!R25</f>
        <v>621.09599999999955</v>
      </c>
      <c r="K20" s="102"/>
      <c r="L20" s="103">
        <v>69</v>
      </c>
      <c r="M20" s="102">
        <f t="shared" si="1"/>
        <v>138</v>
      </c>
      <c r="N20" s="104"/>
    </row>
    <row r="21" spans="1:14">
      <c r="A21" s="7" t="s">
        <v>14</v>
      </c>
      <c r="B21" s="7">
        <v>20</v>
      </c>
      <c r="C21" s="7">
        <v>1</v>
      </c>
      <c r="D21" s="7">
        <v>2021</v>
      </c>
      <c r="E21" s="102">
        <f>'Athens Daily - EL'!AK27</f>
        <v>45104</v>
      </c>
      <c r="F21" s="102"/>
      <c r="G21" s="102">
        <f>'Athens Daily - Gas'!BH28</f>
        <v>115296</v>
      </c>
      <c r="H21" s="102">
        <f t="shared" si="0"/>
        <v>3010.3394255874678</v>
      </c>
      <c r="I21" s="102"/>
      <c r="J21" s="102">
        <f>'Athens Daily - Water'!R26</f>
        <v>479</v>
      </c>
      <c r="K21" s="102"/>
      <c r="L21" s="103">
        <v>42</v>
      </c>
      <c r="M21" s="102">
        <f t="shared" si="1"/>
        <v>84</v>
      </c>
      <c r="N21" s="99"/>
    </row>
    <row r="22" spans="1:14">
      <c r="A22" s="7" t="s">
        <v>14</v>
      </c>
      <c r="B22" s="7">
        <v>21</v>
      </c>
      <c r="C22" s="7">
        <v>1</v>
      </c>
      <c r="D22" s="7">
        <v>2021</v>
      </c>
      <c r="E22" s="102">
        <f>'Athens Daily - EL'!AK28</f>
        <v>43213.5</v>
      </c>
      <c r="F22" s="102"/>
      <c r="G22" s="102">
        <f>'Athens Daily - Gas'!BH29</f>
        <v>112032</v>
      </c>
      <c r="H22" s="102">
        <f t="shared" si="0"/>
        <v>2925.117493472585</v>
      </c>
      <c r="I22" s="102"/>
      <c r="J22" s="102">
        <f>'Athens Daily - Water'!R27</f>
        <v>476</v>
      </c>
      <c r="K22" s="102"/>
      <c r="L22" s="103">
        <v>45</v>
      </c>
      <c r="M22" s="102">
        <f t="shared" si="1"/>
        <v>90</v>
      </c>
      <c r="N22" s="99"/>
    </row>
    <row r="23" spans="1:14">
      <c r="A23" s="7" t="s">
        <v>14</v>
      </c>
      <c r="B23" s="7">
        <v>22</v>
      </c>
      <c r="C23" s="7">
        <v>1</v>
      </c>
      <c r="D23" s="7">
        <v>2021</v>
      </c>
      <c r="E23" s="102">
        <f>'Athens Daily - EL'!AK29</f>
        <v>44146.5</v>
      </c>
      <c r="F23" s="102"/>
      <c r="G23" s="102">
        <f>'Athens Daily - Gas'!BH30</f>
        <v>106848</v>
      </c>
      <c r="H23" s="102">
        <f t="shared" si="0"/>
        <v>2789.7650130548304</v>
      </c>
      <c r="I23" s="102"/>
      <c r="J23" s="102">
        <f>'Athens Daily - Water'!R28</f>
        <v>494</v>
      </c>
      <c r="K23" s="102"/>
      <c r="L23" s="103">
        <v>82</v>
      </c>
      <c r="M23" s="102">
        <f t="shared" si="1"/>
        <v>164</v>
      </c>
      <c r="N23" s="99">
        <v>19</v>
      </c>
    </row>
    <row r="24" spans="1:14">
      <c r="A24" s="7" t="s">
        <v>14</v>
      </c>
      <c r="B24" s="7">
        <v>23</v>
      </c>
      <c r="C24" s="7">
        <v>1</v>
      </c>
      <c r="D24" s="7">
        <v>2021</v>
      </c>
      <c r="E24" s="102">
        <f>'Athens Daily - EL'!AK30</f>
        <v>46885</v>
      </c>
      <c r="F24" s="102"/>
      <c r="G24" s="102">
        <f>'Athens Daily - Gas'!BH31</f>
        <v>108960</v>
      </c>
      <c r="H24" s="102">
        <f t="shared" si="0"/>
        <v>2844.90861618799</v>
      </c>
      <c r="I24" s="102"/>
      <c r="J24" s="102">
        <f>'Athens Daily - Water'!R29</f>
        <v>667</v>
      </c>
      <c r="K24" s="102"/>
      <c r="L24" s="103">
        <v>170</v>
      </c>
      <c r="M24" s="102">
        <f t="shared" si="1"/>
        <v>340</v>
      </c>
      <c r="N24" s="99">
        <v>20</v>
      </c>
    </row>
    <row r="25" spans="1:14">
      <c r="A25" s="7" t="s">
        <v>14</v>
      </c>
      <c r="B25" s="7">
        <v>24</v>
      </c>
      <c r="C25" s="7">
        <v>1</v>
      </c>
      <c r="D25" s="7">
        <v>2021</v>
      </c>
      <c r="E25" s="102">
        <f>'Athens Daily - EL'!AK31</f>
        <v>47441.5</v>
      </c>
      <c r="F25" s="102"/>
      <c r="G25" s="102">
        <f>'Athens Daily - Gas'!BH32</f>
        <v>115152</v>
      </c>
      <c r="H25" s="102">
        <f t="shared" si="0"/>
        <v>3006.579634464752</v>
      </c>
      <c r="I25" s="102"/>
      <c r="J25" s="102">
        <f>'Athens Daily - Water'!R30</f>
        <v>472</v>
      </c>
      <c r="K25" s="102"/>
      <c r="L25" s="103">
        <v>91</v>
      </c>
      <c r="M25" s="102">
        <f t="shared" si="1"/>
        <v>182</v>
      </c>
      <c r="N25" s="99">
        <v>19</v>
      </c>
    </row>
    <row r="26" spans="1:14">
      <c r="A26" s="7" t="s">
        <v>14</v>
      </c>
      <c r="B26" s="7">
        <v>25</v>
      </c>
      <c r="C26" s="7">
        <v>1</v>
      </c>
      <c r="D26" s="7">
        <v>2021</v>
      </c>
      <c r="E26" s="102">
        <f>'Athens Daily - EL'!AK32</f>
        <v>46796</v>
      </c>
      <c r="F26" s="102"/>
      <c r="G26" s="102">
        <f>'Athens Daily - Gas'!BH33</f>
        <v>81964.799999999988</v>
      </c>
      <c r="H26" s="102">
        <f t="shared" si="0"/>
        <v>2140.0731070496081</v>
      </c>
      <c r="I26" s="102"/>
      <c r="J26" s="102">
        <f>'Athens Daily - Water'!R31</f>
        <v>503</v>
      </c>
      <c r="K26" s="102"/>
      <c r="L26" s="103">
        <v>56</v>
      </c>
      <c r="M26" s="102">
        <f t="shared" si="1"/>
        <v>112</v>
      </c>
      <c r="N26" s="100"/>
    </row>
    <row r="27" spans="1:14">
      <c r="A27" s="7" t="s">
        <v>14</v>
      </c>
      <c r="B27" s="7">
        <v>26</v>
      </c>
      <c r="C27" s="7">
        <v>1</v>
      </c>
      <c r="D27" s="7">
        <v>2021</v>
      </c>
      <c r="E27" s="102">
        <f>'Athens Daily - EL'!AK33</f>
        <v>45931</v>
      </c>
      <c r="F27" s="102"/>
      <c r="G27" s="102">
        <f>'Athens Daily - Gas'!BH34</f>
        <v>120432</v>
      </c>
      <c r="H27" s="102">
        <f t="shared" si="0"/>
        <v>3144.4386422976504</v>
      </c>
      <c r="I27" s="102"/>
      <c r="J27" s="102">
        <f>'Athens Daily - Water'!R32</f>
        <v>525</v>
      </c>
      <c r="K27" s="102"/>
      <c r="L27" s="102"/>
      <c r="M27" s="102">
        <f t="shared" si="1"/>
        <v>0</v>
      </c>
      <c r="N27" s="100"/>
    </row>
    <row r="28" spans="1:14">
      <c r="A28" s="7" t="s">
        <v>14</v>
      </c>
      <c r="B28" s="7">
        <v>27</v>
      </c>
      <c r="C28" s="7">
        <v>1</v>
      </c>
      <c r="D28" s="7">
        <v>2021</v>
      </c>
      <c r="E28" s="102">
        <f>'Athens Daily - EL'!AK34</f>
        <v>44976</v>
      </c>
      <c r="F28" s="102"/>
      <c r="G28" s="102">
        <f>'Athens Daily - Gas'!BH35</f>
        <v>114192</v>
      </c>
      <c r="H28" s="102">
        <f t="shared" si="0"/>
        <v>2981.514360313316</v>
      </c>
      <c r="I28" s="102"/>
      <c r="J28" s="102">
        <f>'Athens Daily - Water'!R33</f>
        <v>381</v>
      </c>
      <c r="K28" s="102"/>
      <c r="L28" s="102"/>
      <c r="M28" s="102">
        <f t="shared" si="1"/>
        <v>0</v>
      </c>
      <c r="N28" s="100"/>
    </row>
    <row r="29" spans="1:14">
      <c r="A29" s="7" t="s">
        <v>14</v>
      </c>
      <c r="B29" s="7">
        <v>28</v>
      </c>
      <c r="C29" s="7">
        <v>1</v>
      </c>
      <c r="D29" s="7">
        <v>2021</v>
      </c>
      <c r="E29" s="102">
        <f>'Athens Daily - EL'!AK35</f>
        <v>45673</v>
      </c>
      <c r="F29" s="102"/>
      <c r="G29" s="102">
        <f>'Athens Daily - Gas'!BH36</f>
        <v>112099.2</v>
      </c>
      <c r="H29" s="102">
        <f t="shared" si="0"/>
        <v>2926.8720626631857</v>
      </c>
      <c r="I29" s="102"/>
      <c r="J29" s="102">
        <f>'Athens Daily - Water'!R34</f>
        <v>442</v>
      </c>
      <c r="K29" s="102"/>
      <c r="L29" s="102"/>
      <c r="M29" s="102">
        <f t="shared" si="1"/>
        <v>0</v>
      </c>
      <c r="N29" s="100"/>
    </row>
    <row r="30" spans="1:14">
      <c r="A30" s="7" t="s">
        <v>14</v>
      </c>
      <c r="B30" s="7">
        <v>29</v>
      </c>
      <c r="C30" s="7">
        <v>1</v>
      </c>
      <c r="D30" s="7">
        <v>2021</v>
      </c>
      <c r="E30" s="102">
        <f>'Athens Daily - EL'!AK36</f>
        <v>45945</v>
      </c>
      <c r="F30" s="102"/>
      <c r="G30" s="102">
        <f>'Athens Daily - Gas'!BH37</f>
        <v>108739.2</v>
      </c>
      <c r="H30" s="102">
        <f t="shared" si="0"/>
        <v>2839.1436031331596</v>
      </c>
      <c r="I30" s="102"/>
      <c r="J30" s="102">
        <f>'Athens Daily - Water'!R35</f>
        <v>467</v>
      </c>
      <c r="K30" s="102"/>
      <c r="L30" s="102"/>
      <c r="M30" s="102">
        <f t="shared" si="1"/>
        <v>0</v>
      </c>
      <c r="N30" s="100"/>
    </row>
    <row r="31" spans="1:14">
      <c r="A31" s="7" t="s">
        <v>14</v>
      </c>
      <c r="B31" s="7">
        <v>30</v>
      </c>
      <c r="C31" s="7">
        <v>1</v>
      </c>
      <c r="D31" s="7">
        <v>2021</v>
      </c>
      <c r="E31" s="102">
        <f>'Athens Daily - EL'!AK37</f>
        <v>50609.5</v>
      </c>
      <c r="F31" s="102"/>
      <c r="G31" s="102">
        <f>'Athens Daily - Gas'!BH38</f>
        <v>105331.2</v>
      </c>
      <c r="H31" s="102">
        <f t="shared" si="0"/>
        <v>2750.1618798955615</v>
      </c>
      <c r="I31" s="102"/>
      <c r="J31" s="102">
        <f>'Athens Daily - Water'!R37</f>
        <v>0</v>
      </c>
      <c r="K31" s="102"/>
      <c r="L31" s="102"/>
      <c r="M31" s="102">
        <f t="shared" si="1"/>
        <v>0</v>
      </c>
      <c r="N31" s="100"/>
    </row>
    <row r="32" spans="1:14">
      <c r="A32" s="7" t="s">
        <v>14</v>
      </c>
      <c r="B32" s="7">
        <v>31</v>
      </c>
      <c r="C32" s="7">
        <v>1</v>
      </c>
      <c r="D32" s="7">
        <v>2021</v>
      </c>
      <c r="E32" s="102">
        <f>'Athens Daily - EL'!AK7</f>
        <v>0</v>
      </c>
      <c r="F32" s="102"/>
      <c r="G32" s="102">
        <f>'Athens Daily - Gas'!BH39</f>
        <v>0</v>
      </c>
      <c r="H32" s="102">
        <f t="shared" si="0"/>
        <v>0</v>
      </c>
      <c r="I32" s="102"/>
      <c r="J32" s="102">
        <f>'Athens Daily - Water'!R38</f>
        <v>0</v>
      </c>
      <c r="K32" s="102"/>
      <c r="L32" s="102"/>
      <c r="M32" s="102">
        <f t="shared" si="1"/>
        <v>0</v>
      </c>
    </row>
  </sheetData>
  <phoneticPr fontId="30"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2"/>
  <sheetViews>
    <sheetView workbookViewId="0">
      <selection activeCell="I2" sqref="I2"/>
    </sheetView>
  </sheetViews>
  <sheetFormatPr defaultRowHeight="15"/>
  <cols>
    <col min="1" max="1" width="23.140625" customWidth="1"/>
    <col min="2" max="4" width="12.140625" style="1" customWidth="1"/>
    <col min="5" max="12" width="15.7109375" style="1" customWidth="1"/>
  </cols>
  <sheetData>
    <row r="1" spans="1:12" s="2" customFormat="1" ht="60" customHeight="1">
      <c r="A1" s="4" t="s">
        <v>3</v>
      </c>
      <c r="B1" s="5" t="s">
        <v>4</v>
      </c>
      <c r="C1" s="5" t="s">
        <v>5</v>
      </c>
      <c r="D1" s="5" t="s">
        <v>64</v>
      </c>
      <c r="E1" s="6" t="s">
        <v>6</v>
      </c>
      <c r="F1" s="6" t="s">
        <v>59</v>
      </c>
      <c r="G1" s="6" t="s">
        <v>7</v>
      </c>
      <c r="H1" s="6" t="s">
        <v>60</v>
      </c>
      <c r="I1" s="6" t="s">
        <v>9</v>
      </c>
      <c r="J1" s="6" t="s">
        <v>61</v>
      </c>
      <c r="K1" s="5" t="s">
        <v>62</v>
      </c>
      <c r="L1" s="5" t="s">
        <v>63</v>
      </c>
    </row>
    <row r="2" spans="1:12">
      <c r="A2" s="7" t="s">
        <v>14</v>
      </c>
      <c r="B2" s="7">
        <v>1</v>
      </c>
      <c r="C2" s="7">
        <v>1</v>
      </c>
      <c r="D2" s="7">
        <v>2021</v>
      </c>
      <c r="E2" s="7">
        <f>'Athens Daily - EL'!AL8</f>
        <v>17986.5</v>
      </c>
      <c r="F2" s="7"/>
      <c r="G2" s="39">
        <f>'Athens Daily - Gas'!BI9</f>
        <v>59433.600000000006</v>
      </c>
      <c r="H2" s="7"/>
      <c r="I2" s="40">
        <f>'Athens Daily - Water'!S7</f>
        <v>148</v>
      </c>
      <c r="J2" s="7"/>
      <c r="K2" s="7">
        <v>286</v>
      </c>
      <c r="L2" s="7">
        <v>2</v>
      </c>
    </row>
    <row r="3" spans="1:12">
      <c r="A3" s="7" t="s">
        <v>14</v>
      </c>
      <c r="B3" s="7">
        <v>2</v>
      </c>
      <c r="C3" s="7">
        <v>1</v>
      </c>
      <c r="D3" s="7">
        <v>2021</v>
      </c>
      <c r="E3" s="7">
        <f>'Athens Daily - EL'!AL9</f>
        <v>18220.5</v>
      </c>
      <c r="F3" s="7"/>
      <c r="G3" s="39">
        <f>'Athens Daily - Gas'!BI10</f>
        <v>62188.800000000003</v>
      </c>
      <c r="H3" s="7"/>
      <c r="I3" s="40">
        <f>'Athens Daily - Water'!S8</f>
        <v>150.44999999999999</v>
      </c>
      <c r="J3" s="7"/>
      <c r="K3" s="7">
        <v>285</v>
      </c>
      <c r="L3" s="7">
        <v>2</v>
      </c>
    </row>
    <row r="4" spans="1:12">
      <c r="A4" s="7" t="s">
        <v>14</v>
      </c>
      <c r="B4" s="7">
        <v>3</v>
      </c>
      <c r="C4" s="7">
        <v>1</v>
      </c>
      <c r="D4" s="7">
        <v>2021</v>
      </c>
      <c r="E4" s="7">
        <f>'Athens Daily - EL'!AL10</f>
        <v>17399</v>
      </c>
      <c r="F4" s="7"/>
      <c r="G4" s="39">
        <f>'Athens Daily - Gas'!BI11</f>
        <v>61920</v>
      </c>
      <c r="H4" s="7"/>
      <c r="I4" s="40">
        <f>'Athens Daily - Water'!S9</f>
        <v>148.55000000000001</v>
      </c>
      <c r="J4" s="7"/>
      <c r="K4" s="7">
        <v>282</v>
      </c>
      <c r="L4" s="7">
        <v>2</v>
      </c>
    </row>
    <row r="5" spans="1:12">
      <c r="A5" s="7" t="s">
        <v>14</v>
      </c>
      <c r="B5" s="7">
        <v>4</v>
      </c>
      <c r="C5" s="7">
        <v>1</v>
      </c>
      <c r="D5" s="7">
        <v>2021</v>
      </c>
      <c r="E5" s="7">
        <f>'Athens Daily - EL'!AL11</f>
        <v>16510</v>
      </c>
      <c r="F5" s="7"/>
      <c r="G5" s="39">
        <f>'Athens Daily - Gas'!BI12</f>
        <v>57302.400000000001</v>
      </c>
      <c r="H5" s="7"/>
      <c r="I5" s="40">
        <f>'Athens Daily - Water'!S10</f>
        <v>150</v>
      </c>
      <c r="J5" s="7"/>
      <c r="K5" s="7">
        <v>284</v>
      </c>
      <c r="L5" s="7">
        <v>2</v>
      </c>
    </row>
    <row r="6" spans="1:12">
      <c r="A6" s="7" t="s">
        <v>14</v>
      </c>
      <c r="B6" s="7">
        <v>5</v>
      </c>
      <c r="C6" s="7">
        <v>1</v>
      </c>
      <c r="D6" s="7">
        <v>2021</v>
      </c>
      <c r="E6" s="7">
        <f>'Athens Daily - EL'!AL12</f>
        <v>16048.5</v>
      </c>
      <c r="F6" s="7"/>
      <c r="G6" s="39">
        <f>'Athens Daily - Gas'!BI13</f>
        <v>58636.800000000003</v>
      </c>
      <c r="H6" s="7"/>
      <c r="I6" s="40">
        <f>'Athens Daily - Water'!S11</f>
        <v>149.35000000000002</v>
      </c>
      <c r="J6" s="7"/>
      <c r="K6" s="7">
        <v>286</v>
      </c>
      <c r="L6" s="7">
        <v>2</v>
      </c>
    </row>
    <row r="7" spans="1:12">
      <c r="A7" s="7" t="s">
        <v>14</v>
      </c>
      <c r="B7" s="7">
        <v>6</v>
      </c>
      <c r="C7" s="7">
        <v>1</v>
      </c>
      <c r="D7" s="7">
        <v>2021</v>
      </c>
      <c r="E7" s="7">
        <f>'Athens Daily - EL'!AL13</f>
        <v>18954</v>
      </c>
      <c r="F7" s="7"/>
      <c r="G7" s="39">
        <f>'Athens Daily - Gas'!BI14</f>
        <v>59683.200000000004</v>
      </c>
      <c r="H7" s="7"/>
      <c r="I7" s="40">
        <f>'Athens Daily - Water'!S12</f>
        <v>170.3</v>
      </c>
      <c r="J7" s="7"/>
      <c r="K7" s="7">
        <v>288</v>
      </c>
      <c r="L7" s="7">
        <v>2</v>
      </c>
    </row>
    <row r="8" spans="1:12">
      <c r="A8" s="7" t="s">
        <v>14</v>
      </c>
      <c r="B8" s="7">
        <v>7</v>
      </c>
      <c r="C8" s="7">
        <v>1</v>
      </c>
      <c r="D8" s="7">
        <v>2021</v>
      </c>
      <c r="E8" s="7">
        <f>'Athens Daily - EL'!AL14</f>
        <v>19526</v>
      </c>
      <c r="F8" s="7"/>
      <c r="G8" s="39">
        <f>'Athens Daily - Gas'!BI15</f>
        <v>53750.400000000001</v>
      </c>
      <c r="H8" s="7"/>
      <c r="I8" s="40">
        <f>'Athens Daily - Water'!S13</f>
        <v>177.7</v>
      </c>
      <c r="J8" s="7"/>
      <c r="K8" s="7">
        <v>286</v>
      </c>
      <c r="L8" s="7">
        <v>2</v>
      </c>
    </row>
    <row r="9" spans="1:12">
      <c r="A9" s="7" t="s">
        <v>14</v>
      </c>
      <c r="B9" s="7">
        <v>8</v>
      </c>
      <c r="C9" s="7">
        <v>1</v>
      </c>
      <c r="D9" s="7">
        <v>2021</v>
      </c>
      <c r="E9" s="7">
        <f>'Athens Daily - EL'!AL15</f>
        <v>19436.5</v>
      </c>
      <c r="F9" s="7"/>
      <c r="G9" s="39">
        <f>'Athens Daily - Gas'!BI16</f>
        <v>56438.400000000001</v>
      </c>
      <c r="H9" s="7"/>
      <c r="I9" s="40">
        <f>'Athens Daily - Water'!S14</f>
        <v>150.30000000000001</v>
      </c>
      <c r="J9" s="7"/>
      <c r="K9" s="7">
        <v>287</v>
      </c>
      <c r="L9" s="7">
        <v>2</v>
      </c>
    </row>
    <row r="10" spans="1:12">
      <c r="A10" s="7" t="s">
        <v>14</v>
      </c>
      <c r="B10" s="7">
        <v>9</v>
      </c>
      <c r="C10" s="7">
        <v>1</v>
      </c>
      <c r="D10" s="7">
        <v>2021</v>
      </c>
      <c r="E10" s="7">
        <f>'Athens Daily - EL'!AL16</f>
        <v>16986.5</v>
      </c>
      <c r="F10" s="7"/>
      <c r="G10" s="39">
        <f>'Athens Daily - Gas'!BI17</f>
        <v>55046.400000000001</v>
      </c>
      <c r="H10" s="7"/>
      <c r="I10" s="40">
        <f>'Athens Daily - Water'!S15</f>
        <v>190</v>
      </c>
      <c r="J10" s="7"/>
      <c r="K10" s="7">
        <v>284</v>
      </c>
      <c r="L10" s="7">
        <v>2</v>
      </c>
    </row>
    <row r="11" spans="1:12">
      <c r="A11" s="7" t="s">
        <v>14</v>
      </c>
      <c r="B11" s="7">
        <v>10</v>
      </c>
      <c r="C11" s="7">
        <v>1</v>
      </c>
      <c r="D11" s="7">
        <v>2021</v>
      </c>
      <c r="E11" s="7">
        <f>'Athens Daily - EL'!AL17</f>
        <v>21513.5</v>
      </c>
      <c r="F11" s="7"/>
      <c r="G11" s="39">
        <f>'Athens Daily - Gas'!BI18</f>
        <v>54691.200000000004</v>
      </c>
      <c r="H11" s="7"/>
      <c r="I11" s="40">
        <f>'Athens Daily - Water'!S16</f>
        <v>177</v>
      </c>
      <c r="J11" s="7"/>
      <c r="K11" s="7">
        <v>284</v>
      </c>
      <c r="L11" s="7">
        <v>2</v>
      </c>
    </row>
    <row r="12" spans="1:12">
      <c r="A12" s="7" t="s">
        <v>14</v>
      </c>
      <c r="B12" s="7">
        <v>11</v>
      </c>
      <c r="C12" s="7">
        <v>1</v>
      </c>
      <c r="D12" s="7">
        <v>2021</v>
      </c>
      <c r="E12" s="7">
        <f>'Athens Daily - EL'!AL18</f>
        <v>19540</v>
      </c>
      <c r="F12" s="7"/>
      <c r="G12" s="39">
        <f>'Athens Daily - Gas'!BI19</f>
        <v>57436.800000000003</v>
      </c>
      <c r="H12" s="7"/>
      <c r="I12" s="40">
        <f>'Athens Daily - Water'!S17</f>
        <v>180.55</v>
      </c>
      <c r="J12" s="7"/>
      <c r="K12" s="7">
        <v>284</v>
      </c>
      <c r="L12" s="7">
        <v>2</v>
      </c>
    </row>
    <row r="13" spans="1:12">
      <c r="A13" s="7" t="s">
        <v>14</v>
      </c>
      <c r="B13" s="7">
        <v>12</v>
      </c>
      <c r="C13" s="7">
        <v>1</v>
      </c>
      <c r="D13" s="7">
        <v>2021</v>
      </c>
      <c r="E13" s="7">
        <f>'Athens Daily - EL'!AL19</f>
        <v>19907.5</v>
      </c>
      <c r="F13" s="7"/>
      <c r="G13" s="39">
        <f>'Athens Daily - Gas'!BI20</f>
        <v>57331.200000000004</v>
      </c>
      <c r="H13" s="7"/>
      <c r="I13" s="40">
        <f>'Athens Daily - Water'!S18</f>
        <v>152.85000000000002</v>
      </c>
      <c r="J13" s="7"/>
      <c r="K13" s="7">
        <v>286</v>
      </c>
      <c r="L13" s="7">
        <v>2</v>
      </c>
    </row>
    <row r="14" spans="1:12">
      <c r="A14" s="7" t="s">
        <v>14</v>
      </c>
      <c r="B14" s="7">
        <v>13</v>
      </c>
      <c r="C14" s="7">
        <v>1</v>
      </c>
      <c r="D14" s="7">
        <v>2021</v>
      </c>
      <c r="E14" s="7">
        <f>'Athens Daily - EL'!AL20</f>
        <v>20113.5</v>
      </c>
      <c r="F14" s="7"/>
      <c r="G14" s="39">
        <f>'Athens Daily - Gas'!BI21</f>
        <v>54172.800000000003</v>
      </c>
      <c r="H14" s="7"/>
      <c r="I14" s="40">
        <f>'Athens Daily - Water'!S19</f>
        <v>155.44999999999999</v>
      </c>
      <c r="J14" s="7"/>
      <c r="K14" s="7">
        <v>287</v>
      </c>
      <c r="L14" s="7">
        <v>2</v>
      </c>
    </row>
    <row r="15" spans="1:12">
      <c r="A15" s="7" t="s">
        <v>14</v>
      </c>
      <c r="B15" s="7">
        <v>14</v>
      </c>
      <c r="C15" s="7">
        <v>1</v>
      </c>
      <c r="D15" s="7">
        <v>2021</v>
      </c>
      <c r="E15" s="7">
        <f>'Athens Daily - EL'!AL21</f>
        <v>20565.5</v>
      </c>
      <c r="F15" s="7"/>
      <c r="G15" s="39">
        <f>'Athens Daily - Gas'!BI22</f>
        <v>60979.200000000004</v>
      </c>
      <c r="H15" s="7"/>
      <c r="I15" s="40">
        <f>'Athens Daily - Water'!S20</f>
        <v>157.5</v>
      </c>
      <c r="J15" s="7"/>
      <c r="K15" s="7">
        <v>287</v>
      </c>
      <c r="L15" s="7">
        <v>2</v>
      </c>
    </row>
    <row r="16" spans="1:12">
      <c r="A16" s="7" t="s">
        <v>14</v>
      </c>
      <c r="B16" s="7">
        <v>15</v>
      </c>
      <c r="C16" s="7">
        <v>1</v>
      </c>
      <c r="D16" s="7">
        <v>2021</v>
      </c>
      <c r="E16" s="7">
        <f>'Athens Daily - EL'!AL22</f>
        <v>19395.5</v>
      </c>
      <c r="F16" s="7"/>
      <c r="G16" s="39">
        <f>'Athens Daily - Gas'!BI23</f>
        <v>57801.599999999999</v>
      </c>
      <c r="H16" s="7"/>
      <c r="I16" s="40">
        <f>'Athens Daily - Water'!S21</f>
        <v>147.15</v>
      </c>
      <c r="J16" s="7"/>
      <c r="K16" s="7">
        <v>288</v>
      </c>
      <c r="L16" s="7">
        <v>2</v>
      </c>
    </row>
    <row r="17" spans="1:12">
      <c r="A17" s="7" t="s">
        <v>14</v>
      </c>
      <c r="B17" s="7">
        <v>16</v>
      </c>
      <c r="C17" s="7">
        <v>1</v>
      </c>
      <c r="D17" s="7">
        <v>2021</v>
      </c>
      <c r="E17" s="7">
        <f>'Athens Daily - EL'!AL23</f>
        <v>18049.5</v>
      </c>
      <c r="F17" s="7"/>
      <c r="G17" s="39">
        <f>'Athens Daily - Gas'!BI24</f>
        <v>58992</v>
      </c>
      <c r="H17" s="7"/>
      <c r="I17" s="40">
        <f>'Athens Daily - Water'!S22</f>
        <v>148.05000000000001</v>
      </c>
      <c r="J17" s="7"/>
      <c r="K17" s="7">
        <v>288</v>
      </c>
      <c r="L17" s="7">
        <v>2</v>
      </c>
    </row>
    <row r="18" spans="1:12">
      <c r="A18" s="7" t="s">
        <v>14</v>
      </c>
      <c r="B18" s="7">
        <v>17</v>
      </c>
      <c r="C18" s="7">
        <v>1</v>
      </c>
      <c r="D18" s="7">
        <v>2021</v>
      </c>
      <c r="E18" s="7">
        <f>'Athens Daily - EL'!AL24</f>
        <v>16803.5</v>
      </c>
      <c r="F18" s="7"/>
      <c r="G18" s="39">
        <f>'Athens Daily - Gas'!BI25</f>
        <v>65011.200000000004</v>
      </c>
      <c r="H18" s="7"/>
      <c r="I18" s="40">
        <f>'Athens Daily - Water'!S23</f>
        <v>152.4</v>
      </c>
      <c r="J18" s="7"/>
      <c r="K18" s="7">
        <v>288</v>
      </c>
      <c r="L18" s="7">
        <v>2</v>
      </c>
    </row>
    <row r="19" spans="1:12">
      <c r="A19" s="7" t="s">
        <v>14</v>
      </c>
      <c r="B19" s="7">
        <v>18</v>
      </c>
      <c r="C19" s="7">
        <v>1</v>
      </c>
      <c r="D19" s="7">
        <v>2021</v>
      </c>
      <c r="E19" s="7">
        <f>'Athens Daily - EL'!AL25</f>
        <v>18517</v>
      </c>
      <c r="F19" s="7"/>
      <c r="G19" s="39">
        <f>'Athens Daily - Gas'!BI26</f>
        <v>65884.800000000003</v>
      </c>
      <c r="H19" s="7"/>
      <c r="I19" s="40">
        <f>'Athens Daily - Water'!S24</f>
        <v>163.15</v>
      </c>
      <c r="J19" s="7"/>
      <c r="K19" s="7">
        <v>291</v>
      </c>
      <c r="L19" s="7">
        <v>2</v>
      </c>
    </row>
    <row r="20" spans="1:12">
      <c r="A20" s="7" t="s">
        <v>14</v>
      </c>
      <c r="B20" s="7">
        <v>19</v>
      </c>
      <c r="C20" s="7">
        <v>1</v>
      </c>
      <c r="D20" s="7">
        <v>2021</v>
      </c>
      <c r="E20" s="7">
        <f>'Athens Daily - EL'!AL26</f>
        <v>18887</v>
      </c>
      <c r="F20" s="7"/>
      <c r="G20" s="39">
        <f>'Athens Daily - Gas'!BI27</f>
        <v>64320</v>
      </c>
      <c r="H20" s="7"/>
      <c r="I20" s="40">
        <f>'Athens Daily - Water'!S25</f>
        <v>238.2</v>
      </c>
      <c r="J20" s="7"/>
      <c r="K20" s="7">
        <v>290</v>
      </c>
      <c r="L20" s="7">
        <v>2</v>
      </c>
    </row>
    <row r="21" spans="1:12">
      <c r="A21" s="7" t="s">
        <v>14</v>
      </c>
      <c r="B21" s="7">
        <v>20</v>
      </c>
      <c r="C21" s="7">
        <v>1</v>
      </c>
      <c r="D21" s="7">
        <v>2021</v>
      </c>
      <c r="E21" s="7">
        <f>'Athens Daily - EL'!AL27</f>
        <v>18048</v>
      </c>
      <c r="F21" s="7"/>
      <c r="G21" s="39">
        <f>'Athens Daily - Gas'!BI28</f>
        <v>64896</v>
      </c>
      <c r="H21" s="7"/>
      <c r="I21" s="40">
        <f>'Athens Daily - Water'!S26</f>
        <v>213.75</v>
      </c>
      <c r="J21" s="7"/>
      <c r="K21" s="7">
        <v>292</v>
      </c>
      <c r="L21" s="7">
        <v>2</v>
      </c>
    </row>
    <row r="22" spans="1:12">
      <c r="A22" s="7" t="s">
        <v>14</v>
      </c>
      <c r="B22" s="7">
        <v>21</v>
      </c>
      <c r="C22" s="7">
        <v>1</v>
      </c>
      <c r="D22" s="7">
        <v>2021</v>
      </c>
      <c r="E22" s="7">
        <f>'Athens Daily - EL'!AL28</f>
        <v>16647.5</v>
      </c>
      <c r="F22" s="7"/>
      <c r="G22" s="39">
        <f>'Athens Daily - Gas'!BI29</f>
        <v>63504</v>
      </c>
      <c r="H22" s="7"/>
      <c r="I22" s="40">
        <f>'Athens Daily - Water'!S27</f>
        <v>230.85</v>
      </c>
      <c r="J22" s="7"/>
      <c r="K22" s="7">
        <v>293</v>
      </c>
      <c r="L22" s="7">
        <v>2</v>
      </c>
    </row>
    <row r="23" spans="1:12">
      <c r="A23" s="7" t="s">
        <v>14</v>
      </c>
      <c r="B23" s="7">
        <v>22</v>
      </c>
      <c r="C23" s="7">
        <v>1</v>
      </c>
      <c r="D23" s="7">
        <v>2021</v>
      </c>
      <c r="E23" s="7">
        <f>'Athens Daily - EL'!AL29</f>
        <v>17884.5</v>
      </c>
      <c r="F23" s="7"/>
      <c r="G23" s="39">
        <f>'Athens Daily - Gas'!BI30</f>
        <v>58800</v>
      </c>
      <c r="H23" s="7"/>
      <c r="I23" s="40">
        <f>'Athens Daily - Water'!S28</f>
        <v>138.30000000000001</v>
      </c>
      <c r="J23" s="7"/>
      <c r="K23" s="7">
        <v>293</v>
      </c>
      <c r="L23" s="7">
        <v>2</v>
      </c>
    </row>
    <row r="24" spans="1:12">
      <c r="A24" s="7" t="s">
        <v>14</v>
      </c>
      <c r="B24" s="7">
        <v>23</v>
      </c>
      <c r="C24" s="7">
        <v>1</v>
      </c>
      <c r="D24" s="7">
        <v>2021</v>
      </c>
      <c r="E24" s="7">
        <f>'Athens Daily - EL'!AL30</f>
        <v>20193</v>
      </c>
      <c r="F24" s="7"/>
      <c r="G24" s="39">
        <f>'Athens Daily - Gas'!BI31</f>
        <v>60912</v>
      </c>
      <c r="H24" s="7"/>
      <c r="I24" s="40">
        <f>'Athens Daily - Water'!S29</f>
        <v>159.80000000000001</v>
      </c>
      <c r="J24" s="7"/>
      <c r="K24" s="7">
        <v>294</v>
      </c>
      <c r="L24" s="7">
        <v>2</v>
      </c>
    </row>
    <row r="25" spans="1:12">
      <c r="A25" s="7" t="s">
        <v>14</v>
      </c>
      <c r="B25" s="7">
        <v>24</v>
      </c>
      <c r="C25" s="7">
        <v>1</v>
      </c>
      <c r="D25" s="7">
        <v>2021</v>
      </c>
      <c r="E25" s="7">
        <f>'Athens Daily - EL'!AL31</f>
        <v>19746.5</v>
      </c>
      <c r="F25" s="7"/>
      <c r="G25" s="39">
        <f>'Athens Daily - Gas'!BI32</f>
        <v>62640</v>
      </c>
      <c r="H25" s="7"/>
      <c r="I25" s="40">
        <f>'Athens Daily - Water'!S30</f>
        <v>145.69999999999999</v>
      </c>
      <c r="J25" s="7"/>
      <c r="K25" s="7">
        <v>294</v>
      </c>
      <c r="L25" s="7">
        <v>2</v>
      </c>
    </row>
    <row r="26" spans="1:12">
      <c r="A26" s="7" t="s">
        <v>14</v>
      </c>
      <c r="B26" s="7">
        <v>25</v>
      </c>
      <c r="C26" s="7">
        <v>1</v>
      </c>
      <c r="D26" s="7">
        <v>2021</v>
      </c>
      <c r="E26" s="7">
        <f>'Athens Daily - EL'!AL32</f>
        <v>19541</v>
      </c>
      <c r="F26" s="7"/>
      <c r="G26" s="39">
        <f>'Athens Daily - Gas'!BI33</f>
        <v>42835.199999999997</v>
      </c>
      <c r="H26" s="7"/>
      <c r="I26" s="40">
        <f>'Athens Daily - Water'!S31</f>
        <v>167.9</v>
      </c>
      <c r="J26" s="7"/>
      <c r="K26" s="7">
        <v>291</v>
      </c>
      <c r="L26" s="7">
        <v>2</v>
      </c>
    </row>
    <row r="27" spans="1:12">
      <c r="A27" s="7" t="s">
        <v>14</v>
      </c>
      <c r="B27" s="7">
        <v>26</v>
      </c>
      <c r="C27" s="7">
        <v>1</v>
      </c>
      <c r="D27" s="7">
        <v>2021</v>
      </c>
      <c r="E27" s="7">
        <f>'Athens Daily - EL'!AL33</f>
        <v>18373</v>
      </c>
      <c r="F27" s="7"/>
      <c r="G27" s="39">
        <f>'Athens Daily - Gas'!BI34</f>
        <v>57696</v>
      </c>
      <c r="H27" s="7"/>
      <c r="I27" s="40">
        <f>'Athens Daily - Water'!S32</f>
        <v>166.35000000000002</v>
      </c>
      <c r="J27" s="7"/>
      <c r="K27" s="7">
        <v>291</v>
      </c>
      <c r="L27" s="7">
        <v>2</v>
      </c>
    </row>
    <row r="28" spans="1:12">
      <c r="A28" s="7" t="s">
        <v>14</v>
      </c>
      <c r="B28" s="7">
        <v>27</v>
      </c>
      <c r="C28" s="7">
        <v>1</v>
      </c>
      <c r="D28" s="7">
        <v>2021</v>
      </c>
      <c r="E28" s="7">
        <f>'Athens Daily - EL'!AL34</f>
        <v>19394</v>
      </c>
      <c r="F28" s="7"/>
      <c r="G28" s="39">
        <f>'Athens Daily - Gas'!BI35</f>
        <v>57840</v>
      </c>
      <c r="H28" s="7"/>
      <c r="I28" s="40">
        <f>'Athens Daily - Water'!S33</f>
        <v>149.10000000000002</v>
      </c>
      <c r="J28" s="7"/>
      <c r="K28" s="7">
        <v>288</v>
      </c>
      <c r="L28" s="7">
        <v>2</v>
      </c>
    </row>
    <row r="29" spans="1:12">
      <c r="A29" s="7" t="s">
        <v>14</v>
      </c>
      <c r="B29" s="7">
        <v>28</v>
      </c>
      <c r="C29" s="7">
        <v>1</v>
      </c>
      <c r="D29" s="7">
        <v>2021</v>
      </c>
      <c r="E29" s="7">
        <f>'Athens Daily - EL'!AL35</f>
        <v>18804</v>
      </c>
      <c r="F29" s="7"/>
      <c r="G29" s="39">
        <f>'Athens Daily - Gas'!BI36</f>
        <v>66460.800000000003</v>
      </c>
      <c r="H29" s="7"/>
      <c r="I29" s="40">
        <f>'Athens Daily - Water'!S34</f>
        <v>199.60000000000002</v>
      </c>
      <c r="J29" s="7"/>
      <c r="K29" s="7">
        <v>290</v>
      </c>
      <c r="L29" s="7">
        <v>2</v>
      </c>
    </row>
    <row r="30" spans="1:12">
      <c r="A30" s="7" t="s">
        <v>14</v>
      </c>
      <c r="B30" s="7">
        <v>29</v>
      </c>
      <c r="C30" s="7">
        <v>1</v>
      </c>
      <c r="D30" s="7">
        <v>2021</v>
      </c>
      <c r="E30" s="7">
        <f>'Athens Daily - EL'!AL36</f>
        <v>19350</v>
      </c>
      <c r="F30" s="7"/>
      <c r="G30" s="39">
        <f>'Athens Daily - Gas'!BI37</f>
        <v>60652.800000000003</v>
      </c>
      <c r="H30" s="7"/>
      <c r="I30" s="40">
        <f>'Athens Daily - Water'!S35</f>
        <v>174.3</v>
      </c>
      <c r="J30" s="7"/>
      <c r="K30" s="7">
        <v>291</v>
      </c>
      <c r="L30" s="7">
        <v>2</v>
      </c>
    </row>
    <row r="31" spans="1:12">
      <c r="A31" s="7" t="s">
        <v>14</v>
      </c>
      <c r="B31" s="7">
        <v>30</v>
      </c>
      <c r="C31" s="7">
        <v>1</v>
      </c>
      <c r="D31" s="7">
        <v>2021</v>
      </c>
      <c r="E31" s="7">
        <f>'Athens Daily - EL'!AL37</f>
        <v>21747.5</v>
      </c>
      <c r="F31" s="7"/>
      <c r="G31" s="39">
        <f>'Athens Daily - Gas'!BI38</f>
        <v>59980.800000000003</v>
      </c>
      <c r="H31" s="7"/>
      <c r="I31" s="40">
        <f>'Athens Daily - Water'!S37</f>
        <v>0</v>
      </c>
      <c r="J31" s="7"/>
      <c r="K31" s="7">
        <v>290</v>
      </c>
      <c r="L31" s="7">
        <v>2</v>
      </c>
    </row>
    <row r="32" spans="1:12">
      <c r="A32" s="7" t="s">
        <v>14</v>
      </c>
      <c r="B32" s="7">
        <v>31</v>
      </c>
      <c r="C32" s="7">
        <v>1</v>
      </c>
      <c r="D32" s="7">
        <v>2021</v>
      </c>
      <c r="E32" s="7">
        <f>'Athens Daily - EL'!AL7</f>
        <v>0</v>
      </c>
      <c r="F32" s="7"/>
      <c r="G32" s="39">
        <f>'Athens Daily - Gas'!BI39</f>
        <v>0</v>
      </c>
      <c r="H32" s="7"/>
      <c r="I32" s="40">
        <f>'Athens Daily - Water'!S38</f>
        <v>0</v>
      </c>
      <c r="J32" s="7"/>
      <c r="K32" s="7"/>
      <c r="L32" s="7"/>
    </row>
  </sheetData>
  <phoneticPr fontId="3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90"/>
  <sheetViews>
    <sheetView topLeftCell="A2" zoomScale="55" zoomScaleNormal="55" zoomScaleSheetLayoutView="20" workbookViewId="0">
      <pane xSplit="2" ySplit="5" topLeftCell="Z19" activePane="bottomRight" state="frozen"/>
      <selection pane="topRight" activeCell="C2" sqref="C2"/>
      <selection pane="bottomLeft" activeCell="A7" sqref="A7"/>
      <selection pane="bottomRight" activeCell="Z42" sqref="Z42"/>
    </sheetView>
  </sheetViews>
  <sheetFormatPr defaultRowHeight="21"/>
  <cols>
    <col min="1" max="1" width="17.28515625" style="9" customWidth="1"/>
    <col min="2" max="2" width="2.42578125" customWidth="1"/>
    <col min="3" max="3" width="30.7109375" customWidth="1"/>
    <col min="4" max="4" width="30.7109375" style="1" customWidth="1"/>
    <col min="5" max="35" width="30.7109375" customWidth="1"/>
    <col min="37" max="38" width="35.7109375" customWidth="1"/>
  </cols>
  <sheetData>
    <row r="1" spans="1:38" s="12" customFormat="1" ht="49.5" customHeight="1">
      <c r="A1" s="110"/>
      <c r="B1" s="110"/>
      <c r="C1" s="203" t="s">
        <v>65</v>
      </c>
      <c r="D1" s="203"/>
      <c r="E1" s="203" t="s">
        <v>65</v>
      </c>
      <c r="F1" s="203"/>
      <c r="G1" s="203" t="s">
        <v>65</v>
      </c>
      <c r="H1" s="203"/>
      <c r="I1" s="110"/>
      <c r="J1" s="203" t="s">
        <v>65</v>
      </c>
      <c r="K1" s="203"/>
      <c r="L1" s="203" t="s">
        <v>65</v>
      </c>
      <c r="M1" s="203"/>
      <c r="N1" s="216" t="s">
        <v>66</v>
      </c>
      <c r="O1" s="217"/>
      <c r="P1" s="218"/>
      <c r="Q1" s="216" t="s">
        <v>66</v>
      </c>
      <c r="R1" s="217"/>
      <c r="S1" s="218"/>
      <c r="T1" s="216" t="s">
        <v>66</v>
      </c>
      <c r="U1" s="217"/>
      <c r="V1" s="218"/>
      <c r="W1" s="216" t="s">
        <v>66</v>
      </c>
      <c r="X1" s="217"/>
      <c r="Y1" s="218"/>
      <c r="Z1" s="203" t="s">
        <v>67</v>
      </c>
      <c r="AA1" s="203"/>
      <c r="AB1" s="203" t="s">
        <v>67</v>
      </c>
      <c r="AC1" s="203"/>
      <c r="AD1" s="203" t="s">
        <v>67</v>
      </c>
      <c r="AE1" s="203"/>
      <c r="AF1" s="203" t="s">
        <v>67</v>
      </c>
      <c r="AG1" s="203"/>
      <c r="AH1" s="203" t="s">
        <v>67</v>
      </c>
      <c r="AI1" s="203"/>
    </row>
    <row r="2" spans="1:38" s="3" customFormat="1" ht="113.25" customHeight="1">
      <c r="A2" s="13"/>
      <c r="B2" s="14"/>
      <c r="C2" s="202" t="s">
        <v>68</v>
      </c>
      <c r="D2" s="202"/>
      <c r="E2" s="202" t="s">
        <v>69</v>
      </c>
      <c r="F2" s="202"/>
      <c r="G2" s="207" t="s">
        <v>70</v>
      </c>
      <c r="H2" s="208"/>
      <c r="I2" s="209"/>
      <c r="J2" s="202" t="s">
        <v>71</v>
      </c>
      <c r="K2" s="202"/>
      <c r="L2" s="202" t="s">
        <v>72</v>
      </c>
      <c r="M2" s="202"/>
      <c r="N2" s="207" t="s">
        <v>73</v>
      </c>
      <c r="O2" s="208"/>
      <c r="P2" s="209"/>
      <c r="Q2" s="207" t="s">
        <v>74</v>
      </c>
      <c r="R2" s="208"/>
      <c r="S2" s="209"/>
      <c r="T2" s="207" t="s">
        <v>75</v>
      </c>
      <c r="U2" s="208"/>
      <c r="V2" s="209"/>
      <c r="W2" s="207" t="s">
        <v>76</v>
      </c>
      <c r="X2" s="208"/>
      <c r="Y2" s="209"/>
      <c r="Z2" s="202" t="s">
        <v>77</v>
      </c>
      <c r="AA2" s="202"/>
      <c r="AB2" s="202" t="s">
        <v>78</v>
      </c>
      <c r="AC2" s="202"/>
      <c r="AD2" s="202" t="s">
        <v>79</v>
      </c>
      <c r="AE2" s="202"/>
      <c r="AF2" s="202" t="s">
        <v>78</v>
      </c>
      <c r="AG2" s="202"/>
      <c r="AH2" s="202" t="s">
        <v>80</v>
      </c>
      <c r="AI2" s="202"/>
      <c r="AJ2" s="117"/>
      <c r="AK2" s="117"/>
      <c r="AL2" s="117"/>
    </row>
    <row r="3" spans="1:38" s="25" customFormat="1" ht="30" customHeight="1">
      <c r="A3" s="108"/>
      <c r="B3" s="50"/>
      <c r="C3" s="204">
        <v>5065546</v>
      </c>
      <c r="D3" s="206"/>
      <c r="E3" s="204">
        <v>5065547</v>
      </c>
      <c r="F3" s="206"/>
      <c r="G3" s="204">
        <v>5008272</v>
      </c>
      <c r="H3" s="205"/>
      <c r="I3" s="206"/>
      <c r="J3" s="204">
        <v>5065548</v>
      </c>
      <c r="K3" s="206"/>
      <c r="L3" s="204">
        <v>5465545</v>
      </c>
      <c r="M3" s="206"/>
      <c r="N3" s="204">
        <v>5008273</v>
      </c>
      <c r="O3" s="205"/>
      <c r="P3" s="206"/>
      <c r="Q3" s="204">
        <v>5018351</v>
      </c>
      <c r="R3" s="205"/>
      <c r="S3" s="206"/>
      <c r="T3" s="204">
        <v>5018354</v>
      </c>
      <c r="U3" s="205"/>
      <c r="V3" s="206"/>
      <c r="W3" s="204">
        <v>5018350</v>
      </c>
      <c r="X3" s="205"/>
      <c r="Y3" s="206"/>
      <c r="Z3" s="204">
        <v>5065543</v>
      </c>
      <c r="AA3" s="206"/>
      <c r="AB3" s="204">
        <v>5065544</v>
      </c>
      <c r="AC3" s="206"/>
      <c r="AD3" s="204">
        <v>5065541</v>
      </c>
      <c r="AE3" s="206"/>
      <c r="AF3" s="204">
        <v>5065542</v>
      </c>
      <c r="AG3" s="206"/>
      <c r="AH3" s="204">
        <v>5065540</v>
      </c>
      <c r="AI3" s="206"/>
      <c r="AK3" s="201" t="s">
        <v>81</v>
      </c>
      <c r="AL3" s="201"/>
    </row>
    <row r="4" spans="1:38" s="24" customFormat="1" ht="30" customHeight="1">
      <c r="A4" s="108"/>
      <c r="B4" s="114"/>
      <c r="C4" s="212" t="s">
        <v>82</v>
      </c>
      <c r="D4" s="213"/>
      <c r="E4" s="212" t="s">
        <v>83</v>
      </c>
      <c r="F4" s="213"/>
      <c r="G4" s="212" t="s">
        <v>84</v>
      </c>
      <c r="H4" s="214"/>
      <c r="I4" s="213"/>
      <c r="J4" s="212" t="s">
        <v>85</v>
      </c>
      <c r="K4" s="213"/>
      <c r="L4" s="212" t="s">
        <v>86</v>
      </c>
      <c r="M4" s="213"/>
      <c r="N4" s="212" t="s">
        <v>87</v>
      </c>
      <c r="O4" s="214"/>
      <c r="P4" s="213"/>
      <c r="Q4" s="212" t="s">
        <v>88</v>
      </c>
      <c r="R4" s="214"/>
      <c r="S4" s="213"/>
      <c r="T4" s="212" t="s">
        <v>89</v>
      </c>
      <c r="U4" s="214"/>
      <c r="V4" s="213"/>
      <c r="W4" s="212" t="s">
        <v>90</v>
      </c>
      <c r="X4" s="214"/>
      <c r="Y4" s="213"/>
      <c r="Z4" s="212" t="s">
        <v>91</v>
      </c>
      <c r="AA4" s="213"/>
      <c r="AB4" s="212" t="s">
        <v>92</v>
      </c>
      <c r="AC4" s="213"/>
      <c r="AD4" s="212" t="s">
        <v>93</v>
      </c>
      <c r="AE4" s="213"/>
      <c r="AF4" s="212" t="s">
        <v>94</v>
      </c>
      <c r="AG4" s="213"/>
      <c r="AH4" s="212" t="s">
        <v>95</v>
      </c>
      <c r="AI4" s="213"/>
      <c r="AK4" s="201"/>
      <c r="AL4" s="201"/>
    </row>
    <row r="5" spans="1:38" s="8" customFormat="1" ht="30" customHeight="1">
      <c r="A5" s="108" t="s">
        <v>96</v>
      </c>
      <c r="B5" s="51"/>
      <c r="C5" s="210" t="s">
        <v>97</v>
      </c>
      <c r="D5" s="211"/>
      <c r="E5" s="210" t="s">
        <v>97</v>
      </c>
      <c r="F5" s="211"/>
      <c r="G5" s="210" t="s">
        <v>97</v>
      </c>
      <c r="H5" s="215"/>
      <c r="I5" s="211"/>
      <c r="J5" s="51" t="s">
        <v>97</v>
      </c>
      <c r="K5" s="51"/>
      <c r="L5" s="210" t="s">
        <v>97</v>
      </c>
      <c r="M5" s="211"/>
      <c r="N5" s="210" t="s">
        <v>97</v>
      </c>
      <c r="O5" s="215"/>
      <c r="P5" s="211"/>
      <c r="Q5" s="210" t="s">
        <v>98</v>
      </c>
      <c r="R5" s="215"/>
      <c r="S5" s="211"/>
      <c r="T5" s="210" t="s">
        <v>98</v>
      </c>
      <c r="U5" s="215"/>
      <c r="V5" s="211"/>
      <c r="W5" s="210" t="s">
        <v>98</v>
      </c>
      <c r="X5" s="215"/>
      <c r="Y5" s="211"/>
      <c r="Z5" s="210" t="s">
        <v>97</v>
      </c>
      <c r="AA5" s="211"/>
      <c r="AB5" s="210" t="s">
        <v>97</v>
      </c>
      <c r="AC5" s="211"/>
      <c r="AD5" s="210" t="s">
        <v>97</v>
      </c>
      <c r="AE5" s="211"/>
      <c r="AF5" s="210" t="s">
        <v>97</v>
      </c>
      <c r="AG5" s="211"/>
      <c r="AH5" s="210" t="s">
        <v>97</v>
      </c>
      <c r="AI5" s="211"/>
    </row>
    <row r="6" spans="1:38" s="10" customFormat="1" ht="50.1" customHeight="1">
      <c r="A6" s="108" t="s">
        <v>99</v>
      </c>
      <c r="B6" s="108"/>
      <c r="C6" s="108" t="s">
        <v>100</v>
      </c>
      <c r="D6" s="108" t="s">
        <v>101</v>
      </c>
      <c r="E6" s="108" t="s">
        <v>100</v>
      </c>
      <c r="F6" s="108" t="s">
        <v>101</v>
      </c>
      <c r="G6" s="108" t="s">
        <v>100</v>
      </c>
      <c r="H6" s="108" t="s">
        <v>101</v>
      </c>
      <c r="I6" s="108" t="s">
        <v>102</v>
      </c>
      <c r="J6" s="108" t="s">
        <v>100</v>
      </c>
      <c r="K6" s="108" t="s">
        <v>101</v>
      </c>
      <c r="L6" s="108" t="s">
        <v>100</v>
      </c>
      <c r="M6" s="108" t="s">
        <v>101</v>
      </c>
      <c r="N6" s="108" t="s">
        <v>100</v>
      </c>
      <c r="O6" s="108" t="s">
        <v>101</v>
      </c>
      <c r="P6" s="108" t="s">
        <v>102</v>
      </c>
      <c r="Q6" s="108" t="s">
        <v>100</v>
      </c>
      <c r="R6" s="108" t="s">
        <v>101</v>
      </c>
      <c r="S6" s="108" t="s">
        <v>102</v>
      </c>
      <c r="T6" s="108" t="s">
        <v>100</v>
      </c>
      <c r="U6" s="108" t="s">
        <v>101</v>
      </c>
      <c r="V6" s="108" t="s">
        <v>102</v>
      </c>
      <c r="W6" s="108" t="s">
        <v>100</v>
      </c>
      <c r="X6" s="108" t="s">
        <v>101</v>
      </c>
      <c r="Y6" s="108" t="s">
        <v>102</v>
      </c>
      <c r="Z6" s="108" t="s">
        <v>100</v>
      </c>
      <c r="AA6" s="108" t="s">
        <v>101</v>
      </c>
      <c r="AB6" s="108" t="s">
        <v>100</v>
      </c>
      <c r="AC6" s="108" t="s">
        <v>101</v>
      </c>
      <c r="AD6" s="108" t="s">
        <v>100</v>
      </c>
      <c r="AE6" s="108" t="s">
        <v>101</v>
      </c>
      <c r="AF6" s="108" t="s">
        <v>100</v>
      </c>
      <c r="AG6" s="108" t="s">
        <v>101</v>
      </c>
      <c r="AH6" s="108" t="s">
        <v>100</v>
      </c>
      <c r="AI6" s="108" t="s">
        <v>101</v>
      </c>
      <c r="AK6" s="108" t="s">
        <v>65</v>
      </c>
      <c r="AL6" s="108" t="s">
        <v>67</v>
      </c>
    </row>
    <row r="7" spans="1:38" s="148" customFormat="1" ht="39.950000000000003" customHeight="1">
      <c r="A7" s="146">
        <v>44439</v>
      </c>
      <c r="B7" s="147"/>
      <c r="C7" s="101">
        <v>156173</v>
      </c>
      <c r="D7" s="17"/>
      <c r="E7" s="101">
        <v>248755</v>
      </c>
      <c r="F7" s="17"/>
      <c r="G7" s="101">
        <v>45373</v>
      </c>
      <c r="H7" s="17"/>
      <c r="I7" s="17"/>
      <c r="J7" s="101">
        <v>221455</v>
      </c>
      <c r="K7" s="17"/>
      <c r="L7" s="101">
        <v>347834</v>
      </c>
      <c r="M7" s="17"/>
      <c r="N7" s="101">
        <v>3513</v>
      </c>
      <c r="O7" s="17"/>
      <c r="P7" s="17"/>
      <c r="Q7" s="101">
        <v>261318</v>
      </c>
      <c r="R7" s="17"/>
      <c r="S7" s="17"/>
      <c r="T7" s="101">
        <v>137828</v>
      </c>
      <c r="U7" s="17"/>
      <c r="V7" s="17"/>
      <c r="W7" s="101">
        <v>222496</v>
      </c>
      <c r="X7" s="17"/>
      <c r="Y7" s="17"/>
      <c r="Z7" s="101">
        <v>41512</v>
      </c>
      <c r="AA7" s="17"/>
      <c r="AB7" s="101">
        <v>82909</v>
      </c>
      <c r="AC7" s="17"/>
      <c r="AD7" s="101">
        <v>149359</v>
      </c>
      <c r="AE7" s="17"/>
      <c r="AF7" s="101">
        <v>78496</v>
      </c>
      <c r="AG7" s="17"/>
      <c r="AH7" s="101">
        <v>409700</v>
      </c>
      <c r="AI7" s="17"/>
      <c r="AK7" s="97"/>
      <c r="AL7" s="98"/>
    </row>
    <row r="8" spans="1:38" s="2" customFormat="1" ht="39.950000000000003" customHeight="1">
      <c r="A8" s="146">
        <v>44440</v>
      </c>
      <c r="B8" s="15"/>
      <c r="C8" s="49">
        <v>156582</v>
      </c>
      <c r="D8" s="17">
        <f t="shared" ref="D8:F25" si="0">(C8-C7)*10</f>
        <v>4090</v>
      </c>
      <c r="E8" s="49">
        <v>248959</v>
      </c>
      <c r="F8" s="17">
        <f t="shared" si="0"/>
        <v>2040</v>
      </c>
      <c r="G8" s="49">
        <v>45495</v>
      </c>
      <c r="H8" s="17">
        <f t="shared" ref="H8:H9" si="1">(G8-G7)*10</f>
        <v>1220</v>
      </c>
      <c r="I8" s="17">
        <f>H8*50%</f>
        <v>610</v>
      </c>
      <c r="J8" s="49">
        <v>222071</v>
      </c>
      <c r="K8" s="17">
        <f t="shared" ref="K8:K9" si="2">(J8-J7)*10</f>
        <v>6160</v>
      </c>
      <c r="L8" s="49">
        <v>348859</v>
      </c>
      <c r="M8" s="17">
        <f t="shared" ref="M8:M9" si="3">(L8-L7)*10</f>
        <v>10250</v>
      </c>
      <c r="N8" s="49">
        <v>5148</v>
      </c>
      <c r="O8" s="17">
        <f t="shared" ref="O8:O24" si="4">(N8-N7)*10</f>
        <v>16350</v>
      </c>
      <c r="P8" s="17">
        <f>O8*50%</f>
        <v>8175</v>
      </c>
      <c r="Q8" s="49">
        <v>262448</v>
      </c>
      <c r="R8" s="17">
        <f t="shared" ref="R8:R24" si="5">(Q8-Q7)*10</f>
        <v>11300</v>
      </c>
      <c r="S8" s="17">
        <f>R8*50%</f>
        <v>5650</v>
      </c>
      <c r="T8" s="49">
        <v>138225</v>
      </c>
      <c r="U8" s="17">
        <f t="shared" ref="U8:U9" si="6">(T8-T7)*10</f>
        <v>3970</v>
      </c>
      <c r="V8" s="17">
        <f>U8*50%</f>
        <v>1985</v>
      </c>
      <c r="W8" s="49">
        <v>222859</v>
      </c>
      <c r="X8" s="17">
        <f t="shared" ref="X8:X9" si="7">W8-W7</f>
        <v>363</v>
      </c>
      <c r="Y8" s="17">
        <f>X8*50%</f>
        <v>181.5</v>
      </c>
      <c r="Z8" s="49">
        <v>41628</v>
      </c>
      <c r="AA8" s="17">
        <f t="shared" ref="AA8:AA9" si="8">Z8-Z7</f>
        <v>116</v>
      </c>
      <c r="AB8" s="49">
        <v>83127</v>
      </c>
      <c r="AC8" s="17">
        <f t="shared" ref="AC8:AC9" si="9">AB8-AB7</f>
        <v>218</v>
      </c>
      <c r="AD8" s="49">
        <v>149759</v>
      </c>
      <c r="AE8" s="17">
        <f t="shared" ref="AE8:AE9" si="10">AD8-AD7</f>
        <v>400</v>
      </c>
      <c r="AF8" s="49">
        <v>78681</v>
      </c>
      <c r="AG8" s="17">
        <f t="shared" ref="AG8:AG9" si="11">AF8-AF7</f>
        <v>185</v>
      </c>
      <c r="AH8" s="49">
        <v>410776</v>
      </c>
      <c r="AI8" s="17">
        <f t="shared" ref="AI8:AI9" si="12">AH8-AH7</f>
        <v>1076</v>
      </c>
      <c r="AK8" s="97">
        <f>SUM(D8,F8,I8,K8,M8,P8,S8,V8,Y8)</f>
        <v>39141.5</v>
      </c>
      <c r="AL8" s="98">
        <f>SUM(P8,S8,V8,Y8,AA8,AC8,AE8,AG8,AI8)</f>
        <v>17986.5</v>
      </c>
    </row>
    <row r="9" spans="1:38" ht="39.950000000000003" customHeight="1">
      <c r="A9" s="146">
        <v>44441</v>
      </c>
      <c r="B9" s="16"/>
      <c r="C9" s="49">
        <v>156980</v>
      </c>
      <c r="D9" s="17">
        <f t="shared" si="0"/>
        <v>3980</v>
      </c>
      <c r="E9" s="49">
        <v>249668</v>
      </c>
      <c r="F9" s="17">
        <f t="shared" si="0"/>
        <v>7090</v>
      </c>
      <c r="G9" s="49">
        <v>45875</v>
      </c>
      <c r="H9" s="17">
        <f t="shared" si="1"/>
        <v>3800</v>
      </c>
      <c r="I9" s="17">
        <f t="shared" ref="I9:I24" si="13">H9*50%</f>
        <v>1900</v>
      </c>
      <c r="J9" s="49">
        <v>222716</v>
      </c>
      <c r="K9" s="17">
        <f t="shared" si="2"/>
        <v>6450</v>
      </c>
      <c r="L9" s="49">
        <v>349856</v>
      </c>
      <c r="M9" s="17">
        <f t="shared" si="3"/>
        <v>9970</v>
      </c>
      <c r="N9" s="49">
        <v>6789</v>
      </c>
      <c r="O9" s="17">
        <f t="shared" si="4"/>
        <v>16410</v>
      </c>
      <c r="P9" s="17">
        <f t="shared" ref="P9:P24" si="14">O9*50%</f>
        <v>8205</v>
      </c>
      <c r="Q9" s="49">
        <v>263428</v>
      </c>
      <c r="R9" s="17">
        <f t="shared" si="5"/>
        <v>9800</v>
      </c>
      <c r="S9" s="17">
        <f t="shared" ref="S9:S24" si="15">R9*50%</f>
        <v>4900</v>
      </c>
      <c r="T9" s="49">
        <v>138802</v>
      </c>
      <c r="U9" s="17">
        <f t="shared" si="6"/>
        <v>5770</v>
      </c>
      <c r="V9" s="17">
        <f t="shared" ref="V9:V24" si="16">U9*50%</f>
        <v>2885</v>
      </c>
      <c r="W9" s="49">
        <v>223492</v>
      </c>
      <c r="X9" s="17">
        <f t="shared" si="7"/>
        <v>633</v>
      </c>
      <c r="Y9" s="17">
        <f t="shared" ref="Y9:Y24" si="17">X9*50%</f>
        <v>316.5</v>
      </c>
      <c r="Z9" s="49">
        <v>41741</v>
      </c>
      <c r="AA9" s="17">
        <f t="shared" si="8"/>
        <v>113</v>
      </c>
      <c r="AB9" s="49">
        <v>83340</v>
      </c>
      <c r="AC9" s="17">
        <f t="shared" si="9"/>
        <v>213</v>
      </c>
      <c r="AD9" s="49">
        <v>150149</v>
      </c>
      <c r="AE9" s="17">
        <f t="shared" si="10"/>
        <v>390</v>
      </c>
      <c r="AF9" s="49">
        <v>78864</v>
      </c>
      <c r="AG9" s="17">
        <f t="shared" si="11"/>
        <v>183</v>
      </c>
      <c r="AH9" s="49">
        <v>411791</v>
      </c>
      <c r="AI9" s="17">
        <f t="shared" si="12"/>
        <v>1015</v>
      </c>
      <c r="AK9" s="97">
        <f t="shared" ref="AK9:AK24" si="18">SUM(D9,F9,I9,K9,M9,P9,S9,V9,Y9)</f>
        <v>45696.5</v>
      </c>
      <c r="AL9" s="98">
        <f t="shared" ref="AL9:AL24" si="19">SUM(P9,S9,V9,Y9,AA9,AC9,AE9,AG9,AI9)</f>
        <v>18220.5</v>
      </c>
    </row>
    <row r="10" spans="1:38" ht="39.950000000000003" customHeight="1">
      <c r="A10" s="146">
        <v>44442</v>
      </c>
      <c r="B10" s="16"/>
      <c r="C10" s="49">
        <v>157380</v>
      </c>
      <c r="D10" s="17">
        <f t="shared" si="0"/>
        <v>4000</v>
      </c>
      <c r="E10" s="49">
        <v>250391</v>
      </c>
      <c r="F10" s="17">
        <f t="shared" si="0"/>
        <v>7230</v>
      </c>
      <c r="G10" s="49">
        <v>46247</v>
      </c>
      <c r="H10" s="17">
        <f t="shared" ref="H10" si="20">(G10-G9)*10</f>
        <v>3720</v>
      </c>
      <c r="I10" s="17">
        <f t="shared" si="13"/>
        <v>1860</v>
      </c>
      <c r="J10" s="49">
        <v>223348</v>
      </c>
      <c r="K10" s="17">
        <f t="shared" ref="K10" si="21">(J10-J9)*10</f>
        <v>6320</v>
      </c>
      <c r="L10" s="49">
        <v>350883</v>
      </c>
      <c r="M10" s="17">
        <f t="shared" ref="M10" si="22">(L10-L9)*10</f>
        <v>10270</v>
      </c>
      <c r="N10" s="49">
        <v>8401</v>
      </c>
      <c r="O10" s="17">
        <f t="shared" si="4"/>
        <v>16120</v>
      </c>
      <c r="P10" s="17">
        <f t="shared" si="14"/>
        <v>8060</v>
      </c>
      <c r="Q10" s="49">
        <v>264509</v>
      </c>
      <c r="R10" s="17">
        <f t="shared" si="5"/>
        <v>10810</v>
      </c>
      <c r="S10" s="17">
        <f t="shared" si="15"/>
        <v>5405</v>
      </c>
      <c r="T10" s="49">
        <v>139136</v>
      </c>
      <c r="U10" s="17">
        <f t="shared" ref="U10" si="23">(T10-T9)*10</f>
        <v>3340</v>
      </c>
      <c r="V10" s="17">
        <f t="shared" si="16"/>
        <v>1670</v>
      </c>
      <c r="W10" s="49">
        <v>224160</v>
      </c>
      <c r="X10" s="17">
        <f t="shared" ref="X10" si="24">W10-W9</f>
        <v>668</v>
      </c>
      <c r="Y10" s="17">
        <f t="shared" si="17"/>
        <v>334</v>
      </c>
      <c r="Z10" s="49">
        <v>41861</v>
      </c>
      <c r="AA10" s="17">
        <f t="shared" ref="AA10" si="25">Z10-Z9</f>
        <v>120</v>
      </c>
      <c r="AB10" s="49">
        <v>83548</v>
      </c>
      <c r="AC10" s="17">
        <f t="shared" ref="AC10" si="26">AB10-AB9</f>
        <v>208</v>
      </c>
      <c r="AD10" s="49">
        <v>150547</v>
      </c>
      <c r="AE10" s="17">
        <f t="shared" ref="AE10" si="27">AD10-AD9</f>
        <v>398</v>
      </c>
      <c r="AF10" s="49">
        <v>79045</v>
      </c>
      <c r="AG10" s="17">
        <f t="shared" ref="AG10" si="28">AF10-AF9</f>
        <v>181</v>
      </c>
      <c r="AH10" s="49">
        <v>412814</v>
      </c>
      <c r="AI10" s="17">
        <f t="shared" ref="AI10" si="29">AH10-AH9</f>
        <v>1023</v>
      </c>
      <c r="AK10" s="97">
        <f t="shared" si="18"/>
        <v>45149</v>
      </c>
      <c r="AL10" s="98">
        <f t="shared" si="19"/>
        <v>17399</v>
      </c>
    </row>
    <row r="11" spans="1:38" ht="39.950000000000003" customHeight="1">
      <c r="A11" s="146">
        <v>44443</v>
      </c>
      <c r="B11" s="16"/>
      <c r="C11" s="49">
        <v>157822</v>
      </c>
      <c r="D11" s="17">
        <f t="shared" si="0"/>
        <v>4420</v>
      </c>
      <c r="E11" s="49">
        <v>251101</v>
      </c>
      <c r="F11" s="17">
        <f t="shared" si="0"/>
        <v>7100</v>
      </c>
      <c r="G11" s="49">
        <v>46625</v>
      </c>
      <c r="H11" s="17">
        <f>(G11-G10)*10</f>
        <v>3780</v>
      </c>
      <c r="I11" s="17">
        <f t="shared" si="13"/>
        <v>1890</v>
      </c>
      <c r="J11" s="49">
        <v>223945</v>
      </c>
      <c r="K11" s="17">
        <f t="shared" ref="K11" si="30">(J11-J10)*10</f>
        <v>5970</v>
      </c>
      <c r="L11" s="49">
        <v>351893</v>
      </c>
      <c r="M11" s="17">
        <f t="shared" ref="M11" si="31">(L11-L10)*10</f>
        <v>10100</v>
      </c>
      <c r="N11" s="49">
        <v>10139</v>
      </c>
      <c r="O11" s="17">
        <f t="shared" si="4"/>
        <v>17380</v>
      </c>
      <c r="P11" s="17">
        <f t="shared" si="14"/>
        <v>8690</v>
      </c>
      <c r="Q11" s="49">
        <v>265597</v>
      </c>
      <c r="R11" s="17">
        <f t="shared" si="5"/>
        <v>10880</v>
      </c>
      <c r="S11" s="17">
        <f t="shared" si="15"/>
        <v>5440</v>
      </c>
      <c r="T11" s="49">
        <v>139138</v>
      </c>
      <c r="U11" s="17">
        <f t="shared" ref="U11" si="32">(T11-T10)*10</f>
        <v>20</v>
      </c>
      <c r="V11" s="17">
        <f t="shared" si="16"/>
        <v>10</v>
      </c>
      <c r="W11" s="49">
        <v>224966</v>
      </c>
      <c r="X11" s="17">
        <f t="shared" ref="X11" si="33">W11-W10</f>
        <v>806</v>
      </c>
      <c r="Y11" s="17">
        <f t="shared" si="17"/>
        <v>403</v>
      </c>
      <c r="Z11" s="49">
        <v>41971</v>
      </c>
      <c r="AA11" s="17">
        <f t="shared" ref="AA11" si="34">Z11-Z10</f>
        <v>110</v>
      </c>
      <c r="AB11" s="49">
        <v>83757</v>
      </c>
      <c r="AC11" s="17">
        <f t="shared" ref="AC11" si="35">AB11-AB10</f>
        <v>209</v>
      </c>
      <c r="AD11" s="49">
        <v>150940</v>
      </c>
      <c r="AE11" s="17">
        <f t="shared" ref="AE11" si="36">AD11-AD10</f>
        <v>393</v>
      </c>
      <c r="AF11" s="49">
        <v>79229</v>
      </c>
      <c r="AG11" s="17">
        <f t="shared" ref="AG11" si="37">AF11-AF10</f>
        <v>184</v>
      </c>
      <c r="AH11" s="49">
        <v>413885</v>
      </c>
      <c r="AI11" s="17">
        <f t="shared" ref="AI11" si="38">AH11-AH10</f>
        <v>1071</v>
      </c>
      <c r="AK11" s="97">
        <f t="shared" si="18"/>
        <v>44023</v>
      </c>
      <c r="AL11" s="98">
        <f t="shared" si="19"/>
        <v>16510</v>
      </c>
    </row>
    <row r="12" spans="1:38" ht="39.950000000000003" customHeight="1">
      <c r="A12" s="146">
        <v>44444</v>
      </c>
      <c r="B12" s="16"/>
      <c r="C12" s="49">
        <v>158232</v>
      </c>
      <c r="D12" s="17">
        <f t="shared" si="0"/>
        <v>4100</v>
      </c>
      <c r="E12" s="49">
        <v>252304</v>
      </c>
      <c r="F12" s="17">
        <f t="shared" si="0"/>
        <v>12030</v>
      </c>
      <c r="G12" s="49">
        <v>47256</v>
      </c>
      <c r="H12" s="17">
        <f t="shared" ref="H12" si="39">(G12-G11)*10</f>
        <v>6310</v>
      </c>
      <c r="I12" s="17">
        <f t="shared" si="13"/>
        <v>3155</v>
      </c>
      <c r="J12" s="49">
        <v>224563</v>
      </c>
      <c r="K12" s="17">
        <f t="shared" ref="K12" si="40">(J12-J11)*10</f>
        <v>6180</v>
      </c>
      <c r="L12" s="49">
        <v>352956</v>
      </c>
      <c r="M12" s="17">
        <f t="shared" ref="M12" si="41">(L12-L11)*10</f>
        <v>10630</v>
      </c>
      <c r="N12" s="49">
        <v>11760</v>
      </c>
      <c r="O12" s="17">
        <f t="shared" si="4"/>
        <v>16210</v>
      </c>
      <c r="P12" s="17">
        <f t="shared" si="14"/>
        <v>8105</v>
      </c>
      <c r="Q12" s="49">
        <v>266702</v>
      </c>
      <c r="R12" s="17">
        <f t="shared" si="5"/>
        <v>11050</v>
      </c>
      <c r="S12" s="17">
        <f t="shared" si="15"/>
        <v>5525</v>
      </c>
      <c r="T12" s="49">
        <v>139156</v>
      </c>
      <c r="U12" s="17">
        <f t="shared" ref="U12" si="42">(T12-T11)*10</f>
        <v>180</v>
      </c>
      <c r="V12" s="17">
        <f t="shared" si="16"/>
        <v>90</v>
      </c>
      <c r="W12" s="49">
        <v>225793</v>
      </c>
      <c r="X12" s="17">
        <f t="shared" ref="X12" si="43">W12-W11</f>
        <v>827</v>
      </c>
      <c r="Y12" s="17">
        <f t="shared" si="17"/>
        <v>413.5</v>
      </c>
      <c r="Z12" s="49">
        <v>42086</v>
      </c>
      <c r="AA12" s="17">
        <f t="shared" ref="AA12" si="44">Z12-Z11</f>
        <v>115</v>
      </c>
      <c r="AB12" s="49">
        <v>83954</v>
      </c>
      <c r="AC12" s="17">
        <f t="shared" ref="AC12" si="45">AB12-AB11</f>
        <v>197</v>
      </c>
      <c r="AD12" s="49">
        <v>151316</v>
      </c>
      <c r="AE12" s="17">
        <f t="shared" ref="AE12" si="46">AD12-AD11</f>
        <v>376</v>
      </c>
      <c r="AF12" s="49">
        <v>79405</v>
      </c>
      <c r="AG12" s="17">
        <f t="shared" ref="AG12" si="47">AF12-AF11</f>
        <v>176</v>
      </c>
      <c r="AH12" s="49">
        <v>414936</v>
      </c>
      <c r="AI12" s="17">
        <f t="shared" ref="AI12" si="48">AH12-AH11</f>
        <v>1051</v>
      </c>
      <c r="AK12" s="97">
        <f t="shared" si="18"/>
        <v>50228.5</v>
      </c>
      <c r="AL12" s="98">
        <f t="shared" si="19"/>
        <v>16048.5</v>
      </c>
    </row>
    <row r="13" spans="1:38" ht="39.950000000000003" customHeight="1">
      <c r="A13" s="146">
        <v>44445</v>
      </c>
      <c r="B13" s="16"/>
      <c r="C13" s="49">
        <v>158653</v>
      </c>
      <c r="D13" s="17">
        <f t="shared" si="0"/>
        <v>4210</v>
      </c>
      <c r="E13" s="49">
        <v>252996</v>
      </c>
      <c r="F13" s="17">
        <f t="shared" si="0"/>
        <v>6920</v>
      </c>
      <c r="G13" s="49">
        <v>47645</v>
      </c>
      <c r="H13" s="17">
        <f t="shared" ref="H13" si="49">(G13-G12)*10</f>
        <v>3890</v>
      </c>
      <c r="I13" s="17">
        <f t="shared" si="13"/>
        <v>1945</v>
      </c>
      <c r="J13" s="49">
        <v>225176</v>
      </c>
      <c r="K13" s="17">
        <f t="shared" ref="K13" si="50">(J13-J12)*10</f>
        <v>6130</v>
      </c>
      <c r="L13" s="49">
        <v>353891</v>
      </c>
      <c r="M13" s="17">
        <f t="shared" ref="M13" si="51">(L13-L12)*10</f>
        <v>9350</v>
      </c>
      <c r="N13" s="49">
        <v>13390</v>
      </c>
      <c r="O13" s="17">
        <f t="shared" si="4"/>
        <v>16300</v>
      </c>
      <c r="P13" s="17">
        <f t="shared" si="14"/>
        <v>8150</v>
      </c>
      <c r="Q13" s="49">
        <v>267725</v>
      </c>
      <c r="R13" s="17">
        <f t="shared" si="5"/>
        <v>10230</v>
      </c>
      <c r="S13" s="17">
        <f t="shared" si="15"/>
        <v>5115</v>
      </c>
      <c r="T13" s="49">
        <v>139870</v>
      </c>
      <c r="U13" s="17">
        <f t="shared" ref="U13" si="52">(T13-T12)*10</f>
        <v>7140</v>
      </c>
      <c r="V13" s="17">
        <f t="shared" si="16"/>
        <v>3570</v>
      </c>
      <c r="W13" s="49">
        <v>226043</v>
      </c>
      <c r="X13" s="17">
        <f t="shared" ref="X13" si="53">W13-W12</f>
        <v>250</v>
      </c>
      <c r="Y13" s="17">
        <f t="shared" si="17"/>
        <v>125</v>
      </c>
      <c r="Z13" s="49">
        <v>42203</v>
      </c>
      <c r="AA13" s="17">
        <f t="shared" ref="AA13" si="54">Z13-Z12</f>
        <v>117</v>
      </c>
      <c r="AB13" s="49">
        <v>84172</v>
      </c>
      <c r="AC13" s="17">
        <f t="shared" ref="AC13" si="55">AB13-AB12</f>
        <v>218</v>
      </c>
      <c r="AD13" s="49">
        <v>151718</v>
      </c>
      <c r="AE13" s="17">
        <f t="shared" ref="AE13" si="56">AD13-AD12</f>
        <v>402</v>
      </c>
      <c r="AF13" s="49">
        <v>79584</v>
      </c>
      <c r="AG13" s="17">
        <f t="shared" ref="AG13" si="57">AF13-AF12</f>
        <v>179</v>
      </c>
      <c r="AH13" s="49">
        <v>416014</v>
      </c>
      <c r="AI13" s="17">
        <f t="shared" ref="AI13" si="58">AH13-AH12</f>
        <v>1078</v>
      </c>
      <c r="AK13" s="97">
        <f t="shared" si="18"/>
        <v>45515</v>
      </c>
      <c r="AL13" s="98">
        <f t="shared" si="19"/>
        <v>18954</v>
      </c>
    </row>
    <row r="14" spans="1:38" ht="39.950000000000003" customHeight="1">
      <c r="A14" s="146">
        <v>44446</v>
      </c>
      <c r="B14" s="16"/>
      <c r="C14" s="49">
        <v>159052</v>
      </c>
      <c r="D14" s="17">
        <f t="shared" si="0"/>
        <v>3990</v>
      </c>
      <c r="E14" s="49">
        <v>253667</v>
      </c>
      <c r="F14" s="17">
        <f t="shared" si="0"/>
        <v>6710</v>
      </c>
      <c r="G14" s="49">
        <v>48023</v>
      </c>
      <c r="H14" s="17">
        <f t="shared" ref="H14" si="59">(G14-G13)*10</f>
        <v>3780</v>
      </c>
      <c r="I14" s="17">
        <f t="shared" si="13"/>
        <v>1890</v>
      </c>
      <c r="J14" s="49">
        <v>225781</v>
      </c>
      <c r="K14" s="17">
        <f t="shared" ref="K14" si="60">(J14-J13)*10</f>
        <v>6050</v>
      </c>
      <c r="L14" s="49">
        <v>354919</v>
      </c>
      <c r="M14" s="17">
        <f t="shared" ref="M14" si="61">(L14-L13)*10</f>
        <v>10280</v>
      </c>
      <c r="N14" s="49">
        <v>15013</v>
      </c>
      <c r="O14" s="17">
        <f t="shared" si="4"/>
        <v>16230</v>
      </c>
      <c r="P14" s="17">
        <f t="shared" si="14"/>
        <v>8115</v>
      </c>
      <c r="Q14" s="49">
        <v>268798</v>
      </c>
      <c r="R14" s="17">
        <f t="shared" si="5"/>
        <v>10730</v>
      </c>
      <c r="S14" s="17">
        <f t="shared" si="15"/>
        <v>5365</v>
      </c>
      <c r="T14" s="49">
        <v>140654</v>
      </c>
      <c r="U14" s="17">
        <f t="shared" ref="U14" si="62">(T14-T13)*10</f>
        <v>7840</v>
      </c>
      <c r="V14" s="17">
        <f t="shared" si="16"/>
        <v>3920</v>
      </c>
      <c r="W14" s="49">
        <v>226315</v>
      </c>
      <c r="X14" s="17">
        <f t="shared" ref="X14" si="63">W14-W13</f>
        <v>272</v>
      </c>
      <c r="Y14" s="17">
        <f t="shared" si="17"/>
        <v>136</v>
      </c>
      <c r="Z14" s="49">
        <v>42321</v>
      </c>
      <c r="AA14" s="17">
        <f t="shared" ref="AA14" si="64">Z14-Z13</f>
        <v>118</v>
      </c>
      <c r="AB14" s="49">
        <v>84393</v>
      </c>
      <c r="AC14" s="17">
        <f t="shared" ref="AC14" si="65">AB14-AB13</f>
        <v>221</v>
      </c>
      <c r="AD14" s="49">
        <v>152112</v>
      </c>
      <c r="AE14" s="17">
        <f t="shared" ref="AE14" si="66">AD14-AD13</f>
        <v>394</v>
      </c>
      <c r="AF14" s="49">
        <v>79762</v>
      </c>
      <c r="AG14" s="17">
        <f t="shared" ref="AG14" si="67">AF14-AF13</f>
        <v>178</v>
      </c>
      <c r="AH14" s="49">
        <v>417093</v>
      </c>
      <c r="AI14" s="17">
        <f t="shared" ref="AI14" si="68">AH14-AH13</f>
        <v>1079</v>
      </c>
      <c r="AK14" s="97">
        <f t="shared" si="18"/>
        <v>46456</v>
      </c>
      <c r="AL14" s="98">
        <f t="shared" si="19"/>
        <v>19526</v>
      </c>
    </row>
    <row r="15" spans="1:38" ht="39.950000000000003" customHeight="1">
      <c r="A15" s="146">
        <v>44447</v>
      </c>
      <c r="B15" s="16"/>
      <c r="C15" s="192">
        <v>159432</v>
      </c>
      <c r="D15" s="17">
        <f t="shared" si="0"/>
        <v>3800</v>
      </c>
      <c r="E15" s="192">
        <v>254319</v>
      </c>
      <c r="F15" s="17">
        <f t="shared" si="0"/>
        <v>6520</v>
      </c>
      <c r="G15" s="192">
        <v>48394</v>
      </c>
      <c r="H15" s="17">
        <f t="shared" ref="H15" si="69">(G15-G14)*10</f>
        <v>3710</v>
      </c>
      <c r="I15" s="17">
        <f t="shared" si="13"/>
        <v>1855</v>
      </c>
      <c r="J15" s="192">
        <v>226383</v>
      </c>
      <c r="K15" s="17">
        <f t="shared" ref="K15" si="70">(J15-J14)*10</f>
        <v>6020</v>
      </c>
      <c r="L15" s="192">
        <v>355921</v>
      </c>
      <c r="M15" s="17">
        <f t="shared" ref="M15" si="71">(L15-L14)*10</f>
        <v>10020</v>
      </c>
      <c r="N15" s="192">
        <v>16608</v>
      </c>
      <c r="O15" s="17">
        <f t="shared" si="4"/>
        <v>15950</v>
      </c>
      <c r="P15" s="17">
        <f t="shared" si="14"/>
        <v>7975</v>
      </c>
      <c r="Q15" s="192">
        <v>269867</v>
      </c>
      <c r="R15" s="17">
        <f t="shared" si="5"/>
        <v>10690</v>
      </c>
      <c r="S15" s="17">
        <f t="shared" si="15"/>
        <v>5345</v>
      </c>
      <c r="T15" s="192">
        <v>141473</v>
      </c>
      <c r="U15" s="17">
        <f t="shared" ref="U15" si="72">(T15-T14)*10</f>
        <v>8190</v>
      </c>
      <c r="V15" s="17">
        <f t="shared" si="16"/>
        <v>4095</v>
      </c>
      <c r="W15" s="192">
        <v>226360</v>
      </c>
      <c r="X15" s="17">
        <f t="shared" ref="X15" si="73">W15-W14</f>
        <v>45</v>
      </c>
      <c r="Y15" s="17">
        <f t="shared" si="17"/>
        <v>22.5</v>
      </c>
      <c r="Z15" s="192">
        <v>42441</v>
      </c>
      <c r="AA15" s="17">
        <f t="shared" ref="AA15" si="74">Z15-Z14</f>
        <v>120</v>
      </c>
      <c r="AB15" s="192">
        <v>84604</v>
      </c>
      <c r="AC15" s="17">
        <f t="shared" ref="AC15" si="75">AB15-AB14</f>
        <v>211</v>
      </c>
      <c r="AD15" s="192">
        <v>152513</v>
      </c>
      <c r="AE15" s="17">
        <f t="shared" ref="AE15" si="76">AD15-AD14</f>
        <v>401</v>
      </c>
      <c r="AF15" s="192">
        <v>79941</v>
      </c>
      <c r="AG15" s="17">
        <f t="shared" ref="AG15" si="77">AF15-AF14</f>
        <v>179</v>
      </c>
      <c r="AH15" s="192">
        <v>418181</v>
      </c>
      <c r="AI15" s="17">
        <f t="shared" ref="AI15" si="78">AH15-AH14</f>
        <v>1088</v>
      </c>
      <c r="AK15" s="97">
        <f t="shared" si="18"/>
        <v>45652.5</v>
      </c>
      <c r="AL15" s="98">
        <f t="shared" si="19"/>
        <v>19436.5</v>
      </c>
    </row>
    <row r="16" spans="1:38" ht="39.950000000000003" customHeight="1">
      <c r="A16" s="146">
        <v>44448</v>
      </c>
      <c r="B16" s="16"/>
      <c r="C16" s="49">
        <v>159817</v>
      </c>
      <c r="D16" s="17">
        <f t="shared" si="0"/>
        <v>3850</v>
      </c>
      <c r="E16" s="49">
        <v>254975</v>
      </c>
      <c r="F16" s="17">
        <f t="shared" si="0"/>
        <v>6560</v>
      </c>
      <c r="G16" s="49">
        <v>48763</v>
      </c>
      <c r="H16" s="17">
        <f t="shared" ref="H16" si="79">(G16-G15)*10</f>
        <v>3690</v>
      </c>
      <c r="I16" s="17">
        <f t="shared" si="13"/>
        <v>1845</v>
      </c>
      <c r="J16" s="49">
        <v>226967</v>
      </c>
      <c r="K16" s="17">
        <f t="shared" ref="K16" si="80">(J16-J15)*10</f>
        <v>5840</v>
      </c>
      <c r="L16" s="49">
        <v>356925</v>
      </c>
      <c r="M16" s="17">
        <f t="shared" ref="M16" si="81">(L16-L15)*10</f>
        <v>10040</v>
      </c>
      <c r="N16" s="49">
        <v>17808</v>
      </c>
      <c r="O16" s="17">
        <f t="shared" si="4"/>
        <v>12000</v>
      </c>
      <c r="P16" s="17">
        <f t="shared" si="14"/>
        <v>6000</v>
      </c>
      <c r="Q16" s="49">
        <v>270873</v>
      </c>
      <c r="R16" s="17">
        <f t="shared" si="5"/>
        <v>10060</v>
      </c>
      <c r="S16" s="17">
        <f t="shared" si="15"/>
        <v>5030</v>
      </c>
      <c r="T16" s="49">
        <v>142247</v>
      </c>
      <c r="U16" s="17">
        <f t="shared" ref="U16" si="82">(T16-T15)*10</f>
        <v>7740</v>
      </c>
      <c r="V16" s="17">
        <f t="shared" si="16"/>
        <v>3870</v>
      </c>
      <c r="W16" s="49">
        <v>226613</v>
      </c>
      <c r="X16" s="17">
        <f t="shared" ref="X16" si="83">W16-W15</f>
        <v>253</v>
      </c>
      <c r="Y16" s="17">
        <f t="shared" si="17"/>
        <v>126.5</v>
      </c>
      <c r="Z16" s="49">
        <v>42560</v>
      </c>
      <c r="AA16" s="17">
        <f t="shared" ref="AA16" si="84">Z16-Z15</f>
        <v>119</v>
      </c>
      <c r="AB16" s="49">
        <v>84815</v>
      </c>
      <c r="AC16" s="17">
        <f t="shared" ref="AC16" si="85">AB16-AB15</f>
        <v>211</v>
      </c>
      <c r="AD16" s="49">
        <v>152906</v>
      </c>
      <c r="AE16" s="17">
        <f t="shared" ref="AE16" si="86">AD16-AD15</f>
        <v>393</v>
      </c>
      <c r="AF16" s="49">
        <v>80116</v>
      </c>
      <c r="AG16" s="17">
        <f t="shared" ref="AG16" si="87">AF16-AF15</f>
        <v>175</v>
      </c>
      <c r="AH16" s="49">
        <v>419243</v>
      </c>
      <c r="AI16" s="17">
        <f t="shared" ref="AI16" si="88">AH16-AH15</f>
        <v>1062</v>
      </c>
      <c r="AK16" s="97">
        <f t="shared" si="18"/>
        <v>43161.5</v>
      </c>
      <c r="AL16" s="98">
        <f t="shared" si="19"/>
        <v>16986.5</v>
      </c>
    </row>
    <row r="17" spans="1:38" ht="39.950000000000003" customHeight="1">
      <c r="A17" s="146">
        <v>44449</v>
      </c>
      <c r="B17" s="16"/>
      <c r="C17" s="49">
        <v>160184</v>
      </c>
      <c r="D17" s="17">
        <f t="shared" si="0"/>
        <v>3670</v>
      </c>
      <c r="E17" s="49">
        <v>255633</v>
      </c>
      <c r="F17" s="17">
        <f t="shared" si="0"/>
        <v>6580</v>
      </c>
      <c r="G17" s="49">
        <v>49117</v>
      </c>
      <c r="H17" s="17">
        <f t="shared" ref="H17" si="89">(G17-G16)*10</f>
        <v>3540</v>
      </c>
      <c r="I17" s="17">
        <f t="shared" si="13"/>
        <v>1770</v>
      </c>
      <c r="J17" s="49">
        <v>227584</v>
      </c>
      <c r="K17" s="17">
        <f t="shared" ref="K17" si="90">(J17-J16)*10</f>
        <v>6170</v>
      </c>
      <c r="L17" s="49">
        <v>357974</v>
      </c>
      <c r="M17" s="17">
        <f t="shared" ref="M17" si="91">(L17-L16)*10</f>
        <v>10490</v>
      </c>
      <c r="N17" s="49">
        <v>19759</v>
      </c>
      <c r="O17" s="17">
        <f t="shared" si="4"/>
        <v>19510</v>
      </c>
      <c r="P17" s="17">
        <f t="shared" si="14"/>
        <v>9755</v>
      </c>
      <c r="Q17" s="49">
        <v>272004</v>
      </c>
      <c r="R17" s="17">
        <f t="shared" si="5"/>
        <v>11310</v>
      </c>
      <c r="S17" s="17">
        <f t="shared" si="15"/>
        <v>5655</v>
      </c>
      <c r="T17" s="49">
        <v>143067</v>
      </c>
      <c r="U17" s="17">
        <f t="shared" ref="U17" si="92">(T17-T16)*10</f>
        <v>8200</v>
      </c>
      <c r="V17" s="17">
        <f t="shared" si="16"/>
        <v>4100</v>
      </c>
      <c r="W17" s="49">
        <v>226656</v>
      </c>
      <c r="X17" s="17">
        <f t="shared" ref="X17" si="93">W17-W16</f>
        <v>43</v>
      </c>
      <c r="Y17" s="17">
        <f t="shared" si="17"/>
        <v>21.5</v>
      </c>
      <c r="Z17" s="49">
        <v>42688</v>
      </c>
      <c r="AA17" s="17">
        <f t="shared" ref="AA17" si="94">Z17-Z16</f>
        <v>128</v>
      </c>
      <c r="AB17" s="49">
        <v>85025</v>
      </c>
      <c r="AC17" s="17">
        <f t="shared" ref="AC17" si="95">AB17-AB16</f>
        <v>210</v>
      </c>
      <c r="AD17" s="49">
        <v>153303</v>
      </c>
      <c r="AE17" s="17">
        <f t="shared" ref="AE17:AE18" si="96">AD17-AD16</f>
        <v>397</v>
      </c>
      <c r="AF17" s="49">
        <v>80296</v>
      </c>
      <c r="AG17" s="17">
        <f t="shared" ref="AG17" si="97">AF17-AF16</f>
        <v>180</v>
      </c>
      <c r="AH17" s="49">
        <v>420310</v>
      </c>
      <c r="AI17" s="17">
        <f t="shared" ref="AI17" si="98">AH17-AH16</f>
        <v>1067</v>
      </c>
      <c r="AK17" s="97">
        <f t="shared" si="18"/>
        <v>48211.5</v>
      </c>
      <c r="AL17" s="98">
        <f t="shared" si="19"/>
        <v>21513.5</v>
      </c>
    </row>
    <row r="18" spans="1:38" ht="39.950000000000003" customHeight="1">
      <c r="A18" s="146">
        <v>44450</v>
      </c>
      <c r="B18" s="16"/>
      <c r="C18" s="49">
        <v>160583</v>
      </c>
      <c r="D18" s="17">
        <f t="shared" si="0"/>
        <v>3990</v>
      </c>
      <c r="E18" s="49">
        <v>256327</v>
      </c>
      <c r="F18" s="17">
        <f t="shared" si="0"/>
        <v>6940</v>
      </c>
      <c r="G18" s="49">
        <v>49497</v>
      </c>
      <c r="H18" s="17">
        <f t="shared" ref="H18" si="99">(G18-G17)*10</f>
        <v>3800</v>
      </c>
      <c r="I18" s="17">
        <f t="shared" si="13"/>
        <v>1900</v>
      </c>
      <c r="J18" s="49">
        <v>228197</v>
      </c>
      <c r="K18" s="17">
        <f t="shared" ref="K18" si="100">(J18-J17)*10</f>
        <v>6130</v>
      </c>
      <c r="L18" s="49">
        <v>359027</v>
      </c>
      <c r="M18" s="17">
        <f t="shared" ref="M18" si="101">(L18-L17)*10</f>
        <v>10530</v>
      </c>
      <c r="N18" s="49">
        <v>21423</v>
      </c>
      <c r="O18" s="17">
        <f t="shared" si="4"/>
        <v>16640</v>
      </c>
      <c r="P18" s="17">
        <f t="shared" si="14"/>
        <v>8320</v>
      </c>
      <c r="Q18" s="49">
        <v>273100</v>
      </c>
      <c r="R18" s="17">
        <f t="shared" si="5"/>
        <v>10960</v>
      </c>
      <c r="S18" s="17">
        <f t="shared" si="15"/>
        <v>5480</v>
      </c>
      <c r="T18" s="49">
        <v>143786</v>
      </c>
      <c r="U18" s="17">
        <f t="shared" ref="U18" si="102">(T18-T17)*10</f>
        <v>7190</v>
      </c>
      <c r="V18" s="17">
        <f t="shared" si="16"/>
        <v>3595</v>
      </c>
      <c r="W18" s="49">
        <v>227172</v>
      </c>
      <c r="X18" s="17">
        <f t="shared" ref="X18" si="103">W18-W17</f>
        <v>516</v>
      </c>
      <c r="Y18" s="17">
        <f t="shared" si="17"/>
        <v>258</v>
      </c>
      <c r="Z18" s="49">
        <v>42811</v>
      </c>
      <c r="AA18" s="17">
        <f t="shared" ref="AA18" si="104">Z18-Z17</f>
        <v>123</v>
      </c>
      <c r="AB18" s="49">
        <v>85109</v>
      </c>
      <c r="AC18" s="17">
        <f t="shared" ref="AC18" si="105">AB18-AB17</f>
        <v>84</v>
      </c>
      <c r="AD18" s="49">
        <v>153702</v>
      </c>
      <c r="AE18" s="17">
        <f t="shared" si="96"/>
        <v>399</v>
      </c>
      <c r="AF18" s="49">
        <v>80482</v>
      </c>
      <c r="AG18" s="17">
        <f t="shared" ref="AG18" si="106">AF18-AF17</f>
        <v>186</v>
      </c>
      <c r="AH18" s="49">
        <v>421405</v>
      </c>
      <c r="AI18" s="17">
        <f t="shared" ref="AI18" si="107">AH18-AH17</f>
        <v>1095</v>
      </c>
      <c r="AK18" s="97">
        <f t="shared" si="18"/>
        <v>47143</v>
      </c>
      <c r="AL18" s="98">
        <f t="shared" si="19"/>
        <v>19540</v>
      </c>
    </row>
    <row r="19" spans="1:38" ht="39.950000000000003" customHeight="1">
      <c r="A19" s="146">
        <v>44451</v>
      </c>
      <c r="B19" s="16"/>
      <c r="C19" s="49">
        <v>160978</v>
      </c>
      <c r="D19" s="17">
        <f t="shared" si="0"/>
        <v>3950</v>
      </c>
      <c r="E19" s="49">
        <v>256991</v>
      </c>
      <c r="F19" s="17">
        <f t="shared" si="0"/>
        <v>6640</v>
      </c>
      <c r="G19" s="49">
        <v>49880</v>
      </c>
      <c r="H19" s="17">
        <f t="shared" ref="H19" si="108">(G19-G18)*10</f>
        <v>3830</v>
      </c>
      <c r="I19" s="17">
        <f t="shared" si="13"/>
        <v>1915</v>
      </c>
      <c r="J19" s="49">
        <v>228779</v>
      </c>
      <c r="K19" s="17">
        <f t="shared" ref="K19" si="109">(J19-J18)*10</f>
        <v>5820</v>
      </c>
      <c r="L19" s="49">
        <v>360042</v>
      </c>
      <c r="M19" s="17">
        <f t="shared" ref="M19" si="110">(L19-L18)*10</f>
        <v>10150</v>
      </c>
      <c r="N19" s="49">
        <v>23120</v>
      </c>
      <c r="O19" s="17">
        <f t="shared" si="4"/>
        <v>16970</v>
      </c>
      <c r="P19" s="17">
        <f t="shared" si="14"/>
        <v>8485</v>
      </c>
      <c r="Q19" s="49">
        <v>274195</v>
      </c>
      <c r="R19" s="17">
        <f t="shared" si="5"/>
        <v>10950</v>
      </c>
      <c r="S19" s="17">
        <f t="shared" si="15"/>
        <v>5475</v>
      </c>
      <c r="T19" s="49">
        <v>144502</v>
      </c>
      <c r="U19" s="17">
        <f t="shared" ref="U19" si="111">(T19-T18)*10</f>
        <v>7160</v>
      </c>
      <c r="V19" s="17">
        <f t="shared" si="16"/>
        <v>3580</v>
      </c>
      <c r="W19" s="49">
        <v>227867</v>
      </c>
      <c r="X19" s="17">
        <f t="shared" ref="X19" si="112">W19-W18</f>
        <v>695</v>
      </c>
      <c r="Y19" s="17">
        <f t="shared" si="17"/>
        <v>347.5</v>
      </c>
      <c r="Z19" s="49">
        <v>42918</v>
      </c>
      <c r="AA19" s="17">
        <f t="shared" ref="AA19" si="113">Z19-Z18</f>
        <v>107</v>
      </c>
      <c r="AB19" s="49">
        <v>85429</v>
      </c>
      <c r="AC19" s="17">
        <f t="shared" ref="AC19" si="114">AB19-AB18</f>
        <v>320</v>
      </c>
      <c r="AD19" s="49">
        <v>154082</v>
      </c>
      <c r="AE19" s="17">
        <f t="shared" ref="AE19" si="115">AD19-AD18</f>
        <v>380</v>
      </c>
      <c r="AF19" s="49">
        <v>80653</v>
      </c>
      <c r="AG19" s="17">
        <f t="shared" ref="AG19" si="116">AF19-AF18</f>
        <v>171</v>
      </c>
      <c r="AH19" s="49">
        <v>422447</v>
      </c>
      <c r="AI19" s="17">
        <f t="shared" ref="AI19" si="117">AH19-AH18</f>
        <v>1042</v>
      </c>
      <c r="AK19" s="97">
        <f t="shared" si="18"/>
        <v>46362.5</v>
      </c>
      <c r="AL19" s="98">
        <f t="shared" si="19"/>
        <v>19907.5</v>
      </c>
    </row>
    <row r="20" spans="1:38" ht="39.950000000000003" customHeight="1">
      <c r="A20" s="146">
        <v>44452</v>
      </c>
      <c r="B20" s="16"/>
      <c r="C20" s="49">
        <v>161372</v>
      </c>
      <c r="D20" s="17">
        <f t="shared" si="0"/>
        <v>3940</v>
      </c>
      <c r="E20" s="49">
        <v>257654</v>
      </c>
      <c r="F20" s="17">
        <f t="shared" si="0"/>
        <v>6630</v>
      </c>
      <c r="G20" s="49">
        <v>50255</v>
      </c>
      <c r="H20" s="17">
        <f t="shared" ref="H20" si="118">(G20-G19)*10</f>
        <v>3750</v>
      </c>
      <c r="I20" s="17">
        <f t="shared" si="13"/>
        <v>1875</v>
      </c>
      <c r="J20" s="49">
        <v>229370</v>
      </c>
      <c r="K20" s="17">
        <f t="shared" ref="K20" si="119">(J20-J19)*10</f>
        <v>5910</v>
      </c>
      <c r="L20" s="49">
        <v>360954</v>
      </c>
      <c r="M20" s="17">
        <f t="shared" ref="M20" si="120">(L20-L19)*10</f>
        <v>9120</v>
      </c>
      <c r="N20" s="49">
        <v>24723</v>
      </c>
      <c r="O20" s="17">
        <f t="shared" si="4"/>
        <v>16030</v>
      </c>
      <c r="P20" s="17">
        <f t="shared" si="14"/>
        <v>8015</v>
      </c>
      <c r="Q20" s="49">
        <v>275249</v>
      </c>
      <c r="R20" s="17">
        <f t="shared" si="5"/>
        <v>10540</v>
      </c>
      <c r="S20" s="17">
        <f t="shared" si="15"/>
        <v>5270</v>
      </c>
      <c r="T20" s="49">
        <v>145395</v>
      </c>
      <c r="U20" s="17">
        <f t="shared" ref="U20" si="121">(T20-T19)*10</f>
        <v>8930</v>
      </c>
      <c r="V20" s="17">
        <f t="shared" si="16"/>
        <v>4465</v>
      </c>
      <c r="W20" s="49">
        <v>228598</v>
      </c>
      <c r="X20" s="17">
        <f t="shared" ref="X20" si="122">W20-W19</f>
        <v>731</v>
      </c>
      <c r="Y20" s="17">
        <f t="shared" si="17"/>
        <v>365.5</v>
      </c>
      <c r="Z20" s="49">
        <v>43028</v>
      </c>
      <c r="AA20" s="17">
        <f t="shared" ref="AA20" si="123">Z20-Z19</f>
        <v>110</v>
      </c>
      <c r="AB20" s="49">
        <v>85646</v>
      </c>
      <c r="AC20" s="17">
        <f t="shared" ref="AC20" si="124">AB20-AB19</f>
        <v>217</v>
      </c>
      <c r="AD20" s="49">
        <v>154490</v>
      </c>
      <c r="AE20" s="17">
        <f t="shared" ref="AE20" si="125">AD20-AD19</f>
        <v>408</v>
      </c>
      <c r="AF20" s="49">
        <v>80834</v>
      </c>
      <c r="AG20" s="17">
        <f t="shared" ref="AG20" si="126">AF20-AF19</f>
        <v>181</v>
      </c>
      <c r="AH20" s="49">
        <v>423529</v>
      </c>
      <c r="AI20" s="17">
        <f t="shared" ref="AI20" si="127">AH20-AH19</f>
        <v>1082</v>
      </c>
      <c r="AK20" s="97">
        <f t="shared" si="18"/>
        <v>45590.5</v>
      </c>
      <c r="AL20" s="98">
        <f t="shared" si="19"/>
        <v>20113.5</v>
      </c>
    </row>
    <row r="21" spans="1:38" ht="39.950000000000003" customHeight="1">
      <c r="A21" s="146">
        <v>44453</v>
      </c>
      <c r="B21" s="16"/>
      <c r="C21" s="49">
        <v>161772</v>
      </c>
      <c r="D21" s="17">
        <f t="shared" si="0"/>
        <v>4000</v>
      </c>
      <c r="E21" s="49">
        <v>258335</v>
      </c>
      <c r="F21" s="17">
        <f t="shared" si="0"/>
        <v>6810</v>
      </c>
      <c r="G21" s="49">
        <v>50630</v>
      </c>
      <c r="H21" s="17">
        <f t="shared" ref="H21" si="128">(G21-G20)*10</f>
        <v>3750</v>
      </c>
      <c r="I21" s="17">
        <f t="shared" si="13"/>
        <v>1875</v>
      </c>
      <c r="J21" s="49">
        <v>230004</v>
      </c>
      <c r="K21" s="17">
        <f t="shared" ref="K21" si="129">(J21-J20)*10</f>
        <v>6340</v>
      </c>
      <c r="L21" s="49">
        <v>362006</v>
      </c>
      <c r="M21" s="17">
        <f t="shared" ref="M21" si="130">(L21-L20)*10</f>
        <v>10520</v>
      </c>
      <c r="N21" s="49">
        <v>26407</v>
      </c>
      <c r="O21" s="17">
        <f t="shared" si="4"/>
        <v>16840</v>
      </c>
      <c r="P21" s="17">
        <f t="shared" si="14"/>
        <v>8420</v>
      </c>
      <c r="Q21" s="49">
        <v>276356</v>
      </c>
      <c r="R21" s="17">
        <f t="shared" si="5"/>
        <v>11070</v>
      </c>
      <c r="S21" s="17">
        <f t="shared" si="15"/>
        <v>5535</v>
      </c>
      <c r="T21" s="49">
        <v>146272</v>
      </c>
      <c r="U21" s="17">
        <f t="shared" ref="U21" si="131">(T21-T20)*10</f>
        <v>8770</v>
      </c>
      <c r="V21" s="17">
        <f t="shared" si="16"/>
        <v>4385</v>
      </c>
      <c r="W21" s="49">
        <v>228961</v>
      </c>
      <c r="X21" s="17">
        <f t="shared" ref="X21" si="132">W21-W20</f>
        <v>363</v>
      </c>
      <c r="Y21" s="17">
        <f t="shared" si="17"/>
        <v>181.5</v>
      </c>
      <c r="Z21" s="49">
        <v>43144</v>
      </c>
      <c r="AA21" s="17">
        <f t="shared" ref="AA21" si="133">Z21-Z20</f>
        <v>116</v>
      </c>
      <c r="AB21" s="49">
        <v>85873</v>
      </c>
      <c r="AC21" s="17">
        <f t="shared" ref="AC21" si="134">AB21-AB20</f>
        <v>227</v>
      </c>
      <c r="AD21" s="49">
        <v>154902</v>
      </c>
      <c r="AE21" s="17">
        <f t="shared" ref="AE21" si="135">AD21-AD20</f>
        <v>412</v>
      </c>
      <c r="AF21" s="49">
        <v>81024</v>
      </c>
      <c r="AG21" s="17">
        <f t="shared" ref="AG21" si="136">AF21-AF20</f>
        <v>190</v>
      </c>
      <c r="AH21" s="49">
        <v>424628</v>
      </c>
      <c r="AI21" s="17">
        <f t="shared" ref="AI21" si="137">AH21-AH20</f>
        <v>1099</v>
      </c>
      <c r="AK21" s="97">
        <f t="shared" si="18"/>
        <v>48066.5</v>
      </c>
      <c r="AL21" s="98">
        <f t="shared" si="19"/>
        <v>20565.5</v>
      </c>
    </row>
    <row r="22" spans="1:38" ht="39.950000000000003" customHeight="1">
      <c r="A22" s="146">
        <v>44454</v>
      </c>
      <c r="B22" s="16"/>
      <c r="C22" s="49">
        <v>162165</v>
      </c>
      <c r="D22" s="17">
        <f t="shared" si="0"/>
        <v>3930</v>
      </c>
      <c r="E22" s="49">
        <v>259027</v>
      </c>
      <c r="F22" s="17">
        <f t="shared" si="0"/>
        <v>6920</v>
      </c>
      <c r="G22" s="49">
        <v>50994</v>
      </c>
      <c r="H22" s="17">
        <f t="shared" ref="H22" si="138">(G22-G21)*10</f>
        <v>3640</v>
      </c>
      <c r="I22" s="17">
        <f t="shared" si="13"/>
        <v>1820</v>
      </c>
      <c r="J22" s="49">
        <v>230648</v>
      </c>
      <c r="K22" s="17">
        <f t="shared" ref="K22" si="139">(J22-J21)*10</f>
        <v>6440</v>
      </c>
      <c r="L22" s="49">
        <v>363047</v>
      </c>
      <c r="M22" s="17">
        <f t="shared" ref="M22" si="140">(L22-L21)*10</f>
        <v>10410</v>
      </c>
      <c r="N22" s="49">
        <v>28026</v>
      </c>
      <c r="O22" s="17">
        <f t="shared" si="4"/>
        <v>16190</v>
      </c>
      <c r="P22" s="17">
        <f t="shared" si="14"/>
        <v>8095</v>
      </c>
      <c r="Q22" s="49">
        <v>277419</v>
      </c>
      <c r="R22" s="17">
        <f t="shared" si="5"/>
        <v>10630</v>
      </c>
      <c r="S22" s="17">
        <f t="shared" si="15"/>
        <v>5315</v>
      </c>
      <c r="T22" s="49">
        <v>147011</v>
      </c>
      <c r="U22" s="17">
        <f t="shared" ref="U22" si="141">(T22-T21)*10</f>
        <v>7390</v>
      </c>
      <c r="V22" s="17">
        <f t="shared" si="16"/>
        <v>3695</v>
      </c>
      <c r="W22" s="49">
        <v>229588</v>
      </c>
      <c r="X22" s="17">
        <f t="shared" ref="X22" si="142">W22-W21</f>
        <v>627</v>
      </c>
      <c r="Y22" s="17">
        <f t="shared" si="17"/>
        <v>313.5</v>
      </c>
      <c r="Z22" s="49">
        <v>43265</v>
      </c>
      <c r="AA22" s="17">
        <f t="shared" ref="AA22" si="143">Z22-Z21</f>
        <v>121</v>
      </c>
      <c r="AB22" s="49">
        <v>86087</v>
      </c>
      <c r="AC22" s="17">
        <f t="shared" ref="AC22" si="144">AB22-AB21</f>
        <v>214</v>
      </c>
      <c r="AD22" s="49">
        <v>155296</v>
      </c>
      <c r="AE22" s="17">
        <f t="shared" ref="AE22" si="145">AD22-AD21</f>
        <v>394</v>
      </c>
      <c r="AF22" s="49">
        <v>81205</v>
      </c>
      <c r="AG22" s="17">
        <f t="shared" ref="AG22" si="146">AF22-AF21</f>
        <v>181</v>
      </c>
      <c r="AH22" s="49">
        <v>425695</v>
      </c>
      <c r="AI22" s="17">
        <f t="shared" ref="AI22" si="147">AH22-AH21</f>
        <v>1067</v>
      </c>
      <c r="AK22" s="97">
        <f t="shared" si="18"/>
        <v>46938.5</v>
      </c>
      <c r="AL22" s="98">
        <f t="shared" si="19"/>
        <v>19395.5</v>
      </c>
    </row>
    <row r="23" spans="1:38" ht="39.950000000000003" customHeight="1">
      <c r="A23" s="146">
        <v>44455</v>
      </c>
      <c r="B23" s="16"/>
      <c r="C23" s="49">
        <v>162563</v>
      </c>
      <c r="D23" s="17">
        <f t="shared" si="0"/>
        <v>3980</v>
      </c>
      <c r="E23" s="49">
        <v>259712</v>
      </c>
      <c r="F23" s="17">
        <f t="shared" si="0"/>
        <v>6850</v>
      </c>
      <c r="G23" s="49">
        <v>51356</v>
      </c>
      <c r="H23" s="17">
        <f t="shared" ref="H23" si="148">(G23-G22)*10</f>
        <v>3620</v>
      </c>
      <c r="I23" s="17">
        <f t="shared" si="13"/>
        <v>1810</v>
      </c>
      <c r="J23" s="49">
        <v>231268</v>
      </c>
      <c r="K23" s="17">
        <f t="shared" ref="K23" si="149">(J23-J22)*10</f>
        <v>6200</v>
      </c>
      <c r="L23" s="49">
        <v>364083</v>
      </c>
      <c r="M23" s="17">
        <f t="shared" ref="M23" si="150">(L23-L22)*10</f>
        <v>10360</v>
      </c>
      <c r="N23" s="49">
        <v>29562</v>
      </c>
      <c r="O23" s="17">
        <f t="shared" si="4"/>
        <v>15360</v>
      </c>
      <c r="P23" s="17">
        <f t="shared" si="14"/>
        <v>7680</v>
      </c>
      <c r="Q23" s="49">
        <v>278409</v>
      </c>
      <c r="R23" s="17">
        <f t="shared" si="5"/>
        <v>9900</v>
      </c>
      <c r="S23" s="17">
        <f t="shared" si="15"/>
        <v>4950</v>
      </c>
      <c r="T23" s="49">
        <v>147627</v>
      </c>
      <c r="U23" s="17">
        <f t="shared" ref="U23" si="151">(T23-T22)*10</f>
        <v>6160</v>
      </c>
      <c r="V23" s="17">
        <f t="shared" si="16"/>
        <v>3080</v>
      </c>
      <c r="W23" s="49">
        <v>230261</v>
      </c>
      <c r="X23" s="17">
        <f t="shared" ref="X23" si="152">W23-W22</f>
        <v>673</v>
      </c>
      <c r="Y23" s="17">
        <f t="shared" si="17"/>
        <v>336.5</v>
      </c>
      <c r="Z23" s="49">
        <v>43394</v>
      </c>
      <c r="AA23" s="17">
        <f t="shared" ref="AA23" si="153">Z23-Z22</f>
        <v>129</v>
      </c>
      <c r="AB23" s="49">
        <v>86304</v>
      </c>
      <c r="AC23" s="17">
        <f t="shared" ref="AC23" si="154">AB23-AB22</f>
        <v>217</v>
      </c>
      <c r="AD23" s="49">
        <v>155701</v>
      </c>
      <c r="AE23" s="17">
        <f t="shared" ref="AE23" si="155">AD23-AD22</f>
        <v>405</v>
      </c>
      <c r="AF23" s="49">
        <v>81386</v>
      </c>
      <c r="AG23" s="17">
        <f t="shared" ref="AG23" si="156">AF23-AF22</f>
        <v>181</v>
      </c>
      <c r="AH23" s="49">
        <v>426766</v>
      </c>
      <c r="AI23" s="17">
        <f t="shared" ref="AI23" si="157">AH23-AH22</f>
        <v>1071</v>
      </c>
      <c r="AK23" s="97">
        <f t="shared" si="18"/>
        <v>45246.5</v>
      </c>
      <c r="AL23" s="98">
        <f t="shared" si="19"/>
        <v>18049.5</v>
      </c>
    </row>
    <row r="24" spans="1:38" ht="39.950000000000003" customHeight="1">
      <c r="A24" s="146">
        <v>44456</v>
      </c>
      <c r="B24" s="16"/>
      <c r="C24" s="49">
        <v>162974</v>
      </c>
      <c r="D24" s="17">
        <f t="shared" si="0"/>
        <v>4110</v>
      </c>
      <c r="E24" s="49">
        <v>260422</v>
      </c>
      <c r="F24" s="17">
        <f t="shared" si="0"/>
        <v>7100</v>
      </c>
      <c r="G24" s="49">
        <v>51731</v>
      </c>
      <c r="H24" s="17">
        <f t="shared" ref="H24" si="158">(G24-G23)*10</f>
        <v>3750</v>
      </c>
      <c r="I24" s="17">
        <f t="shared" si="13"/>
        <v>1875</v>
      </c>
      <c r="J24" s="49">
        <v>231903</v>
      </c>
      <c r="K24" s="17">
        <f t="shared" ref="K24:K37" si="159">(J24-J23)*10</f>
        <v>6350</v>
      </c>
      <c r="L24" s="49">
        <v>365119</v>
      </c>
      <c r="M24" s="17">
        <f t="shared" ref="M24:M37" si="160">(L24-L23)*10</f>
        <v>10360</v>
      </c>
      <c r="N24" s="49">
        <v>31126</v>
      </c>
      <c r="O24" s="17">
        <f t="shared" si="4"/>
        <v>15640</v>
      </c>
      <c r="P24" s="17">
        <f t="shared" si="14"/>
        <v>7820</v>
      </c>
      <c r="Q24" s="49">
        <v>279434</v>
      </c>
      <c r="R24" s="17">
        <f t="shared" si="5"/>
        <v>10250</v>
      </c>
      <c r="S24" s="17">
        <f t="shared" si="15"/>
        <v>5125</v>
      </c>
      <c r="T24" s="49">
        <v>147911</v>
      </c>
      <c r="U24" s="17">
        <f t="shared" ref="U24" si="161">(T24-T23)*10</f>
        <v>2840</v>
      </c>
      <c r="V24" s="17">
        <f t="shared" si="16"/>
        <v>1420</v>
      </c>
      <c r="W24" s="49">
        <v>231108</v>
      </c>
      <c r="X24" s="17">
        <f t="shared" ref="X24" si="162">W24-W23</f>
        <v>847</v>
      </c>
      <c r="Y24" s="17">
        <f t="shared" si="17"/>
        <v>423.5</v>
      </c>
      <c r="Z24" s="49">
        <v>43508</v>
      </c>
      <c r="AA24" s="17">
        <f t="shared" ref="AA24:AA37" si="163">Z24-Z23</f>
        <v>114</v>
      </c>
      <c r="AB24" s="49">
        <v>86518</v>
      </c>
      <c r="AC24" s="17">
        <f t="shared" ref="AC24:AC37" si="164">AB24-AB23</f>
        <v>214</v>
      </c>
      <c r="AD24" s="49">
        <v>156111</v>
      </c>
      <c r="AE24" s="17">
        <f t="shared" ref="AE24:AE37" si="165">AD24-AD23</f>
        <v>410</v>
      </c>
      <c r="AF24" s="49">
        <v>81573</v>
      </c>
      <c r="AG24" s="17">
        <f t="shared" ref="AG24:AG37" si="166">AF24-AF23</f>
        <v>187</v>
      </c>
      <c r="AH24" s="49">
        <v>427856</v>
      </c>
      <c r="AI24" s="17">
        <f t="shared" ref="AI24:AI37" si="167">AH24-AH23</f>
        <v>1090</v>
      </c>
      <c r="AK24" s="97">
        <f t="shared" si="18"/>
        <v>44583.5</v>
      </c>
      <c r="AL24" s="98">
        <f t="shared" si="19"/>
        <v>16803.5</v>
      </c>
    </row>
    <row r="25" spans="1:38" ht="39.950000000000003" customHeight="1">
      <c r="A25" s="146">
        <v>44457</v>
      </c>
      <c r="B25" s="16"/>
      <c r="C25" s="49">
        <v>163382</v>
      </c>
      <c r="D25" s="17">
        <f t="shared" si="0"/>
        <v>4080</v>
      </c>
      <c r="E25" s="49">
        <v>261138</v>
      </c>
      <c r="F25" s="17">
        <f t="shared" si="0"/>
        <v>7160</v>
      </c>
      <c r="G25" s="49">
        <v>52103</v>
      </c>
      <c r="H25" s="17">
        <f t="shared" ref="H25:H35" si="168">(G25-G24)*10</f>
        <v>3720</v>
      </c>
      <c r="I25" s="17">
        <f t="shared" ref="I25:I35" si="169">H25*50%</f>
        <v>1860</v>
      </c>
      <c r="J25" s="49">
        <v>232526</v>
      </c>
      <c r="K25" s="17">
        <f t="shared" si="159"/>
        <v>6230</v>
      </c>
      <c r="L25" s="49">
        <v>366178</v>
      </c>
      <c r="M25" s="17">
        <f t="shared" si="160"/>
        <v>10590</v>
      </c>
      <c r="N25" s="49">
        <v>32690</v>
      </c>
      <c r="O25" s="17">
        <f t="shared" ref="O25:O35" si="170">(N25-N24)*10</f>
        <v>15640</v>
      </c>
      <c r="P25" s="17">
        <f t="shared" ref="P25:P35" si="171">O25*50%</f>
        <v>7820</v>
      </c>
      <c r="Q25" s="49">
        <v>280488</v>
      </c>
      <c r="R25" s="17">
        <f t="shared" ref="R25:R35" si="172">(Q25-Q24)*10</f>
        <v>10540</v>
      </c>
      <c r="S25" s="17">
        <f t="shared" ref="S25:S35" si="173">R25*50%</f>
        <v>5270</v>
      </c>
      <c r="T25" s="49">
        <v>148535</v>
      </c>
      <c r="U25" s="17">
        <f t="shared" ref="U25:U35" si="174">(T25-T24)*10</f>
        <v>6240</v>
      </c>
      <c r="V25" s="17">
        <f t="shared" ref="V25:V35" si="175">U25*50%</f>
        <v>3120</v>
      </c>
      <c r="W25" s="49">
        <v>231724</v>
      </c>
      <c r="X25" s="97">
        <f t="shared" ref="X25:X35" si="176">W25-W24</f>
        <v>616</v>
      </c>
      <c r="Y25" s="97">
        <f t="shared" ref="Y25:Y35" si="177">X25*50%</f>
        <v>308</v>
      </c>
      <c r="Z25" s="49">
        <v>43625</v>
      </c>
      <c r="AA25" s="17">
        <f t="shared" si="163"/>
        <v>117</v>
      </c>
      <c r="AB25" s="49">
        <v>86732</v>
      </c>
      <c r="AC25" s="17">
        <f t="shared" si="164"/>
        <v>214</v>
      </c>
      <c r="AD25" s="49">
        <v>156508</v>
      </c>
      <c r="AE25" s="17">
        <f t="shared" si="165"/>
        <v>397</v>
      </c>
      <c r="AF25" s="49">
        <v>81761</v>
      </c>
      <c r="AG25" s="17">
        <f t="shared" si="166"/>
        <v>188</v>
      </c>
      <c r="AH25" s="49">
        <v>428939</v>
      </c>
      <c r="AI25" s="17">
        <f t="shared" si="167"/>
        <v>1083</v>
      </c>
      <c r="AK25" s="97">
        <f t="shared" ref="AK25:AK35" si="178">SUM(D25,F25,I25,K25,M25,P25,S25,V25,Y25)</f>
        <v>46438</v>
      </c>
      <c r="AL25" s="98">
        <f t="shared" ref="AL25:AL35" si="179">SUM(P25,S25,V25,Y25,AA25,AC25,AE25,AG25,AI25)</f>
        <v>18517</v>
      </c>
    </row>
    <row r="26" spans="1:38" ht="39.950000000000003" customHeight="1">
      <c r="A26" s="146">
        <v>44458</v>
      </c>
      <c r="B26" s="16"/>
      <c r="C26" s="49">
        <v>163791</v>
      </c>
      <c r="D26" s="17">
        <f t="shared" ref="D26:D37" si="180">(C26-C25)*10</f>
        <v>4090</v>
      </c>
      <c r="E26" s="49">
        <v>261857</v>
      </c>
      <c r="F26" s="17">
        <f t="shared" ref="F26:F37" si="181">(E26-E25)*10</f>
        <v>7190</v>
      </c>
      <c r="G26" s="49">
        <v>52479</v>
      </c>
      <c r="H26" s="17">
        <f t="shared" si="168"/>
        <v>3760</v>
      </c>
      <c r="I26" s="17">
        <f t="shared" si="169"/>
        <v>1880</v>
      </c>
      <c r="J26" s="49">
        <v>233161</v>
      </c>
      <c r="K26" s="17">
        <f t="shared" si="159"/>
        <v>6350</v>
      </c>
      <c r="L26" s="49">
        <v>367220</v>
      </c>
      <c r="M26" s="17">
        <f t="shared" si="160"/>
        <v>10420</v>
      </c>
      <c r="N26" s="49">
        <v>34315</v>
      </c>
      <c r="O26" s="17">
        <f t="shared" si="170"/>
        <v>16250</v>
      </c>
      <c r="P26" s="17">
        <f t="shared" si="171"/>
        <v>8125</v>
      </c>
      <c r="Q26" s="49">
        <v>281589</v>
      </c>
      <c r="R26" s="17">
        <f t="shared" si="172"/>
        <v>11010</v>
      </c>
      <c r="S26" s="17">
        <f t="shared" si="173"/>
        <v>5505</v>
      </c>
      <c r="T26" s="49">
        <v>149112</v>
      </c>
      <c r="U26" s="17">
        <f t="shared" si="174"/>
        <v>5770</v>
      </c>
      <c r="V26" s="17">
        <f t="shared" si="175"/>
        <v>2885</v>
      </c>
      <c r="W26" s="49">
        <v>232524</v>
      </c>
      <c r="X26" s="97">
        <f t="shared" si="176"/>
        <v>800</v>
      </c>
      <c r="Y26" s="97">
        <f t="shared" si="177"/>
        <v>400</v>
      </c>
      <c r="Z26" s="49">
        <v>43744</v>
      </c>
      <c r="AA26" s="17">
        <f t="shared" si="163"/>
        <v>119</v>
      </c>
      <c r="AB26" s="49">
        <v>86947</v>
      </c>
      <c r="AC26" s="17">
        <f t="shared" si="164"/>
        <v>215</v>
      </c>
      <c r="AD26" s="49">
        <v>156892</v>
      </c>
      <c r="AE26" s="17">
        <f t="shared" si="165"/>
        <v>384</v>
      </c>
      <c r="AF26" s="49">
        <v>81947</v>
      </c>
      <c r="AG26" s="17">
        <f t="shared" si="166"/>
        <v>186</v>
      </c>
      <c r="AH26" s="49">
        <v>430007</v>
      </c>
      <c r="AI26" s="17">
        <f t="shared" si="167"/>
        <v>1068</v>
      </c>
      <c r="AK26" s="97">
        <f t="shared" si="178"/>
        <v>46845</v>
      </c>
      <c r="AL26" s="98">
        <f t="shared" si="179"/>
        <v>18887</v>
      </c>
    </row>
    <row r="27" spans="1:38" ht="39.950000000000003" customHeight="1">
      <c r="A27" s="146">
        <v>44459</v>
      </c>
      <c r="B27" s="16"/>
      <c r="C27" s="49">
        <v>164193</v>
      </c>
      <c r="D27" s="17">
        <f t="shared" si="180"/>
        <v>4020</v>
      </c>
      <c r="E27" s="49">
        <v>262561</v>
      </c>
      <c r="F27" s="17">
        <f t="shared" si="181"/>
        <v>7040</v>
      </c>
      <c r="G27" s="49">
        <v>52856</v>
      </c>
      <c r="H27" s="17">
        <f t="shared" si="168"/>
        <v>3770</v>
      </c>
      <c r="I27" s="17">
        <f t="shared" si="169"/>
        <v>1885</v>
      </c>
      <c r="J27" s="49">
        <v>233783</v>
      </c>
      <c r="K27" s="17">
        <f t="shared" si="159"/>
        <v>6220</v>
      </c>
      <c r="L27" s="49">
        <v>368219</v>
      </c>
      <c r="M27" s="17">
        <f t="shared" si="160"/>
        <v>9990</v>
      </c>
      <c r="N27" s="49">
        <v>35945</v>
      </c>
      <c r="O27" s="17">
        <f t="shared" si="170"/>
        <v>16300</v>
      </c>
      <c r="P27" s="17">
        <f t="shared" si="171"/>
        <v>8150</v>
      </c>
      <c r="Q27" s="49">
        <v>282711</v>
      </c>
      <c r="R27" s="17">
        <f t="shared" si="172"/>
        <v>11220</v>
      </c>
      <c r="S27" s="17">
        <f t="shared" si="173"/>
        <v>5610</v>
      </c>
      <c r="T27" s="49">
        <v>149466</v>
      </c>
      <c r="U27" s="17">
        <f t="shared" si="174"/>
        <v>3540</v>
      </c>
      <c r="V27" s="17">
        <f t="shared" si="175"/>
        <v>1770</v>
      </c>
      <c r="W27" s="49">
        <v>233362</v>
      </c>
      <c r="X27" s="17">
        <f t="shared" si="176"/>
        <v>838</v>
      </c>
      <c r="Y27" s="17">
        <f t="shared" si="177"/>
        <v>419</v>
      </c>
      <c r="Z27" s="49">
        <v>43862</v>
      </c>
      <c r="AA27" s="17">
        <f t="shared" si="163"/>
        <v>118</v>
      </c>
      <c r="AB27" s="49">
        <v>87186</v>
      </c>
      <c r="AC27" s="17">
        <f t="shared" si="164"/>
        <v>239</v>
      </c>
      <c r="AD27" s="49">
        <v>157307</v>
      </c>
      <c r="AE27" s="17">
        <f t="shared" si="165"/>
        <v>415</v>
      </c>
      <c r="AF27" s="49">
        <v>82136</v>
      </c>
      <c r="AG27" s="17">
        <f t="shared" si="166"/>
        <v>189</v>
      </c>
      <c r="AH27" s="49">
        <v>431145</v>
      </c>
      <c r="AI27" s="17">
        <f t="shared" si="167"/>
        <v>1138</v>
      </c>
      <c r="AK27" s="97">
        <f t="shared" si="178"/>
        <v>45104</v>
      </c>
      <c r="AL27" s="98">
        <f t="shared" si="179"/>
        <v>18048</v>
      </c>
    </row>
    <row r="28" spans="1:38" ht="39.950000000000003" customHeight="1">
      <c r="A28" s="146">
        <v>44460</v>
      </c>
      <c r="B28" s="16"/>
      <c r="C28" s="49">
        <v>164584</v>
      </c>
      <c r="D28" s="17">
        <f t="shared" si="180"/>
        <v>3910</v>
      </c>
      <c r="E28" s="49">
        <v>263243</v>
      </c>
      <c r="F28" s="17">
        <f t="shared" si="181"/>
        <v>6820</v>
      </c>
      <c r="G28" s="49">
        <v>53227</v>
      </c>
      <c r="H28" s="17">
        <f t="shared" si="168"/>
        <v>3710</v>
      </c>
      <c r="I28" s="17">
        <f t="shared" si="169"/>
        <v>1855</v>
      </c>
      <c r="J28" s="49">
        <v>234380</v>
      </c>
      <c r="K28" s="17">
        <f t="shared" si="159"/>
        <v>5970</v>
      </c>
      <c r="L28" s="49">
        <v>369211</v>
      </c>
      <c r="M28" s="17">
        <f t="shared" si="160"/>
        <v>9920</v>
      </c>
      <c r="N28" s="49">
        <v>37554</v>
      </c>
      <c r="O28" s="17">
        <f t="shared" si="170"/>
        <v>16090</v>
      </c>
      <c r="P28" s="17">
        <f t="shared" si="171"/>
        <v>8045</v>
      </c>
      <c r="Q28" s="49">
        <v>283791</v>
      </c>
      <c r="R28" s="17">
        <f t="shared" si="172"/>
        <v>10800</v>
      </c>
      <c r="S28" s="17">
        <f t="shared" si="173"/>
        <v>5400</v>
      </c>
      <c r="T28" s="49">
        <v>149644</v>
      </c>
      <c r="U28" s="17">
        <f t="shared" si="174"/>
        <v>1780</v>
      </c>
      <c r="V28" s="17">
        <f t="shared" si="175"/>
        <v>890</v>
      </c>
      <c r="W28" s="49">
        <v>234169</v>
      </c>
      <c r="X28" s="17">
        <f t="shared" si="176"/>
        <v>807</v>
      </c>
      <c r="Y28" s="17">
        <f t="shared" si="177"/>
        <v>403.5</v>
      </c>
      <c r="Z28" s="49">
        <v>43973</v>
      </c>
      <c r="AA28" s="17">
        <f t="shared" si="163"/>
        <v>111</v>
      </c>
      <c r="AB28" s="49">
        <v>87393</v>
      </c>
      <c r="AC28" s="17">
        <f t="shared" si="164"/>
        <v>207</v>
      </c>
      <c r="AD28" s="49">
        <v>157692</v>
      </c>
      <c r="AE28" s="17">
        <f t="shared" si="165"/>
        <v>385</v>
      </c>
      <c r="AF28" s="49">
        <v>82309</v>
      </c>
      <c r="AG28" s="17">
        <f t="shared" si="166"/>
        <v>173</v>
      </c>
      <c r="AH28" s="49">
        <v>432178</v>
      </c>
      <c r="AI28" s="17">
        <f t="shared" si="167"/>
        <v>1033</v>
      </c>
      <c r="AK28" s="97">
        <f t="shared" si="178"/>
        <v>43213.5</v>
      </c>
      <c r="AL28" s="98">
        <f t="shared" si="179"/>
        <v>16647.5</v>
      </c>
    </row>
    <row r="29" spans="1:38" ht="39.950000000000003" customHeight="1">
      <c r="A29" s="146">
        <v>44461</v>
      </c>
      <c r="B29" s="16"/>
      <c r="C29" s="49">
        <v>164987</v>
      </c>
      <c r="D29" s="17">
        <f t="shared" si="180"/>
        <v>4030</v>
      </c>
      <c r="E29" s="49">
        <v>263913</v>
      </c>
      <c r="F29" s="17">
        <f t="shared" si="181"/>
        <v>6700</v>
      </c>
      <c r="G29" s="49">
        <v>53597</v>
      </c>
      <c r="H29" s="17">
        <f t="shared" si="168"/>
        <v>3700</v>
      </c>
      <c r="I29" s="17">
        <f t="shared" si="169"/>
        <v>1850</v>
      </c>
      <c r="J29" s="49">
        <v>234966</v>
      </c>
      <c r="K29" s="17">
        <f t="shared" si="159"/>
        <v>5860</v>
      </c>
      <c r="L29" s="49">
        <v>370190</v>
      </c>
      <c r="M29" s="17">
        <f t="shared" si="160"/>
        <v>9790</v>
      </c>
      <c r="N29" s="49">
        <v>39193</v>
      </c>
      <c r="O29" s="17">
        <f t="shared" si="170"/>
        <v>16390</v>
      </c>
      <c r="P29" s="17">
        <f t="shared" si="171"/>
        <v>8195</v>
      </c>
      <c r="Q29" s="49">
        <v>284921</v>
      </c>
      <c r="R29" s="17">
        <f t="shared" si="172"/>
        <v>11300</v>
      </c>
      <c r="S29" s="17">
        <f t="shared" si="173"/>
        <v>5650</v>
      </c>
      <c r="T29" s="49">
        <v>149989</v>
      </c>
      <c r="U29" s="17">
        <f t="shared" si="174"/>
        <v>3450</v>
      </c>
      <c r="V29" s="17">
        <f t="shared" si="175"/>
        <v>1725</v>
      </c>
      <c r="W29" s="49">
        <v>234862</v>
      </c>
      <c r="X29" s="17">
        <f t="shared" si="176"/>
        <v>693</v>
      </c>
      <c r="Y29" s="17">
        <f t="shared" si="177"/>
        <v>346.5</v>
      </c>
      <c r="Z29" s="49">
        <v>44077</v>
      </c>
      <c r="AA29" s="17">
        <f t="shared" si="163"/>
        <v>104</v>
      </c>
      <c r="AB29" s="49">
        <v>87606</v>
      </c>
      <c r="AC29" s="17">
        <f t="shared" si="164"/>
        <v>213</v>
      </c>
      <c r="AD29" s="49">
        <v>158081</v>
      </c>
      <c r="AE29" s="17">
        <f t="shared" si="165"/>
        <v>389</v>
      </c>
      <c r="AF29" s="49">
        <v>82496</v>
      </c>
      <c r="AG29" s="17">
        <f t="shared" si="166"/>
        <v>187</v>
      </c>
      <c r="AH29" s="49">
        <v>433253</v>
      </c>
      <c r="AI29" s="17">
        <f t="shared" si="167"/>
        <v>1075</v>
      </c>
      <c r="AK29" s="97">
        <f t="shared" si="178"/>
        <v>44146.5</v>
      </c>
      <c r="AL29" s="98">
        <f t="shared" si="179"/>
        <v>17884.5</v>
      </c>
    </row>
    <row r="30" spans="1:38" ht="39.950000000000003" customHeight="1">
      <c r="A30" s="146">
        <v>44462</v>
      </c>
      <c r="B30" s="16"/>
      <c r="C30" s="49">
        <v>165366</v>
      </c>
      <c r="D30" s="17">
        <f t="shared" si="180"/>
        <v>3790</v>
      </c>
      <c r="E30" s="49">
        <v>264617</v>
      </c>
      <c r="F30" s="17">
        <f t="shared" si="181"/>
        <v>7040</v>
      </c>
      <c r="G30" s="49">
        <v>53953</v>
      </c>
      <c r="H30" s="17">
        <f t="shared" si="168"/>
        <v>3560</v>
      </c>
      <c r="I30" s="17">
        <f t="shared" si="169"/>
        <v>1780</v>
      </c>
      <c r="J30" s="49">
        <v>235572</v>
      </c>
      <c r="K30" s="17">
        <f t="shared" si="159"/>
        <v>6060</v>
      </c>
      <c r="L30" s="49">
        <v>371193</v>
      </c>
      <c r="M30" s="17">
        <f t="shared" si="160"/>
        <v>10030</v>
      </c>
      <c r="N30" s="49">
        <v>40790</v>
      </c>
      <c r="O30" s="17">
        <f t="shared" si="170"/>
        <v>15970</v>
      </c>
      <c r="P30" s="17">
        <f t="shared" si="171"/>
        <v>7985</v>
      </c>
      <c r="Q30" s="49">
        <v>286040</v>
      </c>
      <c r="R30" s="17">
        <f t="shared" si="172"/>
        <v>11190</v>
      </c>
      <c r="S30" s="17">
        <f t="shared" si="173"/>
        <v>5595</v>
      </c>
      <c r="T30" s="49">
        <v>150881</v>
      </c>
      <c r="U30" s="17">
        <f t="shared" si="174"/>
        <v>8920</v>
      </c>
      <c r="V30" s="17">
        <f t="shared" si="175"/>
        <v>4460</v>
      </c>
      <c r="W30" s="49">
        <v>235152</v>
      </c>
      <c r="X30" s="17">
        <f t="shared" si="176"/>
        <v>290</v>
      </c>
      <c r="Y30" s="17">
        <f t="shared" si="177"/>
        <v>145</v>
      </c>
      <c r="Z30" s="49">
        <v>44187</v>
      </c>
      <c r="AA30" s="17">
        <f t="shared" si="163"/>
        <v>110</v>
      </c>
      <c r="AB30" s="49">
        <v>87836</v>
      </c>
      <c r="AC30" s="17">
        <f t="shared" si="164"/>
        <v>230</v>
      </c>
      <c r="AD30" s="49">
        <v>158482</v>
      </c>
      <c r="AE30" s="17">
        <f t="shared" si="165"/>
        <v>401</v>
      </c>
      <c r="AF30" s="49">
        <v>82687</v>
      </c>
      <c r="AG30" s="17">
        <f t="shared" si="166"/>
        <v>191</v>
      </c>
      <c r="AH30" s="49">
        <v>434329</v>
      </c>
      <c r="AI30" s="17">
        <f t="shared" si="167"/>
        <v>1076</v>
      </c>
      <c r="AK30" s="97">
        <f t="shared" si="178"/>
        <v>46885</v>
      </c>
      <c r="AL30" s="98">
        <f t="shared" si="179"/>
        <v>20193</v>
      </c>
    </row>
    <row r="31" spans="1:38" ht="39.950000000000003" customHeight="1">
      <c r="A31" s="146">
        <v>44463</v>
      </c>
      <c r="B31" s="16"/>
      <c r="C31" s="49">
        <v>165761</v>
      </c>
      <c r="D31" s="17">
        <f t="shared" si="180"/>
        <v>3950</v>
      </c>
      <c r="E31" s="49">
        <v>265371</v>
      </c>
      <c r="F31" s="17">
        <f t="shared" si="181"/>
        <v>7540</v>
      </c>
      <c r="G31" s="49">
        <v>54313</v>
      </c>
      <c r="H31" s="17">
        <f t="shared" si="168"/>
        <v>3600</v>
      </c>
      <c r="I31" s="17">
        <f t="shared" si="169"/>
        <v>1800</v>
      </c>
      <c r="J31" s="49">
        <v>236202</v>
      </c>
      <c r="K31" s="17">
        <f t="shared" si="159"/>
        <v>6300</v>
      </c>
      <c r="L31" s="49">
        <v>372203</v>
      </c>
      <c r="M31" s="17">
        <f t="shared" si="160"/>
        <v>10100</v>
      </c>
      <c r="N31" s="49">
        <v>42410</v>
      </c>
      <c r="O31" s="17">
        <f t="shared" si="170"/>
        <v>16200</v>
      </c>
      <c r="P31" s="17">
        <f t="shared" si="171"/>
        <v>8100</v>
      </c>
      <c r="Q31" s="49">
        <v>287109</v>
      </c>
      <c r="R31" s="17">
        <f t="shared" si="172"/>
        <v>10690</v>
      </c>
      <c r="S31" s="17">
        <f t="shared" si="173"/>
        <v>5345</v>
      </c>
      <c r="T31" s="49">
        <v>151688</v>
      </c>
      <c r="U31" s="17">
        <f t="shared" si="174"/>
        <v>8070</v>
      </c>
      <c r="V31" s="17">
        <f t="shared" si="175"/>
        <v>4035</v>
      </c>
      <c r="W31" s="49">
        <v>235695</v>
      </c>
      <c r="X31" s="17">
        <f t="shared" si="176"/>
        <v>543</v>
      </c>
      <c r="Y31" s="17">
        <f t="shared" si="177"/>
        <v>271.5</v>
      </c>
      <c r="Z31" s="49">
        <v>44302</v>
      </c>
      <c r="AA31" s="17">
        <f t="shared" si="163"/>
        <v>115</v>
      </c>
      <c r="AB31" s="49">
        <v>88061</v>
      </c>
      <c r="AC31" s="17">
        <f t="shared" si="164"/>
        <v>225</v>
      </c>
      <c r="AD31" s="49">
        <v>158880</v>
      </c>
      <c r="AE31" s="17">
        <f t="shared" si="165"/>
        <v>398</v>
      </c>
      <c r="AF31" s="49">
        <v>82875</v>
      </c>
      <c r="AG31" s="17">
        <f t="shared" si="166"/>
        <v>188</v>
      </c>
      <c r="AH31" s="49">
        <v>435398</v>
      </c>
      <c r="AI31" s="17">
        <f t="shared" si="167"/>
        <v>1069</v>
      </c>
      <c r="AK31" s="97">
        <f t="shared" si="178"/>
        <v>47441.5</v>
      </c>
      <c r="AL31" s="98">
        <f t="shared" si="179"/>
        <v>19746.5</v>
      </c>
    </row>
    <row r="32" spans="1:38" ht="39.950000000000003" customHeight="1">
      <c r="A32" s="146">
        <v>44464</v>
      </c>
      <c r="B32" s="16"/>
      <c r="C32" s="74">
        <v>166153</v>
      </c>
      <c r="D32" s="17">
        <f t="shared" si="180"/>
        <v>3920</v>
      </c>
      <c r="E32" s="74">
        <v>266078</v>
      </c>
      <c r="F32" s="17">
        <f t="shared" si="181"/>
        <v>7070</v>
      </c>
      <c r="G32" s="74">
        <v>54685</v>
      </c>
      <c r="H32" s="17">
        <f t="shared" si="168"/>
        <v>3720</v>
      </c>
      <c r="I32" s="17">
        <f t="shared" si="169"/>
        <v>1860</v>
      </c>
      <c r="J32" s="74">
        <v>236819</v>
      </c>
      <c r="K32" s="17">
        <f t="shared" si="159"/>
        <v>6170</v>
      </c>
      <c r="L32" s="74">
        <v>373220</v>
      </c>
      <c r="M32" s="17">
        <f t="shared" si="160"/>
        <v>10170</v>
      </c>
      <c r="N32" s="74">
        <v>44052</v>
      </c>
      <c r="O32" s="17">
        <f t="shared" si="170"/>
        <v>16420</v>
      </c>
      <c r="P32" s="17">
        <f t="shared" si="171"/>
        <v>8210</v>
      </c>
      <c r="Q32" s="74">
        <v>288200</v>
      </c>
      <c r="R32" s="17">
        <f t="shared" si="172"/>
        <v>10910</v>
      </c>
      <c r="S32" s="17">
        <f t="shared" si="173"/>
        <v>5455</v>
      </c>
      <c r="T32" s="74">
        <v>152472</v>
      </c>
      <c r="U32" s="17">
        <f t="shared" si="174"/>
        <v>7840</v>
      </c>
      <c r="V32" s="17">
        <f t="shared" si="175"/>
        <v>3920</v>
      </c>
      <c r="W32" s="74">
        <v>235737</v>
      </c>
      <c r="X32" s="17">
        <f t="shared" si="176"/>
        <v>42</v>
      </c>
      <c r="Y32" s="17">
        <f t="shared" si="177"/>
        <v>21</v>
      </c>
      <c r="Z32" s="74">
        <v>44417</v>
      </c>
      <c r="AA32" s="17">
        <f t="shared" si="163"/>
        <v>115</v>
      </c>
      <c r="AB32" s="74">
        <v>88268</v>
      </c>
      <c r="AC32" s="17">
        <f t="shared" si="164"/>
        <v>207</v>
      </c>
      <c r="AD32" s="74">
        <v>159263</v>
      </c>
      <c r="AE32" s="17">
        <f t="shared" si="165"/>
        <v>383</v>
      </c>
      <c r="AF32" s="74">
        <v>83066</v>
      </c>
      <c r="AG32" s="17">
        <f t="shared" si="166"/>
        <v>191</v>
      </c>
      <c r="AH32" s="74">
        <v>436437</v>
      </c>
      <c r="AI32" s="17">
        <f t="shared" si="167"/>
        <v>1039</v>
      </c>
      <c r="AK32" s="97">
        <f t="shared" si="178"/>
        <v>46796</v>
      </c>
      <c r="AL32" s="98">
        <f t="shared" si="179"/>
        <v>19541</v>
      </c>
    </row>
    <row r="33" spans="1:38" ht="39.950000000000003" customHeight="1">
      <c r="A33" s="146">
        <v>44465</v>
      </c>
      <c r="B33" s="16"/>
      <c r="C33" s="74">
        <v>166538</v>
      </c>
      <c r="D33" s="17">
        <f t="shared" si="180"/>
        <v>3850</v>
      </c>
      <c r="E33" s="74">
        <v>266778</v>
      </c>
      <c r="F33" s="17">
        <f t="shared" si="181"/>
        <v>7000</v>
      </c>
      <c r="G33" s="74">
        <v>55042</v>
      </c>
      <c r="H33" s="17">
        <f t="shared" si="168"/>
        <v>3570</v>
      </c>
      <c r="I33" s="17">
        <f t="shared" si="169"/>
        <v>1785</v>
      </c>
      <c r="J33" s="74">
        <v>237460</v>
      </c>
      <c r="K33" s="17">
        <f t="shared" si="159"/>
        <v>6410</v>
      </c>
      <c r="L33" s="74">
        <v>374264</v>
      </c>
      <c r="M33" s="17">
        <f t="shared" si="160"/>
        <v>10440</v>
      </c>
      <c r="N33" s="74">
        <v>45613</v>
      </c>
      <c r="O33" s="17">
        <f t="shared" si="170"/>
        <v>15610</v>
      </c>
      <c r="P33" s="17">
        <f t="shared" si="171"/>
        <v>7805</v>
      </c>
      <c r="Q33" s="74">
        <v>289232</v>
      </c>
      <c r="R33" s="17">
        <f t="shared" si="172"/>
        <v>10320</v>
      </c>
      <c r="S33" s="17">
        <f t="shared" si="173"/>
        <v>5160</v>
      </c>
      <c r="T33" s="74">
        <v>153164</v>
      </c>
      <c r="U33" s="17">
        <f t="shared" si="174"/>
        <v>6920</v>
      </c>
      <c r="V33" s="17">
        <f t="shared" si="175"/>
        <v>3460</v>
      </c>
      <c r="W33" s="74">
        <v>235779</v>
      </c>
      <c r="X33" s="17">
        <f t="shared" si="176"/>
        <v>42</v>
      </c>
      <c r="Y33" s="17">
        <f t="shared" si="177"/>
        <v>21</v>
      </c>
      <c r="Z33" s="74">
        <v>44530</v>
      </c>
      <c r="AA33" s="17">
        <f t="shared" si="163"/>
        <v>113</v>
      </c>
      <c r="AB33" s="74">
        <v>88482</v>
      </c>
      <c r="AC33" s="17">
        <f t="shared" si="164"/>
        <v>214</v>
      </c>
      <c r="AD33" s="74">
        <v>159636</v>
      </c>
      <c r="AE33" s="17">
        <f t="shared" si="165"/>
        <v>373</v>
      </c>
      <c r="AF33" s="74">
        <v>83262</v>
      </c>
      <c r="AG33" s="17">
        <f t="shared" si="166"/>
        <v>196</v>
      </c>
      <c r="AH33" s="74">
        <v>437468</v>
      </c>
      <c r="AI33" s="17">
        <f t="shared" si="167"/>
        <v>1031</v>
      </c>
      <c r="AK33" s="97">
        <f t="shared" si="178"/>
        <v>45931</v>
      </c>
      <c r="AL33" s="98">
        <f t="shared" si="179"/>
        <v>18373</v>
      </c>
    </row>
    <row r="34" spans="1:38" ht="39.950000000000003" customHeight="1">
      <c r="A34" s="146">
        <v>44466</v>
      </c>
      <c r="B34" s="16"/>
      <c r="C34" s="74">
        <v>166925</v>
      </c>
      <c r="D34" s="17">
        <f t="shared" si="180"/>
        <v>3870</v>
      </c>
      <c r="E34" s="74">
        <v>267474</v>
      </c>
      <c r="F34" s="17">
        <f t="shared" si="181"/>
        <v>6960</v>
      </c>
      <c r="G34" s="74">
        <v>55418</v>
      </c>
      <c r="H34" s="17">
        <f t="shared" si="168"/>
        <v>3760</v>
      </c>
      <c r="I34" s="17">
        <f t="shared" si="169"/>
        <v>1880</v>
      </c>
      <c r="J34" s="74">
        <v>238058</v>
      </c>
      <c r="K34" s="17">
        <f t="shared" si="159"/>
        <v>5980</v>
      </c>
      <c r="L34" s="74">
        <v>375153</v>
      </c>
      <c r="M34" s="17">
        <f t="shared" si="160"/>
        <v>8890</v>
      </c>
      <c r="N34" s="74">
        <v>47268</v>
      </c>
      <c r="O34" s="17">
        <f t="shared" si="170"/>
        <v>16550</v>
      </c>
      <c r="P34" s="17">
        <f t="shared" si="171"/>
        <v>8275</v>
      </c>
      <c r="Q34" s="74">
        <v>290304</v>
      </c>
      <c r="R34" s="17">
        <f t="shared" si="172"/>
        <v>10720</v>
      </c>
      <c r="S34" s="17">
        <f t="shared" si="173"/>
        <v>5360</v>
      </c>
      <c r="T34" s="74">
        <v>153912</v>
      </c>
      <c r="U34" s="17">
        <f t="shared" si="174"/>
        <v>7480</v>
      </c>
      <c r="V34" s="17">
        <f t="shared" si="175"/>
        <v>3740</v>
      </c>
      <c r="W34" s="74">
        <v>235821</v>
      </c>
      <c r="X34" s="17">
        <f t="shared" si="176"/>
        <v>42</v>
      </c>
      <c r="Y34" s="17">
        <f t="shared" si="177"/>
        <v>21</v>
      </c>
      <c r="Z34" s="74">
        <v>44645</v>
      </c>
      <c r="AA34" s="17">
        <f t="shared" si="163"/>
        <v>115</v>
      </c>
      <c r="AB34" s="74">
        <v>88712</v>
      </c>
      <c r="AC34" s="17">
        <f t="shared" si="164"/>
        <v>230</v>
      </c>
      <c r="AD34" s="74">
        <v>160030</v>
      </c>
      <c r="AE34" s="17">
        <f t="shared" si="165"/>
        <v>394</v>
      </c>
      <c r="AF34" s="74">
        <v>83455</v>
      </c>
      <c r="AG34" s="17">
        <f t="shared" si="166"/>
        <v>193</v>
      </c>
      <c r="AH34" s="74">
        <v>438534</v>
      </c>
      <c r="AI34" s="17">
        <f t="shared" si="167"/>
        <v>1066</v>
      </c>
      <c r="AK34" s="97">
        <f t="shared" si="178"/>
        <v>44976</v>
      </c>
      <c r="AL34" s="98">
        <f t="shared" si="179"/>
        <v>19394</v>
      </c>
    </row>
    <row r="35" spans="1:38" ht="39.950000000000003" customHeight="1">
      <c r="A35" s="146">
        <v>44467</v>
      </c>
      <c r="B35" s="16"/>
      <c r="C35" s="74">
        <v>167307</v>
      </c>
      <c r="D35" s="17">
        <f t="shared" si="180"/>
        <v>3820</v>
      </c>
      <c r="E35" s="74">
        <v>268156</v>
      </c>
      <c r="F35" s="17">
        <f t="shared" si="181"/>
        <v>6820</v>
      </c>
      <c r="G35" s="74">
        <v>55785</v>
      </c>
      <c r="H35" s="17">
        <f t="shared" si="168"/>
        <v>3670</v>
      </c>
      <c r="I35" s="17">
        <f t="shared" si="169"/>
        <v>1835</v>
      </c>
      <c r="J35" s="74">
        <v>238687</v>
      </c>
      <c r="K35" s="17">
        <f t="shared" si="159"/>
        <v>6290</v>
      </c>
      <c r="L35" s="74">
        <v>376169</v>
      </c>
      <c r="M35" s="17">
        <f t="shared" si="160"/>
        <v>10160</v>
      </c>
      <c r="N35" s="74">
        <v>48863</v>
      </c>
      <c r="O35" s="17">
        <f t="shared" si="170"/>
        <v>15950</v>
      </c>
      <c r="P35" s="17">
        <f t="shared" si="171"/>
        <v>7975</v>
      </c>
      <c r="Q35" s="74">
        <v>291380</v>
      </c>
      <c r="R35" s="17">
        <f t="shared" si="172"/>
        <v>10760</v>
      </c>
      <c r="S35" s="17">
        <f t="shared" si="173"/>
        <v>5380</v>
      </c>
      <c r="T35" s="74">
        <v>154562</v>
      </c>
      <c r="U35" s="17">
        <f t="shared" si="174"/>
        <v>6500</v>
      </c>
      <c r="V35" s="17">
        <f t="shared" si="175"/>
        <v>3250</v>
      </c>
      <c r="W35" s="74">
        <v>236107</v>
      </c>
      <c r="X35" s="17">
        <f t="shared" si="176"/>
        <v>286</v>
      </c>
      <c r="Y35" s="17">
        <f t="shared" si="177"/>
        <v>143</v>
      </c>
      <c r="Z35" s="74">
        <v>44770</v>
      </c>
      <c r="AA35" s="17">
        <f t="shared" si="163"/>
        <v>125</v>
      </c>
      <c r="AB35" s="74">
        <v>88937</v>
      </c>
      <c r="AC35" s="17">
        <f t="shared" si="164"/>
        <v>225</v>
      </c>
      <c r="AD35" s="74">
        <v>160439</v>
      </c>
      <c r="AE35" s="17">
        <f t="shared" si="165"/>
        <v>409</v>
      </c>
      <c r="AF35" s="74">
        <v>83654</v>
      </c>
      <c r="AG35" s="17">
        <f t="shared" si="166"/>
        <v>199</v>
      </c>
      <c r="AH35" s="74">
        <v>439632</v>
      </c>
      <c r="AI35" s="17">
        <f t="shared" si="167"/>
        <v>1098</v>
      </c>
      <c r="AK35" s="97">
        <f t="shared" si="178"/>
        <v>45673</v>
      </c>
      <c r="AL35" s="98">
        <f t="shared" si="179"/>
        <v>18804</v>
      </c>
    </row>
    <row r="36" spans="1:38" ht="39.950000000000003" customHeight="1">
      <c r="A36" s="146">
        <v>44468</v>
      </c>
      <c r="B36" s="16"/>
      <c r="C36" s="74">
        <v>167690</v>
      </c>
      <c r="D36" s="17">
        <f t="shared" si="180"/>
        <v>3830</v>
      </c>
      <c r="E36" s="74">
        <v>268837</v>
      </c>
      <c r="F36" s="17">
        <f t="shared" si="181"/>
        <v>6810</v>
      </c>
      <c r="G36" s="74">
        <v>56157</v>
      </c>
      <c r="H36" s="17">
        <f t="shared" ref="H36:H37" si="182">(G36-G35)*10</f>
        <v>3720</v>
      </c>
      <c r="I36" s="17">
        <f t="shared" ref="I36:I37" si="183">H36*50%</f>
        <v>1860</v>
      </c>
      <c r="J36" s="74">
        <v>239303</v>
      </c>
      <c r="K36" s="17">
        <f t="shared" si="159"/>
        <v>6160</v>
      </c>
      <c r="L36" s="74">
        <v>377161</v>
      </c>
      <c r="M36" s="17">
        <f t="shared" si="160"/>
        <v>9920</v>
      </c>
      <c r="N36" s="74">
        <v>50505</v>
      </c>
      <c r="O36" s="17">
        <f t="shared" ref="O36:O37" si="184">(N36-N35)*10</f>
        <v>16420</v>
      </c>
      <c r="P36" s="17">
        <f t="shared" ref="P36:P37" si="185">O36*50%</f>
        <v>8210</v>
      </c>
      <c r="Q36" s="74">
        <v>292449</v>
      </c>
      <c r="R36" s="17">
        <f t="shared" ref="R36:R37" si="186">(Q36-Q35)*10</f>
        <v>10690</v>
      </c>
      <c r="S36" s="17">
        <f t="shared" ref="S36:S37" si="187">R36*50%</f>
        <v>5345</v>
      </c>
      <c r="T36" s="74">
        <v>155284</v>
      </c>
      <c r="U36" s="17">
        <f t="shared" ref="U36:U37" si="188">(T36-T35)*10</f>
        <v>7220</v>
      </c>
      <c r="V36" s="17">
        <f t="shared" ref="V36:V37" si="189">U36*50%</f>
        <v>3610</v>
      </c>
      <c r="W36" s="74">
        <v>236507</v>
      </c>
      <c r="X36" s="17">
        <f t="shared" ref="X36:X37" si="190">W36-W35</f>
        <v>400</v>
      </c>
      <c r="Y36" s="17">
        <f t="shared" ref="Y36:Y37" si="191">X36*50%</f>
        <v>200</v>
      </c>
      <c r="Z36" s="74">
        <v>44883</v>
      </c>
      <c r="AA36" s="17">
        <f t="shared" si="163"/>
        <v>113</v>
      </c>
      <c r="AB36" s="74">
        <v>89158</v>
      </c>
      <c r="AC36" s="17">
        <f t="shared" si="164"/>
        <v>221</v>
      </c>
      <c r="AD36" s="74">
        <v>160832</v>
      </c>
      <c r="AE36" s="17">
        <f t="shared" si="165"/>
        <v>393</v>
      </c>
      <c r="AF36" s="74">
        <v>83849</v>
      </c>
      <c r="AG36" s="17">
        <f t="shared" si="166"/>
        <v>195</v>
      </c>
      <c r="AH36" s="74">
        <v>440695</v>
      </c>
      <c r="AI36" s="17">
        <f t="shared" si="167"/>
        <v>1063</v>
      </c>
      <c r="AK36" s="97">
        <f t="shared" ref="AK36:AK37" si="192">SUM(D36,F36,I36,K36,M36,P36,S36,V36,Y36)</f>
        <v>45945</v>
      </c>
      <c r="AL36" s="98">
        <f t="shared" ref="AL36:AL37" si="193">SUM(P36,S36,V36,Y36,AA36,AC36,AE36,AG36,AI36)</f>
        <v>19350</v>
      </c>
    </row>
    <row r="37" spans="1:38" ht="39.950000000000003" customHeight="1">
      <c r="A37" s="146">
        <v>44469</v>
      </c>
      <c r="B37" s="16"/>
      <c r="C37" s="74">
        <v>168122</v>
      </c>
      <c r="D37" s="17">
        <f t="shared" si="180"/>
        <v>4320</v>
      </c>
      <c r="E37" s="74">
        <v>269595</v>
      </c>
      <c r="F37" s="17">
        <f t="shared" si="181"/>
        <v>7580</v>
      </c>
      <c r="G37" s="74">
        <v>56559</v>
      </c>
      <c r="H37" s="17">
        <f t="shared" si="182"/>
        <v>4020</v>
      </c>
      <c r="I37" s="17">
        <f t="shared" si="183"/>
        <v>2010</v>
      </c>
      <c r="J37" s="74">
        <v>239902</v>
      </c>
      <c r="K37" s="17">
        <f t="shared" si="159"/>
        <v>5990</v>
      </c>
      <c r="L37" s="74">
        <v>378277</v>
      </c>
      <c r="M37" s="17">
        <f t="shared" si="160"/>
        <v>11160</v>
      </c>
      <c r="N37" s="74">
        <v>52330</v>
      </c>
      <c r="O37" s="17">
        <f t="shared" si="184"/>
        <v>18250</v>
      </c>
      <c r="P37" s="17">
        <f t="shared" si="185"/>
        <v>9125</v>
      </c>
      <c r="Q37" s="74">
        <v>293595</v>
      </c>
      <c r="R37" s="17">
        <f t="shared" si="186"/>
        <v>11460</v>
      </c>
      <c r="S37" s="17">
        <f t="shared" si="187"/>
        <v>5730</v>
      </c>
      <c r="T37" s="74">
        <v>156152</v>
      </c>
      <c r="U37" s="17">
        <f t="shared" si="188"/>
        <v>8680</v>
      </c>
      <c r="V37" s="17">
        <f t="shared" si="189"/>
        <v>4340</v>
      </c>
      <c r="W37" s="74">
        <v>237216</v>
      </c>
      <c r="X37" s="17">
        <f t="shared" si="190"/>
        <v>709</v>
      </c>
      <c r="Y37" s="17">
        <f t="shared" si="191"/>
        <v>354.5</v>
      </c>
      <c r="Z37" s="74">
        <v>45006</v>
      </c>
      <c r="AA37" s="17">
        <f t="shared" si="163"/>
        <v>123</v>
      </c>
      <c r="AB37" s="74">
        <v>89398</v>
      </c>
      <c r="AC37" s="17">
        <f t="shared" si="164"/>
        <v>240</v>
      </c>
      <c r="AD37" s="74">
        <v>161267</v>
      </c>
      <c r="AE37" s="17">
        <f t="shared" si="165"/>
        <v>435</v>
      </c>
      <c r="AF37" s="74">
        <v>84068</v>
      </c>
      <c r="AG37" s="17">
        <f t="shared" si="166"/>
        <v>219</v>
      </c>
      <c r="AH37" s="74">
        <v>441876</v>
      </c>
      <c r="AI37" s="17">
        <f t="shared" si="167"/>
        <v>1181</v>
      </c>
      <c r="AK37" s="97">
        <f t="shared" si="192"/>
        <v>50609.5</v>
      </c>
      <c r="AL37" s="98">
        <f t="shared" si="193"/>
        <v>21747.5</v>
      </c>
    </row>
    <row r="39" spans="1:38" s="22" customFormat="1" ht="39.950000000000003" customHeight="1">
      <c r="A39" s="21"/>
      <c r="C39" s="75"/>
      <c r="D39" s="23"/>
      <c r="F39" s="23"/>
      <c r="H39" s="23"/>
      <c r="I39" s="23"/>
      <c r="K39" s="23"/>
      <c r="M39" s="23"/>
      <c r="O39" s="23"/>
      <c r="P39" s="23"/>
      <c r="R39" s="23"/>
      <c r="S39" s="23"/>
      <c r="U39" s="23"/>
      <c r="V39" s="23"/>
      <c r="X39" s="23"/>
      <c r="Y39" s="23"/>
      <c r="AA39" s="23"/>
      <c r="AC39" s="23"/>
      <c r="AE39" s="23"/>
      <c r="AG39" s="23"/>
      <c r="AI39" s="23"/>
    </row>
    <row r="40" spans="1:38" s="19" customFormat="1" ht="39.950000000000003" customHeight="1">
      <c r="A40" s="18"/>
      <c r="D40" s="20"/>
    </row>
    <row r="41" spans="1:38" s="19" customFormat="1" ht="39.950000000000003" customHeight="1">
      <c r="A41" s="18"/>
      <c r="D41" s="20"/>
    </row>
    <row r="42" spans="1:38" ht="39.950000000000003" customHeight="1">
      <c r="A42" s="11"/>
    </row>
    <row r="43" spans="1:38">
      <c r="A43" s="11"/>
    </row>
    <row r="44" spans="1:38">
      <c r="A44" s="11"/>
    </row>
    <row r="45" spans="1:38">
      <c r="A45" s="11"/>
    </row>
    <row r="46" spans="1:38">
      <c r="A46" s="11"/>
    </row>
    <row r="47" spans="1:38">
      <c r="A47" s="11"/>
    </row>
    <row r="48" spans="1:38">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70">
    <mergeCell ref="L5:M5"/>
    <mergeCell ref="W1:Y1"/>
    <mergeCell ref="W2:Y2"/>
    <mergeCell ref="W3:Y3"/>
    <mergeCell ref="W4:Y4"/>
    <mergeCell ref="W5:Y5"/>
    <mergeCell ref="L3:M3"/>
    <mergeCell ref="AF3:AG3"/>
    <mergeCell ref="AF4:AG4"/>
    <mergeCell ref="AF5:AG5"/>
    <mergeCell ref="AH3:AI3"/>
    <mergeCell ref="AH4:AI4"/>
    <mergeCell ref="AH5:AI5"/>
    <mergeCell ref="AB3:AC3"/>
    <mergeCell ref="AB4:AC4"/>
    <mergeCell ref="AB5:AC5"/>
    <mergeCell ref="AD3:AE3"/>
    <mergeCell ref="AD4:AE4"/>
    <mergeCell ref="AD5:AE5"/>
    <mergeCell ref="Z4:AA4"/>
    <mergeCell ref="Z5:AA5"/>
    <mergeCell ref="Q3:S3"/>
    <mergeCell ref="Q4:S4"/>
    <mergeCell ref="Q5:S5"/>
    <mergeCell ref="T3:V3"/>
    <mergeCell ref="T4:V4"/>
    <mergeCell ref="T5:V5"/>
    <mergeCell ref="Z3:AA3"/>
    <mergeCell ref="Z2:AA2"/>
    <mergeCell ref="C2:D2"/>
    <mergeCell ref="C1:D1"/>
    <mergeCell ref="Z1:AA1"/>
    <mergeCell ref="G2:I2"/>
    <mergeCell ref="Q1:S1"/>
    <mergeCell ref="N1:P1"/>
    <mergeCell ref="Q2:S2"/>
    <mergeCell ref="T1:V1"/>
    <mergeCell ref="T2:V2"/>
    <mergeCell ref="G3:I3"/>
    <mergeCell ref="N2:P2"/>
    <mergeCell ref="N3:P3"/>
    <mergeCell ref="C5:D5"/>
    <mergeCell ref="E3:F3"/>
    <mergeCell ref="E4:F4"/>
    <mergeCell ref="E5:F5"/>
    <mergeCell ref="J3:K3"/>
    <mergeCell ref="J4:K4"/>
    <mergeCell ref="C3:D3"/>
    <mergeCell ref="C4:D4"/>
    <mergeCell ref="G4:I4"/>
    <mergeCell ref="G5:I5"/>
    <mergeCell ref="N4:P4"/>
    <mergeCell ref="N5:P5"/>
    <mergeCell ref="L4:M4"/>
    <mergeCell ref="AK3:AL4"/>
    <mergeCell ref="E2:F2"/>
    <mergeCell ref="L2:M2"/>
    <mergeCell ref="J2:K2"/>
    <mergeCell ref="G1:H1"/>
    <mergeCell ref="E1:F1"/>
    <mergeCell ref="L1:M1"/>
    <mergeCell ref="J1:K1"/>
    <mergeCell ref="AH2:AI2"/>
    <mergeCell ref="AD2:AE2"/>
    <mergeCell ref="AH1:AI1"/>
    <mergeCell ref="AD1:AE1"/>
    <mergeCell ref="AF2:AG2"/>
    <mergeCell ref="AB2:AC2"/>
    <mergeCell ref="AB1:AC1"/>
    <mergeCell ref="AF1:AG1"/>
  </mergeCells>
  <phoneticPr fontId="30" type="noConversion"/>
  <printOptions horizontalCentered="1" verticalCentered="1"/>
  <pageMargins left="0" right="0" top="0.74803149606299213" bottom="0.74803149606299213" header="0.31496062992125984" footer="0.31496062992125984"/>
  <pageSetup paperSize="9" scale="30" orientation="landscape" r:id="rId1"/>
  <colBreaks count="2" manualBreakCount="2">
    <brk id="13" max="38" man="1"/>
    <brk id="25" max="38"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89"/>
  <sheetViews>
    <sheetView zoomScale="50" zoomScaleNormal="50" zoomScaleSheetLayoutView="30" workbookViewId="0">
      <pane xSplit="2" ySplit="4" topLeftCell="C14" activePane="bottomRight" state="frozen"/>
      <selection pane="topRight" activeCell="C1" sqref="C1"/>
      <selection pane="bottomLeft" activeCell="A5" sqref="A5"/>
      <selection pane="bottomRight" activeCell="S36" sqref="S36"/>
    </sheetView>
  </sheetViews>
  <sheetFormatPr defaultRowHeight="21"/>
  <cols>
    <col min="1" max="1" width="15.7109375" style="9" customWidth="1"/>
    <col min="2" max="2" width="2.42578125" customWidth="1"/>
    <col min="3" max="3" width="30.7109375" customWidth="1"/>
    <col min="4" max="4" width="30.7109375" style="1" customWidth="1"/>
    <col min="5" max="16" width="30.7109375" customWidth="1"/>
    <col min="18" max="19" width="20.7109375" customWidth="1"/>
  </cols>
  <sheetData>
    <row r="1" spans="1:20" s="12" customFormat="1" ht="49.5" customHeight="1">
      <c r="A1" s="110"/>
      <c r="B1" s="110"/>
      <c r="C1" s="203" t="s">
        <v>65</v>
      </c>
      <c r="D1" s="203"/>
      <c r="E1" s="203" t="s">
        <v>65</v>
      </c>
      <c r="F1" s="203"/>
      <c r="G1" s="203" t="s">
        <v>65</v>
      </c>
      <c r="H1" s="203"/>
      <c r="I1" s="203" t="s">
        <v>65</v>
      </c>
      <c r="J1" s="203"/>
      <c r="K1" s="216" t="s">
        <v>66</v>
      </c>
      <c r="L1" s="217"/>
      <c r="M1" s="217"/>
      <c r="N1" s="218"/>
      <c r="O1" s="203" t="s">
        <v>67</v>
      </c>
      <c r="P1" s="203"/>
    </row>
    <row r="2" spans="1:20" s="27" customFormat="1" ht="113.25" customHeight="1">
      <c r="A2" s="26"/>
      <c r="B2" s="26"/>
      <c r="C2" s="219" t="s">
        <v>103</v>
      </c>
      <c r="D2" s="220"/>
      <c r="E2" s="219" t="s">
        <v>104</v>
      </c>
      <c r="F2" s="220"/>
      <c r="G2" s="219" t="s">
        <v>105</v>
      </c>
      <c r="H2" s="220"/>
      <c r="I2" s="219" t="s">
        <v>106</v>
      </c>
      <c r="J2" s="220"/>
      <c r="K2" s="230" t="s">
        <v>107</v>
      </c>
      <c r="L2" s="231"/>
      <c r="M2" s="231"/>
      <c r="N2" s="232"/>
      <c r="O2" s="219" t="s">
        <v>108</v>
      </c>
      <c r="P2" s="220"/>
    </row>
    <row r="3" spans="1:20" s="32" customFormat="1" ht="50.1" customHeight="1">
      <c r="A3" s="41"/>
      <c r="B3" s="41"/>
      <c r="C3" s="225" t="s">
        <v>109</v>
      </c>
      <c r="D3" s="226"/>
      <c r="E3" s="223" t="s">
        <v>110</v>
      </c>
      <c r="F3" s="224"/>
      <c r="G3" s="221" t="s">
        <v>111</v>
      </c>
      <c r="H3" s="222"/>
      <c r="I3" s="223" t="s">
        <v>112</v>
      </c>
      <c r="J3" s="224"/>
      <c r="K3" s="227" t="s">
        <v>113</v>
      </c>
      <c r="L3" s="228"/>
      <c r="M3" s="228"/>
      <c r="N3" s="229"/>
      <c r="O3" s="225" t="s">
        <v>114</v>
      </c>
      <c r="P3" s="226"/>
      <c r="R3" s="201" t="s">
        <v>81</v>
      </c>
      <c r="S3" s="201"/>
    </row>
    <row r="4" spans="1:20" s="8" customFormat="1" ht="30" customHeight="1">
      <c r="A4" s="108" t="s">
        <v>96</v>
      </c>
      <c r="B4" s="51"/>
      <c r="C4" s="210"/>
      <c r="D4" s="211"/>
      <c r="E4" s="210"/>
      <c r="F4" s="211"/>
      <c r="G4" s="210"/>
      <c r="H4" s="211"/>
      <c r="I4" s="210"/>
      <c r="J4" s="211"/>
      <c r="K4" s="210"/>
      <c r="L4" s="215"/>
      <c r="M4" s="215"/>
      <c r="N4" s="211"/>
      <c r="O4" s="51"/>
      <c r="P4" s="51"/>
      <c r="R4" s="201"/>
      <c r="S4" s="201"/>
    </row>
    <row r="5" spans="1:20" s="10" customFormat="1" ht="50.1" customHeight="1">
      <c r="A5" s="108" t="s">
        <v>99</v>
      </c>
      <c r="B5" s="108"/>
      <c r="C5" s="108" t="s">
        <v>115</v>
      </c>
      <c r="D5" s="108" t="s">
        <v>116</v>
      </c>
      <c r="E5" s="108" t="s">
        <v>115</v>
      </c>
      <c r="F5" s="108" t="s">
        <v>116</v>
      </c>
      <c r="G5" s="108" t="s">
        <v>115</v>
      </c>
      <c r="H5" s="108" t="s">
        <v>116</v>
      </c>
      <c r="I5" s="108" t="s">
        <v>115</v>
      </c>
      <c r="J5" s="108" t="s">
        <v>116</v>
      </c>
      <c r="K5" s="108" t="s">
        <v>115</v>
      </c>
      <c r="L5" s="108" t="s">
        <v>116</v>
      </c>
      <c r="M5" s="108" t="s">
        <v>65</v>
      </c>
      <c r="N5" s="108" t="s">
        <v>67</v>
      </c>
      <c r="O5" s="108" t="s">
        <v>115</v>
      </c>
      <c r="P5" s="108" t="s">
        <v>116</v>
      </c>
      <c r="R5" s="108"/>
      <c r="S5" s="108"/>
    </row>
    <row r="6" spans="1:20" ht="39.950000000000003" customHeight="1">
      <c r="A6" s="146">
        <v>44439</v>
      </c>
      <c r="B6" s="16"/>
      <c r="C6" s="194">
        <v>17725</v>
      </c>
      <c r="D6" s="181"/>
      <c r="E6" s="194">
        <v>20686</v>
      </c>
      <c r="F6" s="181"/>
      <c r="G6" s="194">
        <v>7261.58</v>
      </c>
      <c r="H6" s="181"/>
      <c r="I6" s="194">
        <v>14742</v>
      </c>
      <c r="J6" s="181"/>
      <c r="K6" s="194">
        <v>10850</v>
      </c>
      <c r="L6" s="76"/>
      <c r="M6" s="181"/>
      <c r="N6" s="181"/>
      <c r="O6" s="194">
        <v>5844</v>
      </c>
      <c r="P6" s="181"/>
      <c r="R6" s="97"/>
      <c r="S6" s="98"/>
    </row>
    <row r="7" spans="1:20" s="2" customFormat="1" ht="39.950000000000003" customHeight="1">
      <c r="A7" s="146">
        <v>44440</v>
      </c>
      <c r="B7" s="15"/>
      <c r="C7" s="194">
        <v>17846</v>
      </c>
      <c r="D7" s="181">
        <f>(C7-C6)</f>
        <v>121</v>
      </c>
      <c r="E7" s="194">
        <v>20959</v>
      </c>
      <c r="F7" s="181">
        <f>(E7-E6)</f>
        <v>273</v>
      </c>
      <c r="G7" s="194">
        <v>7265</v>
      </c>
      <c r="H7" s="181">
        <f>(G7-G6)</f>
        <v>3.4200000000000728</v>
      </c>
      <c r="I7" s="194">
        <v>14752</v>
      </c>
      <c r="J7" s="181">
        <f>(I7-I6)</f>
        <v>10</v>
      </c>
      <c r="K7" s="194">
        <v>10990</v>
      </c>
      <c r="L7" s="76">
        <f>(K7-K6)</f>
        <v>140</v>
      </c>
      <c r="M7" s="181">
        <f>L7*55%</f>
        <v>77</v>
      </c>
      <c r="N7" s="181">
        <f>L7*45%</f>
        <v>63</v>
      </c>
      <c r="O7" s="194">
        <v>5929</v>
      </c>
      <c r="P7" s="181">
        <f>(O7-O6)</f>
        <v>85</v>
      </c>
      <c r="R7" s="107">
        <f t="shared" ref="R7:R34" si="0">SUM(D7,F7,M71,H7)</f>
        <v>397.42000000000007</v>
      </c>
      <c r="S7" s="98">
        <f>SUM(N7,P7)</f>
        <v>148</v>
      </c>
    </row>
    <row r="8" spans="1:20" ht="39.950000000000003" customHeight="1">
      <c r="A8" s="146">
        <v>44441</v>
      </c>
      <c r="B8" s="16"/>
      <c r="C8" s="194">
        <v>17966</v>
      </c>
      <c r="D8" s="181">
        <f t="shared" ref="D8:F35" si="1">(C8-C7)</f>
        <v>120</v>
      </c>
      <c r="E8" s="194">
        <v>21232</v>
      </c>
      <c r="F8" s="181">
        <f t="shared" si="1"/>
        <v>273</v>
      </c>
      <c r="G8" s="194">
        <v>7268</v>
      </c>
      <c r="H8" s="181">
        <f t="shared" ref="H8" si="2">(G8-G7)</f>
        <v>3</v>
      </c>
      <c r="I8" s="194">
        <v>14763</v>
      </c>
      <c r="J8" s="181">
        <f t="shared" ref="J8" si="3">(I8-I7)</f>
        <v>11</v>
      </c>
      <c r="K8" s="194">
        <v>11131</v>
      </c>
      <c r="L8" s="76">
        <f t="shared" ref="L8" si="4">(K8-K7)</f>
        <v>141</v>
      </c>
      <c r="M8" s="181">
        <f t="shared" ref="M8:M34" si="5">L8*55%</f>
        <v>77.550000000000011</v>
      </c>
      <c r="N8" s="181">
        <f t="shared" ref="N8:N34" si="6">L8*45%</f>
        <v>63.45</v>
      </c>
      <c r="O8" s="194">
        <v>6016</v>
      </c>
      <c r="P8" s="181">
        <f t="shared" ref="P8" si="7">(O8-O7)</f>
        <v>87</v>
      </c>
      <c r="R8" s="107">
        <f t="shared" si="0"/>
        <v>396</v>
      </c>
      <c r="S8" s="98">
        <f t="shared" ref="S8:S34" si="8">SUM(N8,P8)</f>
        <v>150.44999999999999</v>
      </c>
    </row>
    <row r="9" spans="1:20" ht="39.950000000000003" customHeight="1">
      <c r="A9" s="146">
        <v>44442</v>
      </c>
      <c r="B9" s="16"/>
      <c r="C9" s="194">
        <v>18086</v>
      </c>
      <c r="D9" s="181">
        <f t="shared" si="1"/>
        <v>120</v>
      </c>
      <c r="E9" s="194">
        <v>21506</v>
      </c>
      <c r="F9" s="181">
        <f t="shared" si="1"/>
        <v>274</v>
      </c>
      <c r="G9" s="194">
        <v>7271</v>
      </c>
      <c r="H9" s="181">
        <f t="shared" ref="H9" si="9">(G9-G8)</f>
        <v>3</v>
      </c>
      <c r="I9" s="194">
        <v>14775</v>
      </c>
      <c r="J9" s="181">
        <f t="shared" ref="J9" si="10">(I9-I8)</f>
        <v>12</v>
      </c>
      <c r="K9" s="194">
        <v>11270</v>
      </c>
      <c r="L9" s="76">
        <f t="shared" ref="L9" si="11">(K9-K8)</f>
        <v>139</v>
      </c>
      <c r="M9" s="181">
        <f t="shared" si="5"/>
        <v>76.45</v>
      </c>
      <c r="N9" s="181">
        <f t="shared" si="6"/>
        <v>62.550000000000004</v>
      </c>
      <c r="O9" s="194">
        <v>6102</v>
      </c>
      <c r="P9" s="181">
        <f t="shared" ref="P9" si="12">(O9-O8)</f>
        <v>86</v>
      </c>
      <c r="R9" s="107">
        <f t="shared" si="0"/>
        <v>397</v>
      </c>
      <c r="S9" s="98">
        <f t="shared" si="8"/>
        <v>148.55000000000001</v>
      </c>
    </row>
    <row r="10" spans="1:20" ht="39.950000000000003" customHeight="1">
      <c r="A10" s="146">
        <v>44443</v>
      </c>
      <c r="B10" s="16"/>
      <c r="C10" s="194">
        <v>18207</v>
      </c>
      <c r="D10" s="181">
        <f t="shared" si="1"/>
        <v>121</v>
      </c>
      <c r="E10" s="194">
        <v>21778</v>
      </c>
      <c r="F10" s="181">
        <f t="shared" si="1"/>
        <v>272</v>
      </c>
      <c r="G10" s="194">
        <v>7274</v>
      </c>
      <c r="H10" s="181">
        <f t="shared" ref="H10" si="13">(G10-G9)</f>
        <v>3</v>
      </c>
      <c r="I10" s="194">
        <v>14786</v>
      </c>
      <c r="J10" s="181">
        <f t="shared" ref="J10" si="14">(I10-I9)</f>
        <v>11</v>
      </c>
      <c r="K10" s="194">
        <v>11410</v>
      </c>
      <c r="L10" s="76">
        <f t="shared" ref="L10" si="15">(K10-K9)</f>
        <v>140</v>
      </c>
      <c r="M10" s="181">
        <f t="shared" si="5"/>
        <v>77</v>
      </c>
      <c r="N10" s="181">
        <f t="shared" si="6"/>
        <v>63</v>
      </c>
      <c r="O10" s="194">
        <v>6189</v>
      </c>
      <c r="P10" s="181">
        <f t="shared" ref="P10" si="16">(O10-O9)</f>
        <v>87</v>
      </c>
      <c r="R10" s="107">
        <f t="shared" si="0"/>
        <v>396</v>
      </c>
      <c r="S10" s="98">
        <f t="shared" si="8"/>
        <v>150</v>
      </c>
    </row>
    <row r="11" spans="1:20" ht="39.950000000000003" customHeight="1">
      <c r="A11" s="146">
        <v>44444</v>
      </c>
      <c r="B11" s="16"/>
      <c r="C11" s="194">
        <v>18329</v>
      </c>
      <c r="D11" s="181">
        <f t="shared" si="1"/>
        <v>122</v>
      </c>
      <c r="E11" s="194">
        <v>22055</v>
      </c>
      <c r="F11" s="181">
        <f t="shared" si="1"/>
        <v>277</v>
      </c>
      <c r="G11" s="194">
        <v>7277</v>
      </c>
      <c r="H11" s="181">
        <f t="shared" ref="H11" si="17">(G11-G10)</f>
        <v>3</v>
      </c>
      <c r="I11" s="194">
        <v>14797</v>
      </c>
      <c r="J11" s="181">
        <f t="shared" ref="J11" si="18">(I11-I10)</f>
        <v>11</v>
      </c>
      <c r="K11" s="194">
        <v>11553</v>
      </c>
      <c r="L11" s="76">
        <f t="shared" ref="L11" si="19">(K11-K10)</f>
        <v>143</v>
      </c>
      <c r="M11" s="181">
        <f t="shared" si="5"/>
        <v>78.650000000000006</v>
      </c>
      <c r="N11" s="181">
        <f t="shared" si="6"/>
        <v>64.350000000000009</v>
      </c>
      <c r="O11" s="194">
        <v>6274</v>
      </c>
      <c r="P11" s="181">
        <f t="shared" ref="P11" si="20">(O11-O10)</f>
        <v>85</v>
      </c>
      <c r="R11" s="107">
        <f t="shared" si="0"/>
        <v>402</v>
      </c>
      <c r="S11" s="98">
        <f t="shared" si="8"/>
        <v>149.35000000000002</v>
      </c>
    </row>
    <row r="12" spans="1:20" ht="39.950000000000003" customHeight="1">
      <c r="A12" s="146">
        <v>44445</v>
      </c>
      <c r="B12" s="16"/>
      <c r="C12" s="194">
        <v>18469</v>
      </c>
      <c r="D12" s="181">
        <f t="shared" si="1"/>
        <v>140</v>
      </c>
      <c r="E12" s="194">
        <v>22351</v>
      </c>
      <c r="F12" s="181">
        <f t="shared" si="1"/>
        <v>296</v>
      </c>
      <c r="G12" s="194">
        <v>7280</v>
      </c>
      <c r="H12" s="181">
        <f t="shared" ref="H12" si="21">(G12-G11)</f>
        <v>3</v>
      </c>
      <c r="I12" s="194">
        <v>14808</v>
      </c>
      <c r="J12" s="181">
        <f t="shared" ref="J12" si="22">(I12-I11)</f>
        <v>11</v>
      </c>
      <c r="K12" s="194">
        <v>11707</v>
      </c>
      <c r="L12" s="76">
        <f t="shared" ref="L12" si="23">(K12-K11)</f>
        <v>154</v>
      </c>
      <c r="M12" s="181">
        <f t="shared" si="5"/>
        <v>84.7</v>
      </c>
      <c r="N12" s="181">
        <f t="shared" si="6"/>
        <v>69.3</v>
      </c>
      <c r="O12" s="194">
        <v>6375</v>
      </c>
      <c r="P12" s="181">
        <f t="shared" ref="P12" si="24">(O12-O11)</f>
        <v>101</v>
      </c>
      <c r="R12" s="107">
        <f t="shared" si="0"/>
        <v>439</v>
      </c>
      <c r="S12" s="98">
        <f t="shared" si="8"/>
        <v>170.3</v>
      </c>
    </row>
    <row r="13" spans="1:20" ht="39.950000000000003" customHeight="1">
      <c r="A13" s="146">
        <v>44446</v>
      </c>
      <c r="B13" s="16"/>
      <c r="C13" s="194">
        <v>18622</v>
      </c>
      <c r="D13" s="181">
        <f t="shared" si="1"/>
        <v>153</v>
      </c>
      <c r="E13" s="194">
        <v>22614</v>
      </c>
      <c r="F13" s="181">
        <f t="shared" si="1"/>
        <v>263</v>
      </c>
      <c r="G13" s="194">
        <v>7287</v>
      </c>
      <c r="H13" s="181">
        <f t="shared" ref="H13" si="25">(G13-G12)</f>
        <v>7</v>
      </c>
      <c r="I13" s="194">
        <v>14826</v>
      </c>
      <c r="J13" s="181">
        <f t="shared" ref="J13" si="26">(I13-I12)</f>
        <v>18</v>
      </c>
      <c r="K13" s="194">
        <v>11853</v>
      </c>
      <c r="L13" s="76">
        <f t="shared" ref="L13" si="27">(K13-K12)</f>
        <v>146</v>
      </c>
      <c r="M13" s="181">
        <f t="shared" si="5"/>
        <v>80.300000000000011</v>
      </c>
      <c r="N13" s="181">
        <f t="shared" si="6"/>
        <v>65.7</v>
      </c>
      <c r="O13" s="194">
        <v>6487</v>
      </c>
      <c r="P13" s="181">
        <f t="shared" ref="P13" si="28">(O13-O12)</f>
        <v>112</v>
      </c>
      <c r="R13" s="107">
        <f t="shared" si="0"/>
        <v>423</v>
      </c>
      <c r="S13" s="98">
        <f t="shared" si="8"/>
        <v>177.7</v>
      </c>
    </row>
    <row r="14" spans="1:20" ht="39.950000000000003" customHeight="1">
      <c r="A14" s="146">
        <v>44447</v>
      </c>
      <c r="B14" s="16"/>
      <c r="C14" s="194">
        <v>18672</v>
      </c>
      <c r="D14" s="181">
        <f t="shared" si="1"/>
        <v>50</v>
      </c>
      <c r="E14" s="194">
        <v>22889</v>
      </c>
      <c r="F14" s="181">
        <f t="shared" si="1"/>
        <v>275</v>
      </c>
      <c r="G14" s="194">
        <v>7292</v>
      </c>
      <c r="H14" s="181">
        <f t="shared" ref="H14" si="29">(G14-G13)</f>
        <v>5</v>
      </c>
      <c r="I14" s="194">
        <v>14841</v>
      </c>
      <c r="J14" s="181">
        <f t="shared" ref="J14" si="30">(I14-I13)</f>
        <v>15</v>
      </c>
      <c r="K14" s="194">
        <v>12007</v>
      </c>
      <c r="L14" s="76">
        <f t="shared" ref="L14" si="31">(K14-K13)</f>
        <v>154</v>
      </c>
      <c r="M14" s="181">
        <f t="shared" si="5"/>
        <v>84.7</v>
      </c>
      <c r="N14" s="181">
        <f t="shared" si="6"/>
        <v>69.3</v>
      </c>
      <c r="O14" s="194">
        <v>6568</v>
      </c>
      <c r="P14" s="181">
        <f t="shared" ref="P14" si="32">(O14-O13)</f>
        <v>81</v>
      </c>
      <c r="R14" s="107">
        <f t="shared" si="0"/>
        <v>330</v>
      </c>
      <c r="S14" s="98">
        <f t="shared" si="8"/>
        <v>150.30000000000001</v>
      </c>
    </row>
    <row r="15" spans="1:20" ht="39.950000000000003" customHeight="1">
      <c r="A15" s="146">
        <v>44448</v>
      </c>
      <c r="B15" s="16"/>
      <c r="C15" s="194">
        <v>18931</v>
      </c>
      <c r="D15" s="181">
        <f t="shared" si="1"/>
        <v>259</v>
      </c>
      <c r="E15" s="194">
        <v>23175</v>
      </c>
      <c r="F15" s="181">
        <f t="shared" si="1"/>
        <v>286</v>
      </c>
      <c r="G15" s="194">
        <v>7296</v>
      </c>
      <c r="H15" s="181">
        <f t="shared" ref="H15" si="33">(G15-G14)</f>
        <v>4</v>
      </c>
      <c r="I15" s="194">
        <f>(I17-I14)/3+I14</f>
        <v>14856</v>
      </c>
      <c r="J15" s="181">
        <f t="shared" ref="J15" si="34">(I15-I14)</f>
        <v>15</v>
      </c>
      <c r="K15" s="194">
        <v>12167</v>
      </c>
      <c r="L15" s="76">
        <f t="shared" ref="L15" si="35">(K15-K14)</f>
        <v>160</v>
      </c>
      <c r="M15" s="181">
        <f t="shared" si="5"/>
        <v>88</v>
      </c>
      <c r="N15" s="181">
        <f t="shared" si="6"/>
        <v>72</v>
      </c>
      <c r="O15" s="194">
        <v>6686</v>
      </c>
      <c r="P15" s="181">
        <f t="shared" ref="P15" si="36">(O15-O14)</f>
        <v>118</v>
      </c>
      <c r="R15" s="107">
        <f t="shared" si="0"/>
        <v>549</v>
      </c>
      <c r="S15" s="98">
        <f t="shared" si="8"/>
        <v>190</v>
      </c>
    </row>
    <row r="16" spans="1:20" ht="39.950000000000003" customHeight="1">
      <c r="A16" s="146">
        <v>44449</v>
      </c>
      <c r="B16" s="16"/>
      <c r="C16" s="194">
        <v>19148</v>
      </c>
      <c r="D16" s="181">
        <f t="shared" si="1"/>
        <v>217</v>
      </c>
      <c r="E16" s="194">
        <v>23453</v>
      </c>
      <c r="F16" s="181">
        <f t="shared" si="1"/>
        <v>278</v>
      </c>
      <c r="G16" s="194">
        <v>7309</v>
      </c>
      <c r="H16" s="181">
        <f t="shared" ref="H16" si="37">(G16-G15)</f>
        <v>13</v>
      </c>
      <c r="I16" s="194">
        <f>(I17-I14)/3+I15</f>
        <v>14871</v>
      </c>
      <c r="J16" s="181">
        <f t="shared" ref="J16" si="38">(I16-I15)</f>
        <v>15</v>
      </c>
      <c r="K16" s="194">
        <v>12307</v>
      </c>
      <c r="L16" s="181">
        <f t="shared" ref="L16" si="39">(K16-K15)</f>
        <v>140</v>
      </c>
      <c r="M16" s="181">
        <f t="shared" si="5"/>
        <v>77</v>
      </c>
      <c r="N16" s="181">
        <f t="shared" si="6"/>
        <v>63</v>
      </c>
      <c r="O16" s="194">
        <v>6800</v>
      </c>
      <c r="P16" s="181">
        <f t="shared" ref="P16" si="40">(O16-O15)</f>
        <v>114</v>
      </c>
      <c r="R16" s="107">
        <f t="shared" si="0"/>
        <v>508</v>
      </c>
      <c r="S16" s="98">
        <f t="shared" si="8"/>
        <v>177</v>
      </c>
      <c r="T16" s="195" t="s">
        <v>404</v>
      </c>
    </row>
    <row r="17" spans="1:19" ht="39.950000000000003" customHeight="1">
      <c r="A17" s="146">
        <v>44450</v>
      </c>
      <c r="B17" s="16"/>
      <c r="C17" s="194">
        <v>19173</v>
      </c>
      <c r="D17" s="181">
        <f t="shared" si="1"/>
        <v>25</v>
      </c>
      <c r="E17" s="194">
        <v>23773</v>
      </c>
      <c r="F17" s="181">
        <f t="shared" si="1"/>
        <v>320</v>
      </c>
      <c r="G17" s="194">
        <v>7315</v>
      </c>
      <c r="H17" s="181">
        <f t="shared" ref="H17" si="41">(G17-G16)</f>
        <v>6</v>
      </c>
      <c r="I17" s="194">
        <v>14886</v>
      </c>
      <c r="J17" s="181">
        <f t="shared" ref="J17" si="42">(I17-I16)</f>
        <v>15</v>
      </c>
      <c r="K17" s="194">
        <v>12446</v>
      </c>
      <c r="L17" s="181">
        <f t="shared" ref="L17" si="43">(K17-K16)</f>
        <v>139</v>
      </c>
      <c r="M17" s="181">
        <f t="shared" si="5"/>
        <v>76.45</v>
      </c>
      <c r="N17" s="181">
        <f t="shared" si="6"/>
        <v>62.550000000000004</v>
      </c>
      <c r="O17" s="194">
        <v>6918</v>
      </c>
      <c r="P17" s="181">
        <f t="shared" ref="P17" si="44">(O17-O16)</f>
        <v>118</v>
      </c>
      <c r="R17" s="107">
        <f t="shared" si="0"/>
        <v>351</v>
      </c>
      <c r="S17" s="98">
        <f t="shared" si="8"/>
        <v>180.55</v>
      </c>
    </row>
    <row r="18" spans="1:19" ht="39.950000000000003" customHeight="1">
      <c r="A18" s="146">
        <v>44451</v>
      </c>
      <c r="B18" s="16"/>
      <c r="C18" s="194">
        <v>19314</v>
      </c>
      <c r="D18" s="181">
        <f t="shared" si="1"/>
        <v>141</v>
      </c>
      <c r="E18" s="194">
        <v>24130</v>
      </c>
      <c r="F18" s="181">
        <f t="shared" si="1"/>
        <v>357</v>
      </c>
      <c r="G18" s="194">
        <v>7315</v>
      </c>
      <c r="H18" s="181">
        <f t="shared" ref="H18" si="45">(G18-G17)</f>
        <v>0</v>
      </c>
      <c r="I18" s="194">
        <v>14900</v>
      </c>
      <c r="J18" s="181">
        <f t="shared" ref="J18" si="46">(I18-I17)</f>
        <v>14</v>
      </c>
      <c r="K18" s="194">
        <v>12599</v>
      </c>
      <c r="L18" s="181">
        <f t="shared" ref="L18" si="47">(K18-K17)</f>
        <v>153</v>
      </c>
      <c r="M18" s="181">
        <f t="shared" si="5"/>
        <v>84.15</v>
      </c>
      <c r="N18" s="181">
        <f t="shared" si="6"/>
        <v>68.850000000000009</v>
      </c>
      <c r="O18" s="194">
        <v>7002</v>
      </c>
      <c r="P18" s="181">
        <f t="shared" ref="P18" si="48">(O18-O17)</f>
        <v>84</v>
      </c>
      <c r="R18" s="107">
        <f t="shared" si="0"/>
        <v>498</v>
      </c>
      <c r="S18" s="98">
        <f t="shared" si="8"/>
        <v>152.85000000000002</v>
      </c>
    </row>
    <row r="19" spans="1:19" s="79" customFormat="1" ht="39.950000000000003" customHeight="1">
      <c r="A19" s="146">
        <v>44452</v>
      </c>
      <c r="B19" s="82"/>
      <c r="C19" s="194">
        <v>19434</v>
      </c>
      <c r="D19" s="181">
        <f t="shared" si="1"/>
        <v>120</v>
      </c>
      <c r="E19" s="194">
        <v>24433</v>
      </c>
      <c r="F19" s="181">
        <f t="shared" si="1"/>
        <v>303</v>
      </c>
      <c r="G19" s="194">
        <v>7315.7020000000002</v>
      </c>
      <c r="H19" s="181">
        <f t="shared" ref="H19" si="49">(G19-G18)</f>
        <v>0.70200000000022555</v>
      </c>
      <c r="I19" s="194">
        <v>14914</v>
      </c>
      <c r="J19" s="181">
        <f t="shared" ref="J19" si="50">(I19-I18)</f>
        <v>14</v>
      </c>
      <c r="K19" s="194">
        <v>12760</v>
      </c>
      <c r="L19" s="181">
        <f t="shared" ref="L19" si="51">(K19-K18)</f>
        <v>161</v>
      </c>
      <c r="M19" s="181">
        <f t="shared" si="5"/>
        <v>88.550000000000011</v>
      </c>
      <c r="N19" s="181">
        <f t="shared" si="6"/>
        <v>72.45</v>
      </c>
      <c r="O19" s="194">
        <v>7085</v>
      </c>
      <c r="P19" s="181">
        <f t="shared" ref="P19" si="52">(O19-O18)</f>
        <v>83</v>
      </c>
      <c r="R19" s="169">
        <f t="shared" si="0"/>
        <v>423.70200000000023</v>
      </c>
      <c r="S19" s="106">
        <f t="shared" si="8"/>
        <v>155.44999999999999</v>
      </c>
    </row>
    <row r="20" spans="1:19" s="79" customFormat="1" ht="39.950000000000003" customHeight="1">
      <c r="A20" s="146">
        <v>44453</v>
      </c>
      <c r="B20" s="82"/>
      <c r="C20" s="194">
        <v>19552</v>
      </c>
      <c r="D20" s="181">
        <f t="shared" si="1"/>
        <v>118</v>
      </c>
      <c r="E20" s="194">
        <v>24715</v>
      </c>
      <c r="F20" s="181">
        <f t="shared" si="1"/>
        <v>282</v>
      </c>
      <c r="G20" s="194">
        <v>7318.6040000000003</v>
      </c>
      <c r="H20" s="181">
        <f t="shared" ref="H20" si="53">(G20-G19)</f>
        <v>2.9020000000000437</v>
      </c>
      <c r="I20" s="194">
        <v>14928</v>
      </c>
      <c r="J20" s="181">
        <f t="shared" ref="J20" si="54">(I20-I19)</f>
        <v>14</v>
      </c>
      <c r="K20" s="194">
        <v>12910</v>
      </c>
      <c r="L20" s="181">
        <f t="shared" ref="L20" si="55">(K20-K19)</f>
        <v>150</v>
      </c>
      <c r="M20" s="181">
        <f t="shared" si="5"/>
        <v>82.5</v>
      </c>
      <c r="N20" s="181">
        <f t="shared" si="6"/>
        <v>67.5</v>
      </c>
      <c r="O20" s="194">
        <v>7175</v>
      </c>
      <c r="P20" s="181">
        <f t="shared" ref="P20" si="56">(O20-O19)</f>
        <v>90</v>
      </c>
      <c r="R20" s="169">
        <f t="shared" si="0"/>
        <v>402.90200000000004</v>
      </c>
      <c r="S20" s="106">
        <f t="shared" si="8"/>
        <v>157.5</v>
      </c>
    </row>
    <row r="21" spans="1:19" s="79" customFormat="1" ht="39.950000000000003" customHeight="1">
      <c r="A21" s="146">
        <v>44454</v>
      </c>
      <c r="B21" s="82"/>
      <c r="C21" s="194">
        <v>19653</v>
      </c>
      <c r="D21" s="181">
        <f t="shared" si="1"/>
        <v>101</v>
      </c>
      <c r="E21" s="194">
        <v>25021</v>
      </c>
      <c r="F21" s="181">
        <f>(E21-E20)</f>
        <v>306</v>
      </c>
      <c r="G21" s="194">
        <v>7321.5029999999997</v>
      </c>
      <c r="H21" s="181">
        <f t="shared" ref="H21" si="57">(G21-G20)</f>
        <v>2.8989999999994325</v>
      </c>
      <c r="I21" s="194">
        <v>14943</v>
      </c>
      <c r="J21" s="181">
        <f t="shared" ref="J21" si="58">(I21-I20)</f>
        <v>15</v>
      </c>
      <c r="K21" s="194">
        <v>13057</v>
      </c>
      <c r="L21" s="181">
        <f t="shared" ref="L21" si="59">(K21-K20)</f>
        <v>147</v>
      </c>
      <c r="M21" s="181">
        <f t="shared" si="5"/>
        <v>80.850000000000009</v>
      </c>
      <c r="N21" s="181">
        <f t="shared" si="6"/>
        <v>66.150000000000006</v>
      </c>
      <c r="O21" s="194">
        <v>7256</v>
      </c>
      <c r="P21" s="181">
        <f t="shared" ref="P21" si="60">(O21-O20)</f>
        <v>81</v>
      </c>
      <c r="R21" s="169">
        <f t="shared" si="0"/>
        <v>409.89899999999943</v>
      </c>
      <c r="S21" s="106">
        <f t="shared" si="8"/>
        <v>147.15</v>
      </c>
    </row>
    <row r="22" spans="1:19" s="79" customFormat="1" ht="39.950000000000003" customHeight="1">
      <c r="A22" s="146">
        <v>44455</v>
      </c>
      <c r="B22" s="82"/>
      <c r="C22" s="194">
        <v>19767</v>
      </c>
      <c r="D22" s="181">
        <f t="shared" si="1"/>
        <v>114</v>
      </c>
      <c r="E22" s="194">
        <v>25315</v>
      </c>
      <c r="F22" s="181">
        <f>(E22-E21)</f>
        <v>294</v>
      </c>
      <c r="G22" s="194">
        <v>7329.8370000000004</v>
      </c>
      <c r="H22" s="181">
        <f t="shared" ref="H22" si="61">(G22-G21)</f>
        <v>8.3340000000007421</v>
      </c>
      <c r="I22" s="194">
        <v>14957</v>
      </c>
      <c r="J22" s="181">
        <f t="shared" ref="J22" si="62">(I22-I21)</f>
        <v>14</v>
      </c>
      <c r="K22" s="194">
        <v>13206</v>
      </c>
      <c r="L22" s="76">
        <f t="shared" ref="L22" si="63">(K22-K21)</f>
        <v>149</v>
      </c>
      <c r="M22" s="181">
        <f t="shared" si="5"/>
        <v>81.95</v>
      </c>
      <c r="N22" s="181">
        <f t="shared" si="6"/>
        <v>67.05</v>
      </c>
      <c r="O22" s="194">
        <v>7337</v>
      </c>
      <c r="P22" s="181">
        <f t="shared" ref="P22" si="64">(O22-O21)</f>
        <v>81</v>
      </c>
      <c r="R22" s="169">
        <f t="shared" si="0"/>
        <v>416.33400000000074</v>
      </c>
      <c r="S22" s="106">
        <f t="shared" si="8"/>
        <v>148.05000000000001</v>
      </c>
    </row>
    <row r="23" spans="1:19" s="79" customFormat="1" ht="39.950000000000003" customHeight="1">
      <c r="A23" s="146">
        <v>44456</v>
      </c>
      <c r="B23" s="82"/>
      <c r="C23" s="194">
        <v>19885</v>
      </c>
      <c r="D23" s="181">
        <f t="shared" si="1"/>
        <v>118</v>
      </c>
      <c r="E23" s="194">
        <v>25621</v>
      </c>
      <c r="F23" s="181">
        <f>(E23-E22)</f>
        <v>306</v>
      </c>
      <c r="G23" s="194">
        <v>7333.7439999999997</v>
      </c>
      <c r="H23" s="181">
        <f t="shared" ref="H23" si="65">(G23-G22)</f>
        <v>3.9069999999992433</v>
      </c>
      <c r="I23" s="194">
        <v>14971</v>
      </c>
      <c r="J23" s="181">
        <f t="shared" ref="J23" si="66">(I23-I22)</f>
        <v>14</v>
      </c>
      <c r="K23" s="194">
        <v>13358</v>
      </c>
      <c r="L23" s="76">
        <f t="shared" ref="L23" si="67">(K23-K22)</f>
        <v>152</v>
      </c>
      <c r="M23" s="181">
        <f t="shared" si="5"/>
        <v>83.600000000000009</v>
      </c>
      <c r="N23" s="181">
        <f t="shared" si="6"/>
        <v>68.400000000000006</v>
      </c>
      <c r="O23" s="194">
        <v>7421</v>
      </c>
      <c r="P23" s="181">
        <f t="shared" ref="P23" si="68">(O23-O22)</f>
        <v>84</v>
      </c>
      <c r="R23" s="169">
        <f t="shared" si="0"/>
        <v>427.90699999999924</v>
      </c>
      <c r="S23" s="106">
        <f t="shared" si="8"/>
        <v>152.4</v>
      </c>
    </row>
    <row r="24" spans="1:19" s="79" customFormat="1" ht="39.950000000000003" customHeight="1">
      <c r="A24" s="146">
        <v>44457</v>
      </c>
      <c r="B24" s="82"/>
      <c r="C24" s="194">
        <v>20007</v>
      </c>
      <c r="D24" s="181">
        <f t="shared" si="1"/>
        <v>122</v>
      </c>
      <c r="E24" s="194">
        <v>25963</v>
      </c>
      <c r="F24" s="181">
        <f t="shared" si="1"/>
        <v>342</v>
      </c>
      <c r="G24" s="194">
        <v>7341.9040000000005</v>
      </c>
      <c r="H24" s="181">
        <f t="shared" ref="H24" si="69">(G24-G23)</f>
        <v>8.160000000000764</v>
      </c>
      <c r="I24" s="194">
        <v>14985</v>
      </c>
      <c r="J24" s="181">
        <f t="shared" ref="J24" si="70">(I24-I23)</f>
        <v>14</v>
      </c>
      <c r="K24" s="194">
        <v>13505</v>
      </c>
      <c r="L24" s="76">
        <f t="shared" ref="L24" si="71">(K24-K23)</f>
        <v>147</v>
      </c>
      <c r="M24" s="181">
        <f t="shared" si="5"/>
        <v>80.850000000000009</v>
      </c>
      <c r="N24" s="181">
        <f t="shared" si="6"/>
        <v>66.150000000000006</v>
      </c>
      <c r="O24" s="194">
        <v>7518</v>
      </c>
      <c r="P24" s="181">
        <f t="shared" ref="P24" si="72">(O24-O23)</f>
        <v>97</v>
      </c>
      <c r="R24" s="169">
        <f t="shared" si="0"/>
        <v>472.16000000000076</v>
      </c>
      <c r="S24" s="106">
        <f t="shared" si="8"/>
        <v>163.15</v>
      </c>
    </row>
    <row r="25" spans="1:19" s="79" customFormat="1" ht="39.950000000000003" customHeight="1">
      <c r="A25" s="146">
        <v>44458</v>
      </c>
      <c r="B25" s="82"/>
      <c r="C25" s="194">
        <v>20296</v>
      </c>
      <c r="D25" s="181">
        <f t="shared" si="1"/>
        <v>289</v>
      </c>
      <c r="E25" s="194">
        <v>26287</v>
      </c>
      <c r="F25" s="181">
        <f t="shared" si="1"/>
        <v>324</v>
      </c>
      <c r="G25" s="194">
        <v>7350</v>
      </c>
      <c r="H25" s="181">
        <f t="shared" ref="H25" si="73">(G25-G24)</f>
        <v>8.0959999999995489</v>
      </c>
      <c r="I25" s="194">
        <v>14958</v>
      </c>
      <c r="J25" s="181">
        <f t="shared" ref="J25" si="74">(I25-I24)</f>
        <v>-27</v>
      </c>
      <c r="K25" s="194">
        <v>13661</v>
      </c>
      <c r="L25" s="76">
        <f t="shared" ref="L25" si="75">(K25-K24)</f>
        <v>156</v>
      </c>
      <c r="M25" s="181">
        <f t="shared" si="5"/>
        <v>85.800000000000011</v>
      </c>
      <c r="N25" s="181">
        <f t="shared" si="6"/>
        <v>70.2</v>
      </c>
      <c r="O25" s="194">
        <v>7686</v>
      </c>
      <c r="P25" s="181">
        <f t="shared" ref="P25" si="76">(O25-O24)</f>
        <v>168</v>
      </c>
      <c r="R25" s="169">
        <f t="shared" si="0"/>
        <v>621.09599999999955</v>
      </c>
      <c r="S25" s="106">
        <f t="shared" si="8"/>
        <v>238.2</v>
      </c>
    </row>
    <row r="26" spans="1:19" ht="39.950000000000003" customHeight="1">
      <c r="A26" s="146">
        <v>44459</v>
      </c>
      <c r="B26" s="82"/>
      <c r="C26" s="194">
        <v>20422</v>
      </c>
      <c r="D26" s="181">
        <f t="shared" si="1"/>
        <v>126</v>
      </c>
      <c r="E26" s="194">
        <v>26637</v>
      </c>
      <c r="F26" s="181">
        <f t="shared" si="1"/>
        <v>350</v>
      </c>
      <c r="G26" s="194">
        <v>7353</v>
      </c>
      <c r="H26" s="181">
        <f t="shared" ref="H26" si="77">(G26-G25)</f>
        <v>3</v>
      </c>
      <c r="I26" s="194">
        <v>14959</v>
      </c>
      <c r="J26" s="181">
        <f t="shared" ref="J26" si="78">(I26-I25)</f>
        <v>1</v>
      </c>
      <c r="K26" s="194">
        <v>13816</v>
      </c>
      <c r="L26" s="76">
        <f t="shared" ref="L26" si="79">(K26-K25)</f>
        <v>155</v>
      </c>
      <c r="M26" s="181">
        <f t="shared" si="5"/>
        <v>85.25</v>
      </c>
      <c r="N26" s="181">
        <f t="shared" si="6"/>
        <v>69.75</v>
      </c>
      <c r="O26" s="194">
        <v>7830</v>
      </c>
      <c r="P26" s="181">
        <f t="shared" ref="P26" si="80">(O26-O25)</f>
        <v>144</v>
      </c>
      <c r="R26" s="107">
        <f t="shared" si="0"/>
        <v>479</v>
      </c>
      <c r="S26" s="98">
        <f t="shared" si="8"/>
        <v>213.75</v>
      </c>
    </row>
    <row r="27" spans="1:19" ht="39.950000000000003" customHeight="1">
      <c r="A27" s="146">
        <v>44460</v>
      </c>
      <c r="B27" s="82"/>
      <c r="C27" s="194">
        <v>20574</v>
      </c>
      <c r="D27" s="181">
        <f t="shared" si="1"/>
        <v>152</v>
      </c>
      <c r="E27" s="194">
        <v>26959</v>
      </c>
      <c r="F27" s="181">
        <f t="shared" si="1"/>
        <v>322</v>
      </c>
      <c r="G27" s="194">
        <v>7355</v>
      </c>
      <c r="H27" s="181">
        <f t="shared" ref="H27" si="81">(G27-G26)</f>
        <v>2</v>
      </c>
      <c r="I27" s="194">
        <v>14966</v>
      </c>
      <c r="J27" s="181">
        <f t="shared" ref="J27" si="82">(I27-I26)</f>
        <v>7</v>
      </c>
      <c r="K27" s="194">
        <v>14129</v>
      </c>
      <c r="L27" s="76">
        <f t="shared" ref="L27" si="83">(K27-K26)</f>
        <v>313</v>
      </c>
      <c r="M27" s="181">
        <f t="shared" si="5"/>
        <v>172.15</v>
      </c>
      <c r="N27" s="181">
        <f t="shared" si="6"/>
        <v>140.85</v>
      </c>
      <c r="O27" s="194">
        <v>7920</v>
      </c>
      <c r="P27" s="181">
        <f t="shared" ref="P27" si="84">(O27-O26)</f>
        <v>90</v>
      </c>
      <c r="R27" s="107">
        <f t="shared" si="0"/>
        <v>476</v>
      </c>
      <c r="S27" s="98">
        <f t="shared" si="8"/>
        <v>230.85</v>
      </c>
    </row>
    <row r="28" spans="1:19" ht="39.950000000000003" customHeight="1">
      <c r="A28" s="146">
        <v>44461</v>
      </c>
      <c r="B28" s="82"/>
      <c r="C28" s="194">
        <v>20699</v>
      </c>
      <c r="D28" s="181">
        <f t="shared" si="1"/>
        <v>125</v>
      </c>
      <c r="E28" s="194">
        <v>27325</v>
      </c>
      <c r="F28" s="181">
        <f t="shared" si="1"/>
        <v>366</v>
      </c>
      <c r="G28" s="194">
        <v>7358</v>
      </c>
      <c r="H28" s="181">
        <f t="shared" ref="H28" si="85">(G28-G27)</f>
        <v>3</v>
      </c>
      <c r="I28" s="194">
        <v>14971</v>
      </c>
      <c r="J28" s="181">
        <f t="shared" ref="J28" si="86">(I28-I27)</f>
        <v>5</v>
      </c>
      <c r="K28" s="194">
        <v>14283</v>
      </c>
      <c r="L28" s="76">
        <f t="shared" ref="L28" si="87">(K28-K27)</f>
        <v>154</v>
      </c>
      <c r="M28" s="181">
        <f t="shared" si="5"/>
        <v>84.7</v>
      </c>
      <c r="N28" s="181">
        <f t="shared" si="6"/>
        <v>69.3</v>
      </c>
      <c r="O28" s="194">
        <v>7989</v>
      </c>
      <c r="P28" s="181">
        <f t="shared" ref="P28" si="88">(O28-O27)</f>
        <v>69</v>
      </c>
      <c r="R28" s="107">
        <f t="shared" si="0"/>
        <v>494</v>
      </c>
      <c r="S28" s="98">
        <f t="shared" si="8"/>
        <v>138.30000000000001</v>
      </c>
    </row>
    <row r="29" spans="1:19" ht="39.950000000000003" customHeight="1">
      <c r="A29" s="146">
        <v>44462</v>
      </c>
      <c r="B29" s="82"/>
      <c r="C29" s="194">
        <v>20818</v>
      </c>
      <c r="D29" s="181">
        <f t="shared" si="1"/>
        <v>119</v>
      </c>
      <c r="E29" s="194">
        <v>27870</v>
      </c>
      <c r="F29" s="181">
        <f t="shared" si="1"/>
        <v>545</v>
      </c>
      <c r="G29" s="194">
        <v>7361</v>
      </c>
      <c r="H29" s="181">
        <f t="shared" ref="H29" si="89">(G29-G28)</f>
        <v>3</v>
      </c>
      <c r="I29" s="194">
        <v>14978</v>
      </c>
      <c r="J29" s="181">
        <f t="shared" ref="J29" si="90">(I29-I28)</f>
        <v>7</v>
      </c>
      <c r="K29" s="194">
        <v>14427</v>
      </c>
      <c r="L29" s="76">
        <f t="shared" ref="L29" si="91">(K29-K28)</f>
        <v>144</v>
      </c>
      <c r="M29" s="181">
        <f t="shared" si="5"/>
        <v>79.2</v>
      </c>
      <c r="N29" s="181">
        <f t="shared" si="6"/>
        <v>64.8</v>
      </c>
      <c r="O29" s="194">
        <v>8084</v>
      </c>
      <c r="P29" s="181">
        <f t="shared" ref="P29" si="92">(O29-O28)</f>
        <v>95</v>
      </c>
      <c r="R29" s="107">
        <f t="shared" si="0"/>
        <v>667</v>
      </c>
      <c r="S29" s="98">
        <f t="shared" si="8"/>
        <v>159.80000000000001</v>
      </c>
    </row>
    <row r="30" spans="1:19" ht="39.950000000000003" customHeight="1">
      <c r="A30" s="146">
        <v>44463</v>
      </c>
      <c r="B30" s="82"/>
      <c r="C30" s="194">
        <v>20939</v>
      </c>
      <c r="D30" s="181">
        <f t="shared" si="1"/>
        <v>121</v>
      </c>
      <c r="E30" s="194">
        <v>28218</v>
      </c>
      <c r="F30" s="181">
        <f t="shared" si="1"/>
        <v>348</v>
      </c>
      <c r="G30" s="194">
        <v>7364</v>
      </c>
      <c r="H30" s="181">
        <f t="shared" ref="H30" si="93">(G30-G29)</f>
        <v>3</v>
      </c>
      <c r="I30" s="194">
        <v>14984</v>
      </c>
      <c r="J30" s="181">
        <f t="shared" ref="J30" si="94">(I30-I29)</f>
        <v>6</v>
      </c>
      <c r="K30" s="194">
        <v>14573</v>
      </c>
      <c r="L30" s="76">
        <f t="shared" ref="L30" si="95">(K30-K29)</f>
        <v>146</v>
      </c>
      <c r="M30" s="181">
        <f t="shared" si="5"/>
        <v>80.300000000000011</v>
      </c>
      <c r="N30" s="181">
        <f t="shared" si="6"/>
        <v>65.7</v>
      </c>
      <c r="O30" s="194">
        <v>8164</v>
      </c>
      <c r="P30" s="181">
        <f t="shared" ref="P30" si="96">(O30-O29)</f>
        <v>80</v>
      </c>
      <c r="R30" s="107">
        <f t="shared" si="0"/>
        <v>472</v>
      </c>
      <c r="S30" s="98">
        <f t="shared" si="8"/>
        <v>145.69999999999999</v>
      </c>
    </row>
    <row r="31" spans="1:19" ht="39.950000000000003" customHeight="1">
      <c r="A31" s="146">
        <v>44464</v>
      </c>
      <c r="B31" s="82"/>
      <c r="C31" s="194">
        <v>21101</v>
      </c>
      <c r="D31" s="181">
        <f t="shared" si="1"/>
        <v>162</v>
      </c>
      <c r="E31" s="194">
        <v>28556</v>
      </c>
      <c r="F31" s="181">
        <f t="shared" si="1"/>
        <v>338</v>
      </c>
      <c r="G31" s="194">
        <v>7367</v>
      </c>
      <c r="H31" s="181">
        <f t="shared" ref="H31" si="97">(G31-G30)</f>
        <v>3</v>
      </c>
      <c r="I31" s="194">
        <v>14989</v>
      </c>
      <c r="J31" s="181">
        <f t="shared" ref="J31" si="98">(I31-I30)</f>
        <v>5</v>
      </c>
      <c r="K31" s="194">
        <v>14735</v>
      </c>
      <c r="L31" s="76">
        <f t="shared" ref="L31" si="99">(K31-K30)</f>
        <v>162</v>
      </c>
      <c r="M31" s="181">
        <f t="shared" si="5"/>
        <v>89.100000000000009</v>
      </c>
      <c r="N31" s="181">
        <f t="shared" si="6"/>
        <v>72.900000000000006</v>
      </c>
      <c r="O31" s="194">
        <v>8259</v>
      </c>
      <c r="P31" s="181">
        <f t="shared" ref="P31" si="100">(O31-O30)</f>
        <v>95</v>
      </c>
      <c r="R31" s="107">
        <f t="shared" si="0"/>
        <v>503</v>
      </c>
      <c r="S31" s="98">
        <f t="shared" si="8"/>
        <v>167.9</v>
      </c>
    </row>
    <row r="32" spans="1:19" ht="39.950000000000003" customHeight="1">
      <c r="A32" s="146">
        <v>44465</v>
      </c>
      <c r="B32" s="82"/>
      <c r="C32" s="194">
        <v>21260</v>
      </c>
      <c r="D32" s="181">
        <f t="shared" si="1"/>
        <v>159</v>
      </c>
      <c r="E32" s="194">
        <v>28918</v>
      </c>
      <c r="F32" s="181">
        <f t="shared" si="1"/>
        <v>362</v>
      </c>
      <c r="G32" s="194">
        <v>7371</v>
      </c>
      <c r="H32" s="181">
        <f t="shared" ref="H32" si="101">(G32-G31)</f>
        <v>4</v>
      </c>
      <c r="I32" s="194">
        <v>14999</v>
      </c>
      <c r="J32" s="181">
        <f t="shared" ref="J32" si="102">(I32-I31)</f>
        <v>10</v>
      </c>
      <c r="K32" s="194">
        <v>14898</v>
      </c>
      <c r="L32" s="181">
        <f t="shared" ref="L32" si="103">(K32-K31)</f>
        <v>163</v>
      </c>
      <c r="M32" s="181">
        <f t="shared" si="5"/>
        <v>89.65</v>
      </c>
      <c r="N32" s="181">
        <f t="shared" si="6"/>
        <v>73.350000000000009</v>
      </c>
      <c r="O32" s="194">
        <v>8352</v>
      </c>
      <c r="P32" s="181">
        <f t="shared" ref="P32" si="104">(O32-O31)</f>
        <v>93</v>
      </c>
      <c r="R32" s="107">
        <f t="shared" si="0"/>
        <v>525</v>
      </c>
      <c r="S32" s="98">
        <f t="shared" si="8"/>
        <v>166.35000000000002</v>
      </c>
    </row>
    <row r="33" spans="1:19" ht="39.950000000000003" customHeight="1">
      <c r="A33" s="146">
        <v>44466</v>
      </c>
      <c r="B33" s="82"/>
      <c r="C33" s="194">
        <v>21384</v>
      </c>
      <c r="D33" s="181">
        <f t="shared" si="1"/>
        <v>124</v>
      </c>
      <c r="E33" s="194">
        <v>29172</v>
      </c>
      <c r="F33" s="181">
        <f t="shared" si="1"/>
        <v>254</v>
      </c>
      <c r="G33" s="194">
        <v>7374</v>
      </c>
      <c r="H33" s="181">
        <f t="shared" ref="H33" si="105">(G33-G32)</f>
        <v>3</v>
      </c>
      <c r="I33" s="194">
        <v>15009</v>
      </c>
      <c r="J33" s="181">
        <f t="shared" ref="J33" si="106">(I33-I32)</f>
        <v>10</v>
      </c>
      <c r="K33" s="194">
        <v>15056</v>
      </c>
      <c r="L33" s="181">
        <f t="shared" ref="L33" si="107">(K33-K32)</f>
        <v>158</v>
      </c>
      <c r="M33" s="181">
        <f t="shared" si="5"/>
        <v>86.9</v>
      </c>
      <c r="N33" s="181">
        <f t="shared" si="6"/>
        <v>71.100000000000009</v>
      </c>
      <c r="O33" s="194">
        <v>8430</v>
      </c>
      <c r="P33" s="181">
        <f t="shared" ref="P33" si="108">(O33-O32)</f>
        <v>78</v>
      </c>
      <c r="R33" s="107">
        <f t="shared" si="0"/>
        <v>381</v>
      </c>
      <c r="S33" s="98">
        <f t="shared" si="8"/>
        <v>149.10000000000002</v>
      </c>
    </row>
    <row r="34" spans="1:19" ht="39.950000000000003" customHeight="1">
      <c r="A34" s="146">
        <v>44467</v>
      </c>
      <c r="B34" s="82"/>
      <c r="C34" s="194">
        <v>21518</v>
      </c>
      <c r="D34" s="181">
        <f t="shared" si="1"/>
        <v>134</v>
      </c>
      <c r="E34" s="194">
        <v>29476</v>
      </c>
      <c r="F34" s="181">
        <f t="shared" si="1"/>
        <v>304</v>
      </c>
      <c r="G34" s="194">
        <v>7378</v>
      </c>
      <c r="H34" s="181">
        <f t="shared" ref="H34:H36" si="109">(G34-G33)</f>
        <v>4</v>
      </c>
      <c r="I34" s="194">
        <v>15019</v>
      </c>
      <c r="J34" s="181">
        <f t="shared" ref="J34:J36" si="110">(I34-I33)</f>
        <v>10</v>
      </c>
      <c r="K34" s="194">
        <v>15204</v>
      </c>
      <c r="L34" s="181">
        <f t="shared" ref="L34" si="111">(K34-K33)</f>
        <v>148</v>
      </c>
      <c r="M34" s="181">
        <f t="shared" si="5"/>
        <v>81.400000000000006</v>
      </c>
      <c r="N34" s="181">
        <f t="shared" si="6"/>
        <v>66.600000000000009</v>
      </c>
      <c r="O34" s="194">
        <v>8563</v>
      </c>
      <c r="P34" s="181">
        <f t="shared" ref="P34:P36" si="112">(O34-O33)</f>
        <v>133</v>
      </c>
      <c r="R34" s="107">
        <f t="shared" si="0"/>
        <v>442</v>
      </c>
      <c r="S34" s="98">
        <f t="shared" si="8"/>
        <v>199.60000000000002</v>
      </c>
    </row>
    <row r="35" spans="1:19" ht="39.950000000000003" customHeight="1">
      <c r="A35" s="146">
        <v>44468</v>
      </c>
      <c r="B35" s="82"/>
      <c r="C35" s="194">
        <v>21648</v>
      </c>
      <c r="D35" s="181">
        <f t="shared" si="1"/>
        <v>130</v>
      </c>
      <c r="E35" s="194">
        <v>29809</v>
      </c>
      <c r="F35" s="181">
        <f t="shared" si="1"/>
        <v>333</v>
      </c>
      <c r="G35" s="194">
        <v>7382</v>
      </c>
      <c r="H35" s="181">
        <f t="shared" si="109"/>
        <v>4</v>
      </c>
      <c r="I35" s="194">
        <v>15026</v>
      </c>
      <c r="J35" s="181">
        <f t="shared" si="110"/>
        <v>7</v>
      </c>
      <c r="K35" s="194">
        <v>15358</v>
      </c>
      <c r="L35" s="76">
        <f t="shared" ref="L35:L36" si="113">(K35-K34)</f>
        <v>154</v>
      </c>
      <c r="M35" s="181">
        <f t="shared" ref="M35:M36" si="114">L35*55%</f>
        <v>84.7</v>
      </c>
      <c r="N35" s="181">
        <f t="shared" ref="N35:N36" si="115">L35*45%</f>
        <v>69.3</v>
      </c>
      <c r="O35" s="194">
        <v>8668</v>
      </c>
      <c r="P35" s="181">
        <f t="shared" si="112"/>
        <v>105</v>
      </c>
      <c r="R35" s="107">
        <f t="shared" ref="R35:R36" si="116">SUM(D35,F35,M99,H35)</f>
        <v>467</v>
      </c>
      <c r="S35" s="98">
        <f t="shared" ref="S35:S36" si="117">SUM(N35,P35)</f>
        <v>174.3</v>
      </c>
    </row>
    <row r="36" spans="1:19" ht="39.950000000000003" customHeight="1">
      <c r="A36" s="146">
        <v>44469</v>
      </c>
      <c r="B36" s="82"/>
      <c r="C36" s="194">
        <v>21713</v>
      </c>
      <c r="D36" s="181">
        <f t="shared" ref="D36" si="118">(C36-C35)</f>
        <v>65</v>
      </c>
      <c r="E36" s="194">
        <v>29960</v>
      </c>
      <c r="F36" s="181">
        <f t="shared" ref="F36" si="119">(E36-E35)</f>
        <v>151</v>
      </c>
      <c r="G36" s="194">
        <v>7386</v>
      </c>
      <c r="H36" s="181">
        <f t="shared" si="109"/>
        <v>4</v>
      </c>
      <c r="I36" s="194">
        <v>15032</v>
      </c>
      <c r="J36" s="181">
        <f t="shared" si="110"/>
        <v>6</v>
      </c>
      <c r="K36" s="194">
        <v>15428.5</v>
      </c>
      <c r="L36" s="76">
        <f t="shared" si="113"/>
        <v>70.5</v>
      </c>
      <c r="M36" s="181">
        <f t="shared" si="114"/>
        <v>38.775000000000006</v>
      </c>
      <c r="N36" s="181">
        <f t="shared" si="115"/>
        <v>31.725000000000001</v>
      </c>
      <c r="O36" s="194">
        <v>8714</v>
      </c>
      <c r="P36" s="181">
        <f t="shared" si="112"/>
        <v>46</v>
      </c>
      <c r="R36" s="107">
        <f t="shared" si="116"/>
        <v>220</v>
      </c>
      <c r="S36" s="98">
        <f t="shared" si="117"/>
        <v>77.724999999999994</v>
      </c>
    </row>
    <row r="37" spans="1:19" ht="39.950000000000003" customHeight="1">
      <c r="A37" s="146"/>
      <c r="B37" s="16"/>
      <c r="C37" s="194"/>
      <c r="D37" s="181"/>
      <c r="E37" s="194"/>
      <c r="F37" s="181"/>
      <c r="G37" s="194"/>
      <c r="H37" s="181"/>
      <c r="I37" s="194"/>
      <c r="J37" s="181"/>
      <c r="K37" s="194"/>
      <c r="L37" s="76"/>
      <c r="M37" s="181"/>
      <c r="N37" s="181"/>
      <c r="O37" s="194"/>
      <c r="P37" s="181"/>
      <c r="R37" s="97"/>
      <c r="S37" s="98"/>
    </row>
    <row r="38" spans="1:19" s="22" customFormat="1" ht="39.950000000000003" customHeight="1">
      <c r="A38" s="21"/>
      <c r="D38" s="23">
        <f>SUM(D7:D37)</f>
        <v>3988</v>
      </c>
      <c r="F38" s="23">
        <f>SUM(F7:F37)</f>
        <v>9274</v>
      </c>
      <c r="H38" s="23">
        <f>SUM(H7:H37)</f>
        <v>124.42000000000007</v>
      </c>
      <c r="J38" s="23">
        <f>SUM(J7:J37)</f>
        <v>290</v>
      </c>
      <c r="L38" s="23">
        <f>SUM(L7:L37)</f>
        <v>4578.5</v>
      </c>
      <c r="M38" s="23"/>
      <c r="N38" s="23"/>
      <c r="P38" s="23">
        <f>SUM(P7:P37)</f>
        <v>2870</v>
      </c>
    </row>
    <row r="39" spans="1:19" s="19" customFormat="1" ht="39.950000000000003" customHeight="1">
      <c r="A39" s="18"/>
      <c r="D39" s="20"/>
    </row>
    <row r="40" spans="1:19" s="19" customFormat="1" ht="39.950000000000003" customHeight="1">
      <c r="A40" s="18"/>
      <c r="D40" s="20"/>
    </row>
    <row r="41" spans="1:19" ht="39.950000000000003" customHeight="1">
      <c r="A41" s="11"/>
    </row>
    <row r="42" spans="1:19">
      <c r="A42" s="11"/>
    </row>
    <row r="43" spans="1:19">
      <c r="A43" s="11"/>
    </row>
    <row r="44" spans="1:19">
      <c r="A44" s="11"/>
    </row>
    <row r="45" spans="1:19">
      <c r="A45" s="11"/>
    </row>
    <row r="46" spans="1:19">
      <c r="A46" s="11"/>
    </row>
    <row r="47" spans="1:19">
      <c r="A47" s="11"/>
    </row>
    <row r="48" spans="1:19">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sheetData>
  <mergeCells count="24">
    <mergeCell ref="C2:D2"/>
    <mergeCell ref="E2:F2"/>
    <mergeCell ref="K2:N2"/>
    <mergeCell ref="O2:P2"/>
    <mergeCell ref="C1:D1"/>
    <mergeCell ref="E1:F1"/>
    <mergeCell ref="G1:H1"/>
    <mergeCell ref="O1:P1"/>
    <mergeCell ref="C4:D4"/>
    <mergeCell ref="E4:F4"/>
    <mergeCell ref="K4:N4"/>
    <mergeCell ref="I4:J4"/>
    <mergeCell ref="C3:D3"/>
    <mergeCell ref="E3:F3"/>
    <mergeCell ref="K3:N3"/>
    <mergeCell ref="R3:S4"/>
    <mergeCell ref="K1:N1"/>
    <mergeCell ref="G2:H2"/>
    <mergeCell ref="G3:H3"/>
    <mergeCell ref="G4:H4"/>
    <mergeCell ref="I1:J1"/>
    <mergeCell ref="I2:J2"/>
    <mergeCell ref="I3:J3"/>
    <mergeCell ref="O3:P3"/>
  </mergeCells>
  <phoneticPr fontId="30" type="noConversion"/>
  <printOptions horizontalCentered="1" verticalCentered="1"/>
  <pageMargins left="0" right="0" top="0" bottom="0" header="0.31496062992125984" footer="0.31496062992125984"/>
  <pageSetup paperSize="9" scale="30" orientation="landscape" r:id="rId1"/>
  <colBreaks count="1" manualBreakCount="1">
    <brk id="16" max="1048575"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90"/>
  <sheetViews>
    <sheetView zoomScale="60" zoomScaleNormal="60" zoomScaleSheetLayoutView="10" workbookViewId="0">
      <pane xSplit="2" ySplit="7" topLeftCell="AW8" activePane="bottomRight" state="frozen"/>
      <selection pane="topRight" activeCell="C1" sqref="C1"/>
      <selection pane="bottomLeft" activeCell="A8" sqref="A8"/>
      <selection pane="bottomRight" activeCell="AY36" sqref="AY36"/>
    </sheetView>
  </sheetViews>
  <sheetFormatPr defaultRowHeight="31.5"/>
  <cols>
    <col min="1" max="1" width="17.140625" style="9" customWidth="1"/>
    <col min="2" max="2" width="2.42578125" customWidth="1"/>
    <col min="3" max="3" width="30.7109375" style="79" customWidth="1"/>
    <col min="4" max="4" width="30.7109375" customWidth="1"/>
    <col min="5" max="5" width="30.7109375" style="79" customWidth="1"/>
    <col min="6" max="6" width="30.7109375" customWidth="1"/>
    <col min="7" max="7" width="30.7109375" style="79" customWidth="1"/>
    <col min="8" max="8" width="30.7109375" customWidth="1"/>
    <col min="9" max="9" width="30.7109375" style="79" customWidth="1"/>
    <col min="10" max="10" width="30.7109375" customWidth="1"/>
    <col min="11" max="11" width="30.7109375" style="79" customWidth="1"/>
    <col min="12" max="12" width="30.7109375" customWidth="1"/>
    <col min="13" max="13" width="30.7109375" style="79" customWidth="1"/>
    <col min="14" max="14" width="30.7109375" customWidth="1"/>
    <col min="15" max="15" width="30.7109375" style="79" customWidth="1"/>
    <col min="16" max="16" width="30.7109375" customWidth="1"/>
    <col min="17" max="17" width="30.7109375" style="79" customWidth="1"/>
    <col min="18" max="18" width="30.7109375" customWidth="1"/>
    <col min="19" max="19" width="30.7109375" style="79" customWidth="1"/>
    <col min="20" max="20" width="30.7109375" customWidth="1"/>
    <col min="21" max="21" width="30.7109375" style="79" customWidth="1"/>
    <col min="22" max="22" width="30.7109375" customWidth="1"/>
    <col min="23" max="23" width="30.7109375" style="79" customWidth="1"/>
    <col min="24" max="24" width="30.7109375" customWidth="1"/>
    <col min="25" max="25" width="30.7109375" style="79" customWidth="1"/>
    <col min="26" max="26" width="30.7109375" customWidth="1"/>
    <col min="27" max="27" width="30.7109375" style="79" customWidth="1"/>
    <col min="28" max="28" width="30.7109375" customWidth="1"/>
    <col min="29" max="29" width="30.7109375" style="79" customWidth="1"/>
    <col min="30" max="30" width="30.7109375" style="1" customWidth="1"/>
    <col min="31" max="31" width="30.7109375" style="79" customWidth="1"/>
    <col min="32" max="32" width="30.7109375" customWidth="1"/>
    <col min="33" max="33" width="30.7109375" style="79" customWidth="1"/>
    <col min="34" max="34" width="30.7109375" customWidth="1"/>
    <col min="35" max="35" width="30.7109375" style="79" customWidth="1"/>
    <col min="36" max="36" width="30.7109375" customWidth="1"/>
    <col min="37" max="37" width="30.7109375" style="79" customWidth="1"/>
    <col min="38" max="38" width="30.7109375" customWidth="1"/>
    <col min="39" max="39" width="30.7109375" style="79" customWidth="1"/>
    <col min="40" max="40" width="30.7109375" customWidth="1"/>
    <col min="41" max="41" width="30.7109375" style="79" customWidth="1"/>
    <col min="42" max="42" width="30.7109375" customWidth="1"/>
    <col min="43" max="43" width="30.7109375" style="79" customWidth="1"/>
    <col min="44" max="44" width="30.7109375" customWidth="1"/>
    <col min="45" max="45" width="30.7109375" style="79" customWidth="1"/>
    <col min="46" max="46" width="30.7109375" customWidth="1"/>
    <col min="47" max="47" width="30.7109375" style="79" customWidth="1"/>
    <col min="48" max="48" width="30.7109375" customWidth="1"/>
    <col min="49" max="49" width="30.7109375" style="79" customWidth="1"/>
    <col min="50" max="50" width="30.7109375" customWidth="1"/>
    <col min="51" max="51" width="30.7109375" style="79" customWidth="1"/>
    <col min="52" max="52" width="30.7109375" customWidth="1"/>
    <col min="53" max="53" width="30.7109375" style="79" customWidth="1"/>
    <col min="54" max="54" width="30.7109375" customWidth="1"/>
    <col min="55" max="55" width="30.7109375" style="79" customWidth="1"/>
    <col min="56" max="56" width="30.7109375" customWidth="1"/>
    <col min="57" max="57" width="30.7109375" style="79" customWidth="1"/>
    <col min="58" max="58" width="30.7109375" customWidth="1"/>
    <col min="60" max="61" width="30.7109375" style="34" customWidth="1"/>
  </cols>
  <sheetData>
    <row r="1" spans="1:61" s="12" customFormat="1" ht="49.5" customHeight="1">
      <c r="A1" s="110"/>
      <c r="B1" s="110"/>
      <c r="C1" s="203" t="s">
        <v>66</v>
      </c>
      <c r="D1" s="203"/>
      <c r="E1" s="203"/>
      <c r="F1" s="203"/>
      <c r="G1" s="203" t="s">
        <v>65</v>
      </c>
      <c r="H1" s="203"/>
      <c r="I1" s="203" t="s">
        <v>65</v>
      </c>
      <c r="J1" s="203"/>
      <c r="K1" s="203" t="s">
        <v>65</v>
      </c>
      <c r="L1" s="203"/>
      <c r="M1" s="203" t="s">
        <v>65</v>
      </c>
      <c r="N1" s="203"/>
      <c r="O1" s="203" t="s">
        <v>65</v>
      </c>
      <c r="P1" s="203"/>
      <c r="Q1" s="216" t="s">
        <v>65</v>
      </c>
      <c r="R1" s="217"/>
      <c r="S1" s="216" t="s">
        <v>65</v>
      </c>
      <c r="T1" s="217"/>
      <c r="U1" s="216" t="s">
        <v>65</v>
      </c>
      <c r="V1" s="217"/>
      <c r="W1" s="216" t="s">
        <v>65</v>
      </c>
      <c r="X1" s="218"/>
      <c r="Y1" s="203" t="s">
        <v>65</v>
      </c>
      <c r="Z1" s="203"/>
      <c r="AA1" s="216" t="s">
        <v>65</v>
      </c>
      <c r="AB1" s="217"/>
      <c r="AC1" s="203" t="s">
        <v>65</v>
      </c>
      <c r="AD1" s="203"/>
      <c r="AE1" s="203" t="s">
        <v>65</v>
      </c>
      <c r="AF1" s="203"/>
      <c r="AG1" s="203" t="s">
        <v>65</v>
      </c>
      <c r="AH1" s="203"/>
      <c r="AI1" s="240" t="s">
        <v>65</v>
      </c>
      <c r="AJ1" s="240"/>
      <c r="AK1" s="240" t="s">
        <v>65</v>
      </c>
      <c r="AL1" s="240"/>
      <c r="AM1" s="203" t="s">
        <v>67</v>
      </c>
      <c r="AN1" s="203"/>
      <c r="AO1" s="203" t="s">
        <v>67</v>
      </c>
      <c r="AP1" s="203"/>
      <c r="AQ1" s="203" t="s">
        <v>67</v>
      </c>
      <c r="AR1" s="203"/>
      <c r="AS1" s="203" t="s">
        <v>67</v>
      </c>
      <c r="AT1" s="203"/>
      <c r="AU1" s="203" t="s">
        <v>67</v>
      </c>
      <c r="AV1" s="203"/>
      <c r="AW1" s="203" t="s">
        <v>67</v>
      </c>
      <c r="AX1" s="203"/>
      <c r="AY1" s="203" t="s">
        <v>67</v>
      </c>
      <c r="AZ1" s="203"/>
      <c r="BA1" s="203" t="s">
        <v>67</v>
      </c>
      <c r="BB1" s="203"/>
      <c r="BC1" s="203" t="s">
        <v>67</v>
      </c>
      <c r="BD1" s="203"/>
      <c r="BE1" s="203" t="s">
        <v>67</v>
      </c>
      <c r="BF1" s="203"/>
      <c r="BH1" s="33"/>
      <c r="BI1" s="33"/>
    </row>
    <row r="2" spans="1:61" s="25" customFormat="1" ht="75.75" customHeight="1">
      <c r="A2" s="50"/>
      <c r="B2" s="50"/>
      <c r="C2" s="241" t="s">
        <v>117</v>
      </c>
      <c r="D2" s="241"/>
      <c r="E2" s="241"/>
      <c r="F2" s="241"/>
      <c r="G2" s="241" t="s">
        <v>118</v>
      </c>
      <c r="H2" s="241"/>
      <c r="I2" s="241" t="s">
        <v>119</v>
      </c>
      <c r="J2" s="241"/>
      <c r="K2" s="241" t="s">
        <v>120</v>
      </c>
      <c r="L2" s="241"/>
      <c r="M2" s="241" t="s">
        <v>121</v>
      </c>
      <c r="N2" s="241"/>
      <c r="O2" s="246" t="s">
        <v>122</v>
      </c>
      <c r="P2" s="248"/>
      <c r="Q2" s="246" t="s">
        <v>123</v>
      </c>
      <c r="R2" s="248"/>
      <c r="S2" s="246" t="s">
        <v>124</v>
      </c>
      <c r="T2" s="248"/>
      <c r="U2" s="246" t="s">
        <v>125</v>
      </c>
      <c r="V2" s="248"/>
      <c r="W2" s="246" t="s">
        <v>126</v>
      </c>
      <c r="X2" s="247"/>
      <c r="Y2" s="241" t="s">
        <v>127</v>
      </c>
      <c r="Z2" s="241"/>
      <c r="AA2" s="246" t="s">
        <v>128</v>
      </c>
      <c r="AB2" s="248"/>
      <c r="AC2" s="241" t="s">
        <v>129</v>
      </c>
      <c r="AD2" s="241"/>
      <c r="AE2" s="241" t="s">
        <v>130</v>
      </c>
      <c r="AF2" s="241"/>
      <c r="AG2" s="241" t="s">
        <v>130</v>
      </c>
      <c r="AH2" s="241"/>
      <c r="AI2" s="241" t="s">
        <v>130</v>
      </c>
      <c r="AJ2" s="241"/>
      <c r="AK2" s="241" t="s">
        <v>130</v>
      </c>
      <c r="AL2" s="241"/>
      <c r="AM2" s="241" t="s">
        <v>131</v>
      </c>
      <c r="AN2" s="241"/>
      <c r="AO2" s="241" t="s">
        <v>132</v>
      </c>
      <c r="AP2" s="241"/>
      <c r="AQ2" s="241" t="s">
        <v>133</v>
      </c>
      <c r="AR2" s="241"/>
      <c r="AS2" s="241" t="s">
        <v>133</v>
      </c>
      <c r="AT2" s="241"/>
      <c r="AU2" s="241" t="s">
        <v>134</v>
      </c>
      <c r="AV2" s="241"/>
      <c r="AW2" s="241" t="s">
        <v>135</v>
      </c>
      <c r="AX2" s="241"/>
      <c r="AY2" s="241" t="s">
        <v>136</v>
      </c>
      <c r="AZ2" s="241"/>
      <c r="BA2" s="241" t="s">
        <v>136</v>
      </c>
      <c r="BB2" s="241"/>
      <c r="BC2" s="241" t="s">
        <v>137</v>
      </c>
      <c r="BD2" s="241"/>
      <c r="BE2" s="241" t="s">
        <v>137</v>
      </c>
      <c r="BF2" s="241"/>
      <c r="BH2" s="33"/>
      <c r="BI2" s="33"/>
    </row>
    <row r="3" spans="1:61" s="10" customFormat="1" ht="87.75" customHeight="1">
      <c r="A3" s="108"/>
      <c r="B3" s="108"/>
      <c r="C3" s="233" t="s">
        <v>138</v>
      </c>
      <c r="D3" s="234"/>
      <c r="E3" s="108" t="s">
        <v>65</v>
      </c>
      <c r="F3" s="110" t="s">
        <v>67</v>
      </c>
      <c r="G3" s="237" t="s">
        <v>139</v>
      </c>
      <c r="H3" s="238"/>
      <c r="I3" s="237" t="s">
        <v>139</v>
      </c>
      <c r="J3" s="238"/>
      <c r="K3" s="237" t="s">
        <v>139</v>
      </c>
      <c r="L3" s="238"/>
      <c r="M3" s="235" t="s">
        <v>140</v>
      </c>
      <c r="N3" s="236"/>
      <c r="O3" s="237" t="s">
        <v>139</v>
      </c>
      <c r="P3" s="238"/>
      <c r="Q3" s="237" t="s">
        <v>139</v>
      </c>
      <c r="R3" s="238"/>
      <c r="S3" s="244" t="s">
        <v>139</v>
      </c>
      <c r="T3" s="245"/>
      <c r="U3" s="237" t="s">
        <v>139</v>
      </c>
      <c r="V3" s="238"/>
      <c r="W3" s="237" t="s">
        <v>139</v>
      </c>
      <c r="X3" s="238"/>
      <c r="Y3" s="239" t="s">
        <v>141</v>
      </c>
      <c r="Z3" s="238"/>
      <c r="AA3" s="237" t="s">
        <v>142</v>
      </c>
      <c r="AB3" s="238"/>
      <c r="AC3" s="237" t="s">
        <v>143</v>
      </c>
      <c r="AD3" s="238"/>
      <c r="AE3" s="237" t="s">
        <v>143</v>
      </c>
      <c r="AF3" s="238"/>
      <c r="AG3" s="239" t="s">
        <v>144</v>
      </c>
      <c r="AH3" s="238"/>
      <c r="AI3" s="237" t="s">
        <v>145</v>
      </c>
      <c r="AJ3" s="238"/>
      <c r="AK3" s="239" t="s">
        <v>146</v>
      </c>
      <c r="AL3" s="238"/>
      <c r="AM3" s="237" t="s">
        <v>147</v>
      </c>
      <c r="AN3" s="238"/>
      <c r="AO3" s="237" t="s">
        <v>147</v>
      </c>
      <c r="AP3" s="238"/>
      <c r="AQ3" s="239" t="s">
        <v>148</v>
      </c>
      <c r="AR3" s="238"/>
      <c r="AS3" s="237" t="s">
        <v>149</v>
      </c>
      <c r="AT3" s="238"/>
      <c r="AU3" s="239" t="s">
        <v>150</v>
      </c>
      <c r="AV3" s="238"/>
      <c r="AW3" s="239" t="s">
        <v>150</v>
      </c>
      <c r="AX3" s="238"/>
      <c r="AY3" s="237" t="s">
        <v>145</v>
      </c>
      <c r="AZ3" s="238"/>
      <c r="BA3" s="239" t="s">
        <v>146</v>
      </c>
      <c r="BB3" s="238"/>
      <c r="BC3" s="237" t="s">
        <v>145</v>
      </c>
      <c r="BD3" s="238"/>
      <c r="BE3" s="239" t="s">
        <v>146</v>
      </c>
      <c r="BF3" s="238"/>
      <c r="BH3" s="33"/>
      <c r="BI3" s="33"/>
    </row>
    <row r="4" spans="1:61" s="25" customFormat="1" ht="50.1" customHeight="1">
      <c r="A4" s="108"/>
      <c r="B4" s="50"/>
      <c r="C4" s="204" t="s">
        <v>151</v>
      </c>
      <c r="D4" s="206"/>
      <c r="E4" s="242" t="s">
        <v>152</v>
      </c>
      <c r="F4" s="243"/>
      <c r="G4" s="204" t="s">
        <v>153</v>
      </c>
      <c r="H4" s="206"/>
      <c r="I4" s="204" t="s">
        <v>154</v>
      </c>
      <c r="J4" s="206"/>
      <c r="K4" s="204" t="s">
        <v>155</v>
      </c>
      <c r="L4" s="206"/>
      <c r="M4" s="204">
        <v>7092801222</v>
      </c>
      <c r="N4" s="206"/>
      <c r="O4" s="204" t="s">
        <v>156</v>
      </c>
      <c r="P4" s="205"/>
      <c r="Q4" s="204" t="s">
        <v>157</v>
      </c>
      <c r="R4" s="205"/>
      <c r="S4" s="204" t="s">
        <v>158</v>
      </c>
      <c r="T4" s="205"/>
      <c r="U4" s="204" t="s">
        <v>159</v>
      </c>
      <c r="V4" s="205"/>
      <c r="W4" s="204" t="s">
        <v>160</v>
      </c>
      <c r="X4" s="206"/>
      <c r="Y4" s="204" t="s">
        <v>161</v>
      </c>
      <c r="Z4" s="206"/>
      <c r="AA4" s="204" t="s">
        <v>162</v>
      </c>
      <c r="AB4" s="205"/>
      <c r="AC4" s="204" t="s">
        <v>163</v>
      </c>
      <c r="AD4" s="206"/>
      <c r="AE4" s="204" t="s">
        <v>164</v>
      </c>
      <c r="AF4" s="206"/>
      <c r="AG4" s="204" t="s">
        <v>165</v>
      </c>
      <c r="AH4" s="206"/>
      <c r="AI4" s="204">
        <v>7105826734</v>
      </c>
      <c r="AJ4" s="206"/>
      <c r="AK4" s="204">
        <v>7105825932</v>
      </c>
      <c r="AL4" s="206"/>
      <c r="AM4" s="204" t="s">
        <v>166</v>
      </c>
      <c r="AN4" s="206"/>
      <c r="AO4" s="204" t="s">
        <v>167</v>
      </c>
      <c r="AP4" s="206"/>
      <c r="AQ4" s="204" t="s">
        <v>168</v>
      </c>
      <c r="AR4" s="206"/>
      <c r="AS4" s="204" t="s">
        <v>169</v>
      </c>
      <c r="AT4" s="206"/>
      <c r="AU4" s="204" t="s">
        <v>170</v>
      </c>
      <c r="AV4" s="206"/>
      <c r="AW4" s="204" t="s">
        <v>171</v>
      </c>
      <c r="AX4" s="206"/>
      <c r="AY4" s="204">
        <v>7111912486</v>
      </c>
      <c r="AZ4" s="206"/>
      <c r="BA4" s="204">
        <v>7111911842</v>
      </c>
      <c r="BB4" s="206"/>
      <c r="BC4" s="204">
        <v>7111913281</v>
      </c>
      <c r="BD4" s="206"/>
      <c r="BE4" s="204">
        <v>7111912723</v>
      </c>
      <c r="BF4" s="206"/>
      <c r="BH4" s="201" t="s">
        <v>81</v>
      </c>
      <c r="BI4" s="201"/>
    </row>
    <row r="5" spans="1:61" s="25" customFormat="1" ht="50.1" customHeight="1">
      <c r="A5" s="50" t="s">
        <v>172</v>
      </c>
      <c r="B5" s="50"/>
      <c r="C5" s="204" t="s">
        <v>173</v>
      </c>
      <c r="D5" s="206"/>
      <c r="E5" s="80">
        <v>0.6</v>
      </c>
      <c r="F5" s="31">
        <v>0.4</v>
      </c>
      <c r="G5" s="204" t="s">
        <v>174</v>
      </c>
      <c r="H5" s="206"/>
      <c r="I5" s="204" t="s">
        <v>175</v>
      </c>
      <c r="J5" s="206"/>
      <c r="K5" s="204" t="s">
        <v>176</v>
      </c>
      <c r="L5" s="206"/>
      <c r="M5" s="204" t="s">
        <v>177</v>
      </c>
      <c r="N5" s="206"/>
      <c r="O5" s="204" t="s">
        <v>178</v>
      </c>
      <c r="P5" s="205"/>
      <c r="Q5" s="204" t="s">
        <v>179</v>
      </c>
      <c r="R5" s="205"/>
      <c r="S5" s="204" t="s">
        <v>180</v>
      </c>
      <c r="T5" s="205"/>
      <c r="U5" s="204" t="s">
        <v>181</v>
      </c>
      <c r="V5" s="205"/>
      <c r="W5" s="204" t="s">
        <v>182</v>
      </c>
      <c r="X5" s="206"/>
      <c r="Y5" s="204" t="s">
        <v>183</v>
      </c>
      <c r="Z5" s="206"/>
      <c r="AA5" s="204" t="s">
        <v>184</v>
      </c>
      <c r="AB5" s="205"/>
      <c r="AC5" s="204" t="s">
        <v>185</v>
      </c>
      <c r="AD5" s="206"/>
      <c r="AE5" s="204" t="s">
        <v>186</v>
      </c>
      <c r="AF5" s="206"/>
      <c r="AG5" s="204" t="s">
        <v>187</v>
      </c>
      <c r="AH5" s="206"/>
      <c r="AI5" s="204" t="s">
        <v>188</v>
      </c>
      <c r="AJ5" s="206"/>
      <c r="AK5" s="204" t="s">
        <v>189</v>
      </c>
      <c r="AL5" s="206"/>
      <c r="AM5" s="204" t="s">
        <v>190</v>
      </c>
      <c r="AN5" s="206"/>
      <c r="AO5" s="204" t="s">
        <v>191</v>
      </c>
      <c r="AP5" s="206"/>
      <c r="AQ5" s="204" t="s">
        <v>192</v>
      </c>
      <c r="AR5" s="206"/>
      <c r="AS5" s="204" t="s">
        <v>193</v>
      </c>
      <c r="AT5" s="206"/>
      <c r="AU5" s="204" t="s">
        <v>194</v>
      </c>
      <c r="AV5" s="206"/>
      <c r="AW5" s="204" t="s">
        <v>195</v>
      </c>
      <c r="AX5" s="206"/>
      <c r="AY5" s="204">
        <v>744483</v>
      </c>
      <c r="AZ5" s="206"/>
      <c r="BA5" s="204">
        <v>119314</v>
      </c>
      <c r="BB5" s="206"/>
      <c r="BC5" s="204">
        <v>1053229</v>
      </c>
      <c r="BD5" s="206"/>
      <c r="BE5" s="204">
        <v>1053215</v>
      </c>
      <c r="BF5" s="206"/>
      <c r="BH5" s="201"/>
      <c r="BI5" s="201"/>
    </row>
    <row r="6" spans="1:61" s="8" customFormat="1" ht="30" customHeight="1">
      <c r="A6" s="108" t="s">
        <v>96</v>
      </c>
      <c r="B6" s="51"/>
      <c r="C6" s="210"/>
      <c r="D6" s="211"/>
      <c r="E6" s="81"/>
      <c r="F6" s="113"/>
      <c r="G6" s="108"/>
      <c r="H6" s="51"/>
      <c r="I6" s="210"/>
      <c r="J6" s="211"/>
      <c r="K6" s="210"/>
      <c r="L6" s="211"/>
      <c r="M6" s="210"/>
      <c r="N6" s="211"/>
      <c r="O6" s="210"/>
      <c r="P6" s="215"/>
      <c r="Q6" s="210"/>
      <c r="R6" s="215"/>
      <c r="S6" s="210"/>
      <c r="T6" s="215"/>
      <c r="U6" s="210"/>
      <c r="V6" s="215"/>
      <c r="W6" s="210"/>
      <c r="X6" s="211"/>
      <c r="Y6" s="210"/>
      <c r="Z6" s="211"/>
      <c r="AA6" s="210"/>
      <c r="AB6" s="215"/>
      <c r="AC6" s="210"/>
      <c r="AD6" s="211"/>
      <c r="AE6" s="210"/>
      <c r="AF6" s="211"/>
      <c r="AG6" s="210"/>
      <c r="AH6" s="211"/>
      <c r="AI6" s="210"/>
      <c r="AJ6" s="211"/>
      <c r="AK6" s="210"/>
      <c r="AL6" s="211"/>
      <c r="AM6" s="210"/>
      <c r="AN6" s="211"/>
      <c r="AO6" s="210"/>
      <c r="AP6" s="211"/>
      <c r="AQ6" s="210"/>
      <c r="AR6" s="211"/>
      <c r="AS6" s="210"/>
      <c r="AT6" s="211"/>
      <c r="AU6" s="210"/>
      <c r="AV6" s="211"/>
      <c r="AW6" s="210"/>
      <c r="AX6" s="211"/>
      <c r="AY6" s="210"/>
      <c r="AZ6" s="211"/>
      <c r="BA6" s="210"/>
      <c r="BB6" s="211"/>
      <c r="BC6" s="210"/>
      <c r="BD6" s="211"/>
      <c r="BE6" s="210"/>
      <c r="BF6" s="211"/>
      <c r="BH6" s="33"/>
      <c r="BI6" s="33"/>
    </row>
    <row r="7" spans="1:61" s="10" customFormat="1" ht="50.1" customHeight="1">
      <c r="A7" s="108" t="s">
        <v>99</v>
      </c>
      <c r="B7" s="108"/>
      <c r="C7" s="108" t="s">
        <v>115</v>
      </c>
      <c r="D7" s="108" t="s">
        <v>196</v>
      </c>
      <c r="E7" s="108" t="s">
        <v>196</v>
      </c>
      <c r="F7" s="108" t="s">
        <v>196</v>
      </c>
      <c r="G7" s="108" t="s">
        <v>115</v>
      </c>
      <c r="H7" s="108" t="s">
        <v>196</v>
      </c>
      <c r="I7" s="108" t="s">
        <v>115</v>
      </c>
      <c r="J7" s="108" t="s">
        <v>196</v>
      </c>
      <c r="K7" s="108" t="s">
        <v>115</v>
      </c>
      <c r="L7" s="108" t="s">
        <v>196</v>
      </c>
      <c r="M7" s="108" t="s">
        <v>115</v>
      </c>
      <c r="N7" s="108" t="s">
        <v>196</v>
      </c>
      <c r="O7" s="108" t="s">
        <v>115</v>
      </c>
      <c r="P7" s="108" t="s">
        <v>196</v>
      </c>
      <c r="Q7" s="108" t="s">
        <v>115</v>
      </c>
      <c r="R7" s="108" t="s">
        <v>196</v>
      </c>
      <c r="S7" s="108" t="s">
        <v>115</v>
      </c>
      <c r="T7" s="108" t="s">
        <v>196</v>
      </c>
      <c r="U7" s="108" t="s">
        <v>115</v>
      </c>
      <c r="V7" s="108" t="s">
        <v>196</v>
      </c>
      <c r="W7" s="108" t="s">
        <v>115</v>
      </c>
      <c r="X7" s="108" t="s">
        <v>196</v>
      </c>
      <c r="Y7" s="108" t="s">
        <v>115</v>
      </c>
      <c r="Z7" s="108" t="s">
        <v>196</v>
      </c>
      <c r="AA7" s="108" t="s">
        <v>115</v>
      </c>
      <c r="AB7" s="108" t="s">
        <v>196</v>
      </c>
      <c r="AC7" s="108" t="s">
        <v>115</v>
      </c>
      <c r="AD7" s="108" t="s">
        <v>196</v>
      </c>
      <c r="AE7" s="13" t="s">
        <v>115</v>
      </c>
      <c r="AF7" s="108" t="s">
        <v>196</v>
      </c>
      <c r="AG7" s="13" t="s">
        <v>115</v>
      </c>
      <c r="AH7" s="108" t="s">
        <v>196</v>
      </c>
      <c r="AI7" s="13" t="s">
        <v>115</v>
      </c>
      <c r="AJ7" s="108" t="s">
        <v>196</v>
      </c>
      <c r="AK7" s="13" t="s">
        <v>115</v>
      </c>
      <c r="AL7" s="108" t="s">
        <v>196</v>
      </c>
      <c r="AM7" s="13" t="s">
        <v>115</v>
      </c>
      <c r="AN7" s="108" t="s">
        <v>196</v>
      </c>
      <c r="AO7" s="13" t="s">
        <v>115</v>
      </c>
      <c r="AP7" s="108" t="s">
        <v>196</v>
      </c>
      <c r="AQ7" s="13" t="s">
        <v>115</v>
      </c>
      <c r="AR7" s="108" t="s">
        <v>196</v>
      </c>
      <c r="AS7" s="13" t="s">
        <v>115</v>
      </c>
      <c r="AT7" s="108" t="s">
        <v>196</v>
      </c>
      <c r="AU7" s="13" t="s">
        <v>115</v>
      </c>
      <c r="AV7" s="108" t="s">
        <v>196</v>
      </c>
      <c r="AW7" s="13" t="s">
        <v>115</v>
      </c>
      <c r="AX7" s="108" t="s">
        <v>196</v>
      </c>
      <c r="AY7" s="13" t="s">
        <v>115</v>
      </c>
      <c r="AZ7" s="108" t="s">
        <v>196</v>
      </c>
      <c r="BA7" s="13" t="s">
        <v>115</v>
      </c>
      <c r="BB7" s="108" t="s">
        <v>196</v>
      </c>
      <c r="BC7" s="13" t="s">
        <v>115</v>
      </c>
      <c r="BD7" s="108" t="s">
        <v>196</v>
      </c>
      <c r="BE7" s="13" t="s">
        <v>115</v>
      </c>
      <c r="BF7" s="108" t="s">
        <v>196</v>
      </c>
      <c r="BH7" s="108" t="s">
        <v>65</v>
      </c>
      <c r="BI7" s="108" t="s">
        <v>67</v>
      </c>
    </row>
    <row r="8" spans="1:61" s="36" customFormat="1" ht="39.950000000000003" customHeight="1">
      <c r="A8" s="146">
        <v>44439</v>
      </c>
      <c r="B8" s="35"/>
      <c r="C8" s="77">
        <v>6263232</v>
      </c>
      <c r="D8" s="105"/>
      <c r="E8" s="38"/>
      <c r="F8" s="105"/>
      <c r="G8" s="77">
        <v>285550</v>
      </c>
      <c r="H8" s="105"/>
      <c r="I8" s="77">
        <v>142121</v>
      </c>
      <c r="J8" s="105"/>
      <c r="K8" s="77">
        <v>260844</v>
      </c>
      <c r="L8" s="105"/>
      <c r="M8" s="77">
        <v>24799</v>
      </c>
      <c r="N8" s="105"/>
      <c r="O8" s="77">
        <v>283592</v>
      </c>
      <c r="P8" s="38"/>
      <c r="Q8" s="77">
        <v>457128</v>
      </c>
      <c r="R8" s="105"/>
      <c r="S8" s="77">
        <v>735183</v>
      </c>
      <c r="T8" s="105"/>
      <c r="U8" s="84">
        <v>1598</v>
      </c>
      <c r="V8" s="105"/>
      <c r="W8" s="77">
        <v>82341</v>
      </c>
      <c r="X8" s="105"/>
      <c r="Y8" s="83">
        <v>1499604</v>
      </c>
      <c r="Z8" s="105"/>
      <c r="AA8" s="83">
        <v>13264</v>
      </c>
      <c r="AB8" s="105"/>
      <c r="AC8" s="77">
        <v>467558</v>
      </c>
      <c r="AD8" s="105"/>
      <c r="AE8" s="77">
        <v>541390</v>
      </c>
      <c r="AF8" s="105"/>
      <c r="AG8" s="83">
        <v>49781</v>
      </c>
      <c r="AH8" s="105"/>
      <c r="AI8" s="77">
        <v>423590</v>
      </c>
      <c r="AJ8" s="105"/>
      <c r="AK8" s="83">
        <v>102770</v>
      </c>
      <c r="AL8" s="105"/>
      <c r="AM8" s="77">
        <v>584482</v>
      </c>
      <c r="AN8" s="105"/>
      <c r="AO8" s="77">
        <v>948850</v>
      </c>
      <c r="AP8" s="105"/>
      <c r="AQ8" s="83">
        <v>77874</v>
      </c>
      <c r="AR8" s="105"/>
      <c r="AS8" s="83">
        <v>2262</v>
      </c>
      <c r="AT8" s="105"/>
      <c r="AU8" s="83">
        <v>939</v>
      </c>
      <c r="AV8" s="105"/>
      <c r="AW8" s="83">
        <v>3109</v>
      </c>
      <c r="AX8" s="105"/>
      <c r="AY8" s="77">
        <v>323356</v>
      </c>
      <c r="AZ8" s="105"/>
      <c r="BA8" s="83">
        <v>161101</v>
      </c>
      <c r="BB8" s="105"/>
      <c r="BC8" s="77">
        <v>219849</v>
      </c>
      <c r="BD8" s="105"/>
      <c r="BE8" s="83">
        <v>5347</v>
      </c>
      <c r="BF8" s="105"/>
      <c r="BH8" s="106"/>
      <c r="BI8" s="106"/>
    </row>
    <row r="9" spans="1:61" s="29" customFormat="1" ht="39.950000000000003" customHeight="1">
      <c r="A9" s="146">
        <v>44440</v>
      </c>
      <c r="B9" s="28"/>
      <c r="C9" s="78">
        <v>6265355</v>
      </c>
      <c r="D9" s="38">
        <f>(+C9-+C8)*48</f>
        <v>101904</v>
      </c>
      <c r="E9" s="38">
        <f>D9*0.6</f>
        <v>61142.399999999994</v>
      </c>
      <c r="F9" s="38">
        <f>D9*0.4</f>
        <v>40761.600000000006</v>
      </c>
      <c r="G9" s="78">
        <v>285565</v>
      </c>
      <c r="H9" s="38">
        <f>(+G9-+G8)*48</f>
        <v>720</v>
      </c>
      <c r="I9" s="78">
        <v>142221</v>
      </c>
      <c r="J9" s="38">
        <f>(+I9-+I8)*48</f>
        <v>4800</v>
      </c>
      <c r="K9" s="78">
        <v>260849</v>
      </c>
      <c r="L9" s="38">
        <f t="shared" ref="L9:L38" si="0">(+K9-+K8)*48</f>
        <v>240</v>
      </c>
      <c r="M9" s="77">
        <v>24799</v>
      </c>
      <c r="N9" s="38">
        <f>(+M9-+M8)*48</f>
        <v>0</v>
      </c>
      <c r="O9" s="78">
        <v>283753</v>
      </c>
      <c r="P9" s="38">
        <f>(+O9-+O8)*48</f>
        <v>7728</v>
      </c>
      <c r="Q9" s="78">
        <v>457166</v>
      </c>
      <c r="R9" s="38">
        <f>(+Q9-+Q8)*48</f>
        <v>1824</v>
      </c>
      <c r="S9" s="78">
        <v>735239</v>
      </c>
      <c r="T9" s="38">
        <f>(+S9-+S8)*48</f>
        <v>2688</v>
      </c>
      <c r="U9" s="78">
        <v>1610</v>
      </c>
      <c r="V9" s="105">
        <f>(+U9-+U8)*48</f>
        <v>576</v>
      </c>
      <c r="W9" s="78">
        <v>82348</v>
      </c>
      <c r="X9" s="38">
        <f>(+W9-+W8)*48</f>
        <v>336</v>
      </c>
      <c r="Y9" s="78">
        <v>1499604</v>
      </c>
      <c r="Z9" s="38">
        <f>(+Y9-+Y8)*48</f>
        <v>0</v>
      </c>
      <c r="AA9" s="83">
        <v>13264</v>
      </c>
      <c r="AB9" s="38">
        <f>(+AA9-+AA8)*48</f>
        <v>0</v>
      </c>
      <c r="AC9" s="78">
        <v>467677</v>
      </c>
      <c r="AD9" s="38">
        <f>(+AC9-+AC8)*48</f>
        <v>5712</v>
      </c>
      <c r="AE9" s="78">
        <v>541517</v>
      </c>
      <c r="AF9" s="38">
        <f>(+AE9-+AE8)*48</f>
        <v>6096</v>
      </c>
      <c r="AG9" s="83">
        <v>49781</v>
      </c>
      <c r="AH9" s="38">
        <f>(+AG9-+AG8)*48</f>
        <v>0</v>
      </c>
      <c r="AI9" s="78">
        <v>423648</v>
      </c>
      <c r="AJ9" s="38">
        <f>(+AI9-+AI8)*48</f>
        <v>2784</v>
      </c>
      <c r="AK9" s="83">
        <v>102770</v>
      </c>
      <c r="AL9" s="38">
        <f>(+AK9-+AK8)*48</f>
        <v>0</v>
      </c>
      <c r="AM9" s="78">
        <v>584578</v>
      </c>
      <c r="AN9" s="38">
        <f>(+AM9-+AM8)*48</f>
        <v>4608</v>
      </c>
      <c r="AO9" s="78">
        <v>949049</v>
      </c>
      <c r="AP9" s="38">
        <f>(+AO9-+AO8)*48</f>
        <v>9552</v>
      </c>
      <c r="AQ9" s="78">
        <v>77874</v>
      </c>
      <c r="AR9" s="38">
        <f>(+AQ9-+AQ8)*48</f>
        <v>0</v>
      </c>
      <c r="AS9" s="83">
        <v>2262</v>
      </c>
      <c r="AT9" s="38">
        <f>(+AS9-+AS8)*48</f>
        <v>0</v>
      </c>
      <c r="AU9" s="83">
        <v>939</v>
      </c>
      <c r="AV9" s="38">
        <f>(+AU9-+AU8)*48</f>
        <v>0</v>
      </c>
      <c r="AW9" s="83">
        <v>3109</v>
      </c>
      <c r="AX9" s="38">
        <f>(+AW9-+AW8)*48</f>
        <v>0</v>
      </c>
      <c r="AY9" s="78">
        <v>323427</v>
      </c>
      <c r="AZ9" s="38">
        <f>(+AY9-+AY8)*48</f>
        <v>3408</v>
      </c>
      <c r="BA9" s="83">
        <v>161101</v>
      </c>
      <c r="BB9" s="38">
        <f>(+BA9-+BA8)*48</f>
        <v>0</v>
      </c>
      <c r="BC9" s="78">
        <v>219872</v>
      </c>
      <c r="BD9" s="38">
        <f>(+BC9-+BC8)*48</f>
        <v>1104</v>
      </c>
      <c r="BE9" s="83">
        <v>5347</v>
      </c>
      <c r="BF9" s="38">
        <f>(+BE9-+BE8)*48</f>
        <v>0</v>
      </c>
      <c r="BH9" s="106">
        <f t="shared" ref="BH9:BH36" si="1">SUM(E9,J9,P9,H9,L9,R9,T9,V9,X9,N9,AB9,Z9,AD9,AF9,AH9,AL9,AJ9)</f>
        <v>94646.399999999994</v>
      </c>
      <c r="BI9" s="106">
        <f t="shared" ref="BI9:BI36" si="2">SUM(F9,AN9,AP9,AT9,AV9,AX9,AR9,AZ9,BB9,BD9,BF9)</f>
        <v>59433.600000000006</v>
      </c>
    </row>
    <row r="10" spans="1:61" s="36" customFormat="1" ht="39.950000000000003" customHeight="1">
      <c r="A10" s="146">
        <v>44441</v>
      </c>
      <c r="B10" s="35"/>
      <c r="C10" s="84">
        <v>6267639</v>
      </c>
      <c r="D10" s="38">
        <f t="shared" ref="D10" si="3">(+C10-+C9)*48</f>
        <v>109632</v>
      </c>
      <c r="E10" s="38">
        <f t="shared" ref="E10:E38" si="4">D10*0.6</f>
        <v>65779.199999999997</v>
      </c>
      <c r="F10" s="105">
        <f t="shared" ref="F10:F36" si="5">D10*0.4</f>
        <v>43852.800000000003</v>
      </c>
      <c r="G10" s="84">
        <v>285598</v>
      </c>
      <c r="H10" s="105">
        <f t="shared" ref="H10" si="6">(+G10-+G9)*48</f>
        <v>1584</v>
      </c>
      <c r="I10" s="84">
        <v>142377</v>
      </c>
      <c r="J10" s="105">
        <f t="shared" ref="J10" si="7">(+I10-+I9)*48</f>
        <v>7488</v>
      </c>
      <c r="K10" s="84">
        <v>260868</v>
      </c>
      <c r="L10" s="105">
        <f t="shared" si="0"/>
        <v>912</v>
      </c>
      <c r="M10" s="77">
        <v>24799</v>
      </c>
      <c r="N10" s="105">
        <f t="shared" ref="N10" si="8">(+M10-+M9)*48</f>
        <v>0</v>
      </c>
      <c r="O10" s="84">
        <v>283970</v>
      </c>
      <c r="P10" s="105">
        <f t="shared" ref="P10" si="9">(+O10-+O9)*48</f>
        <v>10416</v>
      </c>
      <c r="Q10" s="84">
        <v>457250</v>
      </c>
      <c r="R10" s="105">
        <f t="shared" ref="R10" si="10">(+Q10-+Q9)*48</f>
        <v>4032</v>
      </c>
      <c r="S10" s="84">
        <v>735328</v>
      </c>
      <c r="T10" s="105">
        <f t="shared" ref="T10" si="11">(+S10-+S9)*48</f>
        <v>4272</v>
      </c>
      <c r="U10" s="84">
        <v>1627</v>
      </c>
      <c r="V10" s="105">
        <f t="shared" ref="V10" si="12">(+U10-+U9)*48</f>
        <v>816</v>
      </c>
      <c r="W10" s="84">
        <v>82362</v>
      </c>
      <c r="X10" s="105">
        <f t="shared" ref="X10" si="13">(+W10-+W9)*48</f>
        <v>672</v>
      </c>
      <c r="Y10" s="84">
        <v>1499611</v>
      </c>
      <c r="Z10" s="38">
        <f t="shared" ref="Z10" si="14">(+Y10-+Y9)*48</f>
        <v>336</v>
      </c>
      <c r="AA10" s="83">
        <v>13264</v>
      </c>
      <c r="AB10" s="38">
        <f t="shared" ref="AB10" si="15">(+AA10-+AA9)*48</f>
        <v>0</v>
      </c>
      <c r="AC10" s="84">
        <v>467799</v>
      </c>
      <c r="AD10" s="38">
        <f t="shared" ref="AD10:AF36" si="16">(+AC10-+AC9)*48</f>
        <v>5856</v>
      </c>
      <c r="AE10" s="84">
        <v>541644</v>
      </c>
      <c r="AF10" s="38">
        <f t="shared" si="16"/>
        <v>6096</v>
      </c>
      <c r="AG10" s="83">
        <v>49781</v>
      </c>
      <c r="AH10" s="38">
        <f>(+AG10-+AG9)*48</f>
        <v>0</v>
      </c>
      <c r="AI10" s="84">
        <v>423692</v>
      </c>
      <c r="AJ10" s="38">
        <f t="shared" ref="AJ10" si="17">(+AI10-+AI9)*48</f>
        <v>2112</v>
      </c>
      <c r="AK10" s="83">
        <v>102770</v>
      </c>
      <c r="AL10" s="38">
        <f t="shared" ref="AL10" si="18">(+AK10-+AK9)*48</f>
        <v>0</v>
      </c>
      <c r="AM10" s="84">
        <v>584675</v>
      </c>
      <c r="AN10" s="38">
        <f t="shared" ref="AN10" si="19">(+AM10-+AM9)*48</f>
        <v>4656</v>
      </c>
      <c r="AO10" s="84">
        <v>949244</v>
      </c>
      <c r="AP10" s="38">
        <f t="shared" ref="AP10" si="20">(+AO10-+AO9)*48</f>
        <v>9360</v>
      </c>
      <c r="AQ10" s="78">
        <v>77874</v>
      </c>
      <c r="AR10" s="38">
        <f t="shared" ref="AR10" si="21">(+AQ10-+AQ9)*48</f>
        <v>0</v>
      </c>
      <c r="AS10" s="83">
        <v>2262</v>
      </c>
      <c r="AT10" s="38">
        <f t="shared" ref="AT10" si="22">(+AS10-+AS9)*48</f>
        <v>0</v>
      </c>
      <c r="AU10" s="83">
        <v>939</v>
      </c>
      <c r="AV10" s="38">
        <f t="shared" ref="AV10" si="23">(+AU10-+AU9)*48</f>
        <v>0</v>
      </c>
      <c r="AW10" s="83">
        <v>3109</v>
      </c>
      <c r="AX10" s="38">
        <f t="shared" ref="AX10" si="24">(+AW10-+AW9)*48</f>
        <v>0</v>
      </c>
      <c r="AY10" s="84">
        <v>323493</v>
      </c>
      <c r="AZ10" s="38">
        <f t="shared" ref="AZ10" si="25">(+AY10-+AY9)*48</f>
        <v>3168</v>
      </c>
      <c r="BA10" s="83">
        <v>161101</v>
      </c>
      <c r="BB10" s="38">
        <f t="shared" ref="BB10" si="26">(+BA10-+BA9)*48</f>
        <v>0</v>
      </c>
      <c r="BC10" s="84">
        <v>219896</v>
      </c>
      <c r="BD10" s="38">
        <f t="shared" ref="BD10" si="27">(+BC10-+BC9)*48</f>
        <v>1152</v>
      </c>
      <c r="BE10" s="83">
        <v>5347</v>
      </c>
      <c r="BF10" s="38">
        <f t="shared" ref="BF10" si="28">(+BE10-+BE9)*48</f>
        <v>0</v>
      </c>
      <c r="BH10" s="106">
        <f t="shared" si="1"/>
        <v>110371.2</v>
      </c>
      <c r="BI10" s="106">
        <f t="shared" si="2"/>
        <v>62188.800000000003</v>
      </c>
    </row>
    <row r="11" spans="1:61" s="36" customFormat="1" ht="39.950000000000003" customHeight="1">
      <c r="A11" s="146">
        <v>44442</v>
      </c>
      <c r="B11" s="35"/>
      <c r="C11" s="84">
        <v>6269919</v>
      </c>
      <c r="D11" s="38">
        <f t="shared" ref="D11" si="29">(+C11-+C10)*48</f>
        <v>109440</v>
      </c>
      <c r="E11" s="38">
        <f t="shared" si="4"/>
        <v>65664</v>
      </c>
      <c r="F11" s="105">
        <f t="shared" si="5"/>
        <v>43776</v>
      </c>
      <c r="G11" s="84">
        <v>285637</v>
      </c>
      <c r="H11" s="105">
        <f t="shared" ref="H11" si="30">(+G11-+G10)*48</f>
        <v>1872</v>
      </c>
      <c r="I11" s="84">
        <v>142546</v>
      </c>
      <c r="J11" s="105">
        <f t="shared" ref="J11" si="31">(+I11-+I10)*48</f>
        <v>8112</v>
      </c>
      <c r="K11" s="84">
        <v>260875</v>
      </c>
      <c r="L11" s="105">
        <f t="shared" si="0"/>
        <v>336</v>
      </c>
      <c r="M11" s="77">
        <v>24799</v>
      </c>
      <c r="N11" s="105">
        <f t="shared" ref="N11" si="32">(+M11-+M10)*48</f>
        <v>0</v>
      </c>
      <c r="O11" s="84">
        <v>284174</v>
      </c>
      <c r="P11" s="105">
        <f t="shared" ref="P11" si="33">(+O11-+O10)*48</f>
        <v>9792</v>
      </c>
      <c r="Q11" s="84">
        <v>457323</v>
      </c>
      <c r="R11" s="105">
        <f t="shared" ref="R11" si="34">(+Q11-+Q10)*48</f>
        <v>3504</v>
      </c>
      <c r="S11" s="84">
        <v>735435</v>
      </c>
      <c r="T11" s="105">
        <f t="shared" ref="T11" si="35">(+S11-+S10)*48</f>
        <v>5136</v>
      </c>
      <c r="U11" s="84">
        <v>1647</v>
      </c>
      <c r="V11" s="105">
        <f t="shared" ref="V11" si="36">(+U11-+U10)*48</f>
        <v>960</v>
      </c>
      <c r="W11" s="84">
        <v>82389</v>
      </c>
      <c r="X11" s="105">
        <f t="shared" ref="X11" si="37">(+W11-+W10)*48</f>
        <v>1296</v>
      </c>
      <c r="Y11" s="84">
        <v>1499611</v>
      </c>
      <c r="Z11" s="38">
        <f t="shared" ref="Z11" si="38">(+Y11-+Y10)*48</f>
        <v>0</v>
      </c>
      <c r="AA11" s="83">
        <v>13264</v>
      </c>
      <c r="AB11" s="38">
        <f t="shared" ref="AB11" si="39">(+AA11-+AA10)*48</f>
        <v>0</v>
      </c>
      <c r="AC11" s="84">
        <v>467917</v>
      </c>
      <c r="AD11" s="38">
        <f t="shared" si="16"/>
        <v>5664</v>
      </c>
      <c r="AE11" s="84">
        <v>541768</v>
      </c>
      <c r="AF11" s="38">
        <f t="shared" si="16"/>
        <v>5952</v>
      </c>
      <c r="AG11" s="83">
        <v>49781</v>
      </c>
      <c r="AH11" s="38">
        <f t="shared" ref="AH11" si="40">(+AG11-+AG10)*48</f>
        <v>0</v>
      </c>
      <c r="AI11" s="84">
        <v>423728</v>
      </c>
      <c r="AJ11" s="38">
        <f t="shared" ref="AJ11" si="41">(+AI11-+AI10)*48</f>
        <v>1728</v>
      </c>
      <c r="AK11" s="83">
        <v>102770</v>
      </c>
      <c r="AL11" s="38">
        <f t="shared" ref="AL11" si="42">(+AK11-+AK10)*48</f>
        <v>0</v>
      </c>
      <c r="AM11" s="84">
        <v>584766</v>
      </c>
      <c r="AN11" s="38">
        <f t="shared" ref="AN11" si="43">(+AM11-+AM10)*48</f>
        <v>4368</v>
      </c>
      <c r="AO11" s="84">
        <v>949439</v>
      </c>
      <c r="AP11" s="38">
        <f t="shared" ref="AP11" si="44">(+AO11-+AO10)*48</f>
        <v>9360</v>
      </c>
      <c r="AQ11" s="78">
        <v>77874</v>
      </c>
      <c r="AR11" s="38">
        <f t="shared" ref="AR11" si="45">(+AQ11-+AQ10)*48</f>
        <v>0</v>
      </c>
      <c r="AS11" s="83">
        <v>2262</v>
      </c>
      <c r="AT11" s="38">
        <f t="shared" ref="AT11" si="46">(+AS11-+AS10)*48</f>
        <v>0</v>
      </c>
      <c r="AU11" s="83">
        <v>939</v>
      </c>
      <c r="AV11" s="38">
        <f t="shared" ref="AV11" si="47">(+AU11-+AU10)*48</f>
        <v>0</v>
      </c>
      <c r="AW11" s="83">
        <v>3109</v>
      </c>
      <c r="AX11" s="38">
        <f t="shared" ref="AX11" si="48">(+AW11-+AW10)*48</f>
        <v>0</v>
      </c>
      <c r="AY11" s="84">
        <v>323559</v>
      </c>
      <c r="AZ11" s="38">
        <f t="shared" ref="AZ11" si="49">(+AY11-+AY10)*48</f>
        <v>3168</v>
      </c>
      <c r="BA11" s="83">
        <v>161101</v>
      </c>
      <c r="BB11" s="38">
        <f t="shared" ref="BB11" si="50">(+BA11-+BA10)*48</f>
        <v>0</v>
      </c>
      <c r="BC11" s="84">
        <v>219922</v>
      </c>
      <c r="BD11" s="38">
        <f t="shared" ref="BD11" si="51">(+BC11-+BC10)*48</f>
        <v>1248</v>
      </c>
      <c r="BE11" s="83">
        <v>5347</v>
      </c>
      <c r="BF11" s="38">
        <f t="shared" ref="BF11" si="52">(+BE11-+BE10)*48</f>
        <v>0</v>
      </c>
      <c r="BH11" s="106">
        <f t="shared" si="1"/>
        <v>110016</v>
      </c>
      <c r="BI11" s="106">
        <f t="shared" si="2"/>
        <v>61920</v>
      </c>
    </row>
    <row r="12" spans="1:61" s="36" customFormat="1" ht="39.950000000000003" customHeight="1">
      <c r="A12" s="146">
        <v>44443</v>
      </c>
      <c r="B12" s="35"/>
      <c r="C12" s="84">
        <v>6271971</v>
      </c>
      <c r="D12" s="38">
        <f t="shared" ref="D12" si="53">(+C12-+C11)*48</f>
        <v>98496</v>
      </c>
      <c r="E12" s="38">
        <f t="shared" si="4"/>
        <v>59097.599999999999</v>
      </c>
      <c r="F12" s="105">
        <f t="shared" si="5"/>
        <v>39398.400000000001</v>
      </c>
      <c r="G12" s="84">
        <v>285674</v>
      </c>
      <c r="H12" s="105">
        <f t="shared" ref="H12" si="54">(+G12-+G11)*48</f>
        <v>1776</v>
      </c>
      <c r="I12" s="84">
        <v>142711</v>
      </c>
      <c r="J12" s="105">
        <f t="shared" ref="J12" si="55">(+I12-+I11)*48</f>
        <v>7920</v>
      </c>
      <c r="K12" s="84">
        <v>260892</v>
      </c>
      <c r="L12" s="105">
        <f t="shared" si="0"/>
        <v>816</v>
      </c>
      <c r="M12" s="77">
        <v>24799</v>
      </c>
      <c r="N12" s="105">
        <f t="shared" ref="N12" si="56">(+M12-+M11)*48</f>
        <v>0</v>
      </c>
      <c r="O12" s="84">
        <v>284382</v>
      </c>
      <c r="P12" s="105">
        <f t="shared" ref="P12" si="57">(+O12-+O11)*48</f>
        <v>9984</v>
      </c>
      <c r="Q12" s="84">
        <v>457426</v>
      </c>
      <c r="R12" s="105">
        <f t="shared" ref="R12" si="58">(+Q12-+Q11)*48</f>
        <v>4944</v>
      </c>
      <c r="S12" s="84">
        <v>735551</v>
      </c>
      <c r="T12" s="105">
        <f t="shared" ref="T12" si="59">(+S12-+S11)*48</f>
        <v>5568</v>
      </c>
      <c r="U12" s="84">
        <v>1666</v>
      </c>
      <c r="V12" s="105">
        <f t="shared" ref="V12" si="60">(+U12-+U11)*48</f>
        <v>912</v>
      </c>
      <c r="W12" s="84">
        <v>82416</v>
      </c>
      <c r="X12" s="105">
        <f t="shared" ref="X12" si="61">(+W12-+W11)*48</f>
        <v>1296</v>
      </c>
      <c r="Y12" s="84">
        <v>1499611</v>
      </c>
      <c r="Z12" s="38">
        <f t="shared" ref="Z12" si="62">(+Y12-+Y11)*48</f>
        <v>0</v>
      </c>
      <c r="AA12" s="83">
        <v>13264</v>
      </c>
      <c r="AB12" s="38">
        <f t="shared" ref="AB12" si="63">(+AA12-+AA11)*48</f>
        <v>0</v>
      </c>
      <c r="AC12" s="84">
        <v>468035</v>
      </c>
      <c r="AD12" s="38">
        <f t="shared" si="16"/>
        <v>5664</v>
      </c>
      <c r="AE12" s="84">
        <v>541894</v>
      </c>
      <c r="AF12" s="38">
        <f t="shared" si="16"/>
        <v>6048</v>
      </c>
      <c r="AG12" s="83">
        <v>49781</v>
      </c>
      <c r="AH12" s="38">
        <f t="shared" ref="AH12" si="64">(+AG12-+AG11)*48</f>
        <v>0</v>
      </c>
      <c r="AI12" s="84">
        <v>423776</v>
      </c>
      <c r="AJ12" s="38">
        <f t="shared" ref="AJ12" si="65">(+AI12-+AI11)*48</f>
        <v>2304</v>
      </c>
      <c r="AK12" s="83">
        <v>102770</v>
      </c>
      <c r="AL12" s="38">
        <f t="shared" ref="AL12" si="66">(+AK12-+AK11)*48</f>
        <v>0</v>
      </c>
      <c r="AM12" s="84">
        <v>584853</v>
      </c>
      <c r="AN12" s="38">
        <f t="shared" ref="AN12" si="67">(+AM12-+AM11)*48</f>
        <v>4176</v>
      </c>
      <c r="AO12" s="84">
        <v>949633</v>
      </c>
      <c r="AP12" s="38">
        <f t="shared" ref="AP12" si="68">(+AO12-+AO11)*48</f>
        <v>9312</v>
      </c>
      <c r="AQ12" s="78">
        <v>77874</v>
      </c>
      <c r="AR12" s="38">
        <f t="shared" ref="AR12" si="69">(+AQ12-+AQ11)*48</f>
        <v>0</v>
      </c>
      <c r="AS12" s="83">
        <v>2262</v>
      </c>
      <c r="AT12" s="38">
        <f t="shared" ref="AT12" si="70">(+AS12-+AS11)*48</f>
        <v>0</v>
      </c>
      <c r="AU12" s="83">
        <v>939</v>
      </c>
      <c r="AV12" s="38">
        <f t="shared" ref="AV12" si="71">(+AU12-+AU11)*48</f>
        <v>0</v>
      </c>
      <c r="AW12" s="83">
        <v>3109</v>
      </c>
      <c r="AX12" s="38">
        <f t="shared" ref="AX12" si="72">(+AW12-+AW11)*48</f>
        <v>0</v>
      </c>
      <c r="AY12" s="84">
        <v>323623</v>
      </c>
      <c r="AZ12" s="38">
        <f t="shared" ref="AZ12" si="73">(+AY12-+AY11)*48</f>
        <v>3072</v>
      </c>
      <c r="BA12" s="83">
        <v>161101</v>
      </c>
      <c r="BB12" s="38">
        <f t="shared" ref="BB12" si="74">(+BA12-+BA11)*48</f>
        <v>0</v>
      </c>
      <c r="BC12" s="84">
        <v>219950</v>
      </c>
      <c r="BD12" s="38">
        <f t="shared" ref="BD12" si="75">(+BC12-+BC11)*48</f>
        <v>1344</v>
      </c>
      <c r="BE12" s="83">
        <v>5347</v>
      </c>
      <c r="BF12" s="38">
        <f t="shared" ref="BF12" si="76">(+BE12-+BE11)*48</f>
        <v>0</v>
      </c>
      <c r="BH12" s="106">
        <f t="shared" si="1"/>
        <v>106329.60000000001</v>
      </c>
      <c r="BI12" s="106">
        <f t="shared" si="2"/>
        <v>57302.400000000001</v>
      </c>
    </row>
    <row r="13" spans="1:61" s="36" customFormat="1" ht="39.950000000000003" customHeight="1">
      <c r="A13" s="146">
        <v>44444</v>
      </c>
      <c r="B13" s="35"/>
      <c r="C13" s="84">
        <v>6274090</v>
      </c>
      <c r="D13" s="38">
        <f t="shared" ref="D13" si="77">(+C13-+C12)*48</f>
        <v>101712</v>
      </c>
      <c r="E13" s="38">
        <f t="shared" si="4"/>
        <v>61027.199999999997</v>
      </c>
      <c r="F13" s="105">
        <f t="shared" si="5"/>
        <v>40684.800000000003</v>
      </c>
      <c r="G13" s="84">
        <v>285722</v>
      </c>
      <c r="H13" s="105">
        <f t="shared" ref="H13" si="78">(+G13-+G12)*48</f>
        <v>2304</v>
      </c>
      <c r="I13" s="84">
        <v>142877</v>
      </c>
      <c r="J13" s="105">
        <f t="shared" ref="J13" si="79">(+I13-+I12)*48</f>
        <v>7968</v>
      </c>
      <c r="K13" s="84">
        <v>260926</v>
      </c>
      <c r="L13" s="105">
        <f t="shared" si="0"/>
        <v>1632</v>
      </c>
      <c r="M13" s="77">
        <v>24799</v>
      </c>
      <c r="N13" s="105">
        <f t="shared" ref="N13" si="80">(+M13-+M12)*48</f>
        <v>0</v>
      </c>
      <c r="O13" s="84">
        <v>284629</v>
      </c>
      <c r="P13" s="105">
        <f t="shared" ref="P13" si="81">(+O13-+O12)*48</f>
        <v>11856</v>
      </c>
      <c r="Q13" s="84">
        <v>457509</v>
      </c>
      <c r="R13" s="105">
        <f t="shared" ref="R13" si="82">(+Q13-+Q12)*48</f>
        <v>3984</v>
      </c>
      <c r="S13" s="84">
        <v>735660</v>
      </c>
      <c r="T13" s="105">
        <f t="shared" ref="T13" si="83">(+S13-+S12)*48</f>
        <v>5232</v>
      </c>
      <c r="U13" s="84">
        <v>1687</v>
      </c>
      <c r="V13" s="105">
        <f t="shared" ref="V13" si="84">(+U13-+U12)*48</f>
        <v>1008</v>
      </c>
      <c r="W13" s="84">
        <v>82442</v>
      </c>
      <c r="X13" s="105">
        <f t="shared" ref="X13" si="85">(+W13-+W12)*48</f>
        <v>1248</v>
      </c>
      <c r="Y13" s="84">
        <v>1499611</v>
      </c>
      <c r="Z13" s="38">
        <f t="shared" ref="Z13" si="86">(+Y13-+Y12)*48</f>
        <v>0</v>
      </c>
      <c r="AA13" s="83">
        <v>13264</v>
      </c>
      <c r="AB13" s="38">
        <f t="shared" ref="AB13" si="87">(+AA13-+AA12)*48</f>
        <v>0</v>
      </c>
      <c r="AC13" s="84">
        <v>468154</v>
      </c>
      <c r="AD13" s="38">
        <f t="shared" si="16"/>
        <v>5712</v>
      </c>
      <c r="AE13" s="84">
        <v>542018</v>
      </c>
      <c r="AF13" s="38">
        <f t="shared" si="16"/>
        <v>5952</v>
      </c>
      <c r="AG13" s="83">
        <v>49781</v>
      </c>
      <c r="AH13" s="38">
        <f t="shared" ref="AH13" si="88">(+AG13-+AG12)*48</f>
        <v>0</v>
      </c>
      <c r="AI13" s="84">
        <v>423839</v>
      </c>
      <c r="AJ13" s="38">
        <f t="shared" ref="AJ13:AJ14" si="89">(+AI13-+AI12)*48</f>
        <v>3024</v>
      </c>
      <c r="AK13" s="83">
        <v>102770</v>
      </c>
      <c r="AL13" s="38">
        <f>(+AK13-+AK12)*48</f>
        <v>0</v>
      </c>
      <c r="AM13" s="84">
        <v>584941</v>
      </c>
      <c r="AN13" s="38">
        <f t="shared" ref="AN13" si="90">(+AM13-+AM12)*48</f>
        <v>4224</v>
      </c>
      <c r="AO13" s="84">
        <v>949827</v>
      </c>
      <c r="AP13" s="38">
        <f t="shared" ref="AP13" si="91">(+AO13-+AO12)*48</f>
        <v>9312</v>
      </c>
      <c r="AQ13" s="78">
        <v>77874</v>
      </c>
      <c r="AR13" s="38">
        <f t="shared" ref="AR13" si="92">(+AQ13-+AQ12)*48</f>
        <v>0</v>
      </c>
      <c r="AS13" s="83">
        <v>2262</v>
      </c>
      <c r="AT13" s="38">
        <f t="shared" ref="AT13" si="93">(+AS13-+AS12)*48</f>
        <v>0</v>
      </c>
      <c r="AU13" s="83">
        <v>939</v>
      </c>
      <c r="AV13" s="38">
        <f t="shared" ref="AV13" si="94">(+AU13-+AU12)*48</f>
        <v>0</v>
      </c>
      <c r="AW13" s="83">
        <v>3109</v>
      </c>
      <c r="AX13" s="38">
        <f t="shared" ref="AX13" si="95">(+AW13-+AW12)*48</f>
        <v>0</v>
      </c>
      <c r="AY13" s="84">
        <v>323688</v>
      </c>
      <c r="AZ13" s="38">
        <f t="shared" ref="AZ13" si="96">(+AY13-+AY12)*48</f>
        <v>3120</v>
      </c>
      <c r="BA13" s="83">
        <v>161101</v>
      </c>
      <c r="BB13" s="38">
        <f t="shared" ref="BB13" si="97">(+BA13-+BA12)*48</f>
        <v>0</v>
      </c>
      <c r="BC13" s="84">
        <v>219977</v>
      </c>
      <c r="BD13" s="38">
        <f t="shared" ref="BD13" si="98">(+BC13-+BC12)*48</f>
        <v>1296</v>
      </c>
      <c r="BE13" s="83">
        <v>5347</v>
      </c>
      <c r="BF13" s="38">
        <f t="shared" ref="BF13" si="99">(+BE13-+BE12)*48</f>
        <v>0</v>
      </c>
      <c r="BH13" s="106">
        <f t="shared" si="1"/>
        <v>110947.2</v>
      </c>
      <c r="BI13" s="106">
        <f t="shared" si="2"/>
        <v>58636.800000000003</v>
      </c>
    </row>
    <row r="14" spans="1:61" s="36" customFormat="1" ht="39.950000000000003" customHeight="1">
      <c r="A14" s="146">
        <v>44445</v>
      </c>
      <c r="B14" s="35"/>
      <c r="C14" s="84">
        <v>6276291</v>
      </c>
      <c r="D14" s="38">
        <f t="shared" ref="D14" si="100">(+C14-+C13)*48</f>
        <v>105648</v>
      </c>
      <c r="E14" s="38">
        <f t="shared" si="4"/>
        <v>63388.799999999996</v>
      </c>
      <c r="F14" s="105">
        <f t="shared" si="5"/>
        <v>42259.200000000004</v>
      </c>
      <c r="G14" s="84">
        <v>285769</v>
      </c>
      <c r="H14" s="105">
        <f t="shared" ref="H14" si="101">(+G14-+G13)*48</f>
        <v>2256</v>
      </c>
      <c r="I14" s="84">
        <v>143039</v>
      </c>
      <c r="J14" s="105">
        <f t="shared" ref="J14" si="102">(+I14-+I13)*48</f>
        <v>7776</v>
      </c>
      <c r="K14" s="84">
        <v>260999</v>
      </c>
      <c r="L14" s="105">
        <f t="shared" si="0"/>
        <v>3504</v>
      </c>
      <c r="M14" s="77">
        <v>24799</v>
      </c>
      <c r="N14" s="105">
        <f t="shared" ref="N14" si="103">(+M14-+M13)*48</f>
        <v>0</v>
      </c>
      <c r="O14" s="84">
        <v>284861</v>
      </c>
      <c r="P14" s="105">
        <f t="shared" ref="P14" si="104">(+O14-+O13)*48</f>
        <v>11136</v>
      </c>
      <c r="Q14" s="84">
        <v>457596</v>
      </c>
      <c r="R14" s="105">
        <f t="shared" ref="R14" si="105">(+Q14-+Q13)*48</f>
        <v>4176</v>
      </c>
      <c r="S14" s="84">
        <v>735773</v>
      </c>
      <c r="T14" s="105">
        <f t="shared" ref="T14" si="106">(+S14-+S13)*48</f>
        <v>5424</v>
      </c>
      <c r="U14" s="84">
        <v>1708</v>
      </c>
      <c r="V14" s="105">
        <f>(+U14-+U13)*48</f>
        <v>1008</v>
      </c>
      <c r="W14" s="84">
        <v>82463</v>
      </c>
      <c r="X14" s="105">
        <f t="shared" ref="X14" si="107">(+W14-+W13)*48</f>
        <v>1008</v>
      </c>
      <c r="Y14" s="84">
        <v>1499611</v>
      </c>
      <c r="Z14" s="38">
        <f t="shared" ref="Z14" si="108">(+Y14-+Y13)*48</f>
        <v>0</v>
      </c>
      <c r="AA14" s="83">
        <v>13264</v>
      </c>
      <c r="AB14" s="38">
        <f t="shared" ref="AB14" si="109">(+AA14-+AA13)*48</f>
        <v>0</v>
      </c>
      <c r="AC14" s="84">
        <v>468273</v>
      </c>
      <c r="AD14" s="38">
        <f t="shared" si="16"/>
        <v>5712</v>
      </c>
      <c r="AE14" s="84">
        <v>542131</v>
      </c>
      <c r="AF14" s="38">
        <f t="shared" si="16"/>
        <v>5424</v>
      </c>
      <c r="AG14" s="83">
        <v>49781</v>
      </c>
      <c r="AH14" s="38">
        <f t="shared" ref="AH14" si="110">(+AG14-+AG13)*48</f>
        <v>0</v>
      </c>
      <c r="AI14" s="84">
        <v>423896</v>
      </c>
      <c r="AJ14" s="38">
        <f t="shared" si="89"/>
        <v>2736</v>
      </c>
      <c r="AK14" s="84">
        <v>102770</v>
      </c>
      <c r="AL14" s="38">
        <f>(+AK14-+AK13)*48</f>
        <v>0</v>
      </c>
      <c r="AM14" s="84">
        <v>585030</v>
      </c>
      <c r="AN14" s="38">
        <f t="shared" ref="AN14" si="111">(+AM14-+AM13)*48</f>
        <v>4272</v>
      </c>
      <c r="AO14" s="84">
        <v>950018</v>
      </c>
      <c r="AP14" s="38">
        <f t="shared" ref="AP14" si="112">(+AO14-+AO13)*48</f>
        <v>9168</v>
      </c>
      <c r="AQ14" s="78">
        <v>77874</v>
      </c>
      <c r="AR14" s="38">
        <f t="shared" ref="AR14" si="113">(+AQ14-+AQ13)*48</f>
        <v>0</v>
      </c>
      <c r="AS14" s="84">
        <v>2262</v>
      </c>
      <c r="AT14" s="38">
        <f t="shared" ref="AT14" si="114">(+AS14-+AS13)*48</f>
        <v>0</v>
      </c>
      <c r="AU14" s="84">
        <v>939</v>
      </c>
      <c r="AV14" s="38">
        <f t="shared" ref="AV14" si="115">(+AU14-+AU13)*48</f>
        <v>0</v>
      </c>
      <c r="AW14" s="84">
        <v>3109</v>
      </c>
      <c r="AX14" s="38">
        <f t="shared" ref="AX14" si="116">(+AW14-+AW13)*48</f>
        <v>0</v>
      </c>
      <c r="AY14" s="84">
        <v>323747</v>
      </c>
      <c r="AZ14" s="38">
        <f t="shared" ref="AZ14" si="117">(+AY14-+AY13)*48</f>
        <v>2832</v>
      </c>
      <c r="BA14" s="83">
        <v>161101</v>
      </c>
      <c r="BB14" s="38">
        <f t="shared" ref="BB14" si="118">(+BA14-+BA13)*48</f>
        <v>0</v>
      </c>
      <c r="BC14" s="84">
        <v>220001</v>
      </c>
      <c r="BD14" s="38">
        <f t="shared" ref="BD14" si="119">(+BC14-+BC13)*48</f>
        <v>1152</v>
      </c>
      <c r="BE14" s="84">
        <v>5347</v>
      </c>
      <c r="BF14" s="38">
        <f t="shared" ref="BF14" si="120">(+BE14-+BE13)*48</f>
        <v>0</v>
      </c>
      <c r="BH14" s="106">
        <f t="shared" si="1"/>
        <v>113548.79999999999</v>
      </c>
      <c r="BI14" s="106">
        <f t="shared" si="2"/>
        <v>59683.200000000004</v>
      </c>
    </row>
    <row r="15" spans="1:61" s="36" customFormat="1" ht="39.950000000000003" customHeight="1">
      <c r="A15" s="146">
        <v>44446</v>
      </c>
      <c r="B15" s="35"/>
      <c r="C15" s="78">
        <v>6278158</v>
      </c>
      <c r="D15" s="38">
        <f t="shared" ref="D15" si="121">(+C15-+C14)*48</f>
        <v>89616</v>
      </c>
      <c r="E15" s="38">
        <f t="shared" si="4"/>
        <v>53769.599999999999</v>
      </c>
      <c r="F15" s="105">
        <f t="shared" si="5"/>
        <v>35846.400000000001</v>
      </c>
      <c r="G15" s="78">
        <v>285799</v>
      </c>
      <c r="H15" s="105">
        <f t="shared" ref="H15" si="122">(+G15-+G14)*48</f>
        <v>1440</v>
      </c>
      <c r="I15" s="78">
        <v>143206</v>
      </c>
      <c r="J15" s="105">
        <f t="shared" ref="J15" si="123">(+I15-+I14)*48</f>
        <v>8016</v>
      </c>
      <c r="K15" s="78">
        <v>261013</v>
      </c>
      <c r="L15" s="105">
        <f t="shared" si="0"/>
        <v>672</v>
      </c>
      <c r="M15" s="78">
        <v>24799</v>
      </c>
      <c r="N15" s="105">
        <f t="shared" ref="N15" si="124">(+M15-+M14)*48</f>
        <v>0</v>
      </c>
      <c r="O15" s="78">
        <v>285079</v>
      </c>
      <c r="P15" s="105">
        <f t="shared" ref="P15" si="125">(+O15-+O14)*48</f>
        <v>10464</v>
      </c>
      <c r="Q15" s="78">
        <v>457639</v>
      </c>
      <c r="R15" s="105">
        <f t="shared" ref="R15" si="126">(+Q15-+Q14)*48</f>
        <v>2064</v>
      </c>
      <c r="S15" s="78">
        <v>735890</v>
      </c>
      <c r="T15" s="105">
        <f t="shared" ref="T15" si="127">(+S15-+S14)*48</f>
        <v>5616</v>
      </c>
      <c r="U15" s="83">
        <v>1729</v>
      </c>
      <c r="V15" s="105">
        <f t="shared" ref="V15" si="128">(+U15-+U14)*48</f>
        <v>1008</v>
      </c>
      <c r="W15" s="78">
        <v>82463</v>
      </c>
      <c r="X15" s="105">
        <f t="shared" ref="X15" si="129">(+W15-+W14)*48</f>
        <v>0</v>
      </c>
      <c r="Y15" s="78">
        <v>1499611</v>
      </c>
      <c r="Z15" s="38">
        <f t="shared" ref="Z15" si="130">(+Y15-+Y14)*48</f>
        <v>0</v>
      </c>
      <c r="AA15" s="78">
        <v>13264</v>
      </c>
      <c r="AB15" s="38">
        <f t="shared" ref="AB15" si="131">(+AA15-+AA14)*48</f>
        <v>0</v>
      </c>
      <c r="AC15" s="78">
        <v>468393</v>
      </c>
      <c r="AD15" s="38">
        <f t="shared" si="16"/>
        <v>5760</v>
      </c>
      <c r="AE15" s="78">
        <v>542256</v>
      </c>
      <c r="AF15" s="38">
        <f t="shared" si="16"/>
        <v>6000</v>
      </c>
      <c r="AG15" s="78">
        <v>49781</v>
      </c>
      <c r="AH15" s="38">
        <f t="shared" ref="AH15" si="132">(+AG15-+AG14)*48</f>
        <v>0</v>
      </c>
      <c r="AI15" s="78">
        <v>423949</v>
      </c>
      <c r="AJ15" s="38">
        <f t="shared" ref="AJ15" si="133">(+AI15-+AI14)*48</f>
        <v>2544</v>
      </c>
      <c r="AK15" s="78">
        <v>102770</v>
      </c>
      <c r="AL15" s="38">
        <f>(+AK15-+AK14)*48</f>
        <v>0</v>
      </c>
      <c r="AM15" s="78">
        <v>585116</v>
      </c>
      <c r="AN15" s="38">
        <f t="shared" ref="AN15" si="134">(+AM15-+AM14)*48</f>
        <v>4128</v>
      </c>
      <c r="AO15" s="78">
        <v>950214</v>
      </c>
      <c r="AP15" s="38">
        <f t="shared" ref="AP15" si="135">(+AO15-+AO14)*48</f>
        <v>9408</v>
      </c>
      <c r="AQ15" s="78">
        <v>77874</v>
      </c>
      <c r="AR15" s="38">
        <f t="shared" ref="AR15" si="136">(+AQ15-+AQ14)*48</f>
        <v>0</v>
      </c>
      <c r="AS15" s="84">
        <v>2262</v>
      </c>
      <c r="AT15" s="38">
        <f t="shared" ref="AT15" si="137">(+AS15-+AS14)*48</f>
        <v>0</v>
      </c>
      <c r="AU15" s="84">
        <v>939</v>
      </c>
      <c r="AV15" s="38">
        <f t="shared" ref="AV15" si="138">(+AU15-+AU14)*48</f>
        <v>0</v>
      </c>
      <c r="AW15" s="84">
        <v>3109</v>
      </c>
      <c r="AX15" s="38">
        <f t="shared" ref="AX15" si="139">(+AW15-+AW14)*48</f>
        <v>0</v>
      </c>
      <c r="AY15" s="78">
        <v>323811</v>
      </c>
      <c r="AZ15" s="38">
        <f t="shared" ref="AZ15" si="140">(+AY15-+AY14)*48</f>
        <v>3072</v>
      </c>
      <c r="BA15" s="83">
        <v>161101</v>
      </c>
      <c r="BB15" s="38">
        <f t="shared" ref="BB15" si="141">(+BA15-+BA14)*48</f>
        <v>0</v>
      </c>
      <c r="BC15" s="78">
        <v>220028</v>
      </c>
      <c r="BD15" s="38">
        <f t="shared" ref="BD15" si="142">(+BC15-+BC14)*48</f>
        <v>1296</v>
      </c>
      <c r="BE15" s="84">
        <v>5347</v>
      </c>
      <c r="BF15" s="38">
        <f t="shared" ref="BF15" si="143">(+BE15-+BE14)*48</f>
        <v>0</v>
      </c>
      <c r="BH15" s="106">
        <f t="shared" si="1"/>
        <v>97353.600000000006</v>
      </c>
      <c r="BI15" s="106">
        <f t="shared" si="2"/>
        <v>53750.400000000001</v>
      </c>
    </row>
    <row r="16" spans="1:61" s="36" customFormat="1" ht="39.950000000000003" customHeight="1">
      <c r="A16" s="146">
        <v>44447</v>
      </c>
      <c r="B16" s="35"/>
      <c r="C16" s="78">
        <v>6280160</v>
      </c>
      <c r="D16" s="38">
        <f t="shared" ref="D16" si="144">(+C16-+C15)*48</f>
        <v>96096</v>
      </c>
      <c r="E16" s="38">
        <f t="shared" si="4"/>
        <v>57657.599999999999</v>
      </c>
      <c r="F16" s="105">
        <f t="shared" si="5"/>
        <v>38438.400000000001</v>
      </c>
      <c r="G16" s="78">
        <v>285827</v>
      </c>
      <c r="H16" s="105">
        <f t="shared" ref="H16" si="145">(+G16-+G15)*48</f>
        <v>1344</v>
      </c>
      <c r="I16" s="78">
        <v>143372</v>
      </c>
      <c r="J16" s="105">
        <f t="shared" ref="J16" si="146">(+I16-+I15)*48</f>
        <v>7968</v>
      </c>
      <c r="K16" s="78">
        <v>261042</v>
      </c>
      <c r="L16" s="105">
        <f t="shared" si="0"/>
        <v>1392</v>
      </c>
      <c r="M16" s="78">
        <v>24799</v>
      </c>
      <c r="N16" s="105">
        <f t="shared" ref="N16" si="147">(+M16-+M15)*48</f>
        <v>0</v>
      </c>
      <c r="O16" s="78">
        <v>285283</v>
      </c>
      <c r="P16" s="105">
        <f t="shared" ref="P16" si="148">(+O16-+O15)*48</f>
        <v>9792</v>
      </c>
      <c r="Q16" s="78">
        <v>457706</v>
      </c>
      <c r="R16" s="105">
        <f t="shared" ref="R16" si="149">(+Q16-+Q15)*48</f>
        <v>3216</v>
      </c>
      <c r="S16" s="78">
        <v>735991</v>
      </c>
      <c r="T16" s="105">
        <f t="shared" ref="T16" si="150">(+S16-+S15)*48</f>
        <v>4848</v>
      </c>
      <c r="U16" s="83">
        <v>1749</v>
      </c>
      <c r="V16" s="105">
        <f t="shared" ref="V16" si="151">(+U16-+U15)*48</f>
        <v>960</v>
      </c>
      <c r="W16" s="78">
        <v>82469</v>
      </c>
      <c r="X16" s="105">
        <f t="shared" ref="X16" si="152">(+W16-+W15)*48</f>
        <v>288</v>
      </c>
      <c r="Y16" s="78">
        <v>1499611</v>
      </c>
      <c r="Z16" s="38">
        <f t="shared" ref="Z16" si="153">(+Y16-+Y15)*48</f>
        <v>0</v>
      </c>
      <c r="AA16" s="78">
        <v>13264</v>
      </c>
      <c r="AB16" s="38">
        <f t="shared" ref="AB16" si="154">(+AA16-+AA15)*48</f>
        <v>0</v>
      </c>
      <c r="AC16" s="78">
        <v>468512</v>
      </c>
      <c r="AD16" s="38">
        <f t="shared" si="16"/>
        <v>5712</v>
      </c>
      <c r="AE16" s="78">
        <v>542381</v>
      </c>
      <c r="AF16" s="38">
        <f t="shared" si="16"/>
        <v>6000</v>
      </c>
      <c r="AG16" s="78">
        <v>49781</v>
      </c>
      <c r="AH16" s="38">
        <f t="shared" ref="AH16" si="155">(+AG16-+AG15)*48</f>
        <v>0</v>
      </c>
      <c r="AI16" s="78">
        <v>424000</v>
      </c>
      <c r="AJ16" s="38">
        <f t="shared" ref="AJ16" si="156">(+AI16-+AI15)*48</f>
        <v>2448</v>
      </c>
      <c r="AK16" s="78">
        <v>102770</v>
      </c>
      <c r="AL16" s="38">
        <f t="shared" ref="AL16" si="157">(+AK16-+AK15)*48</f>
        <v>0</v>
      </c>
      <c r="AM16" s="78">
        <v>585205</v>
      </c>
      <c r="AN16" s="38">
        <f t="shared" ref="AN16" si="158">(+AM16-+AM15)*48</f>
        <v>4272</v>
      </c>
      <c r="AO16" s="78">
        <v>950407</v>
      </c>
      <c r="AP16" s="38">
        <f t="shared" ref="AP16" si="159">(+AO16-+AO15)*48</f>
        <v>9264</v>
      </c>
      <c r="AQ16" s="78">
        <v>77874</v>
      </c>
      <c r="AR16" s="38">
        <f t="shared" ref="AR16" si="160">(+AQ16-+AQ15)*48</f>
        <v>0</v>
      </c>
      <c r="AS16" s="84">
        <v>2262</v>
      </c>
      <c r="AT16" s="38">
        <f t="shared" ref="AT16" si="161">(+AS16-+AS15)*48</f>
        <v>0</v>
      </c>
      <c r="AU16" s="84">
        <v>939</v>
      </c>
      <c r="AV16" s="38">
        <f t="shared" ref="AV16" si="162">(+AU16-+AU15)*48</f>
        <v>0</v>
      </c>
      <c r="AW16" s="84">
        <v>3109</v>
      </c>
      <c r="AX16" s="38">
        <f t="shared" ref="AX16" si="163">(+AW16-+AW15)*48</f>
        <v>0</v>
      </c>
      <c r="AY16" s="78">
        <v>323875</v>
      </c>
      <c r="AZ16" s="38">
        <f t="shared" ref="AZ16" si="164">(+AY16-+AY15)*48</f>
        <v>3072</v>
      </c>
      <c r="BA16" s="83">
        <v>161101</v>
      </c>
      <c r="BB16" s="38">
        <f t="shared" ref="BB16" si="165">(+BA16-+BA15)*48</f>
        <v>0</v>
      </c>
      <c r="BC16" s="78">
        <v>220057</v>
      </c>
      <c r="BD16" s="38">
        <f t="shared" ref="BD16" si="166">(+BC16-+BC15)*48</f>
        <v>1392</v>
      </c>
      <c r="BE16" s="84">
        <v>5347</v>
      </c>
      <c r="BF16" s="38">
        <f t="shared" ref="BF16" si="167">(+BE16-+BE15)*48</f>
        <v>0</v>
      </c>
      <c r="BH16" s="106">
        <f t="shared" si="1"/>
        <v>101625.60000000001</v>
      </c>
      <c r="BI16" s="106">
        <f t="shared" si="2"/>
        <v>56438.400000000001</v>
      </c>
    </row>
    <row r="17" spans="1:61" s="36" customFormat="1" ht="39.950000000000003" customHeight="1">
      <c r="A17" s="146">
        <v>44448</v>
      </c>
      <c r="B17" s="35"/>
      <c r="C17" s="78">
        <v>6282117</v>
      </c>
      <c r="D17" s="38">
        <f t="shared" ref="D17" si="168">(+C17-+C16)*48</f>
        <v>93936</v>
      </c>
      <c r="E17" s="38">
        <f t="shared" si="4"/>
        <v>56361.599999999999</v>
      </c>
      <c r="F17" s="105">
        <f t="shared" si="5"/>
        <v>37574.400000000001</v>
      </c>
      <c r="G17" s="78">
        <v>285871</v>
      </c>
      <c r="H17" s="38">
        <f t="shared" ref="H17" si="169">(+G17-+G16)*48</f>
        <v>2112</v>
      </c>
      <c r="I17" s="78">
        <v>143543</v>
      </c>
      <c r="J17" s="38">
        <f t="shared" ref="J17" si="170">(+I17-+I16)*48</f>
        <v>8208</v>
      </c>
      <c r="K17" s="78">
        <v>261051</v>
      </c>
      <c r="L17" s="38">
        <f t="shared" si="0"/>
        <v>432</v>
      </c>
      <c r="M17" s="78">
        <v>24799</v>
      </c>
      <c r="N17" s="38">
        <f t="shared" ref="N17" si="171">(+M17-+M16)*48</f>
        <v>0</v>
      </c>
      <c r="O17" s="78">
        <v>285495</v>
      </c>
      <c r="P17" s="38">
        <f t="shared" ref="P17" si="172">(+O17-+O16)*48</f>
        <v>10176</v>
      </c>
      <c r="Q17" s="78">
        <v>457805</v>
      </c>
      <c r="R17" s="38">
        <f t="shared" ref="R17" si="173">(+Q17-+Q16)*48</f>
        <v>4752</v>
      </c>
      <c r="S17" s="78">
        <v>736094</v>
      </c>
      <c r="T17" s="38">
        <f t="shared" ref="T17" si="174">(+S17-+S16)*48</f>
        <v>4944</v>
      </c>
      <c r="U17" s="83">
        <v>1769</v>
      </c>
      <c r="V17" s="105">
        <f t="shared" ref="V17" si="175">(+U17-+U16)*48</f>
        <v>960</v>
      </c>
      <c r="W17" s="78">
        <v>82483</v>
      </c>
      <c r="X17" s="38">
        <f t="shared" ref="X17" si="176">(+W17-+W16)*48</f>
        <v>672</v>
      </c>
      <c r="Y17" s="78">
        <v>1499611</v>
      </c>
      <c r="Z17" s="38">
        <f t="shared" ref="Z17" si="177">(+Y17-+Y16)*48</f>
        <v>0</v>
      </c>
      <c r="AA17" s="78">
        <v>13264</v>
      </c>
      <c r="AB17" s="38">
        <f t="shared" ref="AB17" si="178">(+AA17-+AA16)*48</f>
        <v>0</v>
      </c>
      <c r="AC17" s="78">
        <v>468628</v>
      </c>
      <c r="AD17" s="38">
        <f t="shared" si="16"/>
        <v>5568</v>
      </c>
      <c r="AE17" s="78">
        <v>542504</v>
      </c>
      <c r="AF17" s="38">
        <f t="shared" si="16"/>
        <v>5904</v>
      </c>
      <c r="AG17" s="78">
        <v>49871</v>
      </c>
      <c r="AH17" s="38">
        <f t="shared" ref="AH17" si="179">(+AG17-+AG16)*48</f>
        <v>4320</v>
      </c>
      <c r="AI17" s="78">
        <v>424049</v>
      </c>
      <c r="AJ17" s="38">
        <f t="shared" ref="AJ17" si="180">(+AI17-+AI16)*48</f>
        <v>2352</v>
      </c>
      <c r="AK17" s="78">
        <v>102770</v>
      </c>
      <c r="AL17" s="38">
        <f t="shared" ref="AL17" si="181">(+AK17-+AK16)*48</f>
        <v>0</v>
      </c>
      <c r="AM17" s="78">
        <v>585287</v>
      </c>
      <c r="AN17" s="105">
        <f t="shared" ref="AN17" si="182">(+AM17-+AM16)*48</f>
        <v>3936</v>
      </c>
      <c r="AO17" s="78">
        <v>950599</v>
      </c>
      <c r="AP17" s="105">
        <f t="shared" ref="AP17" si="183">(+AO17-+AO16)*48</f>
        <v>9216</v>
      </c>
      <c r="AQ17" s="78">
        <v>77874</v>
      </c>
      <c r="AR17" s="38">
        <f t="shared" ref="AR17" si="184">(+AQ17-+AQ16)*48</f>
        <v>0</v>
      </c>
      <c r="AS17" s="84">
        <v>2262</v>
      </c>
      <c r="AT17" s="38">
        <f t="shared" ref="AT17" si="185">(+AS17-+AS16)*48</f>
        <v>0</v>
      </c>
      <c r="AU17" s="84">
        <v>939</v>
      </c>
      <c r="AV17" s="38">
        <f t="shared" ref="AV17" si="186">(+AU17-+AU16)*48</f>
        <v>0</v>
      </c>
      <c r="AW17" s="84">
        <v>3109</v>
      </c>
      <c r="AX17" s="38">
        <f t="shared" ref="AX17" si="187">(+AW17-+AW16)*48</f>
        <v>0</v>
      </c>
      <c r="AY17" s="78">
        <v>323937</v>
      </c>
      <c r="AZ17" s="38">
        <f t="shared" ref="AZ17" si="188">(+AY17-+AY16)*48</f>
        <v>2976</v>
      </c>
      <c r="BA17" s="83">
        <v>161101</v>
      </c>
      <c r="BB17" s="38">
        <f t="shared" ref="BB17" si="189">(+BA17-+BA16)*48</f>
        <v>0</v>
      </c>
      <c r="BC17" s="78">
        <v>220085</v>
      </c>
      <c r="BD17" s="38">
        <f t="shared" ref="BD17" si="190">(+BC17-+BC16)*48</f>
        <v>1344</v>
      </c>
      <c r="BE17" s="84">
        <v>5347</v>
      </c>
      <c r="BF17" s="38">
        <f t="shared" ref="BF17" si="191">(+BE17-+BE16)*48</f>
        <v>0</v>
      </c>
      <c r="BH17" s="106">
        <f t="shared" si="1"/>
        <v>106761.60000000001</v>
      </c>
      <c r="BI17" s="106">
        <f t="shared" si="2"/>
        <v>55046.400000000001</v>
      </c>
    </row>
    <row r="18" spans="1:61" s="36" customFormat="1" ht="39.950000000000003" customHeight="1">
      <c r="A18" s="146">
        <v>44449</v>
      </c>
      <c r="B18" s="35"/>
      <c r="C18" s="83">
        <v>6284063</v>
      </c>
      <c r="D18" s="38">
        <f t="shared" ref="D18" si="192">(+C18-+C17)*48</f>
        <v>93408</v>
      </c>
      <c r="E18" s="38">
        <f t="shared" si="4"/>
        <v>56044.799999999996</v>
      </c>
      <c r="F18" s="105">
        <f t="shared" si="5"/>
        <v>37363.200000000004</v>
      </c>
      <c r="G18" s="83">
        <v>285903</v>
      </c>
      <c r="H18" s="38">
        <f t="shared" ref="H18" si="193">(+G18-+G17)*48</f>
        <v>1536</v>
      </c>
      <c r="I18" s="83">
        <v>143716</v>
      </c>
      <c r="J18" s="38">
        <f t="shared" ref="J18" si="194">(+I18-+I17)*48</f>
        <v>8304</v>
      </c>
      <c r="K18" s="83">
        <v>261071</v>
      </c>
      <c r="L18" s="38">
        <f t="shared" si="0"/>
        <v>960</v>
      </c>
      <c r="M18" s="83">
        <v>24799</v>
      </c>
      <c r="N18" s="38">
        <f t="shared" ref="N18" si="195">(+M18-+M17)*48</f>
        <v>0</v>
      </c>
      <c r="O18" s="83">
        <v>285708</v>
      </c>
      <c r="P18" s="38">
        <f t="shared" ref="P18" si="196">(+O18-+O17)*48</f>
        <v>10224</v>
      </c>
      <c r="Q18" s="83">
        <v>457859</v>
      </c>
      <c r="R18" s="38">
        <f t="shared" ref="R18" si="197">(+Q18-+Q17)*48</f>
        <v>2592</v>
      </c>
      <c r="S18" s="83">
        <v>736198</v>
      </c>
      <c r="T18" s="38">
        <f t="shared" ref="T18" si="198">(+S18-+S17)*48</f>
        <v>4992</v>
      </c>
      <c r="U18" s="83">
        <v>1786</v>
      </c>
      <c r="V18" s="105">
        <f>(+U18-+U17)*48</f>
        <v>816</v>
      </c>
      <c r="W18" s="83">
        <v>82495</v>
      </c>
      <c r="X18" s="38">
        <f t="shared" ref="X18" si="199">(+W18-+W17)*48</f>
        <v>576</v>
      </c>
      <c r="Y18" s="83">
        <v>1499611</v>
      </c>
      <c r="Z18" s="38">
        <f t="shared" ref="Z18" si="200">(+Y18-+Y17)*48</f>
        <v>0</v>
      </c>
      <c r="AA18" s="83">
        <v>13264</v>
      </c>
      <c r="AB18" s="38">
        <f t="shared" ref="AB18" si="201">(+AA18-+AA17)*48</f>
        <v>0</v>
      </c>
      <c r="AC18" s="83">
        <v>468745</v>
      </c>
      <c r="AD18" s="38">
        <f t="shared" si="16"/>
        <v>5616</v>
      </c>
      <c r="AE18" s="83">
        <v>542628</v>
      </c>
      <c r="AF18" s="38">
        <f t="shared" si="16"/>
        <v>5952</v>
      </c>
      <c r="AG18" s="83">
        <v>49781</v>
      </c>
      <c r="AH18" s="38">
        <f t="shared" ref="AH18" si="202">(+AG18-+AG17)*48</f>
        <v>-4320</v>
      </c>
      <c r="AI18" s="83">
        <v>424097</v>
      </c>
      <c r="AJ18" s="38">
        <f t="shared" ref="AJ18" si="203">(+AI18-+AI17)*48</f>
        <v>2304</v>
      </c>
      <c r="AK18" s="83">
        <v>102770</v>
      </c>
      <c r="AL18" s="38">
        <f t="shared" ref="AL18" si="204">(+AK18-+AK17)*48</f>
        <v>0</v>
      </c>
      <c r="AM18" s="83">
        <v>585367</v>
      </c>
      <c r="AN18" s="105">
        <f t="shared" ref="AN18" si="205">(+AM18-+AM17)*48</f>
        <v>3840</v>
      </c>
      <c r="AO18" s="83">
        <v>950788</v>
      </c>
      <c r="AP18" s="105">
        <f t="shared" ref="AP18" si="206">(+AO18-+AO17)*48</f>
        <v>9072</v>
      </c>
      <c r="AQ18" s="83">
        <v>77874</v>
      </c>
      <c r="AR18" s="38">
        <f t="shared" ref="AR18" si="207">(+AQ18-+AQ17)*48</f>
        <v>0</v>
      </c>
      <c r="AS18" s="84">
        <v>2262</v>
      </c>
      <c r="AT18" s="38">
        <f t="shared" ref="AT18" si="208">(+AS18-+AS17)*48</f>
        <v>0</v>
      </c>
      <c r="AU18" s="84">
        <v>939</v>
      </c>
      <c r="AV18" s="38">
        <f t="shared" ref="AV18" si="209">(+AU18-+AU17)*48</f>
        <v>0</v>
      </c>
      <c r="AW18" s="84">
        <v>3109</v>
      </c>
      <c r="AX18" s="38">
        <f t="shared" ref="AX18" si="210">(+AW18-+AW17)*48</f>
        <v>0</v>
      </c>
      <c r="AY18" s="83">
        <v>324000</v>
      </c>
      <c r="AZ18" s="38">
        <f t="shared" ref="AZ18" si="211">(+AY18-+AY17)*48</f>
        <v>3024</v>
      </c>
      <c r="BA18" s="83">
        <v>161101</v>
      </c>
      <c r="BB18" s="38">
        <f t="shared" ref="BB18" si="212">(+BA18-+BA17)*48</f>
        <v>0</v>
      </c>
      <c r="BC18" s="83">
        <v>220114</v>
      </c>
      <c r="BD18" s="38">
        <f t="shared" ref="BD18" si="213">(+BC18-+BC17)*48</f>
        <v>1392</v>
      </c>
      <c r="BE18" s="84">
        <v>5347</v>
      </c>
      <c r="BF18" s="38">
        <f t="shared" ref="BF18" si="214">(+BE18-+BE17)*48</f>
        <v>0</v>
      </c>
      <c r="BH18" s="106">
        <f t="shared" si="1"/>
        <v>95596.799999999988</v>
      </c>
      <c r="BI18" s="106">
        <f t="shared" si="2"/>
        <v>54691.200000000004</v>
      </c>
    </row>
    <row r="19" spans="1:61" s="36" customFormat="1" ht="39.950000000000003" customHeight="1">
      <c r="A19" s="146">
        <v>44450</v>
      </c>
      <c r="B19" s="35"/>
      <c r="C19" s="83">
        <v>6286157</v>
      </c>
      <c r="D19" s="38">
        <f t="shared" ref="D19" si="215">(+C19-+C18)*48</f>
        <v>100512</v>
      </c>
      <c r="E19" s="38">
        <f t="shared" si="4"/>
        <v>60307.199999999997</v>
      </c>
      <c r="F19" s="105">
        <f t="shared" si="5"/>
        <v>40204.800000000003</v>
      </c>
      <c r="G19" s="83">
        <v>285947</v>
      </c>
      <c r="H19" s="38">
        <f t="shared" ref="H19" si="216">(+G19-+G18)*48</f>
        <v>2112</v>
      </c>
      <c r="I19" s="83">
        <v>143882</v>
      </c>
      <c r="J19" s="38">
        <f t="shared" ref="J19" si="217">(+I19-+I18)*48</f>
        <v>7968</v>
      </c>
      <c r="K19" s="83">
        <v>261102</v>
      </c>
      <c r="L19" s="38">
        <f t="shared" si="0"/>
        <v>1488</v>
      </c>
      <c r="M19" s="83">
        <v>24803</v>
      </c>
      <c r="N19" s="38">
        <f t="shared" ref="N19" si="218">(+M19-+M18)*48</f>
        <v>192</v>
      </c>
      <c r="O19" s="83">
        <v>285928</v>
      </c>
      <c r="P19" s="38">
        <f t="shared" ref="P19" si="219">(+O19-+O18)*48</f>
        <v>10560</v>
      </c>
      <c r="Q19" s="83">
        <v>457988</v>
      </c>
      <c r="R19" s="38">
        <f t="shared" ref="R19" si="220">(+Q19-+Q18)*48</f>
        <v>6192</v>
      </c>
      <c r="S19" s="83">
        <v>736313</v>
      </c>
      <c r="T19" s="38">
        <f t="shared" ref="T19" si="221">(+S19-+S18)*48</f>
        <v>5520</v>
      </c>
      <c r="U19" s="83">
        <v>1805</v>
      </c>
      <c r="V19" s="105">
        <f t="shared" ref="V19" si="222">(+U19-+U18)*48</f>
        <v>912</v>
      </c>
      <c r="W19" s="83">
        <v>82521</v>
      </c>
      <c r="X19" s="38">
        <f t="shared" ref="X19" si="223">(+W19-+W18)*48</f>
        <v>1248</v>
      </c>
      <c r="Y19" s="83">
        <v>1499611</v>
      </c>
      <c r="Z19" s="38">
        <f t="shared" ref="Z19" si="224">(+Y19-+Y18)*48</f>
        <v>0</v>
      </c>
      <c r="AA19" s="83">
        <v>13264</v>
      </c>
      <c r="AB19" s="38">
        <f t="shared" ref="AB19" si="225">(+AA19-+AA18)*48</f>
        <v>0</v>
      </c>
      <c r="AC19" s="83">
        <v>468859</v>
      </c>
      <c r="AD19" s="38">
        <f t="shared" si="16"/>
        <v>5472</v>
      </c>
      <c r="AE19" s="83">
        <v>542751</v>
      </c>
      <c r="AF19" s="38">
        <f t="shared" si="16"/>
        <v>5904</v>
      </c>
      <c r="AG19" s="83">
        <v>49781</v>
      </c>
      <c r="AH19" s="38">
        <f t="shared" ref="AH19" si="226">(+AG19-+AG18)*48</f>
        <v>0</v>
      </c>
      <c r="AI19" s="83">
        <v>424151</v>
      </c>
      <c r="AJ19" s="38">
        <f t="shared" ref="AJ19" si="227">(+AI19-+AI18)*48</f>
        <v>2592</v>
      </c>
      <c r="AK19" s="83">
        <v>102770</v>
      </c>
      <c r="AL19" s="38">
        <f t="shared" ref="AL19" si="228">(+AK19-+AK18)*48</f>
        <v>0</v>
      </c>
      <c r="AM19" s="83">
        <v>585448</v>
      </c>
      <c r="AN19" s="105">
        <f t="shared" ref="AN19" si="229">(+AM19-+AM18)*48</f>
        <v>3888</v>
      </c>
      <c r="AO19" s="83">
        <v>950978</v>
      </c>
      <c r="AP19" s="105">
        <f t="shared" ref="AP19" si="230">(+AO19-+AO18)*48</f>
        <v>9120</v>
      </c>
      <c r="AQ19" s="83">
        <v>77874</v>
      </c>
      <c r="AR19" s="38">
        <f t="shared" ref="AR19" si="231">(+AQ19-+AQ18)*48</f>
        <v>0</v>
      </c>
      <c r="AS19" s="84">
        <v>2262</v>
      </c>
      <c r="AT19" s="38">
        <f t="shared" ref="AT19" si="232">(+AS19-+AS18)*48</f>
        <v>0</v>
      </c>
      <c r="AU19" s="84">
        <v>939</v>
      </c>
      <c r="AV19" s="38">
        <f t="shared" ref="AV19" si="233">(+AU19-+AU18)*48</f>
        <v>0</v>
      </c>
      <c r="AW19" s="84">
        <v>3109</v>
      </c>
      <c r="AX19" s="38">
        <f t="shared" ref="AX19" si="234">(+AW19-+AW18)*48</f>
        <v>0</v>
      </c>
      <c r="AY19" s="83">
        <v>324061</v>
      </c>
      <c r="AZ19" s="38">
        <f t="shared" ref="AZ19" si="235">(+AY19-+AY18)*48</f>
        <v>2928</v>
      </c>
      <c r="BA19" s="83">
        <v>161101</v>
      </c>
      <c r="BB19" s="38">
        <f t="shared" ref="BB19" si="236">(+BA19-+BA18)*48</f>
        <v>0</v>
      </c>
      <c r="BC19" s="83">
        <v>220141</v>
      </c>
      <c r="BD19" s="38">
        <f t="shared" ref="BD19" si="237">(+BC19-+BC18)*48</f>
        <v>1296</v>
      </c>
      <c r="BE19" s="84">
        <v>5347</v>
      </c>
      <c r="BF19" s="38">
        <f t="shared" ref="BF19" si="238">(+BE19-+BE18)*48</f>
        <v>0</v>
      </c>
      <c r="BH19" s="170">
        <f t="shared" si="1"/>
        <v>110467.2</v>
      </c>
      <c r="BI19" s="170">
        <f t="shared" si="2"/>
        <v>57436.800000000003</v>
      </c>
    </row>
    <row r="20" spans="1:61" s="36" customFormat="1" ht="39.950000000000003" customHeight="1">
      <c r="A20" s="146">
        <v>44451</v>
      </c>
      <c r="B20" s="35"/>
      <c r="C20" s="83">
        <v>6288238</v>
      </c>
      <c r="D20" s="38">
        <f t="shared" ref="D20" si="239">(+C20-+C19)*48</f>
        <v>99888</v>
      </c>
      <c r="E20" s="38">
        <f t="shared" si="4"/>
        <v>59932.799999999996</v>
      </c>
      <c r="F20" s="105">
        <f t="shared" si="5"/>
        <v>39955.200000000004</v>
      </c>
      <c r="G20" s="83">
        <v>285986</v>
      </c>
      <c r="H20" s="38">
        <f t="shared" ref="H20" si="240">(+G20-+G19)*48</f>
        <v>1872</v>
      </c>
      <c r="I20" s="83">
        <v>144058</v>
      </c>
      <c r="J20" s="38">
        <f t="shared" ref="J20" si="241">(+I20-+I19)*48</f>
        <v>8448</v>
      </c>
      <c r="K20" s="83">
        <v>261133</v>
      </c>
      <c r="L20" s="38">
        <f t="shared" si="0"/>
        <v>1488</v>
      </c>
      <c r="M20" s="83">
        <v>24803</v>
      </c>
      <c r="N20" s="38">
        <f t="shared" ref="N20" si="242">(+M20-+M19)*48</f>
        <v>0</v>
      </c>
      <c r="O20" s="83">
        <v>286146</v>
      </c>
      <c r="P20" s="38">
        <f t="shared" ref="P20" si="243">(+O20-+O19)*48</f>
        <v>10464</v>
      </c>
      <c r="Q20" s="83">
        <v>458095</v>
      </c>
      <c r="R20" s="38">
        <f t="shared" ref="R20" si="244">(+Q20-+Q19)*48</f>
        <v>5136</v>
      </c>
      <c r="S20" s="83">
        <v>736433</v>
      </c>
      <c r="T20" s="38">
        <f t="shared" ref="T20" si="245">(+S20-+S19)*48</f>
        <v>5760</v>
      </c>
      <c r="U20" s="83">
        <v>1822</v>
      </c>
      <c r="V20" s="105">
        <f t="shared" ref="V20" si="246">(+U20-+U19)*48</f>
        <v>816</v>
      </c>
      <c r="W20" s="83">
        <v>82544</v>
      </c>
      <c r="X20" s="38">
        <f t="shared" ref="X20" si="247">(+W20-+W19)*48</f>
        <v>1104</v>
      </c>
      <c r="Y20" s="83">
        <v>1499611</v>
      </c>
      <c r="Z20" s="38">
        <f t="shared" ref="Z20" si="248">(+Y20-+Y19)*48</f>
        <v>0</v>
      </c>
      <c r="AA20" s="83">
        <v>13264</v>
      </c>
      <c r="AB20" s="38">
        <f t="shared" ref="AB20" si="249">(+AA20-+AA19)*48</f>
        <v>0</v>
      </c>
      <c r="AC20" s="83">
        <v>468979</v>
      </c>
      <c r="AD20" s="38">
        <f t="shared" si="16"/>
        <v>5760</v>
      </c>
      <c r="AE20" s="83">
        <v>542876</v>
      </c>
      <c r="AF20" s="38">
        <f t="shared" si="16"/>
        <v>6000</v>
      </c>
      <c r="AG20" s="83">
        <v>49781</v>
      </c>
      <c r="AH20" s="38">
        <f t="shared" ref="AH20" si="250">(+AG20-+AG19)*48</f>
        <v>0</v>
      </c>
      <c r="AI20" s="83">
        <v>424208</v>
      </c>
      <c r="AJ20" s="38">
        <f t="shared" ref="AJ20" si="251">(+AI20-+AI19)*48</f>
        <v>2736</v>
      </c>
      <c r="AK20" s="83">
        <v>102770</v>
      </c>
      <c r="AL20" s="38">
        <f t="shared" ref="AL20" si="252">(+AK20-+AK19)*48</f>
        <v>0</v>
      </c>
      <c r="AM20" s="83">
        <v>585531</v>
      </c>
      <c r="AN20" s="105">
        <f t="shared" ref="AN20" si="253">(+AM20-+AM19)*48</f>
        <v>3984</v>
      </c>
      <c r="AO20" s="83">
        <v>951167</v>
      </c>
      <c r="AP20" s="105">
        <f t="shared" ref="AP20" si="254">(+AO20-+AO19)*48</f>
        <v>9072</v>
      </c>
      <c r="AQ20" s="83">
        <v>77874</v>
      </c>
      <c r="AR20" s="38">
        <f t="shared" ref="AR20" si="255">(+AQ20-+AQ19)*48</f>
        <v>0</v>
      </c>
      <c r="AS20" s="83">
        <v>2262</v>
      </c>
      <c r="AT20" s="38">
        <f t="shared" ref="AT20" si="256">(+AS20-+AS19)*48</f>
        <v>0</v>
      </c>
      <c r="AU20" s="83">
        <v>939</v>
      </c>
      <c r="AV20" s="38">
        <f t="shared" ref="AV20" si="257">(+AU20-+AU19)*48</f>
        <v>0</v>
      </c>
      <c r="AW20" s="83">
        <v>3109</v>
      </c>
      <c r="AX20" s="38">
        <f t="shared" ref="AX20" si="258">(+AW20-+AW19)*48</f>
        <v>0</v>
      </c>
      <c r="AY20" s="83">
        <v>324125</v>
      </c>
      <c r="AZ20" s="38">
        <f t="shared" ref="AZ20" si="259">(+AY20-+AY19)*48</f>
        <v>3072</v>
      </c>
      <c r="BA20" s="83">
        <v>161101</v>
      </c>
      <c r="BB20" s="38">
        <f t="shared" ref="BB20" si="260">(+BA20-+BA19)*48</f>
        <v>0</v>
      </c>
      <c r="BC20" s="83">
        <v>220167</v>
      </c>
      <c r="BD20" s="38">
        <f t="shared" ref="BD20" si="261">(+BC20-+BC19)*48</f>
        <v>1248</v>
      </c>
      <c r="BE20" s="83">
        <v>5347</v>
      </c>
      <c r="BF20" s="38">
        <f t="shared" ref="BF20" si="262">(+BE20-+BE19)*48</f>
        <v>0</v>
      </c>
      <c r="BH20" s="170">
        <f t="shared" si="1"/>
        <v>109516.79999999999</v>
      </c>
      <c r="BI20" s="170">
        <f t="shared" si="2"/>
        <v>57331.200000000004</v>
      </c>
    </row>
    <row r="21" spans="1:61" s="36" customFormat="1" ht="39.950000000000003" customHeight="1">
      <c r="A21" s="146">
        <v>44452</v>
      </c>
      <c r="B21" s="35"/>
      <c r="C21" s="83">
        <v>6290182</v>
      </c>
      <c r="D21" s="38">
        <f t="shared" ref="D21" si="263">(+C21-+C20)*48</f>
        <v>93312</v>
      </c>
      <c r="E21" s="38">
        <f t="shared" si="4"/>
        <v>55987.199999999997</v>
      </c>
      <c r="F21" s="105">
        <f t="shared" si="5"/>
        <v>37324.800000000003</v>
      </c>
      <c r="G21" s="83">
        <v>286022</v>
      </c>
      <c r="H21" s="38">
        <f t="shared" ref="H21" si="264">(+G21-+G20)*48</f>
        <v>1728</v>
      </c>
      <c r="I21" s="83">
        <v>144221</v>
      </c>
      <c r="J21" s="38">
        <f t="shared" ref="J21" si="265">(+I21-+I20)*48</f>
        <v>7824</v>
      </c>
      <c r="K21" s="83">
        <v>261142</v>
      </c>
      <c r="L21" s="38">
        <f t="shared" si="0"/>
        <v>432</v>
      </c>
      <c r="M21" s="83">
        <v>24803</v>
      </c>
      <c r="N21" s="38">
        <f t="shared" ref="N21" si="266">(+M21-+M20)*48</f>
        <v>0</v>
      </c>
      <c r="O21" s="83">
        <v>286400</v>
      </c>
      <c r="P21" s="38">
        <f t="shared" ref="P21" si="267">(+O21-+O20)*48</f>
        <v>12192</v>
      </c>
      <c r="Q21" s="83">
        <v>458184</v>
      </c>
      <c r="R21" s="38">
        <f t="shared" ref="R21" si="268">(+Q21-+Q20)*48</f>
        <v>4272</v>
      </c>
      <c r="S21" s="83">
        <v>736523</v>
      </c>
      <c r="T21" s="38">
        <f t="shared" ref="T21" si="269">(+S21-+S20)*48</f>
        <v>4320</v>
      </c>
      <c r="U21" s="83">
        <v>1851.6420000000001</v>
      </c>
      <c r="V21" s="105">
        <f t="shared" ref="V21" si="270">(+U21-+U20)*48</f>
        <v>1422.8160000000025</v>
      </c>
      <c r="W21" s="83">
        <v>82573</v>
      </c>
      <c r="X21" s="38">
        <f t="shared" ref="X21" si="271">(+W21-+W20)*48</f>
        <v>1392</v>
      </c>
      <c r="Y21" s="83">
        <v>1499611</v>
      </c>
      <c r="Z21" s="38">
        <f t="shared" ref="Z21" si="272">(+Y21-+Y20)*48</f>
        <v>0</v>
      </c>
      <c r="AA21" s="83">
        <v>13264</v>
      </c>
      <c r="AB21" s="38">
        <f t="shared" ref="AB21" si="273">(+AA21-+AA20)*48</f>
        <v>0</v>
      </c>
      <c r="AC21" s="83">
        <v>469093</v>
      </c>
      <c r="AD21" s="38">
        <f t="shared" si="16"/>
        <v>5472</v>
      </c>
      <c r="AE21" s="83">
        <v>542996</v>
      </c>
      <c r="AF21" s="38">
        <f t="shared" si="16"/>
        <v>5760</v>
      </c>
      <c r="AG21" s="83">
        <v>49781</v>
      </c>
      <c r="AH21" s="38">
        <f t="shared" ref="AH21" si="274">(+AG21-+AG20)*48</f>
        <v>0</v>
      </c>
      <c r="AI21" s="83">
        <v>424260</v>
      </c>
      <c r="AJ21" s="38">
        <f t="shared" ref="AJ21" si="275">(+AI21-+AI20)*48</f>
        <v>2496</v>
      </c>
      <c r="AK21" s="83">
        <v>102770</v>
      </c>
      <c r="AL21" s="38">
        <f t="shared" ref="AL21" si="276">(+AK21-+AK20)*48</f>
        <v>0</v>
      </c>
      <c r="AM21" s="83">
        <v>585612</v>
      </c>
      <c r="AN21" s="105">
        <f t="shared" ref="AN21" si="277">(+AM21-+AM20)*48</f>
        <v>3888</v>
      </c>
      <c r="AO21" s="83">
        <v>951350</v>
      </c>
      <c r="AP21" s="105">
        <f t="shared" ref="AP21" si="278">(+AO21-+AO20)*48</f>
        <v>8784</v>
      </c>
      <c r="AQ21" s="83">
        <v>77874</v>
      </c>
      <c r="AR21" s="38">
        <f t="shared" ref="AR21" si="279">(+AQ21-+AQ20)*48</f>
        <v>0</v>
      </c>
      <c r="AS21" s="83">
        <v>2262</v>
      </c>
      <c r="AT21" s="38">
        <f t="shared" ref="AT21" si="280">(+AS21-+AS20)*48</f>
        <v>0</v>
      </c>
      <c r="AU21" s="83">
        <v>939</v>
      </c>
      <c r="AV21" s="38">
        <f t="shared" ref="AV21" si="281">(+AU21-+AU20)*48</f>
        <v>0</v>
      </c>
      <c r="AW21" s="83">
        <v>3109</v>
      </c>
      <c r="AX21" s="38">
        <f t="shared" ref="AX21" si="282">(+AW21-+AW20)*48</f>
        <v>0</v>
      </c>
      <c r="AY21" s="83">
        <v>324184</v>
      </c>
      <c r="AZ21" s="38">
        <f t="shared" ref="AZ21" si="283">(+AY21-+AY20)*48</f>
        <v>2832</v>
      </c>
      <c r="BA21" s="83">
        <v>161101</v>
      </c>
      <c r="BB21" s="38">
        <f t="shared" ref="BB21:BB22" si="284">(+BA21-+BA20)*48</f>
        <v>0</v>
      </c>
      <c r="BC21" s="83">
        <v>220195</v>
      </c>
      <c r="BD21" s="38">
        <f t="shared" ref="BD21" si="285">(+BC21-+BC20)*48</f>
        <v>1344</v>
      </c>
      <c r="BE21" s="83">
        <v>5347</v>
      </c>
      <c r="BF21" s="38">
        <f t="shared" ref="BF21" si="286">(+BE21-+BE20)*48</f>
        <v>0</v>
      </c>
      <c r="BH21" s="170">
        <f t="shared" si="1"/>
        <v>103298.016</v>
      </c>
      <c r="BI21" s="170">
        <f t="shared" si="2"/>
        <v>54172.800000000003</v>
      </c>
    </row>
    <row r="22" spans="1:61" s="36" customFormat="1" ht="39.950000000000003" customHeight="1">
      <c r="A22" s="146">
        <v>44453</v>
      </c>
      <c r="B22" s="35"/>
      <c r="C22" s="83">
        <v>6292443</v>
      </c>
      <c r="D22" s="38">
        <f t="shared" ref="D22" si="287">(+C22-+C21)*48</f>
        <v>108528</v>
      </c>
      <c r="E22" s="38">
        <f t="shared" si="4"/>
        <v>65116.799999999996</v>
      </c>
      <c r="F22" s="105">
        <f t="shared" si="5"/>
        <v>43411.200000000004</v>
      </c>
      <c r="G22" s="83">
        <v>286053</v>
      </c>
      <c r="H22" s="38">
        <f t="shared" ref="H22" si="288">(+G22-+G21)*48</f>
        <v>1488</v>
      </c>
      <c r="I22" s="83">
        <v>144393</v>
      </c>
      <c r="J22" s="38">
        <f t="shared" ref="J22" si="289">(+I22-+I21)*48</f>
        <v>8256</v>
      </c>
      <c r="K22" s="83">
        <v>261173</v>
      </c>
      <c r="L22" s="38">
        <f t="shared" si="0"/>
        <v>1488</v>
      </c>
      <c r="M22" s="83">
        <v>24803</v>
      </c>
      <c r="N22" s="38">
        <f t="shared" ref="N22" si="290">(+M22-+M21)*48</f>
        <v>0</v>
      </c>
      <c r="O22" s="83">
        <v>286604</v>
      </c>
      <c r="P22" s="38">
        <f t="shared" ref="P22" si="291">(+O22-+O21)*48</f>
        <v>9792</v>
      </c>
      <c r="Q22" s="83">
        <v>458267</v>
      </c>
      <c r="R22" s="38">
        <f t="shared" ref="R22" si="292">(+Q22-+Q21)*48</f>
        <v>3984</v>
      </c>
      <c r="S22" s="83">
        <v>736646</v>
      </c>
      <c r="T22" s="38">
        <f t="shared" ref="T22" si="293">(+S22-+S21)*48</f>
        <v>5904</v>
      </c>
      <c r="U22" s="83">
        <v>1872.8779999999999</v>
      </c>
      <c r="V22" s="105">
        <f t="shared" ref="V22" si="294">(+U22-+U21)*48</f>
        <v>1019.3279999999941</v>
      </c>
      <c r="W22" s="83">
        <v>82573</v>
      </c>
      <c r="X22" s="38">
        <f t="shared" ref="X22" si="295">(+W22-+W21)*48</f>
        <v>0</v>
      </c>
      <c r="Y22" s="83">
        <v>1499611</v>
      </c>
      <c r="Z22" s="38">
        <f t="shared" ref="Z22" si="296">(+Y22-+Y21)*48</f>
        <v>0</v>
      </c>
      <c r="AA22" s="83">
        <v>13264</v>
      </c>
      <c r="AB22" s="38">
        <f t="shared" ref="AB22" si="297">(+AA22-+AA21)*48</f>
        <v>0</v>
      </c>
      <c r="AC22" s="83">
        <v>469210</v>
      </c>
      <c r="AD22" s="38">
        <f t="shared" si="16"/>
        <v>5616</v>
      </c>
      <c r="AE22" s="83">
        <v>543119</v>
      </c>
      <c r="AF22" s="38">
        <f t="shared" si="16"/>
        <v>5904</v>
      </c>
      <c r="AG22" s="83">
        <v>49781</v>
      </c>
      <c r="AH22" s="38">
        <f t="shared" ref="AH22" si="298">(+AG22-+AG21)*48</f>
        <v>0</v>
      </c>
      <c r="AI22" s="83">
        <v>424310</v>
      </c>
      <c r="AJ22" s="38">
        <f t="shared" ref="AJ22" si="299">(+AI22-+AI21)*48</f>
        <v>2400</v>
      </c>
      <c r="AK22" s="83">
        <v>102770</v>
      </c>
      <c r="AL22" s="38">
        <f t="shared" ref="AL22" si="300">(+AK22-+AK21)*48</f>
        <v>0</v>
      </c>
      <c r="AM22" s="83">
        <v>585696</v>
      </c>
      <c r="AN22" s="105">
        <f t="shared" ref="AN22" si="301">(+AM22-+AM21)*48</f>
        <v>4032</v>
      </c>
      <c r="AO22" s="83">
        <v>951541</v>
      </c>
      <c r="AP22" s="105">
        <f t="shared" ref="AP22" si="302">(+AO22-+AO21)*48</f>
        <v>9168</v>
      </c>
      <c r="AQ22" s="83">
        <v>77874</v>
      </c>
      <c r="AR22" s="38">
        <f t="shared" ref="AR22" si="303">(+AQ22-+AQ21)*48</f>
        <v>0</v>
      </c>
      <c r="AS22" s="83">
        <v>2262</v>
      </c>
      <c r="AT22" s="38">
        <f t="shared" ref="AT22" si="304">(+AS22-+AS21)*48</f>
        <v>0</v>
      </c>
      <c r="AU22" s="83">
        <v>939</v>
      </c>
      <c r="AV22" s="38">
        <f t="shared" ref="AV22" si="305">(+AU22-+AU21)*48</f>
        <v>0</v>
      </c>
      <c r="AW22" s="83">
        <v>3109</v>
      </c>
      <c r="AX22" s="38">
        <f t="shared" ref="AX22" si="306">(+AW22-+AW21)*48</f>
        <v>0</v>
      </c>
      <c r="AY22" s="83">
        <v>324247</v>
      </c>
      <c r="AZ22" s="38">
        <f t="shared" ref="AZ22" si="307">(+AY22-+AY21)*48</f>
        <v>3024</v>
      </c>
      <c r="BA22" s="83">
        <v>161101</v>
      </c>
      <c r="BB22" s="38">
        <f t="shared" si="284"/>
        <v>0</v>
      </c>
      <c r="BC22" s="83">
        <v>220223</v>
      </c>
      <c r="BD22" s="38">
        <f t="shared" ref="BD22" si="308">(+BC22-+BC21)*48</f>
        <v>1344</v>
      </c>
      <c r="BE22" s="83">
        <v>5347</v>
      </c>
      <c r="BF22" s="38">
        <f t="shared" ref="BF22" si="309">(+BE22-+BE21)*48</f>
        <v>0</v>
      </c>
      <c r="BH22" s="170">
        <f t="shared" si="1"/>
        <v>110968.12799999998</v>
      </c>
      <c r="BI22" s="170">
        <f t="shared" si="2"/>
        <v>60979.200000000004</v>
      </c>
    </row>
    <row r="23" spans="1:61" s="36" customFormat="1" ht="39.950000000000003" customHeight="1">
      <c r="A23" s="146">
        <v>44454</v>
      </c>
      <c r="B23" s="35"/>
      <c r="C23" s="78">
        <v>6294476</v>
      </c>
      <c r="D23" s="38">
        <f t="shared" ref="D23" si="310">(+C23-+C22)*48</f>
        <v>97584</v>
      </c>
      <c r="E23" s="38">
        <f t="shared" si="4"/>
        <v>58550.400000000001</v>
      </c>
      <c r="F23" s="105">
        <f t="shared" si="5"/>
        <v>39033.599999999999</v>
      </c>
      <c r="G23" s="78">
        <v>286100</v>
      </c>
      <c r="H23" s="38">
        <f t="shared" ref="H23" si="311">(+G23-+G22)*48</f>
        <v>2256</v>
      </c>
      <c r="I23" s="78">
        <v>144567</v>
      </c>
      <c r="J23" s="38">
        <f t="shared" ref="J23" si="312">(+I23-+I22)*48</f>
        <v>8352</v>
      </c>
      <c r="K23" s="78">
        <v>261219</v>
      </c>
      <c r="L23" s="38">
        <f t="shared" si="0"/>
        <v>2208</v>
      </c>
      <c r="M23" s="78">
        <v>24803</v>
      </c>
      <c r="N23" s="38">
        <f t="shared" ref="N23" si="313">(+M23-+M22)*48</f>
        <v>0</v>
      </c>
      <c r="O23" s="78">
        <v>286832</v>
      </c>
      <c r="P23" s="38">
        <f t="shared" ref="P23" si="314">(+O23-+O22)*48</f>
        <v>10944</v>
      </c>
      <c r="Q23" s="78">
        <v>458342</v>
      </c>
      <c r="R23" s="38">
        <f t="shared" ref="R23" si="315">(+Q23-+Q22)*48</f>
        <v>3600</v>
      </c>
      <c r="S23" s="78">
        <v>736755</v>
      </c>
      <c r="T23" s="38">
        <f t="shared" ref="T23" si="316">(+S23-+S22)*48</f>
        <v>5232</v>
      </c>
      <c r="U23" s="83">
        <v>1891.86</v>
      </c>
      <c r="V23" s="105">
        <f t="shared" ref="V23" si="317">(+U23-+U22)*48</f>
        <v>911.1359999999986</v>
      </c>
      <c r="W23" s="83">
        <v>82587</v>
      </c>
      <c r="X23" s="38">
        <f t="shared" ref="X23" si="318">(+W23-+W22)*48</f>
        <v>672</v>
      </c>
      <c r="Y23" s="78">
        <v>1499611</v>
      </c>
      <c r="Z23" s="38">
        <f t="shared" ref="Z23" si="319">(+Y23-+Y22)*48</f>
        <v>0</v>
      </c>
      <c r="AA23" s="78">
        <v>13264</v>
      </c>
      <c r="AB23" s="38">
        <f t="shared" ref="AB23" si="320">(+AA23-+AA22)*48</f>
        <v>0</v>
      </c>
      <c r="AC23" s="78">
        <v>469330</v>
      </c>
      <c r="AD23" s="38">
        <f t="shared" si="16"/>
        <v>5760</v>
      </c>
      <c r="AE23" s="78">
        <v>543243</v>
      </c>
      <c r="AF23" s="38">
        <f t="shared" si="16"/>
        <v>5952</v>
      </c>
      <c r="AG23" s="78">
        <v>49781</v>
      </c>
      <c r="AH23" s="38">
        <f t="shared" ref="AH23" si="321">(+AG23-+AG22)*48</f>
        <v>0</v>
      </c>
      <c r="AI23" s="78">
        <v>424359</v>
      </c>
      <c r="AJ23" s="38">
        <f t="shared" ref="AJ23" si="322">(+AI23-+AI22)*48</f>
        <v>2352</v>
      </c>
      <c r="AK23" s="78">
        <v>102770</v>
      </c>
      <c r="AL23" s="38">
        <f t="shared" ref="AL23" si="323">(+AK23-+AK22)*48</f>
        <v>0</v>
      </c>
      <c r="AM23" s="78">
        <v>585792</v>
      </c>
      <c r="AN23" s="105">
        <f t="shared" ref="AN23" si="324">(+AM23-+AM22)*48</f>
        <v>4608</v>
      </c>
      <c r="AO23" s="78">
        <v>951740</v>
      </c>
      <c r="AP23" s="105">
        <f t="shared" ref="AP23" si="325">(+AO23-+AO22)*48</f>
        <v>9552</v>
      </c>
      <c r="AQ23" s="78">
        <v>77876</v>
      </c>
      <c r="AR23" s="38">
        <f t="shared" ref="AR23" si="326">(+AQ23-+AQ22)*48</f>
        <v>96</v>
      </c>
      <c r="AS23" s="78">
        <v>2262</v>
      </c>
      <c r="AT23" s="38">
        <f t="shared" ref="AT23" si="327">(+AS23-+AS22)*48</f>
        <v>0</v>
      </c>
      <c r="AU23" s="78">
        <v>939</v>
      </c>
      <c r="AV23" s="38">
        <f t="shared" ref="AV23" si="328">(+AU23-+AU22)*48</f>
        <v>0</v>
      </c>
      <c r="AW23" s="78">
        <v>3109</v>
      </c>
      <c r="AX23" s="38">
        <f t="shared" ref="AX23" si="329">(+AW23-+AW22)*48</f>
        <v>0</v>
      </c>
      <c r="AY23" s="78">
        <v>324312</v>
      </c>
      <c r="AZ23" s="38">
        <f t="shared" ref="AZ23" si="330">(+AY23-+AY22)*48</f>
        <v>3120</v>
      </c>
      <c r="BA23" s="78">
        <v>161101</v>
      </c>
      <c r="BB23" s="105">
        <f t="shared" ref="BB23:BB25" si="331">(+BA23-+BA22)*48</f>
        <v>0</v>
      </c>
      <c r="BC23" s="78">
        <v>220252</v>
      </c>
      <c r="BD23" s="38">
        <f t="shared" ref="BD23" si="332">(+BC23-+BC22)*48</f>
        <v>1392</v>
      </c>
      <c r="BE23" s="78">
        <v>5347</v>
      </c>
      <c r="BF23" s="38">
        <f t="shared" ref="BF23" si="333">(+BE23-+BE22)*48</f>
        <v>0</v>
      </c>
      <c r="BH23" s="106">
        <f t="shared" si="1"/>
        <v>106789.53599999999</v>
      </c>
      <c r="BI23" s="106">
        <f t="shared" si="2"/>
        <v>57801.599999999999</v>
      </c>
    </row>
    <row r="24" spans="1:61" s="36" customFormat="1" ht="39.950000000000003" customHeight="1">
      <c r="A24" s="146">
        <v>44455</v>
      </c>
      <c r="B24" s="35"/>
      <c r="C24" s="78">
        <v>6296671</v>
      </c>
      <c r="D24" s="105">
        <f t="shared" ref="D24" si="334">(+C24-+C23)*48</f>
        <v>105360</v>
      </c>
      <c r="E24" s="38">
        <f t="shared" si="4"/>
        <v>63216</v>
      </c>
      <c r="F24" s="105">
        <f t="shared" si="5"/>
        <v>42144</v>
      </c>
      <c r="G24" s="78">
        <v>286150</v>
      </c>
      <c r="H24" s="105">
        <f t="shared" ref="H24" si="335">(+G24-+G23)*48</f>
        <v>2400</v>
      </c>
      <c r="I24" s="78">
        <v>144741</v>
      </c>
      <c r="J24" s="105">
        <f t="shared" ref="J24" si="336">(+I24-+I23)*48</f>
        <v>8352</v>
      </c>
      <c r="K24" s="78">
        <v>261296</v>
      </c>
      <c r="L24" s="105">
        <f t="shared" si="0"/>
        <v>3696</v>
      </c>
      <c r="M24" s="78">
        <v>24807</v>
      </c>
      <c r="N24" s="38">
        <f t="shared" ref="N24" si="337">(+M24-+M23)*48</f>
        <v>192</v>
      </c>
      <c r="O24" s="78">
        <v>287033</v>
      </c>
      <c r="P24" s="105">
        <f t="shared" ref="P24" si="338">(+O24-+O23)*48</f>
        <v>9648</v>
      </c>
      <c r="Q24" s="78">
        <v>458450</v>
      </c>
      <c r="R24" s="105">
        <f t="shared" ref="R24" si="339">(+Q24-+Q23)*48</f>
        <v>5184</v>
      </c>
      <c r="S24" s="78">
        <v>736855</v>
      </c>
      <c r="T24" s="105">
        <f t="shared" ref="T24" si="340">(+S24-+S23)*48</f>
        <v>4800</v>
      </c>
      <c r="U24" s="83">
        <v>1911.308</v>
      </c>
      <c r="V24" s="105">
        <f t="shared" ref="V24" si="341">(+U24-+U23)*48</f>
        <v>933.50400000000445</v>
      </c>
      <c r="W24" s="83">
        <v>82615</v>
      </c>
      <c r="X24" s="105">
        <f t="shared" ref="X24" si="342">(+W24-+W23)*48</f>
        <v>1344</v>
      </c>
      <c r="Y24" s="78">
        <v>1499611</v>
      </c>
      <c r="Z24" s="105">
        <f t="shared" ref="Z24" si="343">(+Y24-+Y23)*48</f>
        <v>0</v>
      </c>
      <c r="AA24" s="78">
        <v>13264</v>
      </c>
      <c r="AB24" s="105">
        <f t="shared" ref="AB24" si="344">(+AA24-+AA23)*48</f>
        <v>0</v>
      </c>
      <c r="AC24" s="78">
        <v>469445</v>
      </c>
      <c r="AD24" s="105">
        <f t="shared" si="16"/>
        <v>5520</v>
      </c>
      <c r="AE24" s="78">
        <v>543365</v>
      </c>
      <c r="AF24" s="105">
        <f t="shared" si="16"/>
        <v>5856</v>
      </c>
      <c r="AG24" s="78">
        <v>49781</v>
      </c>
      <c r="AH24" s="105">
        <f t="shared" ref="AH24" si="345">(+AG24-+AG23)*48</f>
        <v>0</v>
      </c>
      <c r="AI24" s="78">
        <v>424406</v>
      </c>
      <c r="AJ24" s="105">
        <f t="shared" ref="AJ24" si="346">(+AI24-+AI23)*48</f>
        <v>2256</v>
      </c>
      <c r="AK24" s="78">
        <v>102770</v>
      </c>
      <c r="AL24" s="105">
        <f t="shared" ref="AL24" si="347">(+AK24-+AK23)*48</f>
        <v>0</v>
      </c>
      <c r="AM24" s="78">
        <v>585869</v>
      </c>
      <c r="AN24" s="105">
        <f t="shared" ref="AN24" si="348">(+AM24-+AM23)*48</f>
        <v>3696</v>
      </c>
      <c r="AO24" s="78">
        <v>951925</v>
      </c>
      <c r="AP24" s="105">
        <f t="shared" ref="AP24" si="349">(+AO24-+AO23)*48</f>
        <v>8880</v>
      </c>
      <c r="AQ24" s="78">
        <v>77876</v>
      </c>
      <c r="AR24" s="105">
        <f t="shared" ref="AR24" si="350">(+AQ24-+AQ23)*48</f>
        <v>0</v>
      </c>
      <c r="AS24" s="78">
        <v>2262</v>
      </c>
      <c r="AT24" s="105">
        <f t="shared" ref="AT24" si="351">(+AS24-+AS23)*48</f>
        <v>0</v>
      </c>
      <c r="AU24" s="78">
        <v>939</v>
      </c>
      <c r="AV24" s="105">
        <f t="shared" ref="AV24" si="352">(+AU24-+AU23)*48</f>
        <v>0</v>
      </c>
      <c r="AW24" s="78">
        <v>3109</v>
      </c>
      <c r="AX24" s="105">
        <f t="shared" ref="AX24" si="353">(+AW24-+AW23)*48</f>
        <v>0</v>
      </c>
      <c r="AY24" s="78">
        <v>324374</v>
      </c>
      <c r="AZ24" s="105">
        <f t="shared" ref="AZ24" si="354">(+AY24-+AY23)*48</f>
        <v>2976</v>
      </c>
      <c r="BA24" s="78">
        <v>161101</v>
      </c>
      <c r="BB24" s="105">
        <f t="shared" si="331"/>
        <v>0</v>
      </c>
      <c r="BC24" s="78">
        <v>220279</v>
      </c>
      <c r="BD24" s="105">
        <f t="shared" ref="BD24" si="355">(+BC24-+BC23)*48</f>
        <v>1296</v>
      </c>
      <c r="BE24" s="78">
        <v>5347</v>
      </c>
      <c r="BF24" s="105">
        <f t="shared" ref="BF24" si="356">(+BE24-+BE23)*48</f>
        <v>0</v>
      </c>
      <c r="BH24" s="106">
        <f t="shared" si="1"/>
        <v>113397.504</v>
      </c>
      <c r="BI24" s="106">
        <f t="shared" si="2"/>
        <v>58992</v>
      </c>
    </row>
    <row r="25" spans="1:61" s="36" customFormat="1" ht="39.950000000000003" customHeight="1">
      <c r="A25" s="146">
        <v>44456</v>
      </c>
      <c r="B25" s="35"/>
      <c r="C25" s="78">
        <v>6299132</v>
      </c>
      <c r="D25" s="105">
        <f t="shared" ref="D25" si="357">(+C25-+C24)*48</f>
        <v>118128</v>
      </c>
      <c r="E25" s="38">
        <f t="shared" si="4"/>
        <v>70876.800000000003</v>
      </c>
      <c r="F25" s="105">
        <f t="shared" si="5"/>
        <v>47251.200000000004</v>
      </c>
      <c r="G25" s="78">
        <v>286189</v>
      </c>
      <c r="H25" s="105">
        <f t="shared" ref="H25" si="358">(+G25-+G24)*48</f>
        <v>1872</v>
      </c>
      <c r="I25" s="78">
        <v>144907</v>
      </c>
      <c r="J25" s="105">
        <f t="shared" ref="J25" si="359">(+I25-+I24)*48</f>
        <v>7968</v>
      </c>
      <c r="K25" s="78">
        <v>261318</v>
      </c>
      <c r="L25" s="105">
        <f t="shared" si="0"/>
        <v>1056</v>
      </c>
      <c r="M25" s="78">
        <v>24821</v>
      </c>
      <c r="N25" s="38">
        <f t="shared" ref="N25" si="360">(+M25-+M24)*48</f>
        <v>672</v>
      </c>
      <c r="O25" s="78">
        <v>287240</v>
      </c>
      <c r="P25" s="105">
        <f t="shared" ref="P25" si="361">(+O25-+O24)*48</f>
        <v>9936</v>
      </c>
      <c r="Q25" s="78">
        <v>458551</v>
      </c>
      <c r="R25" s="105">
        <f t="shared" ref="R25" si="362">(+Q25-+Q24)*48</f>
        <v>4848</v>
      </c>
      <c r="S25" s="78">
        <v>736939</v>
      </c>
      <c r="T25" s="105">
        <f t="shared" ref="T25" si="363">(+S25-+S24)*48</f>
        <v>4032</v>
      </c>
      <c r="U25" s="83">
        <v>1929.3920000000001</v>
      </c>
      <c r="V25" s="105">
        <f t="shared" ref="V25" si="364">(+U25-+U24)*48</f>
        <v>868.03200000000288</v>
      </c>
      <c r="W25" s="78">
        <v>82640</v>
      </c>
      <c r="X25" s="105">
        <f t="shared" ref="X25" si="365">(+W25-+W24)*48</f>
        <v>1200</v>
      </c>
      <c r="Y25" s="78">
        <v>1499611</v>
      </c>
      <c r="Z25" s="105">
        <f t="shared" ref="Z25" si="366">(+Y25-+Y24)*48</f>
        <v>0</v>
      </c>
      <c r="AA25" s="78">
        <v>13264</v>
      </c>
      <c r="AB25" s="105">
        <f t="shared" ref="AB25" si="367">(+AA25-+AA24)*48</f>
        <v>0</v>
      </c>
      <c r="AC25" s="78">
        <v>469563</v>
      </c>
      <c r="AD25" s="105">
        <f t="shared" si="16"/>
        <v>5664</v>
      </c>
      <c r="AE25" s="78">
        <v>543491</v>
      </c>
      <c r="AF25" s="105">
        <f t="shared" si="16"/>
        <v>6048</v>
      </c>
      <c r="AG25" s="78">
        <v>49781</v>
      </c>
      <c r="AH25" s="105">
        <f t="shared" ref="AH25" si="368">(+AG25-+AG24)*48</f>
        <v>0</v>
      </c>
      <c r="AI25" s="78">
        <v>424453</v>
      </c>
      <c r="AJ25" s="105">
        <f t="shared" ref="AJ25" si="369">(+AI25-+AI24)*48</f>
        <v>2256</v>
      </c>
      <c r="AK25" s="78">
        <v>102770</v>
      </c>
      <c r="AL25" s="105">
        <f t="shared" ref="AL25" si="370">(+AK25-+AK24)*48</f>
        <v>0</v>
      </c>
      <c r="AM25" s="78">
        <v>585954</v>
      </c>
      <c r="AN25" s="105">
        <f t="shared" ref="AN25" si="371">(+AM25-+AM24)*48</f>
        <v>4080</v>
      </c>
      <c r="AO25" s="78">
        <v>952115</v>
      </c>
      <c r="AP25" s="105">
        <f t="shared" ref="AP25" si="372">(+AO25-+AO24)*48</f>
        <v>9120</v>
      </c>
      <c r="AQ25" s="78">
        <v>77876</v>
      </c>
      <c r="AR25" s="105">
        <f t="shared" ref="AR25" si="373">(+AQ25-+AQ24)*48</f>
        <v>0</v>
      </c>
      <c r="AS25" s="78">
        <v>2262</v>
      </c>
      <c r="AT25" s="105">
        <f t="shared" ref="AT25" si="374">(+AS25-+AS24)*48</f>
        <v>0</v>
      </c>
      <c r="AU25" s="78">
        <v>939</v>
      </c>
      <c r="AV25" s="105">
        <f t="shared" ref="AV25" si="375">(+AU25-+AU24)*48</f>
        <v>0</v>
      </c>
      <c r="AW25" s="78">
        <v>3109</v>
      </c>
      <c r="AX25" s="105">
        <f t="shared" ref="AX25" si="376">(+AW25-+AW24)*48</f>
        <v>0</v>
      </c>
      <c r="AY25" s="78">
        <v>324436</v>
      </c>
      <c r="AZ25" s="105">
        <f t="shared" ref="AZ25" si="377">(+AY25-+AY24)*48</f>
        <v>2976</v>
      </c>
      <c r="BA25" s="78">
        <v>161101</v>
      </c>
      <c r="BB25" s="105">
        <f t="shared" si="331"/>
        <v>0</v>
      </c>
      <c r="BC25" s="78">
        <v>220312</v>
      </c>
      <c r="BD25" s="105">
        <f t="shared" ref="BD25" si="378">(+BC25-+BC24)*48</f>
        <v>1584</v>
      </c>
      <c r="BE25" s="78">
        <v>5347</v>
      </c>
      <c r="BF25" s="105">
        <f t="shared" ref="BF25" si="379">(+BE25-+BE24)*48</f>
        <v>0</v>
      </c>
      <c r="BH25" s="106">
        <f t="shared" si="1"/>
        <v>117296.83200000001</v>
      </c>
      <c r="BI25" s="106">
        <f t="shared" si="2"/>
        <v>65011.200000000004</v>
      </c>
    </row>
    <row r="26" spans="1:61" s="36" customFormat="1" ht="39.950000000000003" customHeight="1">
      <c r="A26" s="146">
        <v>44457</v>
      </c>
      <c r="B26" s="35"/>
      <c r="C26" s="78">
        <v>6301536</v>
      </c>
      <c r="D26" s="105">
        <f t="shared" ref="D26" si="380">(+C26-+C25)*48</f>
        <v>115392</v>
      </c>
      <c r="E26" s="38">
        <f t="shared" si="4"/>
        <v>69235.199999999997</v>
      </c>
      <c r="F26" s="105">
        <f t="shared" si="5"/>
        <v>46156.800000000003</v>
      </c>
      <c r="G26" s="78">
        <v>286234</v>
      </c>
      <c r="H26" s="105">
        <f t="shared" ref="H26" si="381">(+G26-+G25)*48</f>
        <v>2160</v>
      </c>
      <c r="I26" s="78">
        <v>145078</v>
      </c>
      <c r="J26" s="105">
        <f t="shared" ref="J26" si="382">(+I26-+I25)*48</f>
        <v>8208</v>
      </c>
      <c r="K26" s="78">
        <v>261354</v>
      </c>
      <c r="L26" s="105">
        <f t="shared" si="0"/>
        <v>1728</v>
      </c>
      <c r="M26" s="78">
        <v>24833</v>
      </c>
      <c r="N26" s="38">
        <f t="shared" ref="N26" si="383">(+M26-+M25)*48</f>
        <v>576</v>
      </c>
      <c r="O26" s="78">
        <v>287453</v>
      </c>
      <c r="P26" s="105">
        <f t="shared" ref="P26" si="384">(+O26-+O25)*48</f>
        <v>10224</v>
      </c>
      <c r="Q26" s="78">
        <v>458653</v>
      </c>
      <c r="R26" s="105">
        <f t="shared" ref="R26" si="385">(+Q26-+Q25)*48</f>
        <v>4896</v>
      </c>
      <c r="S26" s="78">
        <v>737044</v>
      </c>
      <c r="T26" s="105">
        <f t="shared" ref="T26" si="386">(+S26-+S25)*48</f>
        <v>5040</v>
      </c>
      <c r="U26" s="83">
        <v>1950.125</v>
      </c>
      <c r="V26" s="105">
        <f t="shared" ref="V26" si="387">(+U26-+U25)*48</f>
        <v>995.18399999999747</v>
      </c>
      <c r="W26" s="78">
        <v>82665</v>
      </c>
      <c r="X26" s="105">
        <f t="shared" ref="X26" si="388">(+W26-+W25)*48</f>
        <v>1200</v>
      </c>
      <c r="Y26" s="78">
        <v>1499611</v>
      </c>
      <c r="Z26" s="105">
        <f t="shared" ref="Z26" si="389">(+Y26-+Y25)*48</f>
        <v>0</v>
      </c>
      <c r="AA26" s="78">
        <v>13264</v>
      </c>
      <c r="AB26" s="105">
        <f t="shared" ref="AB26" si="390">(+AA26-+AA25)*48</f>
        <v>0</v>
      </c>
      <c r="AC26" s="78">
        <v>469680</v>
      </c>
      <c r="AD26" s="105">
        <f t="shared" si="16"/>
        <v>5616</v>
      </c>
      <c r="AE26" s="78">
        <v>543609</v>
      </c>
      <c r="AF26" s="105">
        <f t="shared" si="16"/>
        <v>5664</v>
      </c>
      <c r="AG26" s="78">
        <v>49781</v>
      </c>
      <c r="AH26" s="105">
        <f t="shared" ref="AH26" si="391">(+AG26-+AG25)*48</f>
        <v>0</v>
      </c>
      <c r="AI26" s="78">
        <v>424504</v>
      </c>
      <c r="AJ26" s="105">
        <f t="shared" ref="AJ26" si="392">(+AI26-+AI25)*48</f>
        <v>2448</v>
      </c>
      <c r="AK26" s="78">
        <v>102770</v>
      </c>
      <c r="AL26" s="105">
        <f t="shared" ref="AL26" si="393">(+AK26-+AK25)*48</f>
        <v>0</v>
      </c>
      <c r="AM26" s="78">
        <v>586073</v>
      </c>
      <c r="AN26" s="105">
        <f t="shared" ref="AN26" si="394">(+AM26-+AM25)*48</f>
        <v>5712</v>
      </c>
      <c r="AO26" s="78">
        <v>952308</v>
      </c>
      <c r="AP26" s="105">
        <f t="shared" ref="AP26" si="395">(+AO26-+AO25)*48</f>
        <v>9264</v>
      </c>
      <c r="AQ26" s="78">
        <v>77876</v>
      </c>
      <c r="AR26" s="105">
        <f t="shared" ref="AR26" si="396">(+AQ26-+AQ25)*48</f>
        <v>0</v>
      </c>
      <c r="AS26" s="78">
        <v>2262</v>
      </c>
      <c r="AT26" s="105">
        <f t="shared" ref="AT26" si="397">(+AS26-+AS25)*48</f>
        <v>0</v>
      </c>
      <c r="AU26" s="78">
        <v>939</v>
      </c>
      <c r="AV26" s="105">
        <f t="shared" ref="AV26" si="398">(+AU26-+AU25)*48</f>
        <v>0</v>
      </c>
      <c r="AW26" s="78">
        <v>3109</v>
      </c>
      <c r="AX26" s="105">
        <f t="shared" ref="AX26" si="399">(+AW26-+AW25)*48</f>
        <v>0</v>
      </c>
      <c r="AY26" s="78">
        <v>324500</v>
      </c>
      <c r="AZ26" s="105">
        <f>(+AY26-+AY25)*48</f>
        <v>3072</v>
      </c>
      <c r="BA26" s="78">
        <v>161101</v>
      </c>
      <c r="BB26" s="105">
        <f>(+BA26-+BA25)*48</f>
        <v>0</v>
      </c>
      <c r="BC26" s="78">
        <v>220347</v>
      </c>
      <c r="BD26" s="105">
        <f t="shared" ref="BD26" si="400">(+BC26-+BC25)*48</f>
        <v>1680</v>
      </c>
      <c r="BE26" s="78">
        <v>5347</v>
      </c>
      <c r="BF26" s="105">
        <f t="shared" ref="BF26" si="401">(+BE26-+BE25)*48</f>
        <v>0</v>
      </c>
      <c r="BH26" s="106">
        <f t="shared" si="1"/>
        <v>117990.38399999999</v>
      </c>
      <c r="BI26" s="106">
        <f t="shared" si="2"/>
        <v>65884.800000000003</v>
      </c>
    </row>
    <row r="27" spans="1:61" s="36" customFormat="1" ht="39.950000000000003" customHeight="1">
      <c r="A27" s="146">
        <v>44458</v>
      </c>
      <c r="B27" s="35"/>
      <c r="C27" s="78">
        <v>6303916</v>
      </c>
      <c r="D27" s="105">
        <f t="shared" ref="D27" si="402">(+C27-+C26)*48</f>
        <v>114240</v>
      </c>
      <c r="E27" s="38">
        <f t="shared" si="4"/>
        <v>68544</v>
      </c>
      <c r="F27" s="105">
        <f t="shared" si="5"/>
        <v>45696</v>
      </c>
      <c r="G27" s="78">
        <v>286275</v>
      </c>
      <c r="H27" s="105">
        <f t="shared" ref="H27" si="403">(+G27-+G26)*48</f>
        <v>1968</v>
      </c>
      <c r="I27" s="78">
        <v>145248</v>
      </c>
      <c r="J27" s="105">
        <f t="shared" ref="J27" si="404">(+I27-+I26)*48</f>
        <v>8160</v>
      </c>
      <c r="K27" s="78">
        <v>261370</v>
      </c>
      <c r="L27" s="105">
        <f t="shared" si="0"/>
        <v>768</v>
      </c>
      <c r="M27" s="78">
        <v>24833</v>
      </c>
      <c r="N27" s="38">
        <f t="shared" ref="N27" si="405">(+M27-+M26)*48</f>
        <v>0</v>
      </c>
      <c r="O27" s="78">
        <v>287660</v>
      </c>
      <c r="P27" s="105">
        <f t="shared" ref="P27" si="406">(+O27-+O26)*48</f>
        <v>9936</v>
      </c>
      <c r="Q27" s="78">
        <v>458741</v>
      </c>
      <c r="R27" s="105">
        <f t="shared" ref="R27" si="407">(+Q27-+Q26)*48</f>
        <v>4224</v>
      </c>
      <c r="S27" s="78">
        <v>737153</v>
      </c>
      <c r="T27" s="105">
        <f t="shared" ref="T27" si="408">(+S27-+S26)*48</f>
        <v>5232</v>
      </c>
      <c r="U27" s="83">
        <v>1971</v>
      </c>
      <c r="V27" s="105">
        <f t="shared" ref="V27" si="409">(+U27-+U26)*48</f>
        <v>1002</v>
      </c>
      <c r="W27" s="78">
        <v>82665</v>
      </c>
      <c r="X27" s="105">
        <f t="shared" ref="X27" si="410">(+W27-+W26)*48</f>
        <v>0</v>
      </c>
      <c r="Y27" s="78">
        <v>1499611</v>
      </c>
      <c r="Z27" s="105">
        <f t="shared" ref="Z27" si="411">(+Y27-+Y26)*48</f>
        <v>0</v>
      </c>
      <c r="AA27" s="78">
        <v>13264</v>
      </c>
      <c r="AB27" s="105">
        <f t="shared" ref="AB27" si="412">(+AA27-+AA26)*48</f>
        <v>0</v>
      </c>
      <c r="AC27" s="78">
        <v>469798</v>
      </c>
      <c r="AD27" s="105">
        <f t="shared" si="16"/>
        <v>5664</v>
      </c>
      <c r="AE27" s="78">
        <v>543730</v>
      </c>
      <c r="AF27" s="105">
        <f t="shared" si="16"/>
        <v>5808</v>
      </c>
      <c r="AG27" s="78">
        <v>49781</v>
      </c>
      <c r="AH27" s="105">
        <f t="shared" ref="AH27" si="413">(+AG27-+AG26)*48</f>
        <v>0</v>
      </c>
      <c r="AI27" s="78">
        <v>424546</v>
      </c>
      <c r="AJ27" s="105">
        <f t="shared" ref="AJ27" si="414">(+AI27-+AI26)*48</f>
        <v>2016</v>
      </c>
      <c r="AK27" s="78">
        <v>102770</v>
      </c>
      <c r="AL27" s="105">
        <f t="shared" ref="AL27" si="415">(+AK27-+AK26)*48</f>
        <v>0</v>
      </c>
      <c r="AM27" s="78">
        <v>586162</v>
      </c>
      <c r="AN27" s="105">
        <f t="shared" ref="AN27" si="416">(+AM27-+AM26)*48</f>
        <v>4272</v>
      </c>
      <c r="AO27" s="78">
        <v>952506</v>
      </c>
      <c r="AP27" s="105">
        <f t="shared" ref="AP27" si="417">(+AO27-+AO26)*48</f>
        <v>9504</v>
      </c>
      <c r="AQ27" s="78">
        <v>77876</v>
      </c>
      <c r="AR27" s="105">
        <f t="shared" ref="AR27" si="418">(+AQ27-+AQ26)*48</f>
        <v>0</v>
      </c>
      <c r="AS27" s="78">
        <v>2262</v>
      </c>
      <c r="AT27" s="105">
        <f t="shared" ref="AT27" si="419">(+AS27-+AS26)*48</f>
        <v>0</v>
      </c>
      <c r="AU27" s="78">
        <v>939</v>
      </c>
      <c r="AV27" s="105">
        <f t="shared" ref="AV27" si="420">(+AU27-+AU26)*48</f>
        <v>0</v>
      </c>
      <c r="AW27" s="78">
        <v>3109</v>
      </c>
      <c r="AX27" s="105">
        <f t="shared" ref="AX27" si="421">(+AW27-+AW26)*48</f>
        <v>0</v>
      </c>
      <c r="AY27" s="78">
        <v>324567</v>
      </c>
      <c r="AZ27" s="105">
        <f t="shared" ref="AZ27" si="422">(+AY27-+AY26)*48</f>
        <v>3216</v>
      </c>
      <c r="BA27" s="78">
        <v>161101</v>
      </c>
      <c r="BB27" s="105">
        <f>(+BA27-+BA26)*48</f>
        <v>0</v>
      </c>
      <c r="BC27" s="78">
        <v>220381</v>
      </c>
      <c r="BD27" s="105">
        <f t="shared" ref="BD27" si="423">(+BC27-+BC26)*48</f>
        <v>1632</v>
      </c>
      <c r="BE27" s="78">
        <v>5347</v>
      </c>
      <c r="BF27" s="105">
        <f t="shared" ref="BF27" si="424">(+BE27-+BE26)*48</f>
        <v>0</v>
      </c>
      <c r="BH27" s="106">
        <f t="shared" si="1"/>
        <v>113322</v>
      </c>
      <c r="BI27" s="106">
        <f t="shared" si="2"/>
        <v>64320</v>
      </c>
    </row>
    <row r="28" spans="1:61" s="36" customFormat="1" ht="39.950000000000003" customHeight="1">
      <c r="A28" s="146">
        <v>44459</v>
      </c>
      <c r="B28" s="35"/>
      <c r="C28" s="78">
        <v>6306326</v>
      </c>
      <c r="D28" s="105">
        <f t="shared" ref="D28" si="425">(+C28-+C27)*48</f>
        <v>115680</v>
      </c>
      <c r="E28" s="38">
        <f t="shared" si="4"/>
        <v>69408</v>
      </c>
      <c r="F28" s="105">
        <f t="shared" si="5"/>
        <v>46272</v>
      </c>
      <c r="G28" s="78">
        <v>286318</v>
      </c>
      <c r="H28" s="105">
        <f t="shared" ref="H28" si="426">(+G28-+G27)*48</f>
        <v>2064</v>
      </c>
      <c r="I28" s="78">
        <v>145413</v>
      </c>
      <c r="J28" s="105">
        <f t="shared" ref="J28" si="427">(+I28-+I27)*48</f>
        <v>7920</v>
      </c>
      <c r="K28" s="78">
        <v>261385</v>
      </c>
      <c r="L28" s="105">
        <f t="shared" si="0"/>
        <v>720</v>
      </c>
      <c r="M28" s="78">
        <v>24833</v>
      </c>
      <c r="N28" s="38">
        <f t="shared" ref="N28" si="428">(+M28-+M27)*48</f>
        <v>0</v>
      </c>
      <c r="O28" s="78">
        <v>287870</v>
      </c>
      <c r="P28" s="105">
        <f t="shared" ref="P28" si="429">(+O28-+O27)*48</f>
        <v>10080</v>
      </c>
      <c r="Q28" s="78">
        <v>458831</v>
      </c>
      <c r="R28" s="105">
        <f t="shared" ref="R28" si="430">(+Q28-+Q27)*48</f>
        <v>4320</v>
      </c>
      <c r="S28" s="78">
        <v>737263</v>
      </c>
      <c r="T28" s="105">
        <f t="shared" ref="T28" si="431">(+S28-+S27)*48</f>
        <v>5280</v>
      </c>
      <c r="U28" s="83">
        <v>1993</v>
      </c>
      <c r="V28" s="105">
        <f t="shared" ref="V28" si="432">(+U28-+U27)*48</f>
        <v>1056</v>
      </c>
      <c r="W28" s="78">
        <v>82679</v>
      </c>
      <c r="X28" s="105">
        <f t="shared" ref="X28" si="433">(+W28-+W27)*48</f>
        <v>672</v>
      </c>
      <c r="Y28" s="78">
        <v>1499611</v>
      </c>
      <c r="Z28" s="105">
        <f t="shared" ref="Z28" si="434">(+Y28-+Y27)*48</f>
        <v>0</v>
      </c>
      <c r="AA28" s="78">
        <v>13264</v>
      </c>
      <c r="AB28" s="105">
        <f t="shared" ref="AB28" si="435">(+AA28-+AA27)*48</f>
        <v>0</v>
      </c>
      <c r="AC28" s="78">
        <v>469918</v>
      </c>
      <c r="AD28" s="105">
        <f t="shared" si="16"/>
        <v>5760</v>
      </c>
      <c r="AE28" s="78">
        <v>543850</v>
      </c>
      <c r="AF28" s="105">
        <f t="shared" si="16"/>
        <v>5760</v>
      </c>
      <c r="AG28" s="78">
        <v>49781</v>
      </c>
      <c r="AH28" s="105">
        <f t="shared" ref="AH28" si="436">(+AG28-+AG27)*48</f>
        <v>0</v>
      </c>
      <c r="AI28" s="78">
        <v>424593</v>
      </c>
      <c r="AJ28" s="105">
        <f t="shared" ref="AJ28" si="437">(+AI28-+AI27)*48</f>
        <v>2256</v>
      </c>
      <c r="AK28" s="78">
        <v>102770</v>
      </c>
      <c r="AL28" s="105">
        <f t="shared" ref="AL28" si="438">(+AK28-+AK27)*48</f>
        <v>0</v>
      </c>
      <c r="AM28" s="78">
        <v>586249</v>
      </c>
      <c r="AN28" s="105">
        <f t="shared" ref="AN28" si="439">(+AM28-+AM27)*48</f>
        <v>4176</v>
      </c>
      <c r="AO28" s="78">
        <v>952704</v>
      </c>
      <c r="AP28" s="105">
        <f t="shared" ref="AP28" si="440">(+AO28-+AO27)*48</f>
        <v>9504</v>
      </c>
      <c r="AQ28" s="78">
        <v>77876</v>
      </c>
      <c r="AR28" s="105">
        <f t="shared" ref="AR28" si="441">(+AQ28-+AQ27)*48</f>
        <v>0</v>
      </c>
      <c r="AS28" s="78">
        <v>2262</v>
      </c>
      <c r="AT28" s="105">
        <f t="shared" ref="AT28" si="442">(+AS28-+AS27)*48</f>
        <v>0</v>
      </c>
      <c r="AU28" s="78">
        <v>939</v>
      </c>
      <c r="AV28" s="105">
        <f t="shared" ref="AV28" si="443">(+AU28-+AU27)*48</f>
        <v>0</v>
      </c>
      <c r="AW28" s="78">
        <v>3109</v>
      </c>
      <c r="AX28" s="105">
        <f t="shared" ref="AX28" si="444">(+AW28-+AW27)*48</f>
        <v>0</v>
      </c>
      <c r="AY28" s="78">
        <v>324635</v>
      </c>
      <c r="AZ28" s="105">
        <f t="shared" ref="AZ28" si="445">(+AY28-+AY27)*48</f>
        <v>3264</v>
      </c>
      <c r="BA28" s="78">
        <v>161101</v>
      </c>
      <c r="BB28" s="105">
        <f t="shared" ref="BB28" si="446">(+BA28-+BA27)*48</f>
        <v>0</v>
      </c>
      <c r="BC28" s="78">
        <v>220416</v>
      </c>
      <c r="BD28" s="105">
        <f t="shared" ref="BD28" si="447">(+BC28-+BC27)*48</f>
        <v>1680</v>
      </c>
      <c r="BE28" s="78">
        <v>5347</v>
      </c>
      <c r="BF28" s="105">
        <f t="shared" ref="BF28" si="448">(+BE28-+BE27)*48</f>
        <v>0</v>
      </c>
      <c r="BH28" s="106">
        <f t="shared" si="1"/>
        <v>115296</v>
      </c>
      <c r="BI28" s="106">
        <f t="shared" si="2"/>
        <v>64896</v>
      </c>
    </row>
    <row r="29" spans="1:61" s="36" customFormat="1" ht="39.950000000000003" customHeight="1">
      <c r="A29" s="146">
        <v>44460</v>
      </c>
      <c r="B29" s="35"/>
      <c r="C29" s="83">
        <v>6308676</v>
      </c>
      <c r="D29" s="105">
        <f t="shared" ref="D29" si="449">(+C29-+C28)*48</f>
        <v>112800</v>
      </c>
      <c r="E29" s="38">
        <f t="shared" si="4"/>
        <v>67680</v>
      </c>
      <c r="F29" s="105">
        <f t="shared" si="5"/>
        <v>45120</v>
      </c>
      <c r="G29" s="83">
        <v>286363</v>
      </c>
      <c r="H29" s="105">
        <f t="shared" ref="H29" si="450">(+G29-+G28)*48</f>
        <v>2160</v>
      </c>
      <c r="I29" s="83">
        <v>145573</v>
      </c>
      <c r="J29" s="105">
        <f t="shared" ref="J29" si="451">(+I29-+I28)*48</f>
        <v>7680</v>
      </c>
      <c r="K29" s="83">
        <v>261400</v>
      </c>
      <c r="L29" s="105">
        <f t="shared" si="0"/>
        <v>720</v>
      </c>
      <c r="M29" s="83">
        <v>24833</v>
      </c>
      <c r="N29" s="38">
        <f t="shared" ref="N29" si="452">(+M29-+M28)*48</f>
        <v>0</v>
      </c>
      <c r="O29" s="83">
        <v>288070</v>
      </c>
      <c r="P29" s="105">
        <f t="shared" ref="P29" si="453">(+O29-+O28)*48</f>
        <v>9600</v>
      </c>
      <c r="Q29" s="83">
        <v>458917</v>
      </c>
      <c r="R29" s="105">
        <f t="shared" ref="R29" si="454">(+Q29-+Q28)*48</f>
        <v>4128</v>
      </c>
      <c r="S29" s="83">
        <v>737368</v>
      </c>
      <c r="T29" s="105">
        <f t="shared" ref="T29" si="455">(+S29-+S28)*48</f>
        <v>5040</v>
      </c>
      <c r="U29" s="83">
        <v>2014</v>
      </c>
      <c r="V29" s="105">
        <f t="shared" ref="V29" si="456">(+U29-+U28)*48</f>
        <v>1008</v>
      </c>
      <c r="W29" s="83">
        <v>82693</v>
      </c>
      <c r="X29" s="105">
        <f t="shared" ref="X29" si="457">(+W29-+W28)*48</f>
        <v>672</v>
      </c>
      <c r="Y29" s="78">
        <v>1499611</v>
      </c>
      <c r="Z29" s="105">
        <f t="shared" ref="Z29" si="458">(+Y29-+Y28)*48</f>
        <v>0</v>
      </c>
      <c r="AA29" s="78">
        <v>13264</v>
      </c>
      <c r="AB29" s="105">
        <f t="shared" ref="AB29" si="459">(+AA29-+AA28)*48</f>
        <v>0</v>
      </c>
      <c r="AC29" s="83">
        <v>470034</v>
      </c>
      <c r="AD29" s="105">
        <f t="shared" si="16"/>
        <v>5568</v>
      </c>
      <c r="AE29" s="83">
        <v>543967</v>
      </c>
      <c r="AF29" s="105">
        <f t="shared" si="16"/>
        <v>5616</v>
      </c>
      <c r="AG29" s="78">
        <v>49781</v>
      </c>
      <c r="AH29" s="105">
        <f t="shared" ref="AH29" si="460">(+AG29-+AG28)*48</f>
        <v>0</v>
      </c>
      <c r="AI29" s="83">
        <v>424638</v>
      </c>
      <c r="AJ29" s="105">
        <f t="shared" ref="AJ29" si="461">(+AI29-+AI28)*48</f>
        <v>2160</v>
      </c>
      <c r="AK29" s="78">
        <v>102770</v>
      </c>
      <c r="AL29" s="105">
        <f t="shared" ref="AL29" si="462">(+AK29-+AK28)*48</f>
        <v>0</v>
      </c>
      <c r="AM29" s="83">
        <v>586334</v>
      </c>
      <c r="AN29" s="105">
        <f t="shared" ref="AN29" si="463">(+AM29-+AM28)*48</f>
        <v>4080</v>
      </c>
      <c r="AO29" s="83">
        <v>952902</v>
      </c>
      <c r="AP29" s="105">
        <f t="shared" ref="AP29" si="464">(+AO29-+AO28)*48</f>
        <v>9504</v>
      </c>
      <c r="AQ29" s="78">
        <v>77876</v>
      </c>
      <c r="AR29" s="105">
        <f t="shared" ref="AR29" si="465">(+AQ29-+AQ28)*48</f>
        <v>0</v>
      </c>
      <c r="AS29" s="78">
        <v>2262</v>
      </c>
      <c r="AT29" s="105">
        <f t="shared" ref="AT29" si="466">(+AS29-+AS28)*48</f>
        <v>0</v>
      </c>
      <c r="AU29" s="78">
        <v>939</v>
      </c>
      <c r="AV29" s="105">
        <f t="shared" ref="AV29" si="467">(+AU29-+AU28)*48</f>
        <v>0</v>
      </c>
      <c r="AW29" s="78">
        <v>3109</v>
      </c>
      <c r="AX29" s="105">
        <f t="shared" ref="AX29" si="468">(+AW29-+AW28)*48</f>
        <v>0</v>
      </c>
      <c r="AY29" s="83">
        <v>324702</v>
      </c>
      <c r="AZ29" s="105">
        <f t="shared" ref="AZ29" si="469">(+AY29-+AY28)*48</f>
        <v>3216</v>
      </c>
      <c r="BA29" s="78">
        <v>161101</v>
      </c>
      <c r="BB29" s="105">
        <f t="shared" ref="BB29" si="470">(+BA29-+BA28)*48</f>
        <v>0</v>
      </c>
      <c r="BC29" s="83">
        <v>220449</v>
      </c>
      <c r="BD29" s="105">
        <f t="shared" ref="BD29" si="471">(+BC29-+BC28)*48</f>
        <v>1584</v>
      </c>
      <c r="BE29" s="78">
        <v>5347</v>
      </c>
      <c r="BF29" s="105">
        <f t="shared" ref="BF29" si="472">(+BE29-+BE28)*48</f>
        <v>0</v>
      </c>
      <c r="BH29" s="106">
        <f t="shared" si="1"/>
        <v>112032</v>
      </c>
      <c r="BI29" s="106">
        <f t="shared" si="2"/>
        <v>63504</v>
      </c>
    </row>
    <row r="30" spans="1:61" s="36" customFormat="1" ht="39.950000000000003" customHeight="1">
      <c r="A30" s="146">
        <v>44461</v>
      </c>
      <c r="B30" s="35"/>
      <c r="C30" s="83">
        <v>6310776</v>
      </c>
      <c r="D30" s="105">
        <f t="shared" ref="D30" si="473">(+C30-+C29)*48</f>
        <v>100800</v>
      </c>
      <c r="E30" s="38">
        <f t="shared" si="4"/>
        <v>60480</v>
      </c>
      <c r="F30" s="105">
        <f t="shared" si="5"/>
        <v>40320</v>
      </c>
      <c r="G30" s="83">
        <v>286413</v>
      </c>
      <c r="H30" s="105">
        <f t="shared" ref="H30" si="474">(+G30-+G29)*48</f>
        <v>2400</v>
      </c>
      <c r="I30" s="83">
        <v>145753</v>
      </c>
      <c r="J30" s="105">
        <f t="shared" ref="J30" si="475">(+I30-+I29)*48</f>
        <v>8640</v>
      </c>
      <c r="K30" s="83">
        <v>261416</v>
      </c>
      <c r="L30" s="105">
        <f t="shared" si="0"/>
        <v>768</v>
      </c>
      <c r="M30" s="83">
        <v>24845</v>
      </c>
      <c r="N30" s="38">
        <f t="shared" ref="N30" si="476">(+M30-+M29)*48</f>
        <v>576</v>
      </c>
      <c r="O30" s="83">
        <v>288268</v>
      </c>
      <c r="P30" s="105">
        <f t="shared" ref="P30" si="477">(+O30-+O29)*48</f>
        <v>9504</v>
      </c>
      <c r="Q30" s="83">
        <v>459007</v>
      </c>
      <c r="R30" s="105">
        <f t="shared" ref="R30" si="478">(+Q30-+Q29)*48</f>
        <v>4320</v>
      </c>
      <c r="S30" s="83">
        <v>737473</v>
      </c>
      <c r="T30" s="105">
        <f t="shared" ref="T30" si="479">(+S30-+S29)*48</f>
        <v>5040</v>
      </c>
      <c r="U30" s="83">
        <v>2035</v>
      </c>
      <c r="V30" s="105">
        <f t="shared" ref="V30" si="480">(+U30-+U29)*48</f>
        <v>1008</v>
      </c>
      <c r="W30" s="83">
        <v>82706</v>
      </c>
      <c r="X30" s="105">
        <f t="shared" ref="X30" si="481">(+W30-+W29)*48</f>
        <v>624</v>
      </c>
      <c r="Y30" s="78">
        <v>1499611</v>
      </c>
      <c r="Z30" s="105">
        <f t="shared" ref="Z30" si="482">(+Y30-+Y29)*48</f>
        <v>0</v>
      </c>
      <c r="AA30" s="78">
        <v>13264</v>
      </c>
      <c r="AB30" s="105">
        <f t="shared" ref="AB30" si="483">(+AA30-+AA29)*48</f>
        <v>0</v>
      </c>
      <c r="AC30" s="83">
        <v>470149</v>
      </c>
      <c r="AD30" s="105">
        <f t="shared" si="16"/>
        <v>5520</v>
      </c>
      <c r="AE30" s="83">
        <v>544089</v>
      </c>
      <c r="AF30" s="105">
        <f t="shared" si="16"/>
        <v>5856</v>
      </c>
      <c r="AG30" s="78">
        <v>49781</v>
      </c>
      <c r="AH30" s="105">
        <f t="shared" ref="AH30" si="484">(+AG30-+AG29)*48</f>
        <v>0</v>
      </c>
      <c r="AI30" s="83">
        <v>424682</v>
      </c>
      <c r="AJ30" s="105">
        <f t="shared" ref="AJ30" si="485">(+AI30-+AI29)*48</f>
        <v>2112</v>
      </c>
      <c r="AK30" s="78">
        <v>102770</v>
      </c>
      <c r="AL30" s="105">
        <f t="shared" ref="AL30" si="486">(+AK30-+AK29)*48</f>
        <v>0</v>
      </c>
      <c r="AM30" s="83">
        <v>586421</v>
      </c>
      <c r="AN30" s="105">
        <f t="shared" ref="AN30" si="487">(+AM30-+AM29)*48</f>
        <v>4176</v>
      </c>
      <c r="AO30" s="83">
        <v>953100</v>
      </c>
      <c r="AP30" s="105">
        <f t="shared" ref="AP30" si="488">(+AO30-+AO29)*48</f>
        <v>9504</v>
      </c>
      <c r="AQ30" s="78">
        <v>77876</v>
      </c>
      <c r="AR30" s="105">
        <f t="shared" ref="AR30" si="489">(+AQ30-+AQ29)*48</f>
        <v>0</v>
      </c>
      <c r="AS30" s="78">
        <v>2262</v>
      </c>
      <c r="AT30" s="105">
        <f t="shared" ref="AT30" si="490">(+AS30-+AS29)*48</f>
        <v>0</v>
      </c>
      <c r="AU30" s="78">
        <v>939</v>
      </c>
      <c r="AV30" s="105">
        <f t="shared" ref="AV30" si="491">(+AU30-+AU29)*48</f>
        <v>0</v>
      </c>
      <c r="AW30" s="78">
        <v>3109</v>
      </c>
      <c r="AX30" s="105">
        <f t="shared" ref="AX30" si="492">(+AW30-+AW29)*48</f>
        <v>0</v>
      </c>
      <c r="AY30" s="83">
        <v>324768</v>
      </c>
      <c r="AZ30" s="105">
        <f t="shared" ref="AZ30" si="493">(+AY30-+AY29)*48</f>
        <v>3168</v>
      </c>
      <c r="BA30" s="78">
        <v>161101</v>
      </c>
      <c r="BB30" s="105">
        <f t="shared" ref="BB30" si="494">(+BA30-+BA29)*48</f>
        <v>0</v>
      </c>
      <c r="BC30" s="83">
        <v>220483</v>
      </c>
      <c r="BD30" s="105">
        <f t="shared" ref="BD30" si="495">(+BC30-+BC29)*48</f>
        <v>1632</v>
      </c>
      <c r="BE30" s="78">
        <v>5347</v>
      </c>
      <c r="BF30" s="105">
        <f t="shared" ref="BF30" si="496">(+BE30-+BE29)*48</f>
        <v>0</v>
      </c>
      <c r="BH30" s="106">
        <f t="shared" si="1"/>
        <v>106848</v>
      </c>
      <c r="BI30" s="106">
        <f t="shared" si="2"/>
        <v>58800</v>
      </c>
    </row>
    <row r="31" spans="1:61" s="36" customFormat="1" ht="39.950000000000003" customHeight="1">
      <c r="A31" s="146">
        <v>44462</v>
      </c>
      <c r="B31" s="35"/>
      <c r="C31" s="83">
        <v>6312976</v>
      </c>
      <c r="D31" s="105">
        <f t="shared" ref="D31" si="497">(+C31-+C30)*48</f>
        <v>105600</v>
      </c>
      <c r="E31" s="38">
        <f t="shared" si="4"/>
        <v>63360</v>
      </c>
      <c r="F31" s="105">
        <f t="shared" si="5"/>
        <v>42240</v>
      </c>
      <c r="G31" s="83">
        <v>286459</v>
      </c>
      <c r="H31" s="38">
        <f t="shared" ref="H31" si="498">(+G31-+G30)*48</f>
        <v>2208</v>
      </c>
      <c r="I31" s="83">
        <v>145893</v>
      </c>
      <c r="J31" s="38">
        <f t="shared" ref="J31" si="499">(+I31-+I30)*48</f>
        <v>6720</v>
      </c>
      <c r="K31" s="83">
        <v>261431</v>
      </c>
      <c r="L31" s="38">
        <f t="shared" si="0"/>
        <v>720</v>
      </c>
      <c r="M31" s="83">
        <v>24857</v>
      </c>
      <c r="N31" s="38">
        <f t="shared" ref="N31" si="500">(+M31-+M30)*48</f>
        <v>576</v>
      </c>
      <c r="O31" s="83">
        <v>288475</v>
      </c>
      <c r="P31" s="38">
        <f t="shared" ref="P31" si="501">(+O31-+O30)*48</f>
        <v>9936</v>
      </c>
      <c r="Q31" s="83">
        <v>459095</v>
      </c>
      <c r="R31" s="105">
        <f t="shared" ref="R31" si="502">(+Q31-+Q30)*48</f>
        <v>4224</v>
      </c>
      <c r="S31" s="83">
        <v>737583</v>
      </c>
      <c r="T31" s="105">
        <f t="shared" ref="T31" si="503">(+S31-+S30)*48</f>
        <v>5280</v>
      </c>
      <c r="U31" s="83">
        <v>2057</v>
      </c>
      <c r="V31" s="105">
        <f t="shared" ref="V31" si="504">(+U31-+U30)*48</f>
        <v>1056</v>
      </c>
      <c r="W31" s="83">
        <v>82723</v>
      </c>
      <c r="X31" s="105">
        <f t="shared" ref="X31" si="505">(+W31-+W30)*48</f>
        <v>816</v>
      </c>
      <c r="Y31" s="78">
        <v>1499611</v>
      </c>
      <c r="Z31" s="105">
        <f t="shared" ref="Z31" si="506">(+Y31-+Y30)*48</f>
        <v>0</v>
      </c>
      <c r="AA31" s="78">
        <v>13264</v>
      </c>
      <c r="AB31" s="105">
        <f t="shared" ref="AB31" si="507">(+AA31-+AA30)*48</f>
        <v>0</v>
      </c>
      <c r="AC31" s="83">
        <v>470274</v>
      </c>
      <c r="AD31" s="105">
        <f t="shared" si="16"/>
        <v>6000</v>
      </c>
      <c r="AE31" s="83">
        <v>544210</v>
      </c>
      <c r="AF31" s="105">
        <f t="shared" si="16"/>
        <v>5808</v>
      </c>
      <c r="AG31" s="78">
        <v>49781</v>
      </c>
      <c r="AH31" s="105">
        <f t="shared" ref="AH31" si="508">(+AG31-+AG30)*48</f>
        <v>0</v>
      </c>
      <c r="AI31" s="83">
        <v>424729</v>
      </c>
      <c r="AJ31" s="105">
        <f t="shared" ref="AJ31" si="509">(+AI31-+AI30)*48</f>
        <v>2256</v>
      </c>
      <c r="AK31" s="78">
        <v>102770</v>
      </c>
      <c r="AL31" s="105">
        <f t="shared" ref="AL31" si="510">(+AK31-+AK30)*48</f>
        <v>0</v>
      </c>
      <c r="AM31" s="83">
        <v>586510</v>
      </c>
      <c r="AN31" s="105">
        <f t="shared" ref="AN31" si="511">(+AM31-+AM30)*48</f>
        <v>4272</v>
      </c>
      <c r="AO31" s="83">
        <v>953298</v>
      </c>
      <c r="AP31" s="105">
        <f t="shared" ref="AP31" si="512">(+AO31-+AO30)*48</f>
        <v>9504</v>
      </c>
      <c r="AQ31" s="78">
        <v>77876</v>
      </c>
      <c r="AR31" s="105">
        <f t="shared" ref="AR31" si="513">(+AQ31-+AQ30)*48</f>
        <v>0</v>
      </c>
      <c r="AS31" s="78">
        <v>2262</v>
      </c>
      <c r="AT31" s="105">
        <f t="shared" ref="AT31" si="514">(+AS31-+AS30)*48</f>
        <v>0</v>
      </c>
      <c r="AU31" s="78">
        <v>939</v>
      </c>
      <c r="AV31" s="105">
        <f t="shared" ref="AV31" si="515">(+AU31-+AU30)*48</f>
        <v>0</v>
      </c>
      <c r="AW31" s="78">
        <v>3109</v>
      </c>
      <c r="AX31" s="105">
        <f t="shared" ref="AX31" si="516">(+AW31-+AW30)*48</f>
        <v>0</v>
      </c>
      <c r="AY31" s="83">
        <v>324837</v>
      </c>
      <c r="AZ31" s="105">
        <f t="shared" ref="AZ31" si="517">(+AY31-+AY30)*48</f>
        <v>3312</v>
      </c>
      <c r="BA31" s="78">
        <v>161101</v>
      </c>
      <c r="BB31" s="105">
        <f t="shared" ref="BB31" si="518">(+BA31-+BA30)*48</f>
        <v>0</v>
      </c>
      <c r="BC31" s="83">
        <v>220516</v>
      </c>
      <c r="BD31" s="105">
        <f t="shared" ref="BD31" si="519">(+BC31-+BC30)*48</f>
        <v>1584</v>
      </c>
      <c r="BE31" s="78">
        <v>5347</v>
      </c>
      <c r="BF31" s="105">
        <f t="shared" ref="BF31" si="520">(+BE31-+BE30)*48</f>
        <v>0</v>
      </c>
      <c r="BH31" s="106">
        <f t="shared" si="1"/>
        <v>108960</v>
      </c>
      <c r="BI31" s="106">
        <f t="shared" si="2"/>
        <v>60912</v>
      </c>
    </row>
    <row r="32" spans="1:61" s="36" customFormat="1" ht="39.950000000000003" customHeight="1">
      <c r="A32" s="146">
        <v>44463</v>
      </c>
      <c r="B32" s="35"/>
      <c r="C32" s="83">
        <v>6315276</v>
      </c>
      <c r="D32" s="105">
        <f t="shared" ref="D32" si="521">(+C32-+C31)*48</f>
        <v>110400</v>
      </c>
      <c r="E32" s="38">
        <f t="shared" si="4"/>
        <v>66240</v>
      </c>
      <c r="F32" s="105">
        <f t="shared" si="5"/>
        <v>44160</v>
      </c>
      <c r="G32" s="83">
        <v>286494</v>
      </c>
      <c r="H32" s="38">
        <f t="shared" ref="H32" si="522">(+G32-+G31)*48</f>
        <v>1680</v>
      </c>
      <c r="I32" s="83">
        <v>146063</v>
      </c>
      <c r="J32" s="38">
        <f t="shared" ref="J32" si="523">(+I32-+I31)*48</f>
        <v>8160</v>
      </c>
      <c r="K32" s="83">
        <v>261443</v>
      </c>
      <c r="L32" s="38">
        <f t="shared" si="0"/>
        <v>576</v>
      </c>
      <c r="M32" s="83">
        <v>24861</v>
      </c>
      <c r="N32" s="38">
        <f t="shared" ref="N32" si="524">(+M32-+M31)*48</f>
        <v>192</v>
      </c>
      <c r="O32" s="83">
        <v>288755</v>
      </c>
      <c r="P32" s="38">
        <f t="shared" ref="P32" si="525">(+O32-+O31)*48</f>
        <v>13440</v>
      </c>
      <c r="Q32" s="83">
        <v>459182</v>
      </c>
      <c r="R32" s="105">
        <f t="shared" ref="R32" si="526">(+Q32-+Q31)*48</f>
        <v>4176</v>
      </c>
      <c r="S32" s="83">
        <v>737692</v>
      </c>
      <c r="T32" s="105">
        <f t="shared" ref="T32" si="527">(+S32-+S31)*48</f>
        <v>5232</v>
      </c>
      <c r="U32" s="83">
        <v>2080</v>
      </c>
      <c r="V32" s="105">
        <f t="shared" ref="V32" si="528">(+U32-+U31)*48</f>
        <v>1104</v>
      </c>
      <c r="W32" s="83">
        <v>82738</v>
      </c>
      <c r="X32" s="105">
        <f t="shared" ref="X32" si="529">(+W32-+W31)*48</f>
        <v>720</v>
      </c>
      <c r="Y32" s="78">
        <v>1499611</v>
      </c>
      <c r="Z32" s="105">
        <f t="shared" ref="Z32" si="530">(+Y32-+Y31)*48</f>
        <v>0</v>
      </c>
      <c r="AA32" s="78">
        <v>13264</v>
      </c>
      <c r="AB32" s="105">
        <f t="shared" ref="AB32" si="531">(+AA32-+AA31)*48</f>
        <v>0</v>
      </c>
      <c r="AC32" s="83">
        <v>470392</v>
      </c>
      <c r="AD32" s="105">
        <f t="shared" si="16"/>
        <v>5664</v>
      </c>
      <c r="AE32" s="83">
        <v>544330</v>
      </c>
      <c r="AF32" s="105">
        <f t="shared" si="16"/>
        <v>5760</v>
      </c>
      <c r="AG32" s="78">
        <v>49781</v>
      </c>
      <c r="AH32" s="105">
        <f t="shared" ref="AH32" si="532">(+AG32-+AG31)*48</f>
        <v>0</v>
      </c>
      <c r="AI32" s="83">
        <v>424775</v>
      </c>
      <c r="AJ32" s="105">
        <f t="shared" ref="AJ32" si="533">(+AI32-+AI31)*48</f>
        <v>2208</v>
      </c>
      <c r="AK32" s="78">
        <v>102770</v>
      </c>
      <c r="AL32" s="105">
        <f t="shared" ref="AL32" si="534">(+AK32-+AK31)*48</f>
        <v>0</v>
      </c>
      <c r="AM32" s="83">
        <v>586595</v>
      </c>
      <c r="AN32" s="105">
        <f t="shared" ref="AN32" si="535">(+AM32-+AM31)*48</f>
        <v>4080</v>
      </c>
      <c r="AO32" s="83">
        <v>953496</v>
      </c>
      <c r="AP32" s="105">
        <f t="shared" ref="AP32" si="536">(+AO32-+AO31)*48</f>
        <v>9504</v>
      </c>
      <c r="AQ32" s="78">
        <v>77876</v>
      </c>
      <c r="AR32" s="105">
        <f t="shared" ref="AR32" si="537">(+AQ32-+AQ31)*48</f>
        <v>0</v>
      </c>
      <c r="AS32" s="78">
        <v>2262</v>
      </c>
      <c r="AT32" s="105">
        <f t="shared" ref="AT32" si="538">(+AS32-+AS31)*48</f>
        <v>0</v>
      </c>
      <c r="AU32" s="78">
        <v>939</v>
      </c>
      <c r="AV32" s="105">
        <f t="shared" ref="AV32" si="539">(+AU32-+AU31)*48</f>
        <v>0</v>
      </c>
      <c r="AW32" s="78">
        <v>3109</v>
      </c>
      <c r="AX32" s="105">
        <f t="shared" ref="AX32" si="540">(+AW32-+AW31)*48</f>
        <v>0</v>
      </c>
      <c r="AY32" s="83">
        <v>324904</v>
      </c>
      <c r="AZ32" s="105">
        <f t="shared" ref="AZ32" si="541">(+AY32-+AY31)*48</f>
        <v>3216</v>
      </c>
      <c r="BA32" s="78">
        <v>161101</v>
      </c>
      <c r="BB32" s="105">
        <f t="shared" ref="BB32" si="542">(+BA32-+BA31)*48</f>
        <v>0</v>
      </c>
      <c r="BC32" s="83">
        <v>220551</v>
      </c>
      <c r="BD32" s="105">
        <f t="shared" ref="BD32" si="543">(+BC32-+BC31)*48</f>
        <v>1680</v>
      </c>
      <c r="BE32" s="78">
        <v>5347</v>
      </c>
      <c r="BF32" s="105">
        <f t="shared" ref="BF32" si="544">(+BE32-+BE31)*48</f>
        <v>0</v>
      </c>
      <c r="BH32" s="106">
        <f t="shared" si="1"/>
        <v>115152</v>
      </c>
      <c r="BI32" s="106">
        <f t="shared" si="2"/>
        <v>62640</v>
      </c>
    </row>
    <row r="33" spans="1:61" s="36" customFormat="1" ht="39.950000000000003" customHeight="1">
      <c r="A33" s="146">
        <v>44464</v>
      </c>
      <c r="B33" s="35"/>
      <c r="C33" s="78">
        <v>6316547</v>
      </c>
      <c r="D33" s="105">
        <f t="shared" ref="D33" si="545">(+C33-+C32)*48</f>
        <v>61008</v>
      </c>
      <c r="E33" s="38">
        <f t="shared" si="4"/>
        <v>36604.799999999996</v>
      </c>
      <c r="F33" s="105">
        <f t="shared" si="5"/>
        <v>24403.200000000001</v>
      </c>
      <c r="G33" s="78">
        <v>286533</v>
      </c>
      <c r="H33" s="105">
        <f t="shared" ref="H33" si="546">(+G33-+G32)*48</f>
        <v>1872</v>
      </c>
      <c r="I33" s="78">
        <v>146280</v>
      </c>
      <c r="J33" s="38">
        <f t="shared" ref="J33" si="547">(+I33-+I32)*48</f>
        <v>10416</v>
      </c>
      <c r="K33" s="78">
        <v>261455</v>
      </c>
      <c r="L33" s="105">
        <f t="shared" si="0"/>
        <v>576</v>
      </c>
      <c r="M33" s="78">
        <v>24861</v>
      </c>
      <c r="N33" s="38">
        <f t="shared" ref="N33" si="548">(+M33-+M32)*48</f>
        <v>0</v>
      </c>
      <c r="O33" s="78">
        <v>288905</v>
      </c>
      <c r="P33" s="38">
        <f t="shared" ref="P33" si="549">(+O33-+O32)*48</f>
        <v>7200</v>
      </c>
      <c r="Q33" s="78">
        <v>459268</v>
      </c>
      <c r="R33" s="105">
        <f t="shared" ref="R33" si="550">(+Q33-+Q32)*48</f>
        <v>4128</v>
      </c>
      <c r="S33" s="78">
        <v>737811</v>
      </c>
      <c r="T33" s="105">
        <f t="shared" ref="T33" si="551">(+S33-+S32)*48</f>
        <v>5712</v>
      </c>
      <c r="U33" s="83">
        <v>2102</v>
      </c>
      <c r="V33" s="105">
        <f t="shared" ref="V33" si="552">(+U33-+U32)*48</f>
        <v>1056</v>
      </c>
      <c r="W33" s="78">
        <v>82749</v>
      </c>
      <c r="X33" s="105">
        <f t="shared" ref="X33" si="553">(+W33-+W32)*48</f>
        <v>528</v>
      </c>
      <c r="Y33" s="78">
        <v>1499611</v>
      </c>
      <c r="Z33" s="105">
        <f t="shared" ref="Z33" si="554">(+Y33-+Y32)*48</f>
        <v>0</v>
      </c>
      <c r="AA33" s="78">
        <v>13264</v>
      </c>
      <c r="AB33" s="105">
        <f t="shared" ref="AB33" si="555">(+AA33-+AA32)*48</f>
        <v>0</v>
      </c>
      <c r="AC33" s="78">
        <v>470510</v>
      </c>
      <c r="AD33" s="105">
        <f t="shared" si="16"/>
        <v>5664</v>
      </c>
      <c r="AE33" s="78">
        <v>544453</v>
      </c>
      <c r="AF33" s="105">
        <f t="shared" si="16"/>
        <v>5904</v>
      </c>
      <c r="AG33" s="78">
        <v>49781</v>
      </c>
      <c r="AH33" s="105">
        <f t="shared" ref="AH33" si="556">(+AG33-+AG32)*48</f>
        <v>0</v>
      </c>
      <c r="AI33" s="78">
        <v>424823</v>
      </c>
      <c r="AJ33" s="105">
        <f t="shared" ref="AJ33" si="557">(+AI33-+AI32)*48</f>
        <v>2304</v>
      </c>
      <c r="AK33" s="78">
        <v>102770</v>
      </c>
      <c r="AL33" s="105">
        <f t="shared" ref="AL33" si="558">(+AK33-+AK32)*48</f>
        <v>0</v>
      </c>
      <c r="AM33" s="78">
        <v>586681</v>
      </c>
      <c r="AN33" s="105">
        <f t="shared" ref="AN33" si="559">(+AM33-+AM32)*48</f>
        <v>4128</v>
      </c>
      <c r="AO33" s="78">
        <v>953695</v>
      </c>
      <c r="AP33" s="105">
        <f t="shared" ref="AP33" si="560">(+AO33-+AO32)*48</f>
        <v>9552</v>
      </c>
      <c r="AQ33" s="78">
        <v>77876</v>
      </c>
      <c r="AR33" s="105">
        <f t="shared" ref="AR33" si="561">(+AQ33-+AQ32)*48</f>
        <v>0</v>
      </c>
      <c r="AS33" s="78">
        <v>2262</v>
      </c>
      <c r="AT33" s="105">
        <f t="shared" ref="AT33" si="562">(+AS33-+AS32)*48</f>
        <v>0</v>
      </c>
      <c r="AU33" s="78">
        <v>939</v>
      </c>
      <c r="AV33" s="105">
        <f t="shared" ref="AV33" si="563">(+AU33-+AU32)*48</f>
        <v>0</v>
      </c>
      <c r="AW33" s="78">
        <v>3109</v>
      </c>
      <c r="AX33" s="105">
        <f t="shared" ref="AX33" si="564">(+AW33-+AW32)*48</f>
        <v>0</v>
      </c>
      <c r="AY33" s="78">
        <v>324971</v>
      </c>
      <c r="AZ33" s="105">
        <f t="shared" ref="AZ33" si="565">(+AY33-+AY32)*48</f>
        <v>3216</v>
      </c>
      <c r="BA33" s="78">
        <v>161101</v>
      </c>
      <c r="BB33" s="105">
        <f t="shared" ref="BB33" si="566">(+BA33-+BA32)*48</f>
        <v>0</v>
      </c>
      <c r="BC33" s="78">
        <v>220583</v>
      </c>
      <c r="BD33" s="105">
        <f t="shared" ref="BD33" si="567">(+BC33-+BC32)*48</f>
        <v>1536</v>
      </c>
      <c r="BE33" s="78">
        <v>5347</v>
      </c>
      <c r="BF33" s="105">
        <f t="shared" ref="BF33" si="568">(+BE33-+BE32)*48</f>
        <v>0</v>
      </c>
      <c r="BH33" s="106">
        <f t="shared" si="1"/>
        <v>81964.799999999988</v>
      </c>
      <c r="BI33" s="106">
        <f t="shared" si="2"/>
        <v>42835.199999999997</v>
      </c>
    </row>
    <row r="34" spans="1:61" s="36" customFormat="1" ht="39.950000000000003" customHeight="1">
      <c r="A34" s="146">
        <v>44465</v>
      </c>
      <c r="B34" s="35"/>
      <c r="C34" s="78">
        <v>6318712</v>
      </c>
      <c r="D34" s="105">
        <f t="shared" ref="D34" si="569">(+C34-+C33)*48</f>
        <v>103920</v>
      </c>
      <c r="E34" s="38">
        <f t="shared" si="4"/>
        <v>62352</v>
      </c>
      <c r="F34" s="105">
        <f t="shared" si="5"/>
        <v>41568</v>
      </c>
      <c r="G34" s="78">
        <v>286596</v>
      </c>
      <c r="H34" s="105">
        <f t="shared" ref="H34" si="570">(+G34-+G33)*48</f>
        <v>3024</v>
      </c>
      <c r="I34" s="78">
        <v>146448</v>
      </c>
      <c r="J34" s="38">
        <f t="shared" ref="J34" si="571">(+I34-+I33)*48</f>
        <v>8064</v>
      </c>
      <c r="K34" s="78">
        <v>261700</v>
      </c>
      <c r="L34" s="105">
        <f t="shared" si="0"/>
        <v>11760</v>
      </c>
      <c r="M34" s="78">
        <v>24861</v>
      </c>
      <c r="N34" s="38">
        <f t="shared" ref="N34" si="572">(+M34-+M33)*48</f>
        <v>0</v>
      </c>
      <c r="O34" s="78">
        <v>289136</v>
      </c>
      <c r="P34" s="38">
        <f t="shared" ref="P34" si="573">(+O34-+O33)*48</f>
        <v>11088</v>
      </c>
      <c r="Q34" s="78">
        <v>459376</v>
      </c>
      <c r="R34" s="105">
        <f t="shared" ref="R34" si="574">(+Q34-+Q33)*48</f>
        <v>5184</v>
      </c>
      <c r="S34" s="78">
        <v>737912</v>
      </c>
      <c r="T34" s="105">
        <f t="shared" ref="T34" si="575">(+S34-+S33)*48</f>
        <v>4848</v>
      </c>
      <c r="U34" s="83">
        <v>2124</v>
      </c>
      <c r="V34" s="105">
        <f t="shared" ref="V34" si="576">(+U34-+U33)*48</f>
        <v>1056</v>
      </c>
      <c r="W34" s="78">
        <v>82753</v>
      </c>
      <c r="X34" s="105">
        <f t="shared" ref="X34" si="577">(+W34-+W33)*48</f>
        <v>192</v>
      </c>
      <c r="Y34" s="78">
        <v>1499611</v>
      </c>
      <c r="Z34" s="105">
        <f t="shared" ref="Z34" si="578">(+Y34-+Y33)*48</f>
        <v>0</v>
      </c>
      <c r="AA34" s="78">
        <v>13264</v>
      </c>
      <c r="AB34" s="105">
        <f t="shared" ref="AB34" si="579">(+AA34-+AA33)*48</f>
        <v>0</v>
      </c>
      <c r="AC34" s="78">
        <v>470627</v>
      </c>
      <c r="AD34" s="105">
        <f t="shared" si="16"/>
        <v>5616</v>
      </c>
      <c r="AE34" s="78">
        <v>544562</v>
      </c>
      <c r="AF34" s="105">
        <f t="shared" si="16"/>
        <v>5232</v>
      </c>
      <c r="AG34" s="78">
        <v>49781</v>
      </c>
      <c r="AH34" s="105">
        <f t="shared" ref="AH34" si="580">(+AG34-+AG33)*48</f>
        <v>0</v>
      </c>
      <c r="AI34" s="78">
        <v>424865</v>
      </c>
      <c r="AJ34" s="105">
        <f t="shared" ref="AJ34" si="581">(+AI34-+AI33)*48</f>
        <v>2016</v>
      </c>
      <c r="AK34" s="78">
        <v>102770</v>
      </c>
      <c r="AL34" s="105">
        <f t="shared" ref="AL34" si="582">(+AK34-+AK33)*48</f>
        <v>0</v>
      </c>
      <c r="AM34" s="78">
        <v>586759</v>
      </c>
      <c r="AN34" s="105">
        <f t="shared" ref="AN34" si="583">(+AM34-+AM33)*48</f>
        <v>3744</v>
      </c>
      <c r="AO34" s="78">
        <v>953860</v>
      </c>
      <c r="AP34" s="105">
        <f t="shared" ref="AP34" si="584">(+AO34-+AO33)*48</f>
        <v>7920</v>
      </c>
      <c r="AQ34" s="78">
        <v>77876</v>
      </c>
      <c r="AR34" s="105">
        <f t="shared" ref="AR34" si="585">(+AQ34-+AQ33)*48</f>
        <v>0</v>
      </c>
      <c r="AS34" s="78">
        <v>2262</v>
      </c>
      <c r="AT34" s="105">
        <f t="shared" ref="AT34" si="586">(+AS34-+AS33)*48</f>
        <v>0</v>
      </c>
      <c r="AU34" s="78">
        <v>939</v>
      </c>
      <c r="AV34" s="105">
        <f t="shared" ref="AV34" si="587">(+AU34-+AU33)*48</f>
        <v>0</v>
      </c>
      <c r="AW34" s="78">
        <v>3109</v>
      </c>
      <c r="AX34" s="105">
        <f t="shared" ref="AX34" si="588">(+AW34-+AW33)*48</f>
        <v>0</v>
      </c>
      <c r="AY34" s="78">
        <v>325033</v>
      </c>
      <c r="AZ34" s="105">
        <f t="shared" ref="AZ34" si="589">(+AY34-+AY33)*48</f>
        <v>2976</v>
      </c>
      <c r="BA34" s="78">
        <v>161101</v>
      </c>
      <c r="BB34" s="105">
        <f t="shared" ref="BB34" si="590">(+BA34-+BA33)*48</f>
        <v>0</v>
      </c>
      <c r="BC34" s="78">
        <v>220614</v>
      </c>
      <c r="BD34" s="105">
        <f t="shared" ref="BD34" si="591">(+BC34-+BC33)*48</f>
        <v>1488</v>
      </c>
      <c r="BE34" s="78">
        <v>5347</v>
      </c>
      <c r="BF34" s="105">
        <f t="shared" ref="BF34" si="592">(+BE34-+BE33)*48</f>
        <v>0</v>
      </c>
      <c r="BH34" s="106">
        <f t="shared" si="1"/>
        <v>120432</v>
      </c>
      <c r="BI34" s="106">
        <f t="shared" si="2"/>
        <v>57696</v>
      </c>
    </row>
    <row r="35" spans="1:61" s="36" customFormat="1" ht="39.950000000000003" customHeight="1">
      <c r="A35" s="146">
        <v>44466</v>
      </c>
      <c r="B35" s="35"/>
      <c r="C35" s="78">
        <v>6320952</v>
      </c>
      <c r="D35" s="105">
        <f t="shared" ref="D35" si="593">(+C35-+C34)*48</f>
        <v>107520</v>
      </c>
      <c r="E35" s="38">
        <f t="shared" si="4"/>
        <v>64512</v>
      </c>
      <c r="F35" s="105">
        <f t="shared" si="5"/>
        <v>43008</v>
      </c>
      <c r="G35" s="78">
        <v>286634</v>
      </c>
      <c r="H35" s="105">
        <f t="shared" ref="H35" si="594">(+G35-+G34)*48</f>
        <v>1824</v>
      </c>
      <c r="I35" s="78">
        <v>146620</v>
      </c>
      <c r="J35" s="38">
        <f t="shared" ref="J35" si="595">(+I35-+I34)*48</f>
        <v>8256</v>
      </c>
      <c r="K35" s="78">
        <v>261797</v>
      </c>
      <c r="L35" s="105">
        <f t="shared" si="0"/>
        <v>4656</v>
      </c>
      <c r="M35" s="78">
        <v>24865</v>
      </c>
      <c r="N35" s="38">
        <f t="shared" ref="N35" si="596">(+M35-+M34)*48</f>
        <v>192</v>
      </c>
      <c r="O35" s="78">
        <v>289358</v>
      </c>
      <c r="P35" s="38">
        <f t="shared" ref="P35" si="597">(+O35-+O34)*48</f>
        <v>10656</v>
      </c>
      <c r="Q35" s="78">
        <v>459474</v>
      </c>
      <c r="R35" s="105">
        <f t="shared" ref="R35" si="598">(+Q35-+Q34)*48</f>
        <v>4704</v>
      </c>
      <c r="S35" s="78">
        <v>738007</v>
      </c>
      <c r="T35" s="105">
        <f t="shared" ref="T35" si="599">(+S35-+S34)*48</f>
        <v>4560</v>
      </c>
      <c r="U35" s="83">
        <v>2146</v>
      </c>
      <c r="V35" s="105">
        <f t="shared" ref="V35" si="600">(+U35-+U34)*48</f>
        <v>1056</v>
      </c>
      <c r="W35" s="78">
        <v>82757</v>
      </c>
      <c r="X35" s="105">
        <f t="shared" ref="X35" si="601">(+W35-+W34)*48</f>
        <v>192</v>
      </c>
      <c r="Y35" s="78">
        <v>1499611</v>
      </c>
      <c r="Z35" s="105">
        <f t="shared" ref="Z35" si="602">(+Y35-+Y34)*48</f>
        <v>0</v>
      </c>
      <c r="AA35" s="78">
        <v>13264</v>
      </c>
      <c r="AB35" s="105">
        <f t="shared" ref="AB35" si="603">(+AA35-+AA34)*48</f>
        <v>0</v>
      </c>
      <c r="AC35" s="78">
        <v>470744</v>
      </c>
      <c r="AD35" s="105">
        <f t="shared" si="16"/>
        <v>5616</v>
      </c>
      <c r="AE35" s="78">
        <v>544682</v>
      </c>
      <c r="AF35" s="105">
        <f t="shared" si="16"/>
        <v>5760</v>
      </c>
      <c r="AG35" s="78">
        <v>49781</v>
      </c>
      <c r="AH35" s="105">
        <f t="shared" ref="AH35" si="604">(+AG35-+AG34)*48</f>
        <v>0</v>
      </c>
      <c r="AI35" s="78">
        <v>424911</v>
      </c>
      <c r="AJ35" s="105">
        <f t="shared" ref="AJ35" si="605">(+AI35-+AI34)*48</f>
        <v>2208</v>
      </c>
      <c r="AK35" s="78">
        <v>102770</v>
      </c>
      <c r="AL35" s="105">
        <f t="shared" ref="AL35" si="606">(+AK35-+AK34)*48</f>
        <v>0</v>
      </c>
      <c r="AM35" s="78">
        <v>586844</v>
      </c>
      <c r="AN35" s="105">
        <f t="shared" ref="AN35" si="607">(+AM35-+AM34)*48</f>
        <v>4080</v>
      </c>
      <c r="AO35" s="78">
        <v>954052</v>
      </c>
      <c r="AP35" s="105">
        <f t="shared" ref="AP35" si="608">(+AO35-+AO34)*48</f>
        <v>9216</v>
      </c>
      <c r="AQ35" s="78">
        <v>77876</v>
      </c>
      <c r="AR35" s="105">
        <f t="shared" ref="AR35" si="609">(+AQ35-+AQ34)*48</f>
        <v>0</v>
      </c>
      <c r="AS35" s="78">
        <v>2262</v>
      </c>
      <c r="AT35" s="105">
        <f t="shared" ref="AT35" si="610">(+AS35-+AS34)*48</f>
        <v>0</v>
      </c>
      <c r="AU35" s="78">
        <v>939</v>
      </c>
      <c r="AV35" s="105">
        <f t="shared" ref="AV35" si="611">(+AU35-+AU34)*48</f>
        <v>0</v>
      </c>
      <c r="AW35" s="78">
        <v>3109</v>
      </c>
      <c r="AX35" s="105">
        <f t="shared" ref="AX35" si="612">(+AW35-+AW34)*48</f>
        <v>0</v>
      </c>
      <c r="AY35" s="78">
        <v>325033</v>
      </c>
      <c r="AZ35" s="105">
        <f t="shared" ref="AZ35" si="613">(+AY35-+AY34)*48</f>
        <v>0</v>
      </c>
      <c r="BA35" s="78">
        <v>161101</v>
      </c>
      <c r="BB35" s="105">
        <f t="shared" ref="BB35:BB38" si="614">(+BA35-+BA34)*48</f>
        <v>0</v>
      </c>
      <c r="BC35" s="78">
        <v>220646</v>
      </c>
      <c r="BD35" s="105">
        <f t="shared" ref="BD35" si="615">(+BC35-+BC34)*48</f>
        <v>1536</v>
      </c>
      <c r="BE35" s="78">
        <v>5347</v>
      </c>
      <c r="BF35" s="105">
        <f t="shared" ref="BF35" si="616">(+BE35-+BE34)*48</f>
        <v>0</v>
      </c>
      <c r="BH35" s="106">
        <f t="shared" si="1"/>
        <v>114192</v>
      </c>
      <c r="BI35" s="106">
        <f t="shared" si="2"/>
        <v>57840</v>
      </c>
    </row>
    <row r="36" spans="1:61" s="36" customFormat="1" ht="39.950000000000003" customHeight="1">
      <c r="A36" s="146">
        <v>44467</v>
      </c>
      <c r="B36" s="35"/>
      <c r="C36" s="83">
        <v>6323236</v>
      </c>
      <c r="D36" s="105">
        <f t="shared" ref="D36" si="617">(+C36-+C35)*48</f>
        <v>109632</v>
      </c>
      <c r="E36" s="38">
        <f t="shared" si="4"/>
        <v>65779.199999999997</v>
      </c>
      <c r="F36" s="105">
        <f t="shared" si="5"/>
        <v>43852.800000000003</v>
      </c>
      <c r="G36" s="83">
        <v>286692</v>
      </c>
      <c r="H36" s="105">
        <f t="shared" ref="H36:H38" si="618">(+G36-+G35)*48</f>
        <v>2784</v>
      </c>
      <c r="I36" s="83">
        <v>146796</v>
      </c>
      <c r="J36" s="38">
        <f t="shared" ref="J36:J38" si="619">(+I36-+I35)*48</f>
        <v>8448</v>
      </c>
      <c r="K36" s="83">
        <v>261829</v>
      </c>
      <c r="L36" s="105">
        <f t="shared" si="0"/>
        <v>1536</v>
      </c>
      <c r="M36" s="83">
        <v>24868</v>
      </c>
      <c r="N36" s="38">
        <f t="shared" ref="N36:N38" si="620">(+M36-+M35)*48</f>
        <v>144</v>
      </c>
      <c r="O36" s="83">
        <v>289552</v>
      </c>
      <c r="P36" s="38">
        <f t="shared" ref="P36:P38" si="621">(+O36-+O35)*48</f>
        <v>9312</v>
      </c>
      <c r="Q36" s="83">
        <v>459580</v>
      </c>
      <c r="R36" s="105">
        <f t="shared" ref="R36:R38" si="622">(+Q36-+Q35)*48</f>
        <v>5088</v>
      </c>
      <c r="S36" s="83">
        <v>738104</v>
      </c>
      <c r="T36" s="105">
        <f t="shared" ref="T36:T38" si="623">(+S36-+S35)*48</f>
        <v>4656</v>
      </c>
      <c r="U36" s="83">
        <v>2167</v>
      </c>
      <c r="V36" s="105">
        <f t="shared" ref="V36:V38" si="624">(+U36-+U35)*48</f>
        <v>1008</v>
      </c>
      <c r="W36" s="83">
        <v>82757</v>
      </c>
      <c r="X36" s="105">
        <f t="shared" ref="X36:X38" si="625">(+W36-+W35)*48</f>
        <v>0</v>
      </c>
      <c r="Y36" s="83">
        <v>1499611</v>
      </c>
      <c r="Z36" s="105">
        <f t="shared" ref="Z36:Z38" si="626">(+Y36-+Y35)*48</f>
        <v>0</v>
      </c>
      <c r="AA36" s="83">
        <v>13264</v>
      </c>
      <c r="AB36" s="105">
        <f t="shared" ref="AB36:AB38" si="627">(+AA36-+AA35)*48</f>
        <v>0</v>
      </c>
      <c r="AC36" s="83">
        <v>470862</v>
      </c>
      <c r="AD36" s="105">
        <f t="shared" si="16"/>
        <v>5664</v>
      </c>
      <c r="AE36" s="83">
        <v>544800</v>
      </c>
      <c r="AF36" s="105">
        <f t="shared" si="16"/>
        <v>5664</v>
      </c>
      <c r="AG36" s="78">
        <v>49781</v>
      </c>
      <c r="AH36" s="105">
        <f t="shared" ref="AH36:AH38" si="628">(+AG36-+AG35)*48</f>
        <v>0</v>
      </c>
      <c r="AI36" s="83">
        <v>424953</v>
      </c>
      <c r="AJ36" s="105">
        <f t="shared" ref="AJ36:AJ38" si="629">(+AI36-+AI35)*48</f>
        <v>2016</v>
      </c>
      <c r="AK36" s="83">
        <v>102770</v>
      </c>
      <c r="AL36" s="105">
        <f t="shared" ref="AL36:AL38" si="630">(+AK36-+AK35)*48</f>
        <v>0</v>
      </c>
      <c r="AM36" s="83">
        <v>586936</v>
      </c>
      <c r="AN36" s="105">
        <f t="shared" ref="AN36:AN38" si="631">(+AM36-+AM35)*48</f>
        <v>4416</v>
      </c>
      <c r="AO36" s="83">
        <v>954260</v>
      </c>
      <c r="AP36" s="105">
        <f t="shared" ref="AP36:AP38" si="632">(+AO36-+AO35)*48</f>
        <v>9984</v>
      </c>
      <c r="AQ36" s="83">
        <v>77876</v>
      </c>
      <c r="AR36" s="105">
        <f t="shared" ref="AR36:AR38" si="633">(+AQ36-+AQ35)*48</f>
        <v>0</v>
      </c>
      <c r="AS36" s="83">
        <v>2262</v>
      </c>
      <c r="AT36" s="105">
        <f t="shared" ref="AT36:AT38" si="634">(+AS36-+AS35)*48</f>
        <v>0</v>
      </c>
      <c r="AU36" s="83">
        <v>939</v>
      </c>
      <c r="AV36" s="105">
        <f t="shared" ref="AV36:AV38" si="635">(+AU36-+AU35)*48</f>
        <v>0</v>
      </c>
      <c r="AW36" s="83">
        <v>3109</v>
      </c>
      <c r="AX36" s="105">
        <f t="shared" ref="AX36:AX38" si="636">(+AW36-+AW35)*48</f>
        <v>0</v>
      </c>
      <c r="AY36" s="83">
        <v>325165</v>
      </c>
      <c r="AZ36" s="105">
        <f t="shared" ref="AZ36:AZ38" si="637">(+AY36-+AY35)*48</f>
        <v>6336</v>
      </c>
      <c r="BA36" s="78">
        <v>161101</v>
      </c>
      <c r="BB36" s="105">
        <f t="shared" si="614"/>
        <v>0</v>
      </c>
      <c r="BC36" s="83">
        <v>220685</v>
      </c>
      <c r="BD36" s="105">
        <f t="shared" ref="BD36:BD38" si="638">(+BC36-+BC35)*48</f>
        <v>1872</v>
      </c>
      <c r="BE36" s="83">
        <v>5347</v>
      </c>
      <c r="BF36" s="105">
        <f t="shared" ref="BF36:BF38" si="639">(+BE36-+BE35)*48</f>
        <v>0</v>
      </c>
      <c r="BH36" s="106">
        <f t="shared" si="1"/>
        <v>112099.2</v>
      </c>
      <c r="BI36" s="106">
        <f t="shared" si="2"/>
        <v>66460.800000000003</v>
      </c>
    </row>
    <row r="37" spans="1:61" s="36" customFormat="1" ht="39.950000000000003" customHeight="1">
      <c r="A37" s="146">
        <v>44468</v>
      </c>
      <c r="B37" s="35"/>
      <c r="C37" s="78">
        <v>6325455</v>
      </c>
      <c r="D37" s="105">
        <f t="shared" ref="D37" si="640">(+C37-+C36)*48</f>
        <v>106512</v>
      </c>
      <c r="E37" s="38">
        <f t="shared" ref="E37" si="641">D37*0.6</f>
        <v>63907.199999999997</v>
      </c>
      <c r="F37" s="105">
        <f t="shared" ref="F37" si="642">D37*0.4</f>
        <v>42604.800000000003</v>
      </c>
      <c r="G37" s="78">
        <v>286731</v>
      </c>
      <c r="H37" s="105">
        <f t="shared" ref="H37" si="643">(+G37-+G36)*48</f>
        <v>1872</v>
      </c>
      <c r="I37" s="78">
        <v>146975</v>
      </c>
      <c r="J37" s="38">
        <f t="shared" ref="J37" si="644">(+I37-+I36)*48</f>
        <v>8592</v>
      </c>
      <c r="K37" s="78">
        <v>261854</v>
      </c>
      <c r="L37" s="105">
        <f t="shared" ref="L37" si="645">(+K37-+K36)*48</f>
        <v>1200</v>
      </c>
      <c r="M37" s="78">
        <v>24871</v>
      </c>
      <c r="N37" s="38">
        <f t="shared" ref="N37" si="646">(+M37-+M36)*48</f>
        <v>144</v>
      </c>
      <c r="O37" s="78">
        <v>289745</v>
      </c>
      <c r="P37" s="38">
        <f t="shared" ref="P37" si="647">(+O37-+O36)*48</f>
        <v>9264</v>
      </c>
      <c r="Q37" s="78">
        <v>459661</v>
      </c>
      <c r="R37" s="105">
        <f t="shared" ref="R37" si="648">(+Q37-+Q36)*48</f>
        <v>3888</v>
      </c>
      <c r="S37" s="78">
        <v>738202</v>
      </c>
      <c r="T37" s="105">
        <f t="shared" ref="T37" si="649">(+S37-+S36)*48</f>
        <v>4704</v>
      </c>
      <c r="U37" s="83">
        <v>2187</v>
      </c>
      <c r="V37" s="105">
        <f t="shared" ref="V37" si="650">(+U37-+U36)*48</f>
        <v>960</v>
      </c>
      <c r="W37" s="78">
        <v>82769</v>
      </c>
      <c r="X37" s="105">
        <f t="shared" ref="X37" si="651">(+W37-+W36)*48</f>
        <v>576</v>
      </c>
      <c r="Y37" s="83">
        <v>1499611</v>
      </c>
      <c r="Z37" s="105">
        <f t="shared" ref="Z37" si="652">(+Y37-+Y36)*48</f>
        <v>0</v>
      </c>
      <c r="AA37" s="83">
        <v>13264</v>
      </c>
      <c r="AB37" s="105">
        <f t="shared" ref="AB37" si="653">(+AA37-+AA36)*48</f>
        <v>0</v>
      </c>
      <c r="AC37" s="78">
        <v>470980</v>
      </c>
      <c r="AD37" s="105">
        <f t="shared" ref="AD37" si="654">(+AC37-+AC36)*48</f>
        <v>5664</v>
      </c>
      <c r="AE37" s="78">
        <v>544922</v>
      </c>
      <c r="AF37" s="105">
        <f t="shared" ref="AF37" si="655">(+AE37-+AE36)*48</f>
        <v>5856</v>
      </c>
      <c r="AG37" s="78">
        <v>49781</v>
      </c>
      <c r="AH37" s="105">
        <f t="shared" ref="AH37" si="656">(+AG37-+AG36)*48</f>
        <v>0</v>
      </c>
      <c r="AI37" s="78">
        <v>424997</v>
      </c>
      <c r="AJ37" s="105">
        <f t="shared" ref="AJ37" si="657">(+AI37-+AI36)*48</f>
        <v>2112</v>
      </c>
      <c r="AK37" s="83">
        <v>102770</v>
      </c>
      <c r="AL37" s="105">
        <f t="shared" ref="AL37" si="658">(+AK37-+AK36)*48</f>
        <v>0</v>
      </c>
      <c r="AM37" s="78">
        <v>587015</v>
      </c>
      <c r="AN37" s="105">
        <f t="shared" ref="AN37" si="659">(+AM37-+AM36)*48</f>
        <v>3792</v>
      </c>
      <c r="AO37" s="78">
        <v>954444</v>
      </c>
      <c r="AP37" s="105">
        <f t="shared" ref="AP37" si="660">(+AO37-+AO36)*48</f>
        <v>8832</v>
      </c>
      <c r="AQ37" s="78">
        <v>77876</v>
      </c>
      <c r="AR37" s="105">
        <f t="shared" ref="AR37" si="661">(+AQ37-+AQ36)*48</f>
        <v>0</v>
      </c>
      <c r="AS37" s="83">
        <v>2262</v>
      </c>
      <c r="AT37" s="105">
        <f t="shared" ref="AT37" si="662">(+AS37-+AS36)*48</f>
        <v>0</v>
      </c>
      <c r="AU37" s="83">
        <v>939</v>
      </c>
      <c r="AV37" s="105">
        <f t="shared" ref="AV37" si="663">(+AU37-+AU36)*48</f>
        <v>0</v>
      </c>
      <c r="AW37" s="83">
        <v>3109</v>
      </c>
      <c r="AX37" s="105">
        <f t="shared" ref="AX37" si="664">(+AW37-+AW36)*48</f>
        <v>0</v>
      </c>
      <c r="AY37" s="78">
        <v>325238</v>
      </c>
      <c r="AZ37" s="105">
        <f t="shared" ref="AZ37" si="665">(+AY37-+AY36)*48</f>
        <v>3504</v>
      </c>
      <c r="BA37" s="83">
        <v>161101</v>
      </c>
      <c r="BB37" s="105">
        <f t="shared" si="614"/>
        <v>0</v>
      </c>
      <c r="BC37" s="78">
        <v>220725</v>
      </c>
      <c r="BD37" s="105">
        <f t="shared" ref="BD37" si="666">(+BC37-+BC36)*48</f>
        <v>1920</v>
      </c>
      <c r="BE37" s="83">
        <v>5347</v>
      </c>
      <c r="BF37" s="105">
        <f t="shared" ref="BF37" si="667">(+BE37-+BE36)*48</f>
        <v>0</v>
      </c>
      <c r="BH37" s="106">
        <f t="shared" ref="BH37:BH38" si="668">SUM(E37,J37,P37,H37,L37,R37,T37,V37,X37,N37,AB37,Z37,AD37,AF37,AH37,AL37,AJ37)</f>
        <v>108739.2</v>
      </c>
      <c r="BI37" s="106">
        <f t="shared" ref="BI37:BI38" si="669">SUM(F37,AN37,AP37,AT37,AV37,AX37,AR37,AZ37,BB37,BD37,BF37)</f>
        <v>60652.800000000003</v>
      </c>
    </row>
    <row r="38" spans="1:61" s="36" customFormat="1" ht="39.950000000000003" customHeight="1">
      <c r="A38" s="146">
        <v>44469</v>
      </c>
      <c r="B38" s="35"/>
      <c r="C38" s="78">
        <v>6327529</v>
      </c>
      <c r="D38" s="105">
        <f t="shared" ref="D38" si="670">(+C38-+C37)*48</f>
        <v>99552</v>
      </c>
      <c r="E38" s="38">
        <f t="shared" si="4"/>
        <v>59731.199999999997</v>
      </c>
      <c r="F38" s="105">
        <f t="shared" ref="F38" si="671">D38*0.4</f>
        <v>39820.800000000003</v>
      </c>
      <c r="G38" s="78">
        <v>286772</v>
      </c>
      <c r="H38" s="105">
        <f t="shared" si="618"/>
        <v>1968</v>
      </c>
      <c r="I38" s="78">
        <v>147155</v>
      </c>
      <c r="J38" s="38">
        <f t="shared" si="619"/>
        <v>8640</v>
      </c>
      <c r="K38" s="78">
        <v>261879</v>
      </c>
      <c r="L38" s="105">
        <f t="shared" si="0"/>
        <v>1200</v>
      </c>
      <c r="M38" s="78">
        <v>24868</v>
      </c>
      <c r="N38" s="38">
        <f t="shared" si="620"/>
        <v>-144</v>
      </c>
      <c r="O38" s="78">
        <v>289956</v>
      </c>
      <c r="P38" s="38">
        <f t="shared" si="621"/>
        <v>10128</v>
      </c>
      <c r="Q38" s="78">
        <v>459729</v>
      </c>
      <c r="R38" s="105">
        <f t="shared" si="622"/>
        <v>3264</v>
      </c>
      <c r="S38" s="78">
        <v>738297</v>
      </c>
      <c r="T38" s="105">
        <f t="shared" si="623"/>
        <v>4560</v>
      </c>
      <c r="U38" s="83">
        <v>2206</v>
      </c>
      <c r="V38" s="105">
        <f t="shared" si="624"/>
        <v>912</v>
      </c>
      <c r="W38" s="78">
        <v>82796</v>
      </c>
      <c r="X38" s="105">
        <f t="shared" si="625"/>
        <v>1296</v>
      </c>
      <c r="Y38" s="78">
        <v>1499618</v>
      </c>
      <c r="Z38" s="105">
        <f t="shared" si="626"/>
        <v>336</v>
      </c>
      <c r="AA38" s="78">
        <v>13264</v>
      </c>
      <c r="AB38" s="105">
        <f t="shared" si="627"/>
        <v>0</v>
      </c>
      <c r="AC38" s="78">
        <v>471103</v>
      </c>
      <c r="AD38" s="105">
        <f t="shared" ref="AD38" si="672">(+AC38-+AC37)*48</f>
        <v>5904</v>
      </c>
      <c r="AE38" s="78">
        <v>545039</v>
      </c>
      <c r="AF38" s="105">
        <f t="shared" ref="AF38" si="673">(+AE38-+AE37)*48</f>
        <v>5616</v>
      </c>
      <c r="AG38" s="78">
        <v>49781</v>
      </c>
      <c r="AH38" s="105">
        <f t="shared" si="628"/>
        <v>0</v>
      </c>
      <c r="AI38" s="78">
        <v>425037</v>
      </c>
      <c r="AJ38" s="105">
        <f t="shared" si="629"/>
        <v>1920</v>
      </c>
      <c r="AK38" s="78">
        <v>102770</v>
      </c>
      <c r="AL38" s="105">
        <f t="shared" si="630"/>
        <v>0</v>
      </c>
      <c r="AM38" s="78">
        <v>587107</v>
      </c>
      <c r="AN38" s="105">
        <f t="shared" si="631"/>
        <v>4416</v>
      </c>
      <c r="AO38" s="78">
        <v>954653</v>
      </c>
      <c r="AP38" s="105">
        <f t="shared" si="632"/>
        <v>10032</v>
      </c>
      <c r="AQ38" s="78">
        <v>77876</v>
      </c>
      <c r="AR38" s="105">
        <f t="shared" si="633"/>
        <v>0</v>
      </c>
      <c r="AS38" s="78">
        <v>2262</v>
      </c>
      <c r="AT38" s="105">
        <f t="shared" si="634"/>
        <v>0</v>
      </c>
      <c r="AU38" s="78">
        <v>939</v>
      </c>
      <c r="AV38" s="105">
        <f t="shared" si="635"/>
        <v>0</v>
      </c>
      <c r="AW38" s="78">
        <v>3109</v>
      </c>
      <c r="AX38" s="105">
        <f t="shared" si="636"/>
        <v>0</v>
      </c>
      <c r="AY38" s="78">
        <v>325313</v>
      </c>
      <c r="AZ38" s="105">
        <f t="shared" si="637"/>
        <v>3600</v>
      </c>
      <c r="BA38" s="78">
        <v>161101</v>
      </c>
      <c r="BB38" s="105">
        <f t="shared" si="614"/>
        <v>0</v>
      </c>
      <c r="BC38" s="78">
        <v>220769</v>
      </c>
      <c r="BD38" s="105">
        <f t="shared" si="638"/>
        <v>2112</v>
      </c>
      <c r="BE38" s="78">
        <v>5347</v>
      </c>
      <c r="BF38" s="105">
        <f t="shared" si="639"/>
        <v>0</v>
      </c>
      <c r="BH38" s="106">
        <f t="shared" si="668"/>
        <v>105331.2</v>
      </c>
      <c r="BI38" s="106">
        <f t="shared" si="669"/>
        <v>59980.800000000003</v>
      </c>
    </row>
    <row r="39" spans="1:61" s="36" customFormat="1" ht="39.950000000000003" customHeight="1">
      <c r="A39" s="146"/>
      <c r="B39" s="35"/>
      <c r="C39" s="77"/>
      <c r="D39" s="105"/>
      <c r="E39" s="38"/>
      <c r="F39" s="105"/>
      <c r="G39" s="77"/>
      <c r="H39" s="105"/>
      <c r="I39" s="77"/>
      <c r="J39" s="105"/>
      <c r="K39" s="77"/>
      <c r="L39" s="105"/>
      <c r="M39" s="77"/>
      <c r="N39" s="105"/>
      <c r="O39" s="77"/>
      <c r="P39" s="38"/>
      <c r="Q39" s="77"/>
      <c r="R39" s="105"/>
      <c r="S39" s="77"/>
      <c r="T39" s="105"/>
      <c r="U39" s="84"/>
      <c r="V39" s="105"/>
      <c r="W39" s="77"/>
      <c r="X39" s="105"/>
      <c r="Y39" s="83"/>
      <c r="Z39" s="105"/>
      <c r="AA39" s="83"/>
      <c r="AB39" s="105"/>
      <c r="AC39" s="77"/>
      <c r="AD39" s="105"/>
      <c r="AE39" s="77"/>
      <c r="AF39" s="105"/>
      <c r="AG39" s="83"/>
      <c r="AH39" s="105"/>
      <c r="AI39" s="77"/>
      <c r="AJ39" s="105"/>
      <c r="AK39" s="83"/>
      <c r="AL39" s="105"/>
      <c r="AM39" s="77"/>
      <c r="AN39" s="105"/>
      <c r="AO39" s="77"/>
      <c r="AP39" s="105"/>
      <c r="AQ39" s="83"/>
      <c r="AR39" s="105"/>
      <c r="AS39" s="83"/>
      <c r="AT39" s="105"/>
      <c r="AU39" s="83"/>
      <c r="AV39" s="105"/>
      <c r="AW39" s="83"/>
      <c r="AX39" s="105"/>
      <c r="AY39" s="77"/>
      <c r="AZ39" s="105"/>
      <c r="BA39" s="83"/>
      <c r="BB39" s="105"/>
      <c r="BC39" s="77"/>
      <c r="BD39" s="105"/>
      <c r="BE39" s="83"/>
      <c r="BF39" s="105"/>
      <c r="BH39" s="106"/>
      <c r="BI39" s="106"/>
    </row>
    <row r="40" spans="1:61" s="36" customFormat="1" ht="39.950000000000003" customHeight="1">
      <c r="A40" s="37"/>
      <c r="AD40" s="30"/>
      <c r="AE40" s="79"/>
      <c r="AG40" s="79"/>
      <c r="AI40" s="79"/>
      <c r="AK40" s="79"/>
      <c r="AM40" s="79"/>
      <c r="AO40" s="79"/>
      <c r="AQ40" s="79"/>
      <c r="AS40" s="79"/>
      <c r="AU40" s="79"/>
      <c r="AW40" s="79"/>
      <c r="AY40" s="79"/>
      <c r="BA40" s="79"/>
      <c r="BC40" s="79"/>
      <c r="BE40" s="79"/>
      <c r="BH40" s="23"/>
      <c r="BI40" s="23"/>
    </row>
    <row r="41" spans="1:61" s="36" customFormat="1" ht="39.950000000000003" customHeight="1">
      <c r="A41" s="37"/>
      <c r="AD41" s="30"/>
      <c r="AE41" s="79"/>
      <c r="AG41" s="79"/>
      <c r="AI41" s="79"/>
      <c r="AK41" s="79"/>
      <c r="AM41" s="79"/>
      <c r="AO41" s="79"/>
      <c r="AQ41" s="79"/>
      <c r="AS41" s="79"/>
      <c r="AU41" s="79"/>
      <c r="AW41" s="79"/>
      <c r="AY41" s="79"/>
      <c r="BA41" s="79"/>
      <c r="BC41" s="79"/>
      <c r="BE41" s="79"/>
      <c r="BH41" s="30"/>
      <c r="BI41" s="30"/>
    </row>
    <row r="42" spans="1:61" s="36" customFormat="1" ht="39.950000000000003" customHeight="1">
      <c r="A42" s="37"/>
      <c r="AD42" s="30"/>
      <c r="AE42" s="79"/>
      <c r="AG42" s="79"/>
      <c r="AI42" s="79"/>
      <c r="AK42" s="79"/>
      <c r="AM42" s="79"/>
      <c r="AO42" s="79"/>
      <c r="AQ42" s="79"/>
      <c r="AS42" s="79"/>
      <c r="AU42" s="79"/>
      <c r="AW42" s="79"/>
      <c r="AY42" s="79"/>
      <c r="BA42" s="79"/>
      <c r="BC42" s="79"/>
      <c r="BE42" s="79"/>
      <c r="BH42" s="30"/>
      <c r="BI42" s="30"/>
    </row>
    <row r="43" spans="1:61" s="36" customFormat="1" ht="21">
      <c r="A43" s="37"/>
      <c r="AD43" s="30"/>
      <c r="AE43" s="79"/>
      <c r="AG43" s="79"/>
      <c r="AI43" s="79"/>
      <c r="AK43" s="79"/>
      <c r="AM43" s="79"/>
      <c r="AO43" s="79"/>
      <c r="AQ43" s="79"/>
      <c r="AS43" s="79"/>
      <c r="AU43" s="79"/>
      <c r="AW43" s="79"/>
      <c r="AY43" s="79"/>
      <c r="BA43" s="79"/>
      <c r="BC43" s="79"/>
      <c r="BE43" s="79"/>
      <c r="BH43" s="30"/>
      <c r="BI43" s="30"/>
    </row>
    <row r="44" spans="1:61" s="36" customFormat="1" ht="21">
      <c r="A44" s="37"/>
      <c r="AD44" s="30"/>
      <c r="AE44" s="79"/>
      <c r="AG44" s="79"/>
      <c r="AI44" s="79"/>
      <c r="AK44" s="79"/>
      <c r="AM44" s="79"/>
      <c r="AO44" s="79"/>
      <c r="AQ44" s="79"/>
      <c r="AS44" s="79"/>
      <c r="AU44" s="79"/>
      <c r="AW44" s="79"/>
      <c r="AY44" s="79"/>
      <c r="BA44" s="79"/>
      <c r="BC44" s="79"/>
      <c r="BE44" s="79"/>
      <c r="BH44" s="30"/>
      <c r="BI44" s="30"/>
    </row>
    <row r="45" spans="1:61" s="36" customFormat="1" ht="21">
      <c r="A45" s="37"/>
      <c r="AD45" s="30"/>
      <c r="AE45" s="79"/>
      <c r="AG45" s="79"/>
      <c r="AI45" s="79"/>
      <c r="AK45" s="79"/>
      <c r="AM45" s="79"/>
      <c r="AO45" s="79"/>
      <c r="AQ45" s="79"/>
      <c r="AS45" s="79"/>
      <c r="AU45" s="79"/>
      <c r="AW45" s="79"/>
      <c r="AY45" s="79"/>
      <c r="BA45" s="79"/>
      <c r="BC45" s="79"/>
      <c r="BE45" s="79"/>
      <c r="BH45" s="30"/>
      <c r="BI45" s="30"/>
    </row>
    <row r="46" spans="1:61" s="36" customFormat="1" ht="21">
      <c r="A46" s="37"/>
      <c r="AD46" s="30"/>
      <c r="AE46" s="79"/>
      <c r="AG46" s="79"/>
      <c r="AI46" s="79"/>
      <c r="AK46" s="79"/>
      <c r="AM46" s="79"/>
      <c r="AO46" s="79"/>
      <c r="AQ46" s="79"/>
      <c r="AS46" s="79"/>
      <c r="AU46" s="79"/>
      <c r="AW46" s="79"/>
      <c r="AY46" s="79"/>
      <c r="BA46" s="79"/>
      <c r="BC46" s="79"/>
      <c r="BE46" s="79"/>
      <c r="BH46" s="30"/>
      <c r="BI46" s="30"/>
    </row>
    <row r="47" spans="1:61" s="36" customFormat="1" ht="21">
      <c r="A47" s="37"/>
      <c r="AD47" s="30"/>
      <c r="AE47" s="79"/>
      <c r="AG47" s="79"/>
      <c r="AI47" s="79"/>
      <c r="AK47" s="79"/>
      <c r="AM47" s="79"/>
      <c r="AO47" s="79"/>
      <c r="AQ47" s="79"/>
      <c r="AS47" s="79"/>
      <c r="AU47" s="79"/>
      <c r="AW47" s="79"/>
      <c r="AY47" s="79"/>
      <c r="BA47" s="79"/>
      <c r="BC47" s="79"/>
      <c r="BE47" s="79"/>
      <c r="BH47" s="30"/>
      <c r="BI47" s="30"/>
    </row>
    <row r="48" spans="1:61" ht="21">
      <c r="A48" s="11"/>
      <c r="BH48" s="30"/>
      <c r="BI48" s="30"/>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163">
    <mergeCell ref="G1:H1"/>
    <mergeCell ref="K1:L1"/>
    <mergeCell ref="Q1:R1"/>
    <mergeCell ref="AA2:AB2"/>
    <mergeCell ref="I2:J2"/>
    <mergeCell ref="AM2:AN2"/>
    <mergeCell ref="AO2:AP2"/>
    <mergeCell ref="AS2:AT2"/>
    <mergeCell ref="AU2:AV2"/>
    <mergeCell ref="AS1:AT1"/>
    <mergeCell ref="AU1:AV1"/>
    <mergeCell ref="AC2:AD2"/>
    <mergeCell ref="AE2:AF2"/>
    <mergeCell ref="O2:P2"/>
    <mergeCell ref="K2:L2"/>
    <mergeCell ref="Q2:R2"/>
    <mergeCell ref="S2:T2"/>
    <mergeCell ref="U2:V2"/>
    <mergeCell ref="S1:T1"/>
    <mergeCell ref="U1:V1"/>
    <mergeCell ref="AA1:AB1"/>
    <mergeCell ref="I1:J1"/>
    <mergeCell ref="AM1:AN1"/>
    <mergeCell ref="AO1:AP1"/>
    <mergeCell ref="AC1:AD1"/>
    <mergeCell ref="AE1:AF1"/>
    <mergeCell ref="O1:P1"/>
    <mergeCell ref="AA5:AB5"/>
    <mergeCell ref="I5:J5"/>
    <mergeCell ref="AM5:AN5"/>
    <mergeCell ref="AO5:AP5"/>
    <mergeCell ref="AS5:AT5"/>
    <mergeCell ref="AU5:AV5"/>
    <mergeCell ref="AS4:AT4"/>
    <mergeCell ref="AU4:AV4"/>
    <mergeCell ref="AC5:AD5"/>
    <mergeCell ref="AE5:AF5"/>
    <mergeCell ref="O5:P5"/>
    <mergeCell ref="K5:L5"/>
    <mergeCell ref="Q5:R5"/>
    <mergeCell ref="S5:T5"/>
    <mergeCell ref="U5:V5"/>
    <mergeCell ref="S4:T4"/>
    <mergeCell ref="U4:V4"/>
    <mergeCell ref="AA4:AB4"/>
    <mergeCell ref="I4:J4"/>
    <mergeCell ref="AM4:AN4"/>
    <mergeCell ref="AO4:AP4"/>
    <mergeCell ref="AC4:AD4"/>
    <mergeCell ref="AE4:AF4"/>
    <mergeCell ref="O4:P4"/>
    <mergeCell ref="AA6:AB6"/>
    <mergeCell ref="I6:J6"/>
    <mergeCell ref="AM6:AN6"/>
    <mergeCell ref="AO6:AP6"/>
    <mergeCell ref="AS6:AT6"/>
    <mergeCell ref="AC6:AD6"/>
    <mergeCell ref="AE6:AF6"/>
    <mergeCell ref="O6:P6"/>
    <mergeCell ref="K6:L6"/>
    <mergeCell ref="Q6:R6"/>
    <mergeCell ref="S6:T6"/>
    <mergeCell ref="AI6:AJ6"/>
    <mergeCell ref="C4:D4"/>
    <mergeCell ref="C5:D5"/>
    <mergeCell ref="C6:D6"/>
    <mergeCell ref="Y1:Z1"/>
    <mergeCell ref="Y2:Z2"/>
    <mergeCell ref="Y4:Z4"/>
    <mergeCell ref="Y5:Z5"/>
    <mergeCell ref="Y6:Z6"/>
    <mergeCell ref="W1:X1"/>
    <mergeCell ref="W2:X2"/>
    <mergeCell ref="W4:X4"/>
    <mergeCell ref="W5:X5"/>
    <mergeCell ref="W6:X6"/>
    <mergeCell ref="M1:N1"/>
    <mergeCell ref="M2:N2"/>
    <mergeCell ref="M4:N4"/>
    <mergeCell ref="M5:N5"/>
    <mergeCell ref="M6:N6"/>
    <mergeCell ref="U6:V6"/>
    <mergeCell ref="G5:H5"/>
    <mergeCell ref="G4:H4"/>
    <mergeCell ref="K4:L4"/>
    <mergeCell ref="Q4:R4"/>
    <mergeCell ref="G2:H2"/>
    <mergeCell ref="AU6:AV6"/>
    <mergeCell ref="AW1:AX1"/>
    <mergeCell ref="AW2:AX2"/>
    <mergeCell ref="AW4:AX4"/>
    <mergeCell ref="AW5:AX5"/>
    <mergeCell ref="AW6:AX6"/>
    <mergeCell ref="AW3:AX3"/>
    <mergeCell ref="AU3:AV3"/>
    <mergeCell ref="AI3:AJ3"/>
    <mergeCell ref="AG1:AH1"/>
    <mergeCell ref="AG2:AH2"/>
    <mergeCell ref="AG4:AH4"/>
    <mergeCell ref="AG5:AH5"/>
    <mergeCell ref="AG6:AH6"/>
    <mergeCell ref="AQ1:AR1"/>
    <mergeCell ref="AQ2:AR2"/>
    <mergeCell ref="AQ4:AR4"/>
    <mergeCell ref="AQ5:AR5"/>
    <mergeCell ref="AQ6:AR6"/>
    <mergeCell ref="BE1:BF1"/>
    <mergeCell ref="BE2:BF2"/>
    <mergeCell ref="BE4:BF4"/>
    <mergeCell ref="BE5:BF5"/>
    <mergeCell ref="AY1:AZ1"/>
    <mergeCell ref="AY2:AZ2"/>
    <mergeCell ref="AY4:AZ4"/>
    <mergeCell ref="AY5:AZ5"/>
    <mergeCell ref="AY6:AZ6"/>
    <mergeCell ref="U3:V3"/>
    <mergeCell ref="AG3:AH3"/>
    <mergeCell ref="AQ3:AR3"/>
    <mergeCell ref="Y3:Z3"/>
    <mergeCell ref="BE6:BF6"/>
    <mergeCell ref="BC1:BD1"/>
    <mergeCell ref="BC2:BD2"/>
    <mergeCell ref="BC4:BD4"/>
    <mergeCell ref="BC5:BD5"/>
    <mergeCell ref="BC6:BD6"/>
    <mergeCell ref="AK1:AL1"/>
    <mergeCell ref="AK2:AL2"/>
    <mergeCell ref="AK4:AL4"/>
    <mergeCell ref="AK5:AL5"/>
    <mergeCell ref="AK6:AL6"/>
    <mergeCell ref="BA1:BB1"/>
    <mergeCell ref="BA2:BB2"/>
    <mergeCell ref="BA4:BB4"/>
    <mergeCell ref="BA5:BB5"/>
    <mergeCell ref="BA6:BB6"/>
    <mergeCell ref="BC3:BD3"/>
    <mergeCell ref="BA3:BB3"/>
    <mergeCell ref="AY3:AZ3"/>
    <mergeCell ref="AK3:AL3"/>
    <mergeCell ref="C3:D3"/>
    <mergeCell ref="M3:N3"/>
    <mergeCell ref="W3:X3"/>
    <mergeCell ref="BE3:BF3"/>
    <mergeCell ref="AI1:AJ1"/>
    <mergeCell ref="AI2:AJ2"/>
    <mergeCell ref="AI4:AJ4"/>
    <mergeCell ref="AI5:AJ5"/>
    <mergeCell ref="BH4:BI5"/>
    <mergeCell ref="AC3:AD3"/>
    <mergeCell ref="E4:F4"/>
    <mergeCell ref="C2:F2"/>
    <mergeCell ref="C1:F1"/>
    <mergeCell ref="S3:T3"/>
    <mergeCell ref="Q3:R3"/>
    <mergeCell ref="K3:L3"/>
    <mergeCell ref="G3:H3"/>
    <mergeCell ref="O3:P3"/>
    <mergeCell ref="AE3:AF3"/>
    <mergeCell ref="AS3:AT3"/>
    <mergeCell ref="AO3:AP3"/>
    <mergeCell ref="AM3:AN3"/>
    <mergeCell ref="I3:J3"/>
    <mergeCell ref="AA3:AB3"/>
  </mergeCells>
  <phoneticPr fontId="30" type="noConversion"/>
  <printOptions horizontalCentered="1" verticalCentered="1"/>
  <pageMargins left="0" right="0" top="0" bottom="0" header="0.31496062992125984" footer="0.31496062992125984"/>
  <pageSetup paperSize="9" scale="22" orientation="landscape" r:id="rId1"/>
  <colBreaks count="3" manualBreakCount="3">
    <brk id="20" max="38" man="1"/>
    <brk id="38" max="38" man="1"/>
    <brk id="58" max="1048575" man="1"/>
  </col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M47"/>
  <sheetViews>
    <sheetView topLeftCell="A7" zoomScale="70" zoomScaleNormal="70" workbookViewId="0">
      <selection activeCell="L29" sqref="L29"/>
    </sheetView>
  </sheetViews>
  <sheetFormatPr defaultColWidth="9.140625" defaultRowHeight="18.75"/>
  <cols>
    <col min="1" max="1" width="12.7109375" style="85" customWidth="1"/>
    <col min="2" max="2" width="22.140625" style="20" customWidth="1"/>
    <col min="3" max="9" width="20.7109375" style="20" customWidth="1"/>
    <col min="10" max="11" width="20.7109375" style="20" hidden="1" customWidth="1"/>
    <col min="12" max="19" width="20.7109375" style="20" customWidth="1"/>
    <col min="20" max="21" width="22.42578125" style="20" customWidth="1"/>
    <col min="22" max="27" width="20.7109375" style="20" customWidth="1"/>
    <col min="28" max="29" width="20.7109375" style="20" hidden="1" customWidth="1"/>
    <col min="30" max="41" width="20.7109375" style="20" customWidth="1"/>
    <col min="42" max="43" width="20.7109375" style="20" hidden="1" customWidth="1"/>
    <col min="44" max="47" width="20.7109375" style="20" customWidth="1"/>
    <col min="48" max="49" width="20.7109375" style="20" hidden="1" customWidth="1"/>
    <col min="50" max="113" width="20.7109375" style="20" customWidth="1"/>
    <col min="114" max="115" width="20.7109375" style="20" hidden="1" customWidth="1"/>
    <col min="116" max="167" width="20.7109375" style="20" customWidth="1"/>
    <col min="168" max="169" width="20.7109375" style="20" hidden="1" customWidth="1"/>
    <col min="170" max="16384" width="9.140625" style="20"/>
  </cols>
  <sheetData>
    <row r="1" spans="1:169" s="24" customFormat="1" ht="49.5" customHeight="1">
      <c r="B1" s="266" t="s">
        <v>197</v>
      </c>
      <c r="C1" s="266"/>
      <c r="D1" s="266" t="s">
        <v>197</v>
      </c>
      <c r="E1" s="266"/>
      <c r="F1" s="266" t="s">
        <v>197</v>
      </c>
      <c r="G1" s="266"/>
      <c r="H1" s="266" t="s">
        <v>198</v>
      </c>
      <c r="I1" s="266"/>
      <c r="J1" s="263"/>
      <c r="K1" s="263"/>
      <c r="L1" s="266" t="s">
        <v>199</v>
      </c>
      <c r="M1" s="266"/>
      <c r="N1" s="266" t="s">
        <v>199</v>
      </c>
      <c r="O1" s="266"/>
      <c r="P1" s="266" t="s">
        <v>199</v>
      </c>
      <c r="Q1" s="266"/>
      <c r="R1" s="266" t="s">
        <v>199</v>
      </c>
      <c r="S1" s="266"/>
      <c r="T1" s="266" t="s">
        <v>200</v>
      </c>
      <c r="U1" s="266"/>
      <c r="V1" s="274" t="s">
        <v>200</v>
      </c>
      <c r="W1" s="274"/>
      <c r="X1" s="266" t="s">
        <v>200</v>
      </c>
      <c r="Y1" s="266"/>
      <c r="Z1" s="266" t="s">
        <v>200</v>
      </c>
      <c r="AA1" s="266"/>
      <c r="AB1" s="263"/>
      <c r="AC1" s="263"/>
      <c r="AD1" s="266" t="s">
        <v>200</v>
      </c>
      <c r="AE1" s="266"/>
      <c r="AF1" s="266" t="s">
        <v>200</v>
      </c>
      <c r="AG1" s="266"/>
      <c r="AH1" s="266" t="s">
        <v>201</v>
      </c>
      <c r="AI1" s="266"/>
      <c r="AJ1" s="266" t="s">
        <v>201</v>
      </c>
      <c r="AK1" s="266"/>
      <c r="AL1" s="275" t="s">
        <v>201</v>
      </c>
      <c r="AM1" s="275"/>
      <c r="AN1" s="266" t="s">
        <v>201</v>
      </c>
      <c r="AO1" s="266"/>
      <c r="AP1" s="263" t="s">
        <v>201</v>
      </c>
      <c r="AQ1" s="263"/>
      <c r="AR1" s="275" t="s">
        <v>201</v>
      </c>
      <c r="AS1" s="275"/>
      <c r="AT1" s="266" t="s">
        <v>201</v>
      </c>
      <c r="AU1" s="266"/>
      <c r="AV1" s="263"/>
      <c r="AW1" s="263"/>
      <c r="AX1" s="266" t="s">
        <v>201</v>
      </c>
      <c r="AY1" s="266"/>
      <c r="AZ1" s="266" t="s">
        <v>201</v>
      </c>
      <c r="BA1" s="266"/>
      <c r="BB1" s="266" t="s">
        <v>201</v>
      </c>
      <c r="BC1" s="266"/>
      <c r="BD1" s="266" t="s">
        <v>202</v>
      </c>
      <c r="BE1" s="266"/>
      <c r="BF1" s="266" t="s">
        <v>202</v>
      </c>
      <c r="BG1" s="266"/>
      <c r="BH1" s="266" t="s">
        <v>202</v>
      </c>
      <c r="BI1" s="266"/>
      <c r="BJ1" s="266" t="s">
        <v>202</v>
      </c>
      <c r="BK1" s="266"/>
      <c r="BL1" s="266" t="s">
        <v>202</v>
      </c>
      <c r="BM1" s="266"/>
      <c r="BN1" s="266" t="s">
        <v>202</v>
      </c>
      <c r="BO1" s="266"/>
      <c r="BP1" s="266" t="s">
        <v>202</v>
      </c>
      <c r="BQ1" s="266"/>
      <c r="BR1" s="266" t="s">
        <v>202</v>
      </c>
      <c r="BS1" s="266"/>
      <c r="BT1" s="266" t="s">
        <v>202</v>
      </c>
      <c r="BU1" s="266"/>
      <c r="BV1" s="266" t="s">
        <v>202</v>
      </c>
      <c r="BW1" s="266"/>
      <c r="BX1" s="266" t="s">
        <v>202</v>
      </c>
      <c r="BY1" s="266"/>
      <c r="BZ1" s="266" t="s">
        <v>203</v>
      </c>
      <c r="CA1" s="266"/>
      <c r="CB1" s="274" t="s">
        <v>203</v>
      </c>
      <c r="CC1" s="274"/>
      <c r="CD1" s="266" t="s">
        <v>203</v>
      </c>
      <c r="CE1" s="266"/>
      <c r="CF1" s="266" t="s">
        <v>203</v>
      </c>
      <c r="CG1" s="266"/>
      <c r="CH1" s="266" t="s">
        <v>204</v>
      </c>
      <c r="CI1" s="266"/>
      <c r="CJ1" s="266" t="s">
        <v>204</v>
      </c>
      <c r="CK1" s="266"/>
      <c r="CL1" s="266" t="s">
        <v>204</v>
      </c>
      <c r="CM1" s="266"/>
      <c r="CN1" s="266" t="s">
        <v>205</v>
      </c>
      <c r="CO1" s="266"/>
      <c r="CP1" s="266" t="s">
        <v>205</v>
      </c>
      <c r="CQ1" s="266"/>
      <c r="CR1" s="274" t="s">
        <v>205</v>
      </c>
      <c r="CS1" s="274"/>
      <c r="CT1" s="266" t="s">
        <v>205</v>
      </c>
      <c r="CU1" s="266"/>
      <c r="CV1" s="266" t="s">
        <v>205</v>
      </c>
      <c r="CW1" s="266"/>
      <c r="CX1" s="266" t="s">
        <v>205</v>
      </c>
      <c r="CY1" s="266"/>
      <c r="CZ1" s="266" t="s">
        <v>205</v>
      </c>
      <c r="DA1" s="266"/>
      <c r="DB1" s="266" t="s">
        <v>205</v>
      </c>
      <c r="DC1" s="266"/>
      <c r="DD1" s="266" t="s">
        <v>205</v>
      </c>
      <c r="DE1" s="266"/>
      <c r="DF1" s="266" t="s">
        <v>205</v>
      </c>
      <c r="DG1" s="266"/>
      <c r="DH1" s="266" t="s">
        <v>205</v>
      </c>
      <c r="DI1" s="266"/>
      <c r="DJ1" s="263" t="s">
        <v>205</v>
      </c>
      <c r="DK1" s="263"/>
      <c r="DL1" s="266" t="s">
        <v>206</v>
      </c>
      <c r="DM1" s="266"/>
      <c r="DN1" s="266" t="s">
        <v>206</v>
      </c>
      <c r="DO1" s="266"/>
      <c r="DP1" s="266" t="s">
        <v>206</v>
      </c>
      <c r="DQ1" s="266"/>
      <c r="DR1" s="266" t="s">
        <v>206</v>
      </c>
      <c r="DS1" s="266"/>
      <c r="DT1" s="266" t="s">
        <v>206</v>
      </c>
      <c r="DU1" s="266"/>
      <c r="DV1" s="266" t="s">
        <v>206</v>
      </c>
      <c r="DW1" s="266"/>
      <c r="DX1" s="266" t="s">
        <v>207</v>
      </c>
      <c r="DY1" s="266"/>
      <c r="DZ1" s="266" t="s">
        <v>207</v>
      </c>
      <c r="EA1" s="266"/>
      <c r="EB1" s="266" t="s">
        <v>207</v>
      </c>
      <c r="EC1" s="266"/>
      <c r="ED1" s="266" t="s">
        <v>207</v>
      </c>
      <c r="EE1" s="266"/>
      <c r="EF1" s="266" t="s">
        <v>207</v>
      </c>
      <c r="EG1" s="266"/>
      <c r="EH1" s="266" t="s">
        <v>207</v>
      </c>
      <c r="EI1" s="266"/>
      <c r="EJ1" s="266" t="s">
        <v>207</v>
      </c>
      <c r="EK1" s="266"/>
      <c r="EL1" s="266" t="s">
        <v>208</v>
      </c>
      <c r="EM1" s="266"/>
      <c r="EN1" s="266" t="s">
        <v>208</v>
      </c>
      <c r="EO1" s="266"/>
      <c r="EP1" s="266" t="s">
        <v>208</v>
      </c>
      <c r="EQ1" s="266"/>
      <c r="ER1" s="266" t="s">
        <v>209</v>
      </c>
      <c r="ES1" s="266"/>
      <c r="ET1" s="266" t="s">
        <v>209</v>
      </c>
      <c r="EU1" s="266"/>
      <c r="EV1" s="266" t="s">
        <v>209</v>
      </c>
      <c r="EW1" s="266"/>
      <c r="EX1" s="266" t="s">
        <v>210</v>
      </c>
      <c r="EY1" s="266"/>
      <c r="EZ1" s="266" t="s">
        <v>211</v>
      </c>
      <c r="FA1" s="266"/>
      <c r="FB1" s="266" t="s">
        <v>211</v>
      </c>
      <c r="FC1" s="266"/>
      <c r="FD1" s="266" t="s">
        <v>211</v>
      </c>
      <c r="FE1" s="266"/>
      <c r="FF1" s="266" t="s">
        <v>212</v>
      </c>
      <c r="FG1" s="266"/>
      <c r="FH1" s="266" t="s">
        <v>212</v>
      </c>
      <c r="FI1" s="266"/>
      <c r="FJ1" s="266" t="s">
        <v>212</v>
      </c>
      <c r="FK1" s="266"/>
      <c r="FL1" s="263" t="s">
        <v>212</v>
      </c>
      <c r="FM1" s="263"/>
    </row>
    <row r="2" spans="1:169" s="24" customFormat="1" ht="49.5" customHeight="1">
      <c r="B2" s="266" t="s">
        <v>213</v>
      </c>
      <c r="C2" s="266"/>
      <c r="D2" s="266" t="s">
        <v>214</v>
      </c>
      <c r="E2" s="266"/>
      <c r="F2" s="266" t="s">
        <v>213</v>
      </c>
      <c r="G2" s="266"/>
      <c r="H2" s="266" t="s">
        <v>214</v>
      </c>
      <c r="I2" s="266"/>
      <c r="J2" s="266" t="s">
        <v>214</v>
      </c>
      <c r="K2" s="266"/>
      <c r="L2" s="266" t="s">
        <v>213</v>
      </c>
      <c r="M2" s="266"/>
      <c r="N2" s="266" t="s">
        <v>213</v>
      </c>
      <c r="O2" s="266"/>
      <c r="P2" s="266" t="s">
        <v>214</v>
      </c>
      <c r="Q2" s="266"/>
      <c r="R2" s="266" t="s">
        <v>214</v>
      </c>
      <c r="S2" s="266"/>
      <c r="T2" s="266" t="s">
        <v>213</v>
      </c>
      <c r="U2" s="266"/>
      <c r="V2" s="266" t="s">
        <v>214</v>
      </c>
      <c r="W2" s="266"/>
      <c r="X2" s="266" t="s">
        <v>214</v>
      </c>
      <c r="Y2" s="266"/>
      <c r="Z2" s="266" t="s">
        <v>214</v>
      </c>
      <c r="AA2" s="266"/>
      <c r="AB2" s="263" t="s">
        <v>214</v>
      </c>
      <c r="AC2" s="263"/>
      <c r="AD2" s="266" t="s">
        <v>213</v>
      </c>
      <c r="AE2" s="266"/>
      <c r="AF2" s="266" t="s">
        <v>214</v>
      </c>
      <c r="AG2" s="266"/>
      <c r="AH2" s="266" t="s">
        <v>214</v>
      </c>
      <c r="AI2" s="266"/>
      <c r="AJ2" s="266" t="s">
        <v>214</v>
      </c>
      <c r="AK2" s="266"/>
      <c r="AL2" s="266" t="s">
        <v>214</v>
      </c>
      <c r="AM2" s="266"/>
      <c r="AN2" s="266" t="s">
        <v>214</v>
      </c>
      <c r="AO2" s="266"/>
      <c r="AP2" s="263" t="s">
        <v>214</v>
      </c>
      <c r="AQ2" s="263"/>
      <c r="AR2" s="266" t="s">
        <v>214</v>
      </c>
      <c r="AS2" s="266"/>
      <c r="AT2" s="266" t="s">
        <v>214</v>
      </c>
      <c r="AU2" s="266"/>
      <c r="AV2" s="263" t="s">
        <v>214</v>
      </c>
      <c r="AW2" s="263"/>
      <c r="AX2" s="266" t="s">
        <v>214</v>
      </c>
      <c r="AY2" s="266"/>
      <c r="AZ2" s="266" t="s">
        <v>214</v>
      </c>
      <c r="BA2" s="266"/>
      <c r="BB2" s="266" t="s">
        <v>214</v>
      </c>
      <c r="BC2" s="266"/>
      <c r="BD2" s="266" t="s">
        <v>213</v>
      </c>
      <c r="BE2" s="266"/>
      <c r="BF2" s="266" t="s">
        <v>215</v>
      </c>
      <c r="BG2" s="266"/>
      <c r="BH2" s="266" t="s">
        <v>214</v>
      </c>
      <c r="BI2" s="266"/>
      <c r="BJ2" s="266" t="s">
        <v>214</v>
      </c>
      <c r="BK2" s="266"/>
      <c r="BL2" s="266" t="s">
        <v>214</v>
      </c>
      <c r="BM2" s="266"/>
      <c r="BN2" s="266" t="s">
        <v>214</v>
      </c>
      <c r="BO2" s="266"/>
      <c r="BP2" s="266" t="s">
        <v>214</v>
      </c>
      <c r="BQ2" s="266"/>
      <c r="BR2" s="266" t="s">
        <v>214</v>
      </c>
      <c r="BS2" s="266"/>
      <c r="BT2" s="266" t="s">
        <v>214</v>
      </c>
      <c r="BU2" s="266"/>
      <c r="BV2" s="266" t="s">
        <v>214</v>
      </c>
      <c r="BW2" s="266"/>
      <c r="BX2" s="266" t="s">
        <v>214</v>
      </c>
      <c r="BY2" s="266"/>
      <c r="BZ2" s="266" t="s">
        <v>213</v>
      </c>
      <c r="CA2" s="266"/>
      <c r="CB2" s="266" t="s">
        <v>213</v>
      </c>
      <c r="CC2" s="266"/>
      <c r="CD2" s="266" t="s">
        <v>213</v>
      </c>
      <c r="CE2" s="266"/>
      <c r="CF2" s="266" t="s">
        <v>213</v>
      </c>
      <c r="CG2" s="266"/>
      <c r="CH2" s="266" t="s">
        <v>214</v>
      </c>
      <c r="CI2" s="266"/>
      <c r="CJ2" s="266" t="s">
        <v>214</v>
      </c>
      <c r="CK2" s="266"/>
      <c r="CL2" s="266" t="s">
        <v>214</v>
      </c>
      <c r="CM2" s="266"/>
      <c r="CN2" s="266" t="s">
        <v>213</v>
      </c>
      <c r="CO2" s="266"/>
      <c r="CP2" s="266" t="s">
        <v>214</v>
      </c>
      <c r="CQ2" s="266"/>
      <c r="CR2" s="266" t="s">
        <v>214</v>
      </c>
      <c r="CS2" s="266"/>
      <c r="CT2" s="266" t="s">
        <v>214</v>
      </c>
      <c r="CU2" s="266"/>
      <c r="CV2" s="266" t="s">
        <v>214</v>
      </c>
      <c r="CW2" s="266"/>
      <c r="CX2" s="266" t="s">
        <v>214</v>
      </c>
      <c r="CY2" s="266"/>
      <c r="CZ2" s="266" t="s">
        <v>214</v>
      </c>
      <c r="DA2" s="266"/>
      <c r="DB2" s="266" t="s">
        <v>213</v>
      </c>
      <c r="DC2" s="266"/>
      <c r="DD2" s="266" t="s">
        <v>214</v>
      </c>
      <c r="DE2" s="266"/>
      <c r="DF2" s="266" t="s">
        <v>214</v>
      </c>
      <c r="DG2" s="266"/>
      <c r="DH2" s="266" t="s">
        <v>214</v>
      </c>
      <c r="DI2" s="266"/>
      <c r="DJ2" s="263" t="s">
        <v>214</v>
      </c>
      <c r="DK2" s="263"/>
      <c r="DL2" s="266" t="s">
        <v>214</v>
      </c>
      <c r="DM2" s="266"/>
      <c r="DN2" s="266" t="s">
        <v>214</v>
      </c>
      <c r="DO2" s="266"/>
      <c r="DP2" s="266" t="s">
        <v>214</v>
      </c>
      <c r="DQ2" s="266"/>
      <c r="DR2" s="266" t="s">
        <v>214</v>
      </c>
      <c r="DS2" s="266"/>
      <c r="DT2" s="266" t="s">
        <v>214</v>
      </c>
      <c r="DU2" s="266"/>
      <c r="DV2" s="266" t="s">
        <v>214</v>
      </c>
      <c r="DW2" s="266"/>
      <c r="DX2" s="266" t="s">
        <v>214</v>
      </c>
      <c r="DY2" s="266"/>
      <c r="DZ2" s="266" t="s">
        <v>214</v>
      </c>
      <c r="EA2" s="266"/>
      <c r="EB2" s="266" t="s">
        <v>214</v>
      </c>
      <c r="EC2" s="266"/>
      <c r="ED2" s="266" t="s">
        <v>214</v>
      </c>
      <c r="EE2" s="266"/>
      <c r="EF2" s="266" t="s">
        <v>214</v>
      </c>
      <c r="EG2" s="266"/>
      <c r="EH2" s="266" t="s">
        <v>214</v>
      </c>
      <c r="EI2" s="266"/>
      <c r="EJ2" s="266" t="s">
        <v>214</v>
      </c>
      <c r="EK2" s="266"/>
      <c r="EL2" s="266" t="s">
        <v>214</v>
      </c>
      <c r="EM2" s="266"/>
      <c r="EN2" s="266" t="s">
        <v>214</v>
      </c>
      <c r="EO2" s="266"/>
      <c r="EP2" s="266" t="s">
        <v>214</v>
      </c>
      <c r="EQ2" s="266"/>
      <c r="ER2" s="266" t="s">
        <v>214</v>
      </c>
      <c r="ES2" s="266"/>
      <c r="ET2" s="266" t="s">
        <v>214</v>
      </c>
      <c r="EU2" s="266"/>
      <c r="EV2" s="266" t="s">
        <v>214</v>
      </c>
      <c r="EW2" s="266"/>
      <c r="EX2" s="266" t="s">
        <v>214</v>
      </c>
      <c r="EY2" s="266"/>
      <c r="EZ2" s="266" t="s">
        <v>214</v>
      </c>
      <c r="FA2" s="266"/>
      <c r="FB2" s="266" t="s">
        <v>214</v>
      </c>
      <c r="FC2" s="266"/>
      <c r="FD2" s="266" t="s">
        <v>214</v>
      </c>
      <c r="FE2" s="266"/>
      <c r="FF2" s="266" t="s">
        <v>214</v>
      </c>
      <c r="FG2" s="266"/>
      <c r="FH2" s="266" t="s">
        <v>214</v>
      </c>
      <c r="FI2" s="266"/>
      <c r="FJ2" s="266" t="s">
        <v>214</v>
      </c>
      <c r="FK2" s="266"/>
      <c r="FL2" s="263" t="s">
        <v>214</v>
      </c>
      <c r="FM2" s="263"/>
    </row>
    <row r="3" spans="1:169" s="24" customFormat="1" ht="49.5" customHeight="1">
      <c r="B3" s="212" t="s">
        <v>67</v>
      </c>
      <c r="C3" s="213"/>
      <c r="D3" s="212" t="s">
        <v>216</v>
      </c>
      <c r="E3" s="213"/>
      <c r="F3" s="212"/>
      <c r="G3" s="213"/>
      <c r="H3" s="212" t="s">
        <v>216</v>
      </c>
      <c r="I3" s="213"/>
      <c r="J3" s="212" t="s">
        <v>216</v>
      </c>
      <c r="K3" s="213"/>
      <c r="L3" s="212"/>
      <c r="M3" s="213"/>
      <c r="N3" s="212"/>
      <c r="O3" s="213"/>
      <c r="P3" s="212" t="s">
        <v>216</v>
      </c>
      <c r="Q3" s="213"/>
      <c r="R3" s="212" t="s">
        <v>216</v>
      </c>
      <c r="S3" s="213"/>
      <c r="T3" s="212"/>
      <c r="U3" s="213"/>
      <c r="V3" s="212" t="s">
        <v>217</v>
      </c>
      <c r="W3" s="213"/>
      <c r="X3" s="212" t="s">
        <v>217</v>
      </c>
      <c r="Y3" s="213"/>
      <c r="Z3" s="212" t="s">
        <v>217</v>
      </c>
      <c r="AA3" s="213"/>
      <c r="AB3" s="272" t="s">
        <v>217</v>
      </c>
      <c r="AC3" s="273"/>
      <c r="AD3" s="212"/>
      <c r="AE3" s="213"/>
      <c r="AF3" s="212" t="s">
        <v>217</v>
      </c>
      <c r="AG3" s="213"/>
      <c r="AH3" s="212" t="s">
        <v>216</v>
      </c>
      <c r="AI3" s="213"/>
      <c r="AJ3" s="212" t="s">
        <v>216</v>
      </c>
      <c r="AK3" s="213"/>
      <c r="AL3" s="212" t="s">
        <v>216</v>
      </c>
      <c r="AM3" s="213"/>
      <c r="AN3" s="212" t="s">
        <v>216</v>
      </c>
      <c r="AO3" s="213"/>
      <c r="AP3" s="272" t="s">
        <v>216</v>
      </c>
      <c r="AQ3" s="273"/>
      <c r="AR3" s="212" t="s">
        <v>216</v>
      </c>
      <c r="AS3" s="213"/>
      <c r="AT3" s="212" t="s">
        <v>216</v>
      </c>
      <c r="AU3" s="213"/>
      <c r="AV3" s="272" t="s">
        <v>216</v>
      </c>
      <c r="AW3" s="273"/>
      <c r="AX3" s="212" t="s">
        <v>216</v>
      </c>
      <c r="AY3" s="213"/>
      <c r="AZ3" s="212" t="s">
        <v>216</v>
      </c>
      <c r="BA3" s="213"/>
      <c r="BB3" s="212" t="s">
        <v>216</v>
      </c>
      <c r="BC3" s="213"/>
      <c r="BD3" s="212"/>
      <c r="BE3" s="213"/>
      <c r="BF3" s="212"/>
      <c r="BG3" s="213"/>
      <c r="BH3" s="212" t="s">
        <v>216</v>
      </c>
      <c r="BI3" s="213"/>
      <c r="BJ3" s="212" t="s">
        <v>216</v>
      </c>
      <c r="BK3" s="213"/>
      <c r="BL3" s="212" t="s">
        <v>216</v>
      </c>
      <c r="BM3" s="213"/>
      <c r="BN3" s="212" t="s">
        <v>216</v>
      </c>
      <c r="BO3" s="213"/>
      <c r="BP3" s="212" t="s">
        <v>216</v>
      </c>
      <c r="BQ3" s="213"/>
      <c r="BR3" s="212" t="s">
        <v>216</v>
      </c>
      <c r="BS3" s="213"/>
      <c r="BT3" s="212" t="s">
        <v>216</v>
      </c>
      <c r="BU3" s="213"/>
      <c r="BV3" s="212" t="s">
        <v>216</v>
      </c>
      <c r="BW3" s="213"/>
      <c r="BX3" s="212" t="s">
        <v>216</v>
      </c>
      <c r="BY3" s="213"/>
      <c r="BZ3" s="212" t="s">
        <v>66</v>
      </c>
      <c r="CA3" s="213"/>
      <c r="CB3" s="212" t="s">
        <v>66</v>
      </c>
      <c r="CC3" s="213"/>
      <c r="CD3" s="212" t="s">
        <v>66</v>
      </c>
      <c r="CE3" s="213"/>
      <c r="CF3" s="114"/>
      <c r="CG3" s="114"/>
      <c r="CH3" s="212" t="s">
        <v>67</v>
      </c>
      <c r="CI3" s="213"/>
      <c r="CJ3" s="212" t="s">
        <v>67</v>
      </c>
      <c r="CK3" s="213"/>
      <c r="CL3" s="212" t="s">
        <v>216</v>
      </c>
      <c r="CM3" s="213"/>
      <c r="CN3" s="212"/>
      <c r="CO3" s="213"/>
      <c r="CP3" s="212" t="s">
        <v>216</v>
      </c>
      <c r="CQ3" s="213"/>
      <c r="CR3" s="212" t="s">
        <v>216</v>
      </c>
      <c r="CS3" s="213"/>
      <c r="CT3" s="212" t="s">
        <v>216</v>
      </c>
      <c r="CU3" s="213"/>
      <c r="CV3" s="212" t="s">
        <v>216</v>
      </c>
      <c r="CW3" s="213"/>
      <c r="CX3" s="212" t="s">
        <v>216</v>
      </c>
      <c r="CY3" s="213"/>
      <c r="CZ3" s="212" t="s">
        <v>216</v>
      </c>
      <c r="DA3" s="213"/>
      <c r="DB3" s="212" t="s">
        <v>216</v>
      </c>
      <c r="DC3" s="213"/>
      <c r="DD3" s="212" t="s">
        <v>216</v>
      </c>
      <c r="DE3" s="213"/>
      <c r="DF3" s="212" t="s">
        <v>216</v>
      </c>
      <c r="DG3" s="213"/>
      <c r="DH3" s="212" t="s">
        <v>216</v>
      </c>
      <c r="DI3" s="213"/>
      <c r="DJ3" s="272" t="s">
        <v>216</v>
      </c>
      <c r="DK3" s="273"/>
      <c r="DL3" s="212" t="s">
        <v>65</v>
      </c>
      <c r="DM3" s="213"/>
      <c r="DN3" s="212" t="s">
        <v>65</v>
      </c>
      <c r="DO3" s="213"/>
      <c r="DP3" s="212" t="s">
        <v>65</v>
      </c>
      <c r="DQ3" s="213"/>
      <c r="DR3" s="212" t="s">
        <v>65</v>
      </c>
      <c r="DS3" s="213"/>
      <c r="DT3" s="212" t="s">
        <v>65</v>
      </c>
      <c r="DU3" s="213"/>
      <c r="DV3" s="212" t="s">
        <v>218</v>
      </c>
      <c r="DW3" s="213"/>
      <c r="DX3" s="212" t="s">
        <v>65</v>
      </c>
      <c r="DY3" s="213"/>
      <c r="DZ3" s="212" t="s">
        <v>217</v>
      </c>
      <c r="EA3" s="213"/>
      <c r="EB3" s="212" t="s">
        <v>65</v>
      </c>
      <c r="EC3" s="213"/>
      <c r="ED3" s="212" t="s">
        <v>65</v>
      </c>
      <c r="EE3" s="213"/>
      <c r="EF3" s="212" t="s">
        <v>65</v>
      </c>
      <c r="EG3" s="213"/>
      <c r="EH3" s="212" t="s">
        <v>65</v>
      </c>
      <c r="EI3" s="213"/>
      <c r="EJ3" s="212" t="s">
        <v>65</v>
      </c>
      <c r="EK3" s="213"/>
      <c r="EL3" s="212" t="s">
        <v>67</v>
      </c>
      <c r="EM3" s="213"/>
      <c r="EN3" s="212" t="s">
        <v>67</v>
      </c>
      <c r="EO3" s="213"/>
      <c r="EP3" s="212" t="s">
        <v>67</v>
      </c>
      <c r="EQ3" s="213"/>
      <c r="ER3" s="212" t="s">
        <v>67</v>
      </c>
      <c r="ES3" s="213"/>
      <c r="ET3" s="212" t="s">
        <v>67</v>
      </c>
      <c r="EU3" s="213"/>
      <c r="EV3" s="212" t="s">
        <v>67</v>
      </c>
      <c r="EW3" s="213"/>
      <c r="EX3" s="212" t="s">
        <v>67</v>
      </c>
      <c r="EY3" s="213"/>
      <c r="EZ3" s="212" t="s">
        <v>67</v>
      </c>
      <c r="FA3" s="213"/>
      <c r="FB3" s="212" t="s">
        <v>67</v>
      </c>
      <c r="FC3" s="213"/>
      <c r="FD3" s="212" t="s">
        <v>67</v>
      </c>
      <c r="FE3" s="213"/>
      <c r="FF3" s="212" t="s">
        <v>67</v>
      </c>
      <c r="FG3" s="213"/>
      <c r="FH3" s="212" t="s">
        <v>67</v>
      </c>
      <c r="FI3" s="213"/>
      <c r="FJ3" s="212" t="s">
        <v>67</v>
      </c>
      <c r="FK3" s="213"/>
      <c r="FL3" s="272" t="s">
        <v>216</v>
      </c>
      <c r="FM3" s="273"/>
    </row>
    <row r="4" spans="1:169" s="24" customFormat="1" ht="30" customHeight="1">
      <c r="B4" s="212" t="s">
        <v>219</v>
      </c>
      <c r="C4" s="213"/>
      <c r="D4" s="212" t="s">
        <v>219</v>
      </c>
      <c r="E4" s="213"/>
      <c r="F4" s="111"/>
      <c r="G4" s="112"/>
      <c r="H4" s="212" t="s">
        <v>219</v>
      </c>
      <c r="I4" s="213"/>
      <c r="J4" s="212" t="s">
        <v>220</v>
      </c>
      <c r="K4" s="213"/>
      <c r="L4" s="111"/>
      <c r="M4" s="112"/>
      <c r="N4" s="212"/>
      <c r="O4" s="213"/>
      <c r="P4" s="212" t="s">
        <v>221</v>
      </c>
      <c r="Q4" s="213"/>
      <c r="R4" s="212" t="s">
        <v>221</v>
      </c>
      <c r="S4" s="213"/>
      <c r="T4" s="111"/>
      <c r="U4" s="112"/>
      <c r="V4" s="212" t="s">
        <v>221</v>
      </c>
      <c r="W4" s="213"/>
      <c r="X4" s="212" t="s">
        <v>221</v>
      </c>
      <c r="Y4" s="213"/>
      <c r="Z4" s="212" t="s">
        <v>221</v>
      </c>
      <c r="AA4" s="213"/>
      <c r="AB4" s="272" t="s">
        <v>221</v>
      </c>
      <c r="AC4" s="273"/>
      <c r="AD4" s="111"/>
      <c r="AE4" s="112"/>
      <c r="AF4" s="212" t="s">
        <v>221</v>
      </c>
      <c r="AG4" s="213"/>
      <c r="AH4" s="212" t="s">
        <v>221</v>
      </c>
      <c r="AI4" s="213"/>
      <c r="AJ4" s="212" t="s">
        <v>219</v>
      </c>
      <c r="AK4" s="213"/>
      <c r="AL4" s="212" t="s">
        <v>219</v>
      </c>
      <c r="AM4" s="213"/>
      <c r="AN4" s="212" t="s">
        <v>219</v>
      </c>
      <c r="AO4" s="213"/>
      <c r="AP4" s="272" t="s">
        <v>220</v>
      </c>
      <c r="AQ4" s="273"/>
      <c r="AR4" s="212" t="s">
        <v>219</v>
      </c>
      <c r="AS4" s="213"/>
      <c r="AT4" s="212" t="s">
        <v>219</v>
      </c>
      <c r="AU4" s="213"/>
      <c r="AV4" s="272" t="s">
        <v>219</v>
      </c>
      <c r="AW4" s="273"/>
      <c r="AX4" s="212" t="s">
        <v>221</v>
      </c>
      <c r="AY4" s="213"/>
      <c r="AZ4" s="212" t="s">
        <v>219</v>
      </c>
      <c r="BA4" s="213"/>
      <c r="BB4" s="212" t="s">
        <v>219</v>
      </c>
      <c r="BC4" s="213"/>
      <c r="BD4" s="111"/>
      <c r="BE4" s="112"/>
      <c r="BF4" s="111"/>
      <c r="BG4" s="112"/>
      <c r="BH4" s="212" t="s">
        <v>220</v>
      </c>
      <c r="BI4" s="213"/>
      <c r="BJ4" s="212" t="s">
        <v>221</v>
      </c>
      <c r="BK4" s="213"/>
      <c r="BL4" s="212" t="s">
        <v>219</v>
      </c>
      <c r="BM4" s="213"/>
      <c r="BN4" s="212" t="s">
        <v>219</v>
      </c>
      <c r="BO4" s="213"/>
      <c r="BP4" s="212" t="s">
        <v>219</v>
      </c>
      <c r="BQ4" s="213"/>
      <c r="BR4" s="212" t="s">
        <v>219</v>
      </c>
      <c r="BS4" s="213"/>
      <c r="BT4" s="212" t="s">
        <v>219</v>
      </c>
      <c r="BU4" s="213"/>
      <c r="BV4" s="212" t="s">
        <v>219</v>
      </c>
      <c r="BW4" s="213"/>
      <c r="BX4" s="212" t="s">
        <v>219</v>
      </c>
      <c r="BY4" s="213"/>
      <c r="BZ4" s="212" t="s">
        <v>221</v>
      </c>
      <c r="CA4" s="213"/>
      <c r="CB4" s="212" t="s">
        <v>221</v>
      </c>
      <c r="CC4" s="213"/>
      <c r="CD4" s="212" t="s">
        <v>221</v>
      </c>
      <c r="CE4" s="213"/>
      <c r="CF4" s="212" t="s">
        <v>219</v>
      </c>
      <c r="CG4" s="213"/>
      <c r="CH4" s="212" t="s">
        <v>219</v>
      </c>
      <c r="CI4" s="213"/>
      <c r="CJ4" s="212" t="s">
        <v>219</v>
      </c>
      <c r="CK4" s="213"/>
      <c r="CL4" s="212" t="s">
        <v>219</v>
      </c>
      <c r="CM4" s="213"/>
      <c r="CN4" s="111"/>
      <c r="CO4" s="112"/>
      <c r="CP4" s="212" t="s">
        <v>220</v>
      </c>
      <c r="CQ4" s="213"/>
      <c r="CR4" s="212" t="s">
        <v>222</v>
      </c>
      <c r="CS4" s="213"/>
      <c r="CT4" s="212" t="s">
        <v>220</v>
      </c>
      <c r="CU4" s="213"/>
      <c r="CV4" s="212" t="s">
        <v>221</v>
      </c>
      <c r="CW4" s="213"/>
      <c r="CX4" s="212" t="s">
        <v>219</v>
      </c>
      <c r="CY4" s="213"/>
      <c r="CZ4" s="212" t="s">
        <v>219</v>
      </c>
      <c r="DA4" s="213"/>
      <c r="DB4" s="111"/>
      <c r="DC4" s="112"/>
      <c r="DD4" s="212" t="s">
        <v>220</v>
      </c>
      <c r="DE4" s="213"/>
      <c r="DF4" s="212" t="s">
        <v>221</v>
      </c>
      <c r="DG4" s="213"/>
      <c r="DH4" s="212" t="s">
        <v>221</v>
      </c>
      <c r="DI4" s="213"/>
      <c r="DJ4" s="272" t="s">
        <v>220</v>
      </c>
      <c r="DK4" s="273"/>
      <c r="DL4" s="212" t="s">
        <v>219</v>
      </c>
      <c r="DM4" s="213"/>
      <c r="DN4" s="212" t="s">
        <v>219</v>
      </c>
      <c r="DO4" s="213"/>
      <c r="DP4" s="212" t="s">
        <v>219</v>
      </c>
      <c r="DQ4" s="213"/>
      <c r="DR4" s="212" t="s">
        <v>219</v>
      </c>
      <c r="DS4" s="213"/>
      <c r="DT4" s="212" t="s">
        <v>221</v>
      </c>
      <c r="DU4" s="213"/>
      <c r="DV4" s="212" t="s">
        <v>221</v>
      </c>
      <c r="DW4" s="213"/>
      <c r="DX4" s="212" t="s">
        <v>223</v>
      </c>
      <c r="DY4" s="213"/>
      <c r="DZ4" s="212" t="s">
        <v>224</v>
      </c>
      <c r="EA4" s="213"/>
      <c r="EB4" s="212" t="s">
        <v>223</v>
      </c>
      <c r="EC4" s="213"/>
      <c r="ED4" s="212" t="s">
        <v>219</v>
      </c>
      <c r="EE4" s="213"/>
      <c r="EF4" s="212" t="s">
        <v>219</v>
      </c>
      <c r="EG4" s="213"/>
      <c r="EH4" s="212" t="s">
        <v>221</v>
      </c>
      <c r="EI4" s="213"/>
      <c r="EJ4" s="212" t="s">
        <v>221</v>
      </c>
      <c r="EK4" s="213"/>
      <c r="EL4" s="212" t="s">
        <v>219</v>
      </c>
      <c r="EM4" s="213"/>
      <c r="EN4" s="212" t="s">
        <v>219</v>
      </c>
      <c r="EO4" s="213"/>
      <c r="EP4" s="212" t="s">
        <v>219</v>
      </c>
      <c r="EQ4" s="213"/>
      <c r="ER4" s="212" t="s">
        <v>219</v>
      </c>
      <c r="ES4" s="213"/>
      <c r="ET4" s="212" t="s">
        <v>219</v>
      </c>
      <c r="EU4" s="213"/>
      <c r="EV4" s="212" t="s">
        <v>219</v>
      </c>
      <c r="EW4" s="213"/>
      <c r="EX4" s="212" t="s">
        <v>219</v>
      </c>
      <c r="EY4" s="213"/>
      <c r="EZ4" s="212" t="s">
        <v>221</v>
      </c>
      <c r="FA4" s="213"/>
      <c r="FB4" s="212" t="s">
        <v>219</v>
      </c>
      <c r="FC4" s="213"/>
      <c r="FD4" s="212" t="s">
        <v>219</v>
      </c>
      <c r="FE4" s="213"/>
      <c r="FF4" s="212" t="s">
        <v>223</v>
      </c>
      <c r="FG4" s="213"/>
      <c r="FH4" s="212" t="s">
        <v>219</v>
      </c>
      <c r="FI4" s="213"/>
      <c r="FJ4" s="212" t="s">
        <v>223</v>
      </c>
      <c r="FK4" s="213"/>
      <c r="FL4" s="272" t="s">
        <v>219</v>
      </c>
      <c r="FM4" s="273"/>
    </row>
    <row r="5" spans="1:169" s="85" customFormat="1" ht="138.75" customHeight="1">
      <c r="B5" s="269" t="s">
        <v>78</v>
      </c>
      <c r="C5" s="269"/>
      <c r="D5" s="269" t="s">
        <v>225</v>
      </c>
      <c r="E5" s="269"/>
      <c r="F5" s="269" t="s">
        <v>79</v>
      </c>
      <c r="G5" s="269"/>
      <c r="H5" s="269" t="s">
        <v>226</v>
      </c>
      <c r="I5" s="269"/>
      <c r="J5" s="269" t="s">
        <v>227</v>
      </c>
      <c r="K5" s="269"/>
      <c r="L5" s="269" t="s">
        <v>78</v>
      </c>
      <c r="M5" s="269"/>
      <c r="N5" s="269" t="s">
        <v>80</v>
      </c>
      <c r="O5" s="269"/>
      <c r="P5" s="269" t="s">
        <v>228</v>
      </c>
      <c r="Q5" s="269"/>
      <c r="R5" s="269" t="s">
        <v>228</v>
      </c>
      <c r="S5" s="269"/>
      <c r="T5" s="269" t="s">
        <v>68</v>
      </c>
      <c r="U5" s="269"/>
      <c r="V5" s="269" t="s">
        <v>229</v>
      </c>
      <c r="W5" s="269"/>
      <c r="X5" s="269" t="s">
        <v>230</v>
      </c>
      <c r="Y5" s="269"/>
      <c r="Z5" s="269" t="s">
        <v>231</v>
      </c>
      <c r="AA5" s="269"/>
      <c r="AB5" s="270" t="s">
        <v>228</v>
      </c>
      <c r="AC5" s="270"/>
      <c r="AD5" s="269" t="s">
        <v>69</v>
      </c>
      <c r="AE5" s="269"/>
      <c r="AF5" s="269" t="s">
        <v>232</v>
      </c>
      <c r="AG5" s="269"/>
      <c r="AH5" s="269" t="s">
        <v>233</v>
      </c>
      <c r="AI5" s="269"/>
      <c r="AJ5" s="269" t="s">
        <v>234</v>
      </c>
      <c r="AK5" s="269"/>
      <c r="AL5" s="269" t="s">
        <v>226</v>
      </c>
      <c r="AM5" s="269"/>
      <c r="AN5" s="269" t="s">
        <v>235</v>
      </c>
      <c r="AO5" s="269"/>
      <c r="AP5" s="270" t="s">
        <v>236</v>
      </c>
      <c r="AQ5" s="270"/>
      <c r="AR5" s="269" t="s">
        <v>237</v>
      </c>
      <c r="AS5" s="269"/>
      <c r="AT5" s="269" t="s">
        <v>238</v>
      </c>
      <c r="AU5" s="269"/>
      <c r="AV5" s="270" t="s">
        <v>239</v>
      </c>
      <c r="AW5" s="270"/>
      <c r="AX5" s="269" t="s">
        <v>228</v>
      </c>
      <c r="AY5" s="269"/>
      <c r="AZ5" s="269" t="s">
        <v>226</v>
      </c>
      <c r="BA5" s="269"/>
      <c r="BB5" s="269" t="s">
        <v>240</v>
      </c>
      <c r="BC5" s="269"/>
      <c r="BD5" s="269" t="s">
        <v>71</v>
      </c>
      <c r="BE5" s="269"/>
      <c r="BF5" s="269" t="s">
        <v>72</v>
      </c>
      <c r="BG5" s="269"/>
      <c r="BH5" s="269" t="s">
        <v>241</v>
      </c>
      <c r="BI5" s="269"/>
      <c r="BJ5" s="269" t="s">
        <v>242</v>
      </c>
      <c r="BK5" s="269"/>
      <c r="BL5" s="269" t="s">
        <v>243</v>
      </c>
      <c r="BM5" s="269"/>
      <c r="BN5" s="269" t="s">
        <v>244</v>
      </c>
      <c r="BO5" s="269"/>
      <c r="BP5" s="269" t="s">
        <v>245</v>
      </c>
      <c r="BQ5" s="269"/>
      <c r="BR5" s="269" t="s">
        <v>246</v>
      </c>
      <c r="BS5" s="269"/>
      <c r="BT5" s="269" t="s">
        <v>247</v>
      </c>
      <c r="BU5" s="269"/>
      <c r="BV5" s="269" t="s">
        <v>248</v>
      </c>
      <c r="BW5" s="269"/>
      <c r="BX5" s="269" t="s">
        <v>246</v>
      </c>
      <c r="BY5" s="269"/>
      <c r="BZ5" s="269" t="s">
        <v>74</v>
      </c>
      <c r="CA5" s="269"/>
      <c r="CB5" s="269" t="s">
        <v>75</v>
      </c>
      <c r="CC5" s="269"/>
      <c r="CD5" s="269" t="s">
        <v>76</v>
      </c>
      <c r="CE5" s="269"/>
      <c r="CF5" s="269" t="s">
        <v>77</v>
      </c>
      <c r="CG5" s="269"/>
      <c r="CH5" s="269" t="s">
        <v>249</v>
      </c>
      <c r="CI5" s="269"/>
      <c r="CJ5" s="269" t="s">
        <v>249</v>
      </c>
      <c r="CK5" s="269"/>
      <c r="CL5" s="269" t="s">
        <v>250</v>
      </c>
      <c r="CM5" s="269"/>
      <c r="CN5" s="269" t="s">
        <v>70</v>
      </c>
      <c r="CO5" s="269"/>
      <c r="CP5" s="271" t="s">
        <v>251</v>
      </c>
      <c r="CQ5" s="271"/>
      <c r="CR5" s="271" t="s">
        <v>222</v>
      </c>
      <c r="CS5" s="271"/>
      <c r="CT5" s="271" t="s">
        <v>252</v>
      </c>
      <c r="CU5" s="271"/>
      <c r="CV5" s="271" t="s">
        <v>253</v>
      </c>
      <c r="CW5" s="271"/>
      <c r="CX5" s="271" t="s">
        <v>254</v>
      </c>
      <c r="CY5" s="271"/>
      <c r="CZ5" s="271" t="s">
        <v>255</v>
      </c>
      <c r="DA5" s="271"/>
      <c r="DB5" s="269" t="s">
        <v>73</v>
      </c>
      <c r="DC5" s="269"/>
      <c r="DD5" s="269" t="s">
        <v>256</v>
      </c>
      <c r="DE5" s="269"/>
      <c r="DF5" s="269" t="s">
        <v>257</v>
      </c>
      <c r="DG5" s="269"/>
      <c r="DH5" s="269" t="s">
        <v>258</v>
      </c>
      <c r="DI5" s="269"/>
      <c r="DJ5" s="270" t="s">
        <v>256</v>
      </c>
      <c r="DK5" s="270"/>
      <c r="DL5" s="269" t="s">
        <v>259</v>
      </c>
      <c r="DM5" s="269"/>
      <c r="DN5" s="269" t="s">
        <v>259</v>
      </c>
      <c r="DO5" s="269"/>
      <c r="DP5" s="269" t="s">
        <v>260</v>
      </c>
      <c r="DQ5" s="269"/>
      <c r="DR5" s="269" t="s">
        <v>260</v>
      </c>
      <c r="DS5" s="269"/>
      <c r="DT5" s="269" t="s">
        <v>232</v>
      </c>
      <c r="DU5" s="269"/>
      <c r="DV5" s="269" t="s">
        <v>261</v>
      </c>
      <c r="DW5" s="269"/>
      <c r="DX5" s="271" t="s">
        <v>262</v>
      </c>
      <c r="DY5" s="271"/>
      <c r="DZ5" s="269" t="s">
        <v>226</v>
      </c>
      <c r="EA5" s="269"/>
      <c r="EB5" s="271" t="s">
        <v>263</v>
      </c>
      <c r="EC5" s="271"/>
      <c r="ED5" s="271" t="s">
        <v>264</v>
      </c>
      <c r="EE5" s="271"/>
      <c r="EF5" s="271" t="s">
        <v>265</v>
      </c>
      <c r="EG5" s="271"/>
      <c r="EH5" s="271" t="s">
        <v>228</v>
      </c>
      <c r="EI5" s="271"/>
      <c r="EJ5" s="271" t="s">
        <v>266</v>
      </c>
      <c r="EK5" s="271"/>
      <c r="EL5" s="269" t="s">
        <v>267</v>
      </c>
      <c r="EM5" s="269"/>
      <c r="EN5" s="269" t="s">
        <v>268</v>
      </c>
      <c r="EO5" s="269"/>
      <c r="EP5" s="269" t="s">
        <v>269</v>
      </c>
      <c r="EQ5" s="269"/>
      <c r="ER5" s="269" t="s">
        <v>270</v>
      </c>
      <c r="ES5" s="269"/>
      <c r="ET5" s="269" t="s">
        <v>268</v>
      </c>
      <c r="EU5" s="269"/>
      <c r="EV5" s="269" t="s">
        <v>269</v>
      </c>
      <c r="EW5" s="269"/>
      <c r="EX5" s="269" t="s">
        <v>271</v>
      </c>
      <c r="EY5" s="269"/>
      <c r="EZ5" s="269" t="s">
        <v>266</v>
      </c>
      <c r="FA5" s="269"/>
      <c r="FB5" s="269" t="s">
        <v>272</v>
      </c>
      <c r="FC5" s="269"/>
      <c r="FD5" s="269" t="s">
        <v>273</v>
      </c>
      <c r="FE5" s="269"/>
      <c r="FF5" s="269" t="s">
        <v>274</v>
      </c>
      <c r="FG5" s="269"/>
      <c r="FH5" s="269" t="s">
        <v>275</v>
      </c>
      <c r="FI5" s="269"/>
      <c r="FJ5" s="269" t="s">
        <v>276</v>
      </c>
      <c r="FK5" s="269"/>
      <c r="FL5" s="270" t="s">
        <v>277</v>
      </c>
      <c r="FM5" s="270"/>
    </row>
    <row r="6" spans="1:169" s="24" customFormat="1" ht="30" customHeight="1">
      <c r="B6" s="266">
        <v>5065544</v>
      </c>
      <c r="C6" s="266"/>
      <c r="D6" s="212"/>
      <c r="E6" s="213"/>
      <c r="F6" s="266">
        <v>5065541</v>
      </c>
      <c r="G6" s="266"/>
      <c r="H6" s="212"/>
      <c r="I6" s="213"/>
      <c r="J6" s="212"/>
      <c r="K6" s="213"/>
      <c r="L6" s="266">
        <v>5065542</v>
      </c>
      <c r="M6" s="266"/>
      <c r="N6" s="266">
        <v>5065540</v>
      </c>
      <c r="O6" s="266"/>
      <c r="P6" s="212"/>
      <c r="Q6" s="213"/>
      <c r="R6" s="212"/>
      <c r="S6" s="213"/>
      <c r="T6" s="266">
        <v>5065546</v>
      </c>
      <c r="U6" s="266"/>
      <c r="V6" s="212"/>
      <c r="W6" s="213"/>
      <c r="X6" s="212"/>
      <c r="Y6" s="213"/>
      <c r="Z6" s="212"/>
      <c r="AA6" s="213"/>
      <c r="AB6" s="212"/>
      <c r="AC6" s="213"/>
      <c r="AD6" s="266">
        <v>5065547</v>
      </c>
      <c r="AE6" s="266"/>
      <c r="AF6" s="212"/>
      <c r="AG6" s="213"/>
      <c r="AH6" s="267"/>
      <c r="AI6" s="268"/>
      <c r="AJ6" s="267"/>
      <c r="AK6" s="268"/>
      <c r="AL6" s="267"/>
      <c r="AM6" s="268"/>
      <c r="AN6" s="267"/>
      <c r="AO6" s="268"/>
      <c r="AP6" s="267"/>
      <c r="AQ6" s="268"/>
      <c r="AR6" s="267"/>
      <c r="AS6" s="268"/>
      <c r="AT6" s="267"/>
      <c r="AU6" s="268"/>
      <c r="AV6" s="267"/>
      <c r="AW6" s="268"/>
      <c r="AX6" s="267"/>
      <c r="AY6" s="268"/>
      <c r="AZ6" s="267"/>
      <c r="BA6" s="268"/>
      <c r="BB6" s="267"/>
      <c r="BC6" s="268"/>
      <c r="BD6" s="266">
        <v>5065548</v>
      </c>
      <c r="BE6" s="266"/>
      <c r="BF6" s="266">
        <v>5465545</v>
      </c>
      <c r="BG6" s="266"/>
      <c r="BH6" s="212"/>
      <c r="BI6" s="213"/>
      <c r="BJ6" s="212"/>
      <c r="BK6" s="213"/>
      <c r="BL6" s="212"/>
      <c r="BM6" s="213"/>
      <c r="BN6" s="212"/>
      <c r="BO6" s="213"/>
      <c r="BP6" s="212"/>
      <c r="BQ6" s="213"/>
      <c r="BR6" s="212"/>
      <c r="BS6" s="213"/>
      <c r="BT6" s="212"/>
      <c r="BU6" s="213"/>
      <c r="BV6" s="212"/>
      <c r="BW6" s="213"/>
      <c r="BX6" s="212"/>
      <c r="BY6" s="213"/>
      <c r="BZ6" s="266">
        <v>5018351</v>
      </c>
      <c r="CA6" s="266"/>
      <c r="CB6" s="266">
        <v>5018354</v>
      </c>
      <c r="CC6" s="266"/>
      <c r="CD6" s="266">
        <v>5018350</v>
      </c>
      <c r="CE6" s="266"/>
      <c r="CF6" s="266">
        <v>5065543</v>
      </c>
      <c r="CG6" s="266"/>
      <c r="CH6" s="212"/>
      <c r="CI6" s="213"/>
      <c r="CJ6" s="212"/>
      <c r="CK6" s="213"/>
      <c r="CL6" s="212"/>
      <c r="CM6" s="213"/>
      <c r="CN6" s="266">
        <v>5008272</v>
      </c>
      <c r="CO6" s="266"/>
      <c r="CP6" s="212"/>
      <c r="CQ6" s="213"/>
      <c r="CR6" s="212"/>
      <c r="CS6" s="213"/>
      <c r="CT6" s="212"/>
      <c r="CU6" s="213"/>
      <c r="CV6" s="212"/>
      <c r="CW6" s="213"/>
      <c r="CX6" s="212"/>
      <c r="CY6" s="213"/>
      <c r="CZ6" s="212"/>
      <c r="DA6" s="213"/>
      <c r="DB6" s="266">
        <v>5008273</v>
      </c>
      <c r="DC6" s="266"/>
      <c r="DD6" s="212"/>
      <c r="DE6" s="213"/>
      <c r="DF6" s="212"/>
      <c r="DG6" s="213"/>
      <c r="DH6" s="212"/>
      <c r="DI6" s="213"/>
      <c r="DJ6" s="212"/>
      <c r="DK6" s="213"/>
      <c r="DL6" s="212"/>
      <c r="DM6" s="213"/>
      <c r="DN6" s="212"/>
      <c r="DO6" s="213"/>
      <c r="DP6" s="212"/>
      <c r="DQ6" s="213"/>
      <c r="DR6" s="212"/>
      <c r="DS6" s="213"/>
      <c r="DT6" s="212"/>
      <c r="DU6" s="213"/>
      <c r="DV6" s="212"/>
      <c r="DW6" s="213"/>
      <c r="DX6" s="212"/>
      <c r="DY6" s="213"/>
      <c r="DZ6" s="212"/>
      <c r="EA6" s="213"/>
      <c r="EB6" s="212"/>
      <c r="EC6" s="213"/>
      <c r="ED6" s="212"/>
      <c r="EE6" s="213"/>
      <c r="EF6" s="212"/>
      <c r="EG6" s="213"/>
      <c r="EH6" s="212"/>
      <c r="EI6" s="213"/>
      <c r="EJ6" s="212"/>
      <c r="EK6" s="213"/>
      <c r="EL6" s="212"/>
      <c r="EM6" s="213"/>
      <c r="EN6" s="212"/>
      <c r="EO6" s="213"/>
      <c r="EP6" s="212"/>
      <c r="EQ6" s="213"/>
      <c r="ER6" s="212"/>
      <c r="ES6" s="213"/>
      <c r="ET6" s="212"/>
      <c r="EU6" s="213"/>
      <c r="EV6" s="212"/>
      <c r="EW6" s="213"/>
      <c r="EX6" s="212"/>
      <c r="EY6" s="213"/>
      <c r="EZ6" s="212"/>
      <c r="FA6" s="213"/>
      <c r="FB6" s="212"/>
      <c r="FC6" s="213"/>
      <c r="FD6" s="212"/>
      <c r="FE6" s="213"/>
      <c r="FF6" s="212"/>
      <c r="FG6" s="213"/>
      <c r="FH6" s="212"/>
      <c r="FI6" s="213"/>
      <c r="FJ6" s="212"/>
      <c r="FK6" s="213"/>
      <c r="FL6" s="212"/>
      <c r="FM6" s="213"/>
    </row>
    <row r="7" spans="1:169" s="24" customFormat="1" ht="30" customHeight="1">
      <c r="B7" s="254" t="s">
        <v>92</v>
      </c>
      <c r="C7" s="254"/>
      <c r="D7" s="254" t="s">
        <v>92</v>
      </c>
      <c r="E7" s="254"/>
      <c r="F7" s="252" t="s">
        <v>93</v>
      </c>
      <c r="G7" s="252"/>
      <c r="H7" s="253" t="s">
        <v>94</v>
      </c>
      <c r="I7" s="253"/>
      <c r="J7" s="253" t="s">
        <v>94</v>
      </c>
      <c r="K7" s="253"/>
      <c r="L7" s="253" t="s">
        <v>94</v>
      </c>
      <c r="M7" s="253"/>
      <c r="N7" s="255" t="s">
        <v>95</v>
      </c>
      <c r="O7" s="255"/>
      <c r="P7" s="255" t="s">
        <v>95</v>
      </c>
      <c r="Q7" s="255"/>
      <c r="R7" s="255" t="s">
        <v>95</v>
      </c>
      <c r="S7" s="255"/>
      <c r="T7" s="256" t="s">
        <v>82</v>
      </c>
      <c r="U7" s="256"/>
      <c r="V7" s="256" t="s">
        <v>82</v>
      </c>
      <c r="W7" s="256"/>
      <c r="X7" s="256" t="s">
        <v>82</v>
      </c>
      <c r="Y7" s="256"/>
      <c r="Z7" s="256" t="s">
        <v>82</v>
      </c>
      <c r="AA7" s="256"/>
      <c r="AB7" s="256" t="s">
        <v>82</v>
      </c>
      <c r="AC7" s="256"/>
      <c r="AD7" s="258" t="s">
        <v>83</v>
      </c>
      <c r="AE7" s="258"/>
      <c r="AF7" s="258" t="s">
        <v>83</v>
      </c>
      <c r="AG7" s="258"/>
      <c r="AH7" s="265" t="s">
        <v>85</v>
      </c>
      <c r="AI7" s="265"/>
      <c r="AJ7" s="265" t="s">
        <v>85</v>
      </c>
      <c r="AK7" s="265"/>
      <c r="AL7" s="265" t="s">
        <v>85</v>
      </c>
      <c r="AM7" s="265"/>
      <c r="AN7" s="265" t="s">
        <v>85</v>
      </c>
      <c r="AO7" s="265"/>
      <c r="AP7" s="265" t="s">
        <v>85</v>
      </c>
      <c r="AQ7" s="265"/>
      <c r="AR7" s="265" t="s">
        <v>85</v>
      </c>
      <c r="AS7" s="265"/>
      <c r="AT7" s="265" t="s">
        <v>85</v>
      </c>
      <c r="AU7" s="265"/>
      <c r="AV7" s="265" t="s">
        <v>85</v>
      </c>
      <c r="AW7" s="265"/>
      <c r="AX7" s="265" t="s">
        <v>85</v>
      </c>
      <c r="AY7" s="265"/>
      <c r="AZ7" s="265" t="s">
        <v>85</v>
      </c>
      <c r="BA7" s="265"/>
      <c r="BB7" s="265" t="s">
        <v>85</v>
      </c>
      <c r="BC7" s="265"/>
      <c r="BD7" s="265" t="s">
        <v>85</v>
      </c>
      <c r="BE7" s="265"/>
      <c r="BF7" s="260" t="s">
        <v>86</v>
      </c>
      <c r="BG7" s="260"/>
      <c r="BH7" s="260" t="s">
        <v>86</v>
      </c>
      <c r="BI7" s="260"/>
      <c r="BJ7" s="260" t="s">
        <v>86</v>
      </c>
      <c r="BK7" s="260"/>
      <c r="BL7" s="260" t="s">
        <v>86</v>
      </c>
      <c r="BM7" s="260"/>
      <c r="BN7" s="260" t="s">
        <v>86</v>
      </c>
      <c r="BO7" s="260"/>
      <c r="BP7" s="260" t="s">
        <v>86</v>
      </c>
      <c r="BQ7" s="260"/>
      <c r="BR7" s="260" t="s">
        <v>86</v>
      </c>
      <c r="BS7" s="260"/>
      <c r="BT7" s="260" t="s">
        <v>86</v>
      </c>
      <c r="BU7" s="260"/>
      <c r="BV7" s="260" t="s">
        <v>86</v>
      </c>
      <c r="BW7" s="260"/>
      <c r="BX7" s="260" t="s">
        <v>86</v>
      </c>
      <c r="BY7" s="260"/>
      <c r="BZ7" s="261" t="s">
        <v>88</v>
      </c>
      <c r="CA7" s="261"/>
      <c r="CB7" s="262" t="s">
        <v>89</v>
      </c>
      <c r="CC7" s="262"/>
      <c r="CD7" s="263" t="s">
        <v>90</v>
      </c>
      <c r="CE7" s="263"/>
      <c r="CF7" s="264" t="s">
        <v>91</v>
      </c>
      <c r="CG7" s="264"/>
      <c r="CH7" s="264" t="s">
        <v>91</v>
      </c>
      <c r="CI7" s="264"/>
      <c r="CJ7" s="264" t="s">
        <v>91</v>
      </c>
      <c r="CK7" s="264"/>
      <c r="CL7" s="264" t="s">
        <v>91</v>
      </c>
      <c r="CM7" s="264"/>
      <c r="CN7" s="259" t="s">
        <v>84</v>
      </c>
      <c r="CO7" s="259"/>
      <c r="CP7" s="259" t="s">
        <v>84</v>
      </c>
      <c r="CQ7" s="259"/>
      <c r="CR7" s="259" t="s">
        <v>84</v>
      </c>
      <c r="CS7" s="259"/>
      <c r="CT7" s="259" t="s">
        <v>84</v>
      </c>
      <c r="CU7" s="259"/>
      <c r="CV7" s="259" t="s">
        <v>84</v>
      </c>
      <c r="CW7" s="259"/>
      <c r="CX7" s="259" t="s">
        <v>84</v>
      </c>
      <c r="CY7" s="259"/>
      <c r="CZ7" s="259" t="s">
        <v>84</v>
      </c>
      <c r="DA7" s="259"/>
      <c r="DB7" s="257" t="s">
        <v>87</v>
      </c>
      <c r="DC7" s="257"/>
      <c r="DD7" s="257" t="s">
        <v>87</v>
      </c>
      <c r="DE7" s="257"/>
      <c r="DF7" s="257" t="s">
        <v>87</v>
      </c>
      <c r="DG7" s="257"/>
      <c r="DH7" s="257" t="s">
        <v>87</v>
      </c>
      <c r="DI7" s="257"/>
      <c r="DJ7" s="257" t="s">
        <v>87</v>
      </c>
      <c r="DK7" s="257"/>
      <c r="DL7" s="258" t="s">
        <v>83</v>
      </c>
      <c r="DM7" s="258"/>
      <c r="DN7" s="258" t="s">
        <v>83</v>
      </c>
      <c r="DO7" s="258"/>
      <c r="DP7" s="258" t="s">
        <v>83</v>
      </c>
      <c r="DQ7" s="258"/>
      <c r="DR7" s="258" t="s">
        <v>83</v>
      </c>
      <c r="DS7" s="258"/>
      <c r="DT7" s="258" t="s">
        <v>83</v>
      </c>
      <c r="DU7" s="258"/>
      <c r="DV7" s="258" t="s">
        <v>83</v>
      </c>
      <c r="DW7" s="258"/>
      <c r="DX7" s="256" t="s">
        <v>82</v>
      </c>
      <c r="DY7" s="256"/>
      <c r="DZ7" s="256" t="s">
        <v>82</v>
      </c>
      <c r="EA7" s="256"/>
      <c r="EB7" s="256" t="s">
        <v>82</v>
      </c>
      <c r="EC7" s="256"/>
      <c r="ED7" s="256" t="s">
        <v>82</v>
      </c>
      <c r="EE7" s="256"/>
      <c r="EF7" s="256" t="s">
        <v>82</v>
      </c>
      <c r="EG7" s="256"/>
      <c r="EH7" s="256" t="s">
        <v>82</v>
      </c>
      <c r="EI7" s="256"/>
      <c r="EJ7" s="256" t="s">
        <v>82</v>
      </c>
      <c r="EK7" s="256"/>
      <c r="EL7" s="253" t="s">
        <v>94</v>
      </c>
      <c r="EM7" s="253"/>
      <c r="EN7" s="253" t="s">
        <v>94</v>
      </c>
      <c r="EO7" s="253"/>
      <c r="EP7" s="253" t="s">
        <v>94</v>
      </c>
      <c r="EQ7" s="253"/>
      <c r="ER7" s="254" t="s">
        <v>92</v>
      </c>
      <c r="ES7" s="254"/>
      <c r="ET7" s="254" t="s">
        <v>92</v>
      </c>
      <c r="EU7" s="254"/>
      <c r="EV7" s="254" t="s">
        <v>92</v>
      </c>
      <c r="EW7" s="254"/>
      <c r="EX7" s="252" t="s">
        <v>93</v>
      </c>
      <c r="EY7" s="252"/>
      <c r="EZ7" s="255" t="s">
        <v>95</v>
      </c>
      <c r="FA7" s="255"/>
      <c r="FB7" s="255" t="s">
        <v>95</v>
      </c>
      <c r="FC7" s="255"/>
      <c r="FD7" s="255" t="s">
        <v>95</v>
      </c>
      <c r="FE7" s="255"/>
      <c r="FF7" s="252" t="s">
        <v>93</v>
      </c>
      <c r="FG7" s="252"/>
      <c r="FH7" s="252" t="s">
        <v>93</v>
      </c>
      <c r="FI7" s="252"/>
      <c r="FJ7" s="252" t="s">
        <v>93</v>
      </c>
      <c r="FK7" s="252"/>
      <c r="FL7" s="252" t="s">
        <v>93</v>
      </c>
      <c r="FM7" s="252"/>
    </row>
    <row r="8" spans="1:169" s="24" customFormat="1" ht="30" customHeight="1">
      <c r="B8" s="251"/>
      <c r="C8" s="251"/>
      <c r="D8" s="249" t="s">
        <v>278</v>
      </c>
      <c r="E8" s="250"/>
      <c r="F8" s="251"/>
      <c r="G8" s="251"/>
      <c r="H8" s="249" t="s">
        <v>279</v>
      </c>
      <c r="I8" s="250"/>
      <c r="J8" s="249" t="s">
        <v>280</v>
      </c>
      <c r="K8" s="250"/>
      <c r="L8" s="251"/>
      <c r="M8" s="251"/>
      <c r="N8" s="251"/>
      <c r="O8" s="251"/>
      <c r="P8" s="249" t="s">
        <v>281</v>
      </c>
      <c r="Q8" s="250"/>
      <c r="R8" s="249" t="s">
        <v>282</v>
      </c>
      <c r="S8" s="250"/>
      <c r="T8" s="251"/>
      <c r="U8" s="251"/>
      <c r="V8" s="249" t="s">
        <v>283</v>
      </c>
      <c r="W8" s="250"/>
      <c r="X8" s="249" t="s">
        <v>284</v>
      </c>
      <c r="Y8" s="250"/>
      <c r="Z8" s="249" t="s">
        <v>285</v>
      </c>
      <c r="AA8" s="250"/>
      <c r="AB8" s="249" t="s">
        <v>286</v>
      </c>
      <c r="AC8" s="250"/>
      <c r="AD8" s="251"/>
      <c r="AE8" s="251"/>
      <c r="AF8" s="249" t="s">
        <v>287</v>
      </c>
      <c r="AG8" s="250"/>
      <c r="AH8" s="249" t="s">
        <v>288</v>
      </c>
      <c r="AI8" s="250"/>
      <c r="AJ8" s="249" t="s">
        <v>289</v>
      </c>
      <c r="AK8" s="250"/>
      <c r="AL8" s="249" t="s">
        <v>290</v>
      </c>
      <c r="AM8" s="250"/>
      <c r="AN8" s="249" t="s">
        <v>291</v>
      </c>
      <c r="AO8" s="250"/>
      <c r="AP8" s="249" t="s">
        <v>292</v>
      </c>
      <c r="AQ8" s="250"/>
      <c r="AR8" s="249" t="s">
        <v>293</v>
      </c>
      <c r="AS8" s="250"/>
      <c r="AT8" s="249" t="s">
        <v>294</v>
      </c>
      <c r="AU8" s="250"/>
      <c r="AV8" s="249" t="s">
        <v>295</v>
      </c>
      <c r="AW8" s="250"/>
      <c r="AX8" s="249" t="s">
        <v>296</v>
      </c>
      <c r="AY8" s="250"/>
      <c r="AZ8" s="249" t="s">
        <v>297</v>
      </c>
      <c r="BA8" s="250"/>
      <c r="BB8" s="249" t="s">
        <v>298</v>
      </c>
      <c r="BC8" s="250"/>
      <c r="BD8" s="249"/>
      <c r="BE8" s="250"/>
      <c r="BF8" s="251"/>
      <c r="BG8" s="251"/>
      <c r="BH8" s="249" t="s">
        <v>299</v>
      </c>
      <c r="BI8" s="250"/>
      <c r="BJ8" s="249" t="s">
        <v>300</v>
      </c>
      <c r="BK8" s="250"/>
      <c r="BL8" s="249" t="s">
        <v>301</v>
      </c>
      <c r="BM8" s="250"/>
      <c r="BN8" s="249" t="s">
        <v>302</v>
      </c>
      <c r="BO8" s="250"/>
      <c r="BP8" s="249" t="s">
        <v>303</v>
      </c>
      <c r="BQ8" s="250"/>
      <c r="BR8" s="249" t="s">
        <v>304</v>
      </c>
      <c r="BS8" s="250"/>
      <c r="BT8" s="249" t="s">
        <v>305</v>
      </c>
      <c r="BU8" s="250"/>
      <c r="BV8" s="249" t="s">
        <v>306</v>
      </c>
      <c r="BW8" s="250"/>
      <c r="BX8" s="249" t="s">
        <v>307</v>
      </c>
      <c r="BY8" s="250"/>
      <c r="BZ8" s="251"/>
      <c r="CA8" s="251"/>
      <c r="CB8" s="251"/>
      <c r="CC8" s="251"/>
      <c r="CD8" s="251"/>
      <c r="CE8" s="251"/>
      <c r="CF8" s="251"/>
      <c r="CG8" s="251"/>
      <c r="CH8" s="249" t="s">
        <v>308</v>
      </c>
      <c r="CI8" s="250"/>
      <c r="CJ8" s="249" t="s">
        <v>309</v>
      </c>
      <c r="CK8" s="250"/>
      <c r="CL8" s="249" t="s">
        <v>310</v>
      </c>
      <c r="CM8" s="250"/>
      <c r="CN8" s="251"/>
      <c r="CO8" s="251"/>
      <c r="CP8" s="249" t="s">
        <v>311</v>
      </c>
      <c r="CQ8" s="250"/>
      <c r="CR8" s="249" t="s">
        <v>312</v>
      </c>
      <c r="CS8" s="250"/>
      <c r="CT8" s="249" t="s">
        <v>313</v>
      </c>
      <c r="CU8" s="250"/>
      <c r="CV8" s="249" t="s">
        <v>314</v>
      </c>
      <c r="CW8" s="250"/>
      <c r="CX8" s="249" t="s">
        <v>315</v>
      </c>
      <c r="CY8" s="250"/>
      <c r="CZ8" s="249" t="s">
        <v>316</v>
      </c>
      <c r="DA8" s="250"/>
      <c r="DB8" s="251"/>
      <c r="DC8" s="251"/>
      <c r="DD8" s="249" t="s">
        <v>317</v>
      </c>
      <c r="DE8" s="250"/>
      <c r="DF8" s="249" t="s">
        <v>318</v>
      </c>
      <c r="DG8" s="250"/>
      <c r="DH8" s="249" t="s">
        <v>319</v>
      </c>
      <c r="DI8" s="250"/>
      <c r="DJ8" s="249" t="s">
        <v>320</v>
      </c>
      <c r="DK8" s="250"/>
      <c r="DL8" s="249" t="s">
        <v>321</v>
      </c>
      <c r="DM8" s="250"/>
      <c r="DN8" s="249" t="s">
        <v>322</v>
      </c>
      <c r="DO8" s="250"/>
      <c r="DP8" s="249" t="s">
        <v>323</v>
      </c>
      <c r="DQ8" s="250"/>
      <c r="DR8" s="249" t="s">
        <v>324</v>
      </c>
      <c r="DS8" s="250"/>
      <c r="DT8" s="249" t="s">
        <v>325</v>
      </c>
      <c r="DU8" s="250"/>
      <c r="DV8" s="249" t="s">
        <v>326</v>
      </c>
      <c r="DW8" s="250"/>
      <c r="DX8" s="249" t="s">
        <v>327</v>
      </c>
      <c r="DY8" s="250"/>
      <c r="DZ8" s="249" t="s">
        <v>328</v>
      </c>
      <c r="EA8" s="250"/>
      <c r="EB8" s="249" t="s">
        <v>329</v>
      </c>
      <c r="EC8" s="250"/>
      <c r="ED8" s="249" t="s">
        <v>330</v>
      </c>
      <c r="EE8" s="250"/>
      <c r="EF8" s="249" t="s">
        <v>331</v>
      </c>
      <c r="EG8" s="250"/>
      <c r="EH8" s="249" t="s">
        <v>332</v>
      </c>
      <c r="EI8" s="250"/>
      <c r="EJ8" s="249" t="s">
        <v>333</v>
      </c>
      <c r="EK8" s="250"/>
      <c r="EL8" s="249" t="s">
        <v>334</v>
      </c>
      <c r="EM8" s="250"/>
      <c r="EN8" s="249" t="s">
        <v>335</v>
      </c>
      <c r="EO8" s="250"/>
      <c r="EP8" s="249" t="s">
        <v>336</v>
      </c>
      <c r="EQ8" s="250"/>
      <c r="ER8" s="249" t="s">
        <v>337</v>
      </c>
      <c r="ES8" s="250"/>
      <c r="ET8" s="249" t="s">
        <v>338</v>
      </c>
      <c r="EU8" s="250"/>
      <c r="EV8" s="249" t="s">
        <v>339</v>
      </c>
      <c r="EW8" s="250"/>
      <c r="EX8" s="249" t="s">
        <v>340</v>
      </c>
      <c r="EY8" s="250"/>
      <c r="EZ8" s="249" t="s">
        <v>341</v>
      </c>
      <c r="FA8" s="250"/>
      <c r="FB8" s="249" t="s">
        <v>342</v>
      </c>
      <c r="FC8" s="250"/>
      <c r="FD8" s="249" t="s">
        <v>343</v>
      </c>
      <c r="FE8" s="250"/>
      <c r="FF8" s="249" t="s">
        <v>344</v>
      </c>
      <c r="FG8" s="250"/>
      <c r="FH8" s="249" t="s">
        <v>345</v>
      </c>
      <c r="FI8" s="250"/>
      <c r="FJ8" s="249" t="s">
        <v>346</v>
      </c>
      <c r="FK8" s="250"/>
      <c r="FL8" s="249" t="s">
        <v>347</v>
      </c>
      <c r="FM8" s="250"/>
    </row>
    <row r="9" spans="1:169" s="85" customFormat="1" ht="50.1" customHeight="1">
      <c r="A9" s="115" t="s">
        <v>99</v>
      </c>
      <c r="B9" s="115" t="s">
        <v>100</v>
      </c>
      <c r="C9" s="115" t="s">
        <v>101</v>
      </c>
      <c r="D9" s="115" t="s">
        <v>100</v>
      </c>
      <c r="E9" s="115" t="s">
        <v>101</v>
      </c>
      <c r="F9" s="115" t="s">
        <v>100</v>
      </c>
      <c r="G9" s="115" t="s">
        <v>101</v>
      </c>
      <c r="H9" s="115" t="s">
        <v>100</v>
      </c>
      <c r="I9" s="115" t="s">
        <v>101</v>
      </c>
      <c r="J9" s="115" t="s">
        <v>100</v>
      </c>
      <c r="K9" s="115" t="s">
        <v>101</v>
      </c>
      <c r="L9" s="115" t="s">
        <v>100</v>
      </c>
      <c r="M9" s="115" t="s">
        <v>101</v>
      </c>
      <c r="N9" s="115" t="s">
        <v>100</v>
      </c>
      <c r="O9" s="115" t="s">
        <v>101</v>
      </c>
      <c r="P9" s="115" t="s">
        <v>100</v>
      </c>
      <c r="Q9" s="115" t="s">
        <v>101</v>
      </c>
      <c r="R9" s="115" t="s">
        <v>100</v>
      </c>
      <c r="S9" s="115" t="s">
        <v>101</v>
      </c>
      <c r="T9" s="115" t="s">
        <v>100</v>
      </c>
      <c r="U9" s="115" t="s">
        <v>101</v>
      </c>
      <c r="V9" s="115" t="s">
        <v>100</v>
      </c>
      <c r="W9" s="115" t="s">
        <v>101</v>
      </c>
      <c r="X9" s="115" t="s">
        <v>100</v>
      </c>
      <c r="Y9" s="115" t="s">
        <v>101</v>
      </c>
      <c r="Z9" s="115" t="s">
        <v>100</v>
      </c>
      <c r="AA9" s="115" t="s">
        <v>101</v>
      </c>
      <c r="AB9" s="115" t="s">
        <v>100</v>
      </c>
      <c r="AC9" s="115" t="s">
        <v>101</v>
      </c>
      <c r="AD9" s="115" t="s">
        <v>100</v>
      </c>
      <c r="AE9" s="115" t="s">
        <v>101</v>
      </c>
      <c r="AF9" s="115" t="s">
        <v>100</v>
      </c>
      <c r="AG9" s="115" t="s">
        <v>101</v>
      </c>
      <c r="AH9" s="115" t="s">
        <v>100</v>
      </c>
      <c r="AI9" s="115" t="s">
        <v>101</v>
      </c>
      <c r="AJ9" s="115" t="s">
        <v>100</v>
      </c>
      <c r="AK9" s="115" t="s">
        <v>101</v>
      </c>
      <c r="AL9" s="115" t="s">
        <v>100</v>
      </c>
      <c r="AM9" s="115" t="s">
        <v>101</v>
      </c>
      <c r="AN9" s="115" t="s">
        <v>100</v>
      </c>
      <c r="AO9" s="115" t="s">
        <v>101</v>
      </c>
      <c r="AP9" s="115" t="s">
        <v>100</v>
      </c>
      <c r="AQ9" s="115" t="s">
        <v>101</v>
      </c>
      <c r="AR9" s="115" t="s">
        <v>100</v>
      </c>
      <c r="AS9" s="115" t="s">
        <v>101</v>
      </c>
      <c r="AT9" s="115" t="s">
        <v>100</v>
      </c>
      <c r="AU9" s="115" t="s">
        <v>101</v>
      </c>
      <c r="AV9" s="115" t="s">
        <v>100</v>
      </c>
      <c r="AW9" s="115" t="s">
        <v>101</v>
      </c>
      <c r="AX9" s="115" t="s">
        <v>100</v>
      </c>
      <c r="AY9" s="115" t="s">
        <v>101</v>
      </c>
      <c r="AZ9" s="115" t="s">
        <v>100</v>
      </c>
      <c r="BA9" s="115" t="s">
        <v>101</v>
      </c>
      <c r="BB9" s="115" t="s">
        <v>100</v>
      </c>
      <c r="BC9" s="115" t="s">
        <v>101</v>
      </c>
      <c r="BD9" s="115" t="s">
        <v>100</v>
      </c>
      <c r="BE9" s="115" t="s">
        <v>101</v>
      </c>
      <c r="BF9" s="115" t="s">
        <v>100</v>
      </c>
      <c r="BG9" s="115" t="s">
        <v>101</v>
      </c>
      <c r="BH9" s="115" t="s">
        <v>100</v>
      </c>
      <c r="BI9" s="115" t="s">
        <v>101</v>
      </c>
      <c r="BJ9" s="115" t="s">
        <v>100</v>
      </c>
      <c r="BK9" s="115" t="s">
        <v>101</v>
      </c>
      <c r="BL9" s="115" t="s">
        <v>100</v>
      </c>
      <c r="BM9" s="115" t="s">
        <v>101</v>
      </c>
      <c r="BN9" s="115" t="s">
        <v>100</v>
      </c>
      <c r="BO9" s="115" t="s">
        <v>101</v>
      </c>
      <c r="BP9" s="115" t="s">
        <v>100</v>
      </c>
      <c r="BQ9" s="115" t="s">
        <v>101</v>
      </c>
      <c r="BR9" s="115" t="s">
        <v>100</v>
      </c>
      <c r="BS9" s="115" t="s">
        <v>101</v>
      </c>
      <c r="BT9" s="115" t="s">
        <v>100</v>
      </c>
      <c r="BU9" s="115" t="s">
        <v>101</v>
      </c>
      <c r="BV9" s="115" t="s">
        <v>100</v>
      </c>
      <c r="BW9" s="115" t="s">
        <v>101</v>
      </c>
      <c r="BX9" s="115" t="s">
        <v>100</v>
      </c>
      <c r="BY9" s="115" t="s">
        <v>101</v>
      </c>
      <c r="BZ9" s="115" t="s">
        <v>100</v>
      </c>
      <c r="CA9" s="115" t="s">
        <v>101</v>
      </c>
      <c r="CB9" s="115" t="s">
        <v>100</v>
      </c>
      <c r="CC9" s="115" t="s">
        <v>101</v>
      </c>
      <c r="CD9" s="115" t="s">
        <v>100</v>
      </c>
      <c r="CE9" s="115" t="s">
        <v>101</v>
      </c>
      <c r="CF9" s="115" t="s">
        <v>100</v>
      </c>
      <c r="CG9" s="115" t="s">
        <v>101</v>
      </c>
      <c r="CH9" s="115" t="s">
        <v>100</v>
      </c>
      <c r="CI9" s="115" t="s">
        <v>101</v>
      </c>
      <c r="CJ9" s="115" t="s">
        <v>100</v>
      </c>
      <c r="CK9" s="115" t="s">
        <v>101</v>
      </c>
      <c r="CL9" s="115" t="s">
        <v>100</v>
      </c>
      <c r="CM9" s="115" t="s">
        <v>101</v>
      </c>
      <c r="CN9" s="115" t="s">
        <v>100</v>
      </c>
      <c r="CO9" s="115" t="s">
        <v>101</v>
      </c>
      <c r="CP9" s="115" t="s">
        <v>100</v>
      </c>
      <c r="CQ9" s="115" t="s">
        <v>101</v>
      </c>
      <c r="CR9" s="115" t="s">
        <v>100</v>
      </c>
      <c r="CS9" s="115" t="s">
        <v>101</v>
      </c>
      <c r="CT9" s="115" t="s">
        <v>100</v>
      </c>
      <c r="CU9" s="115" t="s">
        <v>101</v>
      </c>
      <c r="CV9" s="115" t="s">
        <v>100</v>
      </c>
      <c r="CW9" s="115" t="s">
        <v>101</v>
      </c>
      <c r="CX9" s="115" t="s">
        <v>100</v>
      </c>
      <c r="CY9" s="115" t="s">
        <v>101</v>
      </c>
      <c r="CZ9" s="115" t="s">
        <v>100</v>
      </c>
      <c r="DA9" s="115" t="s">
        <v>101</v>
      </c>
      <c r="DB9" s="115" t="s">
        <v>100</v>
      </c>
      <c r="DC9" s="115" t="s">
        <v>101</v>
      </c>
      <c r="DD9" s="115" t="s">
        <v>100</v>
      </c>
      <c r="DE9" s="115" t="s">
        <v>101</v>
      </c>
      <c r="DF9" s="115" t="s">
        <v>100</v>
      </c>
      <c r="DG9" s="115" t="s">
        <v>101</v>
      </c>
      <c r="DH9" s="115" t="s">
        <v>100</v>
      </c>
      <c r="DI9" s="115" t="s">
        <v>101</v>
      </c>
      <c r="DJ9" s="115" t="s">
        <v>100</v>
      </c>
      <c r="DK9" s="115" t="s">
        <v>101</v>
      </c>
      <c r="DL9" s="115" t="s">
        <v>100</v>
      </c>
      <c r="DM9" s="115" t="s">
        <v>101</v>
      </c>
      <c r="DN9" s="115" t="s">
        <v>100</v>
      </c>
      <c r="DO9" s="115" t="s">
        <v>101</v>
      </c>
      <c r="DP9" s="115" t="s">
        <v>100</v>
      </c>
      <c r="DQ9" s="115" t="s">
        <v>101</v>
      </c>
      <c r="DR9" s="115" t="s">
        <v>100</v>
      </c>
      <c r="DS9" s="115" t="s">
        <v>101</v>
      </c>
      <c r="DT9" s="115" t="s">
        <v>100</v>
      </c>
      <c r="DU9" s="115" t="s">
        <v>101</v>
      </c>
      <c r="DV9" s="115" t="s">
        <v>100</v>
      </c>
      <c r="DW9" s="115" t="s">
        <v>101</v>
      </c>
      <c r="DX9" s="115" t="s">
        <v>100</v>
      </c>
      <c r="DY9" s="115" t="s">
        <v>101</v>
      </c>
      <c r="DZ9" s="115" t="s">
        <v>100</v>
      </c>
      <c r="EA9" s="115" t="s">
        <v>101</v>
      </c>
      <c r="EB9" s="115" t="s">
        <v>100</v>
      </c>
      <c r="EC9" s="115" t="s">
        <v>101</v>
      </c>
      <c r="ED9" s="115" t="s">
        <v>100</v>
      </c>
      <c r="EE9" s="115" t="s">
        <v>101</v>
      </c>
      <c r="EF9" s="115" t="s">
        <v>100</v>
      </c>
      <c r="EG9" s="115" t="s">
        <v>101</v>
      </c>
      <c r="EH9" s="115" t="s">
        <v>100</v>
      </c>
      <c r="EI9" s="115" t="s">
        <v>101</v>
      </c>
      <c r="EJ9" s="115" t="s">
        <v>100</v>
      </c>
      <c r="EK9" s="115" t="s">
        <v>101</v>
      </c>
      <c r="EL9" s="115" t="s">
        <v>100</v>
      </c>
      <c r="EM9" s="115" t="s">
        <v>101</v>
      </c>
      <c r="EN9" s="115" t="s">
        <v>100</v>
      </c>
      <c r="EO9" s="115" t="s">
        <v>101</v>
      </c>
      <c r="EP9" s="115" t="s">
        <v>100</v>
      </c>
      <c r="EQ9" s="115" t="s">
        <v>101</v>
      </c>
      <c r="ER9" s="115" t="s">
        <v>100</v>
      </c>
      <c r="ES9" s="115" t="s">
        <v>101</v>
      </c>
      <c r="ET9" s="115" t="s">
        <v>100</v>
      </c>
      <c r="EU9" s="115" t="s">
        <v>101</v>
      </c>
      <c r="EV9" s="115" t="s">
        <v>100</v>
      </c>
      <c r="EW9" s="115" t="s">
        <v>101</v>
      </c>
      <c r="EX9" s="115" t="s">
        <v>100</v>
      </c>
      <c r="EY9" s="115" t="s">
        <v>101</v>
      </c>
      <c r="EZ9" s="115" t="s">
        <v>100</v>
      </c>
      <c r="FA9" s="115" t="s">
        <v>101</v>
      </c>
      <c r="FB9" s="115" t="s">
        <v>100</v>
      </c>
      <c r="FC9" s="115" t="s">
        <v>101</v>
      </c>
      <c r="FD9" s="115" t="s">
        <v>100</v>
      </c>
      <c r="FE9" s="115" t="s">
        <v>101</v>
      </c>
      <c r="FF9" s="115" t="s">
        <v>100</v>
      </c>
      <c r="FG9" s="115" t="s">
        <v>101</v>
      </c>
      <c r="FH9" s="115" t="s">
        <v>100</v>
      </c>
      <c r="FI9" s="115" t="s">
        <v>101</v>
      </c>
      <c r="FJ9" s="115" t="s">
        <v>100</v>
      </c>
      <c r="FK9" s="115" t="s">
        <v>101</v>
      </c>
      <c r="FL9" s="115" t="s">
        <v>100</v>
      </c>
      <c r="FM9" s="115" t="s">
        <v>101</v>
      </c>
    </row>
    <row r="10" spans="1:169" s="89" customFormat="1" ht="39.950000000000003" hidden="1" customHeight="1">
      <c r="A10" s="86">
        <v>1</v>
      </c>
      <c r="B10" s="87"/>
      <c r="C10" s="88" t="e">
        <f>B10-#REF!</f>
        <v>#REF!</v>
      </c>
      <c r="D10" s="88"/>
      <c r="E10" s="88" t="e">
        <f>D10-#REF!</f>
        <v>#REF!</v>
      </c>
      <c r="F10" s="87"/>
      <c r="G10" s="88" t="e">
        <f>F10-#REF!</f>
        <v>#REF!</v>
      </c>
      <c r="H10" s="88"/>
      <c r="I10" s="88" t="e">
        <f>H10-#REF!</f>
        <v>#REF!</v>
      </c>
      <c r="J10" s="88"/>
      <c r="K10" s="88" t="e">
        <f>J10-#REF!</f>
        <v>#REF!</v>
      </c>
      <c r="L10" s="87"/>
      <c r="M10" s="88" t="e">
        <f>L10-#REF!</f>
        <v>#REF!</v>
      </c>
      <c r="N10" s="87"/>
      <c r="O10" s="88" t="e">
        <f>N10-#REF!</f>
        <v>#REF!</v>
      </c>
      <c r="P10" s="88"/>
      <c r="Q10" s="88" t="e">
        <f>P10-#REF!</f>
        <v>#REF!</v>
      </c>
      <c r="R10" s="88"/>
      <c r="S10" s="88" t="e">
        <f>R10-#REF!</f>
        <v>#REF!</v>
      </c>
      <c r="T10" s="87"/>
      <c r="U10" s="88" t="e">
        <f>T10-#REF!</f>
        <v>#REF!</v>
      </c>
      <c r="V10" s="88"/>
      <c r="W10" s="88" t="e">
        <f>V10-#REF!</f>
        <v>#REF!</v>
      </c>
      <c r="X10" s="88"/>
      <c r="Y10" s="88" t="e">
        <f>X10-#REF!</f>
        <v>#REF!</v>
      </c>
      <c r="Z10" s="88"/>
      <c r="AA10" s="88" t="e">
        <f>Z10-#REF!</f>
        <v>#REF!</v>
      </c>
      <c r="AB10" s="88"/>
      <c r="AC10" s="88" t="e">
        <f>AB10-#REF!</f>
        <v>#REF!</v>
      </c>
      <c r="AD10" s="87"/>
      <c r="AE10" s="88" t="e">
        <f>AD10-#REF!</f>
        <v>#REF!</v>
      </c>
      <c r="AF10" s="88"/>
      <c r="AG10" s="88" t="e">
        <f>AF10-#REF!</f>
        <v>#REF!</v>
      </c>
      <c r="AH10" s="88"/>
      <c r="AI10" s="88" t="e">
        <f>AH10-#REF!</f>
        <v>#REF!</v>
      </c>
      <c r="AJ10" s="88"/>
      <c r="AK10" s="88" t="e">
        <f>AJ10-#REF!</f>
        <v>#REF!</v>
      </c>
      <c r="AL10" s="88"/>
      <c r="AM10" s="88" t="e">
        <f>AL10-#REF!</f>
        <v>#REF!</v>
      </c>
      <c r="AN10" s="88"/>
      <c r="AO10" s="88" t="e">
        <f>AN10-#REF!</f>
        <v>#REF!</v>
      </c>
      <c r="AP10" s="88"/>
      <c r="AQ10" s="88" t="e">
        <f>AP10-#REF!</f>
        <v>#REF!</v>
      </c>
      <c r="AR10" s="88"/>
      <c r="AS10" s="88" t="e">
        <f>AR10-#REF!</f>
        <v>#REF!</v>
      </c>
      <c r="AT10" s="88"/>
      <c r="AU10" s="88" t="e">
        <f>AT10-#REF!</f>
        <v>#REF!</v>
      </c>
      <c r="AV10" s="88"/>
      <c r="AW10" s="88" t="e">
        <f>AV10-#REF!</f>
        <v>#REF!</v>
      </c>
      <c r="AX10" s="88"/>
      <c r="AY10" s="88" t="e">
        <f>AX10-#REF!</f>
        <v>#REF!</v>
      </c>
      <c r="AZ10" s="88"/>
      <c r="BA10" s="88" t="e">
        <f>AZ10-#REF!</f>
        <v>#REF!</v>
      </c>
      <c r="BB10" s="88"/>
      <c r="BC10" s="88" t="e">
        <f>BB10-#REF!</f>
        <v>#REF!</v>
      </c>
      <c r="BD10" s="87"/>
      <c r="BE10" s="88" t="e">
        <f>BD10-#REF!</f>
        <v>#REF!</v>
      </c>
      <c r="BF10" s="87"/>
      <c r="BG10" s="88" t="e">
        <f>BF10-#REF!</f>
        <v>#REF!</v>
      </c>
      <c r="BH10" s="88"/>
      <c r="BI10" s="88" t="e">
        <f>BH10-#REF!</f>
        <v>#REF!</v>
      </c>
      <c r="BJ10" s="88"/>
      <c r="BK10" s="88" t="e">
        <f>BJ10-#REF!</f>
        <v>#REF!</v>
      </c>
      <c r="BL10" s="88"/>
      <c r="BM10" s="88" t="e">
        <f>BL10-#REF!</f>
        <v>#REF!</v>
      </c>
      <c r="BN10" s="88"/>
      <c r="BO10" s="88" t="e">
        <f>BN10-#REF!</f>
        <v>#REF!</v>
      </c>
      <c r="BP10" s="88"/>
      <c r="BQ10" s="88" t="e">
        <f>BP10-#REF!</f>
        <v>#REF!</v>
      </c>
      <c r="BR10" s="88"/>
      <c r="BS10" s="88" t="e">
        <f>BR10-#REF!</f>
        <v>#REF!</v>
      </c>
      <c r="BT10" s="88"/>
      <c r="BU10" s="88" t="e">
        <f>BT10-#REF!</f>
        <v>#REF!</v>
      </c>
      <c r="BV10" s="88"/>
      <c r="BW10" s="88" t="e">
        <f>BV10-#REF!</f>
        <v>#REF!</v>
      </c>
      <c r="BX10" s="88"/>
      <c r="BY10" s="88" t="e">
        <f>BX10-#REF!</f>
        <v>#REF!</v>
      </c>
      <c r="BZ10" s="87"/>
      <c r="CA10" s="88" t="e">
        <f>BZ10-#REF!</f>
        <v>#REF!</v>
      </c>
      <c r="CB10" s="87"/>
      <c r="CC10" s="88" t="e">
        <f>CB10-#REF!</f>
        <v>#REF!</v>
      </c>
      <c r="CD10" s="87"/>
      <c r="CE10" s="88" t="e">
        <f>CD10-#REF!</f>
        <v>#REF!</v>
      </c>
      <c r="CF10" s="87"/>
      <c r="CG10" s="88" t="e">
        <f>CF10-#REF!</f>
        <v>#REF!</v>
      </c>
      <c r="CH10" s="88"/>
      <c r="CI10" s="88" t="e">
        <f>CH10-#REF!</f>
        <v>#REF!</v>
      </c>
      <c r="CJ10" s="88"/>
      <c r="CK10" s="88" t="e">
        <f>CJ10-#REF!</f>
        <v>#REF!</v>
      </c>
      <c r="CL10" s="88"/>
      <c r="CM10" s="88" t="e">
        <f>CL10-#REF!</f>
        <v>#REF!</v>
      </c>
      <c r="CN10" s="87"/>
      <c r="CO10" s="88" t="e">
        <f>CN10-#REF!</f>
        <v>#REF!</v>
      </c>
      <c r="CP10" s="88"/>
      <c r="CQ10" s="88" t="e">
        <f>CP10-#REF!</f>
        <v>#REF!</v>
      </c>
      <c r="CR10" s="88"/>
      <c r="CS10" s="88" t="e">
        <f>CR10-#REF!</f>
        <v>#REF!</v>
      </c>
      <c r="CT10" s="88"/>
      <c r="CU10" s="88" t="e">
        <f>CT10-#REF!</f>
        <v>#REF!</v>
      </c>
      <c r="CV10" s="88"/>
      <c r="CW10" s="88" t="e">
        <f>CV10-#REF!</f>
        <v>#REF!</v>
      </c>
      <c r="CX10" s="88"/>
      <c r="CY10" s="88" t="e">
        <f>CX10-#REF!</f>
        <v>#REF!</v>
      </c>
      <c r="CZ10" s="88"/>
      <c r="DA10" s="88" t="e">
        <f>CZ10-#REF!</f>
        <v>#REF!</v>
      </c>
      <c r="DB10" s="87"/>
      <c r="DC10" s="88" t="e">
        <f>DB10-#REF!</f>
        <v>#REF!</v>
      </c>
      <c r="DD10" s="88"/>
      <c r="DE10" s="88" t="e">
        <f>DD10-#REF!</f>
        <v>#REF!</v>
      </c>
      <c r="DF10" s="88"/>
      <c r="DG10" s="88" t="e">
        <f>DF10-#REF!</f>
        <v>#REF!</v>
      </c>
      <c r="DH10" s="88"/>
      <c r="DI10" s="88" t="e">
        <f>DH10-#REF!</f>
        <v>#REF!</v>
      </c>
      <c r="DJ10" s="88"/>
      <c r="DK10" s="88" t="e">
        <f>DJ10-#REF!</f>
        <v>#REF!</v>
      </c>
      <c r="DL10" s="88"/>
      <c r="DM10" s="88" t="e">
        <f>DL10-#REF!</f>
        <v>#REF!</v>
      </c>
      <c r="DN10" s="88"/>
      <c r="DO10" s="88" t="e">
        <f>DN10-#REF!</f>
        <v>#REF!</v>
      </c>
      <c r="DP10" s="88"/>
      <c r="DQ10" s="88" t="e">
        <f>DP10-#REF!</f>
        <v>#REF!</v>
      </c>
      <c r="DR10" s="88"/>
      <c r="DS10" s="88" t="e">
        <f>DR10-#REF!</f>
        <v>#REF!</v>
      </c>
      <c r="DT10" s="88"/>
      <c r="DU10" s="88" t="e">
        <f>DT10-#REF!</f>
        <v>#REF!</v>
      </c>
      <c r="DV10" s="88"/>
      <c r="DW10" s="88" t="e">
        <f>DV10-#REF!</f>
        <v>#REF!</v>
      </c>
      <c r="DX10" s="88"/>
      <c r="DY10" s="88" t="e">
        <f>DX10-#REF!</f>
        <v>#REF!</v>
      </c>
      <c r="DZ10" s="88"/>
      <c r="EA10" s="88" t="e">
        <f>DZ10-#REF!</f>
        <v>#REF!</v>
      </c>
      <c r="EB10" s="88"/>
      <c r="EC10" s="88" t="e">
        <f>EB10-#REF!</f>
        <v>#REF!</v>
      </c>
      <c r="ED10" s="88"/>
      <c r="EE10" s="88" t="e">
        <f>ED10-#REF!</f>
        <v>#REF!</v>
      </c>
      <c r="EF10" s="88"/>
      <c r="EG10" s="88" t="e">
        <f>EF10-#REF!</f>
        <v>#REF!</v>
      </c>
      <c r="EH10" s="88"/>
      <c r="EI10" s="88" t="e">
        <f>EH10-#REF!</f>
        <v>#REF!</v>
      </c>
      <c r="EJ10" s="88"/>
      <c r="EK10" s="88" t="e">
        <f>EJ10-#REF!</f>
        <v>#REF!</v>
      </c>
      <c r="EL10" s="88"/>
      <c r="EM10" s="88" t="e">
        <f>EL10-#REF!</f>
        <v>#REF!</v>
      </c>
      <c r="EN10" s="88"/>
      <c r="EO10" s="88" t="e">
        <f>EN10-#REF!</f>
        <v>#REF!</v>
      </c>
      <c r="EP10" s="88"/>
      <c r="EQ10" s="88" t="e">
        <f>EP10-#REF!</f>
        <v>#REF!</v>
      </c>
      <c r="ER10" s="88"/>
      <c r="ES10" s="88" t="e">
        <f>ER10-#REF!</f>
        <v>#REF!</v>
      </c>
      <c r="ET10" s="88"/>
      <c r="EU10" s="88" t="e">
        <f>ET10-#REF!</f>
        <v>#REF!</v>
      </c>
      <c r="EV10" s="88"/>
      <c r="EW10" s="88" t="e">
        <f>EV10-#REF!</f>
        <v>#REF!</v>
      </c>
      <c r="EX10" s="88"/>
      <c r="EY10" s="88" t="e">
        <f>EX10-#REF!</f>
        <v>#REF!</v>
      </c>
      <c r="EZ10" s="88"/>
      <c r="FA10" s="88" t="e">
        <f>EZ10-#REF!</f>
        <v>#REF!</v>
      </c>
      <c r="FB10" s="88"/>
      <c r="FC10" s="88" t="e">
        <f>FB10-#REF!</f>
        <v>#REF!</v>
      </c>
      <c r="FD10" s="88"/>
      <c r="FE10" s="88" t="e">
        <f>FD10-#REF!</f>
        <v>#REF!</v>
      </c>
      <c r="FF10" s="88"/>
      <c r="FG10" s="88" t="e">
        <f>FF10-#REF!</f>
        <v>#REF!</v>
      </c>
      <c r="FH10" s="88"/>
      <c r="FI10" s="88" t="e">
        <f>FH10-#REF!</f>
        <v>#REF!</v>
      </c>
      <c r="FJ10" s="88"/>
      <c r="FK10" s="88" t="e">
        <f>FJ10-#REF!</f>
        <v>#REF!</v>
      </c>
      <c r="FL10" s="88"/>
      <c r="FM10" s="88" t="e">
        <f>FL10-#REF!</f>
        <v>#REF!</v>
      </c>
    </row>
    <row r="11" spans="1:169" s="89" customFormat="1" ht="39.950000000000003" hidden="1" customHeight="1">
      <c r="A11" s="86">
        <v>2</v>
      </c>
      <c r="B11" s="90"/>
      <c r="C11" s="88">
        <f t="shared" ref="C11:C12" si="0">B11-B10</f>
        <v>0</v>
      </c>
      <c r="D11" s="88"/>
      <c r="E11" s="88">
        <f t="shared" ref="E11:E12" si="1">D11-D10</f>
        <v>0</v>
      </c>
      <c r="F11" s="90"/>
      <c r="G11" s="88">
        <f t="shared" ref="G11:G12" si="2">F11-F10</f>
        <v>0</v>
      </c>
      <c r="H11" s="88"/>
      <c r="I11" s="88">
        <f t="shared" ref="I11:I12" si="3">H11-H10</f>
        <v>0</v>
      </c>
      <c r="J11" s="88"/>
      <c r="K11" s="88">
        <f t="shared" ref="K11:K12" si="4">J11-J10</f>
        <v>0</v>
      </c>
      <c r="L11" s="90"/>
      <c r="M11" s="88">
        <f t="shared" ref="M11:M12" si="5">L11-L10</f>
        <v>0</v>
      </c>
      <c r="N11" s="90"/>
      <c r="O11" s="88">
        <f t="shared" ref="O11:O12" si="6">N11-N10</f>
        <v>0</v>
      </c>
      <c r="P11" s="88"/>
      <c r="Q11" s="88">
        <f t="shared" ref="Q11:Q12" si="7">P11-P10</f>
        <v>0</v>
      </c>
      <c r="R11" s="88"/>
      <c r="S11" s="88">
        <f t="shared" ref="S11:S12" si="8">R11-R10</f>
        <v>0</v>
      </c>
      <c r="T11" s="90"/>
      <c r="U11" s="88">
        <f t="shared" ref="U11:W12" si="9">T11-T10</f>
        <v>0</v>
      </c>
      <c r="V11" s="88"/>
      <c r="W11" s="88">
        <f t="shared" si="9"/>
        <v>0</v>
      </c>
      <c r="X11" s="88"/>
      <c r="Y11" s="88">
        <f t="shared" ref="Y11:Y12" si="10">X11-X10</f>
        <v>0</v>
      </c>
      <c r="Z11" s="88"/>
      <c r="AA11" s="88">
        <f t="shared" ref="AA11:AA12" si="11">Z11-Z10</f>
        <v>0</v>
      </c>
      <c r="AB11" s="88"/>
      <c r="AC11" s="88">
        <f t="shared" ref="AC11:AC12" si="12">AB11-AB10</f>
        <v>0</v>
      </c>
      <c r="AD11" s="90"/>
      <c r="AE11" s="88">
        <f t="shared" ref="AE11:AE12" si="13">AD11-AD10</f>
        <v>0</v>
      </c>
      <c r="AF11" s="88"/>
      <c r="AG11" s="88">
        <f t="shared" ref="AG11:AG12" si="14">AF11-AF10</f>
        <v>0</v>
      </c>
      <c r="AH11" s="88"/>
      <c r="AI11" s="88">
        <f t="shared" ref="AI11:AI12" si="15">AH11-AH10</f>
        <v>0</v>
      </c>
      <c r="AJ11" s="88"/>
      <c r="AK11" s="88">
        <f t="shared" ref="AK11:AK12" si="16">AJ11-AJ10</f>
        <v>0</v>
      </c>
      <c r="AL11" s="88"/>
      <c r="AM11" s="88">
        <f t="shared" ref="AM11:AM12" si="17">AL11-AL10</f>
        <v>0</v>
      </c>
      <c r="AN11" s="88"/>
      <c r="AO11" s="88">
        <f t="shared" ref="AO11:AO12" si="18">AN11-AN10</f>
        <v>0</v>
      </c>
      <c r="AP11" s="88"/>
      <c r="AQ11" s="88">
        <f t="shared" ref="AQ11:AQ12" si="19">AP11-AP10</f>
        <v>0</v>
      </c>
      <c r="AR11" s="88"/>
      <c r="AS11" s="88">
        <f t="shared" ref="AS11:AS12" si="20">AR11-AR10</f>
        <v>0</v>
      </c>
      <c r="AT11" s="88"/>
      <c r="AU11" s="88">
        <f t="shared" ref="AU11:AU12" si="21">AT11-AT10</f>
        <v>0</v>
      </c>
      <c r="AV11" s="88"/>
      <c r="AW11" s="88">
        <f t="shared" ref="AW11:AW12" si="22">AV11-AV10</f>
        <v>0</v>
      </c>
      <c r="AX11" s="88"/>
      <c r="AY11" s="88">
        <f t="shared" ref="AY11:AY12" si="23">AX11-AX10</f>
        <v>0</v>
      </c>
      <c r="AZ11" s="88"/>
      <c r="BA11" s="88">
        <f t="shared" ref="BA11:BA12" si="24">AZ11-AZ10</f>
        <v>0</v>
      </c>
      <c r="BB11" s="88"/>
      <c r="BC11" s="88">
        <f t="shared" ref="BC11:BC12" si="25">BB11-BB10</f>
        <v>0</v>
      </c>
      <c r="BD11" s="90"/>
      <c r="BE11" s="88">
        <f t="shared" ref="BE11:BE12" si="26">BD11-BD10</f>
        <v>0</v>
      </c>
      <c r="BF11" s="90"/>
      <c r="BG11" s="88">
        <f t="shared" ref="BG11:BG12" si="27">BF11-BF10</f>
        <v>0</v>
      </c>
      <c r="BH11" s="88"/>
      <c r="BI11" s="88">
        <f t="shared" ref="BI11:BI12" si="28">BH11-BH10</f>
        <v>0</v>
      </c>
      <c r="BJ11" s="88"/>
      <c r="BK11" s="88">
        <f t="shared" ref="BK11:BK12" si="29">BJ11-BJ10</f>
        <v>0</v>
      </c>
      <c r="BL11" s="88"/>
      <c r="BM11" s="88">
        <f t="shared" ref="BM11:BM12" si="30">BL11-BL10</f>
        <v>0</v>
      </c>
      <c r="BN11" s="88"/>
      <c r="BO11" s="88">
        <f t="shared" ref="BO11:BO12" si="31">BN11-BN10</f>
        <v>0</v>
      </c>
      <c r="BP11" s="88"/>
      <c r="BQ11" s="88">
        <f t="shared" ref="BQ11:BQ12" si="32">BP11-BP10</f>
        <v>0</v>
      </c>
      <c r="BR11" s="88"/>
      <c r="BS11" s="88">
        <f t="shared" ref="BS11:BS12" si="33">BR11-BR10</f>
        <v>0</v>
      </c>
      <c r="BT11" s="88"/>
      <c r="BU11" s="88">
        <f t="shared" ref="BU11:BU12" si="34">BT11-BT10</f>
        <v>0</v>
      </c>
      <c r="BV11" s="88"/>
      <c r="BW11" s="88">
        <f t="shared" ref="BW11:BW12" si="35">BV11-BV10</f>
        <v>0</v>
      </c>
      <c r="BX11" s="88"/>
      <c r="BY11" s="88">
        <f t="shared" ref="BY11:BY12" si="36">BX11-BX10</f>
        <v>0</v>
      </c>
      <c r="BZ11" s="90"/>
      <c r="CA11" s="88">
        <f t="shared" ref="CA11:CA12" si="37">BZ11-BZ10</f>
        <v>0</v>
      </c>
      <c r="CB11" s="90"/>
      <c r="CC11" s="88">
        <f t="shared" ref="CC11:CC12" si="38">CB11-CB10</f>
        <v>0</v>
      </c>
      <c r="CD11" s="90"/>
      <c r="CE11" s="88">
        <f t="shared" ref="CE11:CE12" si="39">CD11-CD10</f>
        <v>0</v>
      </c>
      <c r="CF11" s="90"/>
      <c r="CG11" s="88">
        <f t="shared" ref="CG11:CG12" si="40">CF11-CF10</f>
        <v>0</v>
      </c>
      <c r="CH11" s="88"/>
      <c r="CI11" s="88">
        <f t="shared" ref="CI11:CI12" si="41">CH11-CH10</f>
        <v>0</v>
      </c>
      <c r="CJ11" s="88"/>
      <c r="CK11" s="88">
        <f t="shared" ref="CK11:CK12" si="42">CJ11-CJ10</f>
        <v>0</v>
      </c>
      <c r="CL11" s="88"/>
      <c r="CM11" s="88">
        <f t="shared" ref="CM11:CM12" si="43">CL11-CL10</f>
        <v>0</v>
      </c>
      <c r="CN11" s="90"/>
      <c r="CO11" s="88">
        <f t="shared" ref="CO11:CO12" si="44">CN11-CN10</f>
        <v>0</v>
      </c>
      <c r="CP11" s="88"/>
      <c r="CQ11" s="88">
        <f t="shared" ref="CQ11:CQ12" si="45">CP11-CP10</f>
        <v>0</v>
      </c>
      <c r="CR11" s="88"/>
      <c r="CS11" s="88">
        <f t="shared" ref="CS11:CS12" si="46">CR11-CR10</f>
        <v>0</v>
      </c>
      <c r="CT11" s="88"/>
      <c r="CU11" s="88">
        <f t="shared" ref="CU11:CU12" si="47">CT11-CT10</f>
        <v>0</v>
      </c>
      <c r="CV11" s="88"/>
      <c r="CW11" s="88">
        <f t="shared" ref="CW11:CW12" si="48">CV11-CV10</f>
        <v>0</v>
      </c>
      <c r="CX11" s="88"/>
      <c r="CY11" s="88">
        <f t="shared" ref="CY11:CY12" si="49">CX11-CX10</f>
        <v>0</v>
      </c>
      <c r="CZ11" s="88"/>
      <c r="DA11" s="88">
        <f t="shared" ref="DA11:DA12" si="50">CZ11-CZ10</f>
        <v>0</v>
      </c>
      <c r="DB11" s="90"/>
      <c r="DC11" s="88">
        <f t="shared" ref="DC11:DC12" si="51">DB11-DB10</f>
        <v>0</v>
      </c>
      <c r="DD11" s="88"/>
      <c r="DE11" s="88">
        <f t="shared" ref="DE11:DE12" si="52">DD11-DD10</f>
        <v>0</v>
      </c>
      <c r="DF11" s="88"/>
      <c r="DG11" s="88">
        <f t="shared" ref="DG11:DG12" si="53">DF11-DF10</f>
        <v>0</v>
      </c>
      <c r="DH11" s="88"/>
      <c r="DI11" s="88">
        <f t="shared" ref="DI11:DI12" si="54">DH11-DH10</f>
        <v>0</v>
      </c>
      <c r="DJ11" s="88"/>
      <c r="DK11" s="88">
        <f t="shared" ref="DK11:DK12" si="55">DJ11-DJ10</f>
        <v>0</v>
      </c>
      <c r="DL11" s="88"/>
      <c r="DM11" s="88">
        <f t="shared" ref="DM11:DM12" si="56">DL11-DL10</f>
        <v>0</v>
      </c>
      <c r="DN11" s="88"/>
      <c r="DO11" s="88">
        <f t="shared" ref="DO11:DO12" si="57">DN11-DN10</f>
        <v>0</v>
      </c>
      <c r="DP11" s="88"/>
      <c r="DQ11" s="88">
        <f t="shared" ref="DQ11:DQ12" si="58">DP11-DP10</f>
        <v>0</v>
      </c>
      <c r="DR11" s="88"/>
      <c r="DS11" s="88">
        <f t="shared" ref="DS11:DS12" si="59">DR11-DR10</f>
        <v>0</v>
      </c>
      <c r="DT11" s="88"/>
      <c r="DU11" s="88">
        <f t="shared" ref="DU11:DU12" si="60">DT11-DT10</f>
        <v>0</v>
      </c>
      <c r="DV11" s="88"/>
      <c r="DW11" s="88">
        <f t="shared" ref="DW11:DW12" si="61">DV11-DV10</f>
        <v>0</v>
      </c>
      <c r="DX11" s="88"/>
      <c r="DY11" s="88">
        <f t="shared" ref="DY11:DY12" si="62">DX11-DX10</f>
        <v>0</v>
      </c>
      <c r="DZ11" s="88"/>
      <c r="EA11" s="88">
        <f t="shared" ref="EA11:EA12" si="63">DZ11-DZ10</f>
        <v>0</v>
      </c>
      <c r="EB11" s="88"/>
      <c r="EC11" s="88">
        <f t="shared" ref="EC11:EC12" si="64">EB11-EB10</f>
        <v>0</v>
      </c>
      <c r="ED11" s="88"/>
      <c r="EE11" s="88">
        <f t="shared" ref="EE11:EE12" si="65">ED11-ED10</f>
        <v>0</v>
      </c>
      <c r="EF11" s="88"/>
      <c r="EG11" s="88">
        <f t="shared" ref="EG11:EG12" si="66">EF11-EF10</f>
        <v>0</v>
      </c>
      <c r="EH11" s="88"/>
      <c r="EI11" s="88">
        <f t="shared" ref="EI11:EI12" si="67">EH11-EH10</f>
        <v>0</v>
      </c>
      <c r="EJ11" s="88"/>
      <c r="EK11" s="88">
        <f t="shared" ref="EK11:EK12" si="68">EJ11-EJ10</f>
        <v>0</v>
      </c>
      <c r="EL11" s="88"/>
      <c r="EM11" s="88">
        <f t="shared" ref="EM11:EM12" si="69">EL11-EL10</f>
        <v>0</v>
      </c>
      <c r="EN11" s="88"/>
      <c r="EO11" s="88">
        <f t="shared" ref="EO11:EO12" si="70">EN11-EN10</f>
        <v>0</v>
      </c>
      <c r="EP11" s="88"/>
      <c r="EQ11" s="88">
        <f t="shared" ref="EQ11:EQ12" si="71">EP11-EP10</f>
        <v>0</v>
      </c>
      <c r="ER11" s="88"/>
      <c r="ES11" s="88">
        <f t="shared" ref="ES11:ES12" si="72">ER11-ER10</f>
        <v>0</v>
      </c>
      <c r="ET11" s="88"/>
      <c r="EU11" s="88">
        <f t="shared" ref="EU11:EU12" si="73">ET11-ET10</f>
        <v>0</v>
      </c>
      <c r="EV11" s="88"/>
      <c r="EW11" s="88">
        <f t="shared" ref="EW11:EW12" si="74">EV11-EV10</f>
        <v>0</v>
      </c>
      <c r="EX11" s="88"/>
      <c r="EY11" s="88">
        <f t="shared" ref="EY11:EY12" si="75">EX11-EX10</f>
        <v>0</v>
      </c>
      <c r="EZ11" s="88"/>
      <c r="FA11" s="88">
        <f t="shared" ref="FA11:FA12" si="76">EZ11-EZ10</f>
        <v>0</v>
      </c>
      <c r="FB11" s="88"/>
      <c r="FC11" s="88">
        <f t="shared" ref="FC11:FC12" si="77">FB11-FB10</f>
        <v>0</v>
      </c>
      <c r="FD11" s="88"/>
      <c r="FE11" s="88">
        <f t="shared" ref="FE11:FE12" si="78">FD11-FD10</f>
        <v>0</v>
      </c>
      <c r="FF11" s="88"/>
      <c r="FG11" s="88">
        <f t="shared" ref="FG11:FG12" si="79">FF11-FF10</f>
        <v>0</v>
      </c>
      <c r="FH11" s="88"/>
      <c r="FI11" s="88">
        <f t="shared" ref="FI11:FI12" si="80">FH11-FH10</f>
        <v>0</v>
      </c>
      <c r="FJ11" s="88"/>
      <c r="FK11" s="88">
        <f t="shared" ref="FK11:FK12" si="81">FJ11-FJ10</f>
        <v>0</v>
      </c>
      <c r="FL11" s="88"/>
      <c r="FM11" s="88">
        <f t="shared" ref="FM11:FM12" si="82">FL11-FL10</f>
        <v>0</v>
      </c>
    </row>
    <row r="12" spans="1:169" s="89" customFormat="1" ht="39.950000000000003" hidden="1" customHeight="1">
      <c r="A12" s="86">
        <v>3</v>
      </c>
      <c r="B12" s="90"/>
      <c r="C12" s="88">
        <f t="shared" si="0"/>
        <v>0</v>
      </c>
      <c r="D12" s="88"/>
      <c r="E12" s="88">
        <f t="shared" si="1"/>
        <v>0</v>
      </c>
      <c r="F12" s="90"/>
      <c r="G12" s="88">
        <f t="shared" si="2"/>
        <v>0</v>
      </c>
      <c r="H12" s="88"/>
      <c r="I12" s="88">
        <f t="shared" si="3"/>
        <v>0</v>
      </c>
      <c r="J12" s="88"/>
      <c r="K12" s="88">
        <f t="shared" si="4"/>
        <v>0</v>
      </c>
      <c r="L12" s="90"/>
      <c r="M12" s="88">
        <f t="shared" si="5"/>
        <v>0</v>
      </c>
      <c r="N12" s="90"/>
      <c r="O12" s="88">
        <f t="shared" si="6"/>
        <v>0</v>
      </c>
      <c r="P12" s="88"/>
      <c r="Q12" s="88">
        <f t="shared" si="7"/>
        <v>0</v>
      </c>
      <c r="R12" s="88"/>
      <c r="S12" s="88">
        <f t="shared" si="8"/>
        <v>0</v>
      </c>
      <c r="T12" s="90"/>
      <c r="U12" s="88">
        <f t="shared" si="9"/>
        <v>0</v>
      </c>
      <c r="V12" s="88"/>
      <c r="W12" s="88">
        <f t="shared" si="9"/>
        <v>0</v>
      </c>
      <c r="X12" s="88"/>
      <c r="Y12" s="88">
        <f t="shared" si="10"/>
        <v>0</v>
      </c>
      <c r="Z12" s="88"/>
      <c r="AA12" s="88">
        <f t="shared" si="11"/>
        <v>0</v>
      </c>
      <c r="AB12" s="88"/>
      <c r="AC12" s="88">
        <f t="shared" si="12"/>
        <v>0</v>
      </c>
      <c r="AD12" s="90"/>
      <c r="AE12" s="88">
        <f t="shared" si="13"/>
        <v>0</v>
      </c>
      <c r="AF12" s="88"/>
      <c r="AG12" s="88">
        <f t="shared" si="14"/>
        <v>0</v>
      </c>
      <c r="AH12" s="88"/>
      <c r="AI12" s="88">
        <f t="shared" si="15"/>
        <v>0</v>
      </c>
      <c r="AJ12" s="88"/>
      <c r="AK12" s="88">
        <f t="shared" si="16"/>
        <v>0</v>
      </c>
      <c r="AL12" s="88"/>
      <c r="AM12" s="88">
        <f t="shared" si="17"/>
        <v>0</v>
      </c>
      <c r="AN12" s="88"/>
      <c r="AO12" s="88">
        <f t="shared" si="18"/>
        <v>0</v>
      </c>
      <c r="AP12" s="88"/>
      <c r="AQ12" s="88">
        <f t="shared" si="19"/>
        <v>0</v>
      </c>
      <c r="AR12" s="88"/>
      <c r="AS12" s="88">
        <f t="shared" si="20"/>
        <v>0</v>
      </c>
      <c r="AT12" s="88"/>
      <c r="AU12" s="88">
        <f t="shared" si="21"/>
        <v>0</v>
      </c>
      <c r="AV12" s="88"/>
      <c r="AW12" s="88">
        <f t="shared" si="22"/>
        <v>0</v>
      </c>
      <c r="AX12" s="88"/>
      <c r="AY12" s="88">
        <f t="shared" si="23"/>
        <v>0</v>
      </c>
      <c r="AZ12" s="88"/>
      <c r="BA12" s="88">
        <f t="shared" si="24"/>
        <v>0</v>
      </c>
      <c r="BB12" s="88"/>
      <c r="BC12" s="88">
        <f t="shared" si="25"/>
        <v>0</v>
      </c>
      <c r="BD12" s="90"/>
      <c r="BE12" s="88">
        <f t="shared" si="26"/>
        <v>0</v>
      </c>
      <c r="BF12" s="90"/>
      <c r="BG12" s="88">
        <f t="shared" si="27"/>
        <v>0</v>
      </c>
      <c r="BH12" s="88"/>
      <c r="BI12" s="88">
        <f t="shared" si="28"/>
        <v>0</v>
      </c>
      <c r="BJ12" s="88"/>
      <c r="BK12" s="88">
        <f t="shared" si="29"/>
        <v>0</v>
      </c>
      <c r="BL12" s="88"/>
      <c r="BM12" s="88">
        <f t="shared" si="30"/>
        <v>0</v>
      </c>
      <c r="BN12" s="88"/>
      <c r="BO12" s="88">
        <f t="shared" si="31"/>
        <v>0</v>
      </c>
      <c r="BP12" s="88"/>
      <c r="BQ12" s="88">
        <f t="shared" si="32"/>
        <v>0</v>
      </c>
      <c r="BR12" s="88"/>
      <c r="BS12" s="88">
        <f t="shared" si="33"/>
        <v>0</v>
      </c>
      <c r="BT12" s="88"/>
      <c r="BU12" s="88">
        <f t="shared" si="34"/>
        <v>0</v>
      </c>
      <c r="BV12" s="88"/>
      <c r="BW12" s="88">
        <f t="shared" si="35"/>
        <v>0</v>
      </c>
      <c r="BX12" s="88"/>
      <c r="BY12" s="88">
        <f t="shared" si="36"/>
        <v>0</v>
      </c>
      <c r="BZ12" s="90"/>
      <c r="CA12" s="88">
        <f t="shared" si="37"/>
        <v>0</v>
      </c>
      <c r="CB12" s="90"/>
      <c r="CC12" s="88">
        <f t="shared" si="38"/>
        <v>0</v>
      </c>
      <c r="CD12" s="90"/>
      <c r="CE12" s="88">
        <f t="shared" si="39"/>
        <v>0</v>
      </c>
      <c r="CF12" s="90"/>
      <c r="CG12" s="88">
        <f t="shared" si="40"/>
        <v>0</v>
      </c>
      <c r="CH12" s="88"/>
      <c r="CI12" s="88">
        <f t="shared" si="41"/>
        <v>0</v>
      </c>
      <c r="CJ12" s="88"/>
      <c r="CK12" s="88">
        <f t="shared" si="42"/>
        <v>0</v>
      </c>
      <c r="CL12" s="88"/>
      <c r="CM12" s="88">
        <f t="shared" si="43"/>
        <v>0</v>
      </c>
      <c r="CN12" s="90"/>
      <c r="CO12" s="88">
        <f t="shared" si="44"/>
        <v>0</v>
      </c>
      <c r="CP12" s="88"/>
      <c r="CQ12" s="88">
        <f t="shared" si="45"/>
        <v>0</v>
      </c>
      <c r="CR12" s="88"/>
      <c r="CS12" s="88">
        <f t="shared" si="46"/>
        <v>0</v>
      </c>
      <c r="CT12" s="88"/>
      <c r="CU12" s="88">
        <f t="shared" si="47"/>
        <v>0</v>
      </c>
      <c r="CV12" s="88"/>
      <c r="CW12" s="88">
        <f t="shared" si="48"/>
        <v>0</v>
      </c>
      <c r="CX12" s="88"/>
      <c r="CY12" s="88">
        <f t="shared" si="49"/>
        <v>0</v>
      </c>
      <c r="CZ12" s="88"/>
      <c r="DA12" s="88">
        <f t="shared" si="50"/>
        <v>0</v>
      </c>
      <c r="DB12" s="90"/>
      <c r="DC12" s="88">
        <f t="shared" si="51"/>
        <v>0</v>
      </c>
      <c r="DD12" s="88"/>
      <c r="DE12" s="88">
        <f t="shared" si="52"/>
        <v>0</v>
      </c>
      <c r="DF12" s="88"/>
      <c r="DG12" s="88">
        <f t="shared" si="53"/>
        <v>0</v>
      </c>
      <c r="DH12" s="88"/>
      <c r="DI12" s="88">
        <f t="shared" si="54"/>
        <v>0</v>
      </c>
      <c r="DJ12" s="88"/>
      <c r="DK12" s="88">
        <f t="shared" si="55"/>
        <v>0</v>
      </c>
      <c r="DL12" s="88"/>
      <c r="DM12" s="88">
        <f t="shared" si="56"/>
        <v>0</v>
      </c>
      <c r="DN12" s="88"/>
      <c r="DO12" s="88">
        <f t="shared" si="57"/>
        <v>0</v>
      </c>
      <c r="DP12" s="88"/>
      <c r="DQ12" s="88">
        <f t="shared" si="58"/>
        <v>0</v>
      </c>
      <c r="DR12" s="88"/>
      <c r="DS12" s="88">
        <f t="shared" si="59"/>
        <v>0</v>
      </c>
      <c r="DT12" s="88"/>
      <c r="DU12" s="88">
        <f t="shared" si="60"/>
        <v>0</v>
      </c>
      <c r="DV12" s="88"/>
      <c r="DW12" s="88">
        <f t="shared" si="61"/>
        <v>0</v>
      </c>
      <c r="DX12" s="88"/>
      <c r="DY12" s="88">
        <f t="shared" si="62"/>
        <v>0</v>
      </c>
      <c r="DZ12" s="88"/>
      <c r="EA12" s="88">
        <f t="shared" si="63"/>
        <v>0</v>
      </c>
      <c r="EB12" s="88"/>
      <c r="EC12" s="88">
        <f t="shared" si="64"/>
        <v>0</v>
      </c>
      <c r="ED12" s="88"/>
      <c r="EE12" s="88">
        <f t="shared" si="65"/>
        <v>0</v>
      </c>
      <c r="EF12" s="88"/>
      <c r="EG12" s="88">
        <f t="shared" si="66"/>
        <v>0</v>
      </c>
      <c r="EH12" s="88"/>
      <c r="EI12" s="88">
        <f t="shared" si="67"/>
        <v>0</v>
      </c>
      <c r="EJ12" s="88"/>
      <c r="EK12" s="88">
        <f t="shared" si="68"/>
        <v>0</v>
      </c>
      <c r="EL12" s="88"/>
      <c r="EM12" s="88">
        <f t="shared" si="69"/>
        <v>0</v>
      </c>
      <c r="EN12" s="88"/>
      <c r="EO12" s="88">
        <f t="shared" si="70"/>
        <v>0</v>
      </c>
      <c r="EP12" s="88"/>
      <c r="EQ12" s="88">
        <f t="shared" si="71"/>
        <v>0</v>
      </c>
      <c r="ER12" s="88"/>
      <c r="ES12" s="88">
        <f t="shared" si="72"/>
        <v>0</v>
      </c>
      <c r="ET12" s="88"/>
      <c r="EU12" s="88">
        <f t="shared" si="73"/>
        <v>0</v>
      </c>
      <c r="EV12" s="88"/>
      <c r="EW12" s="88">
        <f t="shared" si="74"/>
        <v>0</v>
      </c>
      <c r="EX12" s="88"/>
      <c r="EY12" s="88">
        <f t="shared" si="75"/>
        <v>0</v>
      </c>
      <c r="EZ12" s="88"/>
      <c r="FA12" s="88">
        <f t="shared" si="76"/>
        <v>0</v>
      </c>
      <c r="FB12" s="88"/>
      <c r="FC12" s="88">
        <f t="shared" si="77"/>
        <v>0</v>
      </c>
      <c r="FD12" s="88"/>
      <c r="FE12" s="88">
        <f t="shared" si="78"/>
        <v>0</v>
      </c>
      <c r="FF12" s="88"/>
      <c r="FG12" s="88">
        <f t="shared" si="79"/>
        <v>0</v>
      </c>
      <c r="FH12" s="88"/>
      <c r="FI12" s="88">
        <f t="shared" si="80"/>
        <v>0</v>
      </c>
      <c r="FJ12" s="88"/>
      <c r="FK12" s="88">
        <f t="shared" si="81"/>
        <v>0</v>
      </c>
      <c r="FL12" s="88"/>
      <c r="FM12" s="88">
        <f t="shared" si="82"/>
        <v>0</v>
      </c>
    </row>
    <row r="13" spans="1:169" s="89" customFormat="1" ht="30" hidden="1" customHeight="1">
      <c r="A13" s="91">
        <v>44164</v>
      </c>
      <c r="B13" s="92">
        <v>20719855</v>
      </c>
      <c r="C13" s="88"/>
      <c r="D13" s="92">
        <v>2309755</v>
      </c>
      <c r="E13" s="88"/>
      <c r="F13" s="92">
        <v>27577495</v>
      </c>
      <c r="G13" s="88"/>
      <c r="H13" s="92">
        <v>5741702</v>
      </c>
      <c r="I13" s="88"/>
      <c r="J13" s="88"/>
      <c r="K13" s="88"/>
      <c r="L13" s="92">
        <v>21644715</v>
      </c>
      <c r="M13" s="92"/>
      <c r="N13" s="92">
        <v>72690276</v>
      </c>
      <c r="O13" s="92"/>
      <c r="P13" s="92">
        <v>24085</v>
      </c>
      <c r="Q13" s="92"/>
      <c r="R13" s="92">
        <v>4854</v>
      </c>
      <c r="S13" s="92"/>
      <c r="T13" s="92">
        <v>31534519</v>
      </c>
      <c r="U13" s="92"/>
      <c r="V13" s="92">
        <v>1620706</v>
      </c>
      <c r="W13" s="92"/>
      <c r="X13" s="92">
        <v>1869285</v>
      </c>
      <c r="Y13" s="92"/>
      <c r="Z13" s="92">
        <v>3493683</v>
      </c>
      <c r="AA13" s="88"/>
      <c r="AB13" s="88"/>
      <c r="AC13" s="88"/>
      <c r="AD13" s="92">
        <v>54750061</v>
      </c>
      <c r="AE13" s="92"/>
      <c r="AF13" s="92">
        <v>9928605</v>
      </c>
      <c r="AG13" s="92"/>
      <c r="AH13" s="92">
        <v>1543241</v>
      </c>
      <c r="AI13" s="92"/>
      <c r="AJ13" s="92">
        <v>1765766</v>
      </c>
      <c r="AK13" s="92"/>
      <c r="AL13" s="92">
        <v>4840746</v>
      </c>
      <c r="AM13" s="92"/>
      <c r="AN13" s="92">
        <v>5145375</v>
      </c>
      <c r="AO13" s="92"/>
      <c r="AP13" s="92"/>
      <c r="AQ13" s="92"/>
      <c r="AR13" s="92">
        <v>1135906</v>
      </c>
      <c r="AS13" s="92"/>
      <c r="AT13" s="92">
        <v>3136598</v>
      </c>
      <c r="AU13" s="92"/>
      <c r="AV13" s="92"/>
      <c r="AW13" s="92"/>
      <c r="AX13" s="92">
        <v>573215</v>
      </c>
      <c r="AY13" s="92"/>
      <c r="AZ13" s="92">
        <v>2362536</v>
      </c>
      <c r="BA13" s="92"/>
      <c r="BB13" s="92">
        <v>4682420</v>
      </c>
      <c r="BC13" s="92"/>
      <c r="BD13" s="92">
        <v>41633661</v>
      </c>
      <c r="BE13" s="92"/>
      <c r="BF13" s="92">
        <v>58903580</v>
      </c>
      <c r="BG13" s="92"/>
      <c r="BH13" s="92">
        <v>433909</v>
      </c>
      <c r="BI13" s="92"/>
      <c r="BJ13" s="92">
        <v>11237838</v>
      </c>
      <c r="BK13" s="92"/>
      <c r="BL13" s="92">
        <v>1588628</v>
      </c>
      <c r="BM13" s="92"/>
      <c r="BN13" s="92">
        <v>2339737</v>
      </c>
      <c r="BO13" s="92"/>
      <c r="BP13" s="92">
        <v>10670942</v>
      </c>
      <c r="BQ13" s="92"/>
      <c r="BR13" s="92">
        <v>2621720</v>
      </c>
      <c r="BS13" s="92"/>
      <c r="BT13" s="92">
        <v>13055589</v>
      </c>
      <c r="BU13" s="92"/>
      <c r="BV13" s="92">
        <v>10240858</v>
      </c>
      <c r="BW13" s="92"/>
      <c r="BX13" s="92">
        <v>1576928</v>
      </c>
      <c r="BY13" s="92"/>
      <c r="BZ13" s="92">
        <v>19903655</v>
      </c>
      <c r="CA13" s="92"/>
      <c r="CB13" s="92">
        <v>17452477</v>
      </c>
      <c r="CC13" s="92"/>
      <c r="CD13" s="92">
        <v>18093826</v>
      </c>
      <c r="CE13" s="92"/>
      <c r="CF13" s="92">
        <v>14090713</v>
      </c>
      <c r="CG13" s="92"/>
      <c r="CH13" s="92">
        <v>4292685</v>
      </c>
      <c r="CI13" s="92"/>
      <c r="CJ13" s="92">
        <v>4768410</v>
      </c>
      <c r="CK13" s="92"/>
      <c r="CL13" s="92">
        <v>2715833</v>
      </c>
      <c r="CM13" s="92"/>
      <c r="CN13" s="92">
        <v>69366836</v>
      </c>
      <c r="CO13" s="92"/>
      <c r="CP13" s="92">
        <v>4457006</v>
      </c>
      <c r="CQ13" s="92"/>
      <c r="CR13" s="92">
        <v>5179924</v>
      </c>
      <c r="CS13" s="92"/>
      <c r="CT13" s="92">
        <v>3051686</v>
      </c>
      <c r="CU13" s="92"/>
      <c r="CV13" s="92">
        <v>41462423</v>
      </c>
      <c r="CW13" s="92"/>
      <c r="CX13" s="92">
        <v>6339859</v>
      </c>
      <c r="CY13" s="92"/>
      <c r="CZ13" s="92">
        <v>6298254</v>
      </c>
      <c r="DA13" s="92"/>
      <c r="DB13" s="92">
        <v>56595458</v>
      </c>
      <c r="DC13" s="92"/>
      <c r="DD13" s="92">
        <v>1995363</v>
      </c>
      <c r="DE13" s="92"/>
      <c r="DF13" s="92">
        <v>21900574</v>
      </c>
      <c r="DG13" s="92"/>
      <c r="DH13" s="92">
        <v>32287102</v>
      </c>
      <c r="DI13" s="92"/>
      <c r="DJ13" s="88"/>
      <c r="DK13" s="88"/>
      <c r="DL13" s="92">
        <v>985449</v>
      </c>
      <c r="DM13" s="92"/>
      <c r="DN13" s="92">
        <v>1051789</v>
      </c>
      <c r="DO13" s="92"/>
      <c r="DP13" s="92">
        <v>1174546</v>
      </c>
      <c r="DQ13" s="92"/>
      <c r="DR13" s="92">
        <v>1158600</v>
      </c>
      <c r="DS13" s="92"/>
      <c r="DT13" s="92">
        <v>956607</v>
      </c>
      <c r="DU13" s="92"/>
      <c r="DV13" s="92">
        <v>1315647</v>
      </c>
      <c r="DW13" s="92"/>
      <c r="DX13" s="92">
        <v>805043</v>
      </c>
      <c r="DY13" s="92"/>
      <c r="DZ13" s="92">
        <v>1442</v>
      </c>
      <c r="EA13" s="92"/>
      <c r="EB13" s="92">
        <v>381210</v>
      </c>
      <c r="EC13" s="92"/>
      <c r="ED13" s="92">
        <v>879695</v>
      </c>
      <c r="EE13" s="92"/>
      <c r="EF13" s="92">
        <v>426017</v>
      </c>
      <c r="EG13" s="92"/>
      <c r="EH13" s="92">
        <v>2598</v>
      </c>
      <c r="EI13" s="92"/>
      <c r="EJ13" s="92">
        <v>973497</v>
      </c>
      <c r="EK13" s="92"/>
      <c r="EL13" s="92">
        <v>3483419</v>
      </c>
      <c r="EM13" s="92"/>
      <c r="EN13" s="92">
        <v>3855441</v>
      </c>
      <c r="EO13" s="92"/>
      <c r="EP13" s="92">
        <v>4206509</v>
      </c>
      <c r="EQ13" s="92"/>
      <c r="ER13" s="92">
        <v>5316340</v>
      </c>
      <c r="ES13" s="92"/>
      <c r="ET13" s="92">
        <v>4357712</v>
      </c>
      <c r="EU13" s="92"/>
      <c r="EV13" s="92">
        <v>4493549</v>
      </c>
      <c r="EW13" s="92"/>
      <c r="EX13" s="92">
        <v>8795651</v>
      </c>
      <c r="EY13" s="92"/>
      <c r="EZ13" s="92">
        <v>8690877</v>
      </c>
      <c r="FA13" s="92"/>
      <c r="FB13" s="92">
        <v>8658550</v>
      </c>
      <c r="FC13" s="92"/>
      <c r="FD13" s="92">
        <v>8162796</v>
      </c>
      <c r="FE13" s="92"/>
      <c r="FF13" s="92">
        <v>5142248</v>
      </c>
      <c r="FG13" s="92"/>
      <c r="FH13" s="92">
        <v>3343928</v>
      </c>
      <c r="FI13" s="92"/>
      <c r="FJ13" s="92">
        <v>1568349</v>
      </c>
      <c r="FK13" s="92"/>
      <c r="FL13" s="88"/>
      <c r="FM13" s="88"/>
    </row>
    <row r="14" spans="1:169" s="89" customFormat="1" ht="30" customHeight="1">
      <c r="A14" s="91">
        <v>44165</v>
      </c>
      <c r="B14" s="92">
        <v>20721836</v>
      </c>
      <c r="C14" s="88">
        <f>B14-B13</f>
        <v>1981</v>
      </c>
      <c r="D14" s="92">
        <v>2309934</v>
      </c>
      <c r="E14" s="88">
        <f>D14-D13</f>
        <v>179</v>
      </c>
      <c r="F14" s="92">
        <v>27580882</v>
      </c>
      <c r="G14" s="88">
        <f>F14-F13</f>
        <v>3387</v>
      </c>
      <c r="H14" s="92">
        <v>5742206</v>
      </c>
      <c r="I14" s="88">
        <f>H14-H13</f>
        <v>504</v>
      </c>
      <c r="J14" s="88"/>
      <c r="K14" s="88"/>
      <c r="L14" s="92">
        <v>21646540</v>
      </c>
      <c r="M14" s="92">
        <f>L14-L13</f>
        <v>1825</v>
      </c>
      <c r="N14" s="92">
        <v>72699262</v>
      </c>
      <c r="O14" s="92">
        <f>N14-N13</f>
        <v>8986</v>
      </c>
      <c r="P14" s="92">
        <v>24090</v>
      </c>
      <c r="Q14" s="92">
        <f>P14-P13</f>
        <v>5</v>
      </c>
      <c r="R14" s="92">
        <v>4854</v>
      </c>
      <c r="S14" s="92">
        <f>R14-R13</f>
        <v>0</v>
      </c>
      <c r="T14" s="92">
        <v>31538109</v>
      </c>
      <c r="U14" s="92">
        <f>T14-T13</f>
        <v>3590</v>
      </c>
      <c r="V14" s="92">
        <v>1620934</v>
      </c>
      <c r="W14" s="92">
        <f>V14-V13</f>
        <v>228</v>
      </c>
      <c r="X14" s="92">
        <v>1869521</v>
      </c>
      <c r="Y14" s="92">
        <f>X14-X13</f>
        <v>236</v>
      </c>
      <c r="Z14" s="92">
        <v>3494265</v>
      </c>
      <c r="AA14" s="88">
        <f>Z14-Z13</f>
        <v>582</v>
      </c>
      <c r="AB14" s="88"/>
      <c r="AC14" s="88"/>
      <c r="AD14" s="92">
        <v>54756556</v>
      </c>
      <c r="AE14" s="92">
        <f>AD14-AD13</f>
        <v>6495</v>
      </c>
      <c r="AF14" s="92">
        <v>9929997</v>
      </c>
      <c r="AG14" s="92">
        <f>AF14-AF13</f>
        <v>1392</v>
      </c>
      <c r="AH14" s="92">
        <v>1543431</v>
      </c>
      <c r="AI14" s="92">
        <f>AH14-AH13</f>
        <v>190</v>
      </c>
      <c r="AJ14" s="92">
        <v>1765974</v>
      </c>
      <c r="AK14" s="92">
        <f>AJ14-AJ13</f>
        <v>208</v>
      </c>
      <c r="AL14" s="92">
        <v>4841269</v>
      </c>
      <c r="AM14" s="92">
        <f>AL14-AL13</f>
        <v>523</v>
      </c>
      <c r="AN14" s="92">
        <v>5146274</v>
      </c>
      <c r="AO14" s="92">
        <f>AN14-AN13</f>
        <v>899</v>
      </c>
      <c r="AP14" s="92"/>
      <c r="AQ14" s="92"/>
      <c r="AR14" s="92">
        <v>1135906</v>
      </c>
      <c r="AS14" s="92">
        <f>AR14-AR13</f>
        <v>0</v>
      </c>
      <c r="AT14" s="92">
        <v>3137092</v>
      </c>
      <c r="AU14" s="92">
        <f>AT14-AT13</f>
        <v>494</v>
      </c>
      <c r="AV14" s="92"/>
      <c r="AW14" s="92"/>
      <c r="AX14" s="92">
        <v>573402</v>
      </c>
      <c r="AY14" s="92">
        <f>AX14-AX13</f>
        <v>187</v>
      </c>
      <c r="AZ14" s="92">
        <v>2362593</v>
      </c>
      <c r="BA14" s="92">
        <f>AZ14-AZ13</f>
        <v>57</v>
      </c>
      <c r="BB14" s="92">
        <v>4683144</v>
      </c>
      <c r="BC14" s="92">
        <f>BB14-BB13</f>
        <v>724</v>
      </c>
      <c r="BD14" s="92">
        <v>41639527</v>
      </c>
      <c r="BE14" s="92">
        <f>BD14-BD13</f>
        <v>5866</v>
      </c>
      <c r="BF14" s="92">
        <v>58912618</v>
      </c>
      <c r="BG14" s="92">
        <f>BF14-BF13</f>
        <v>9038</v>
      </c>
      <c r="BH14" s="92">
        <v>434043</v>
      </c>
      <c r="BI14" s="92">
        <f>BH14-BH13</f>
        <v>134</v>
      </c>
      <c r="BJ14" s="92">
        <v>11239630</v>
      </c>
      <c r="BK14" s="92">
        <f>BJ14-BJ13</f>
        <v>1792</v>
      </c>
      <c r="BL14" s="92">
        <v>1589038</v>
      </c>
      <c r="BM14" s="92">
        <f>BL14-BL13</f>
        <v>410</v>
      </c>
      <c r="BN14" s="92">
        <v>2339842</v>
      </c>
      <c r="BO14" s="92">
        <f>BN14-BN13</f>
        <v>105</v>
      </c>
      <c r="BP14" s="92">
        <v>10672733</v>
      </c>
      <c r="BQ14" s="92">
        <f>BP14-BP13</f>
        <v>1791</v>
      </c>
      <c r="BR14" s="92">
        <v>2621932</v>
      </c>
      <c r="BS14" s="92">
        <f>BR14-BR13</f>
        <v>212</v>
      </c>
      <c r="BT14" s="92">
        <v>13057528</v>
      </c>
      <c r="BU14" s="92">
        <f>BT14-BT13</f>
        <v>1939</v>
      </c>
      <c r="BV14" s="92">
        <v>10242441</v>
      </c>
      <c r="BW14" s="92">
        <f>BV14-BV13</f>
        <v>1583</v>
      </c>
      <c r="BX14" s="92">
        <v>1577142</v>
      </c>
      <c r="BY14" s="92">
        <f>BX14-BX13</f>
        <v>214</v>
      </c>
      <c r="BZ14" s="92">
        <v>19903655</v>
      </c>
      <c r="CA14" s="92">
        <f>BZ14-BZ13</f>
        <v>0</v>
      </c>
      <c r="CB14" s="92">
        <v>17452478</v>
      </c>
      <c r="CC14" s="92">
        <f>CB14-CB13</f>
        <v>1</v>
      </c>
      <c r="CD14" s="92">
        <v>18101553</v>
      </c>
      <c r="CE14" s="92">
        <f>CD14-CD13</f>
        <v>7727</v>
      </c>
      <c r="CF14" s="92">
        <v>14091707</v>
      </c>
      <c r="CG14" s="92">
        <f>CF14-CF13</f>
        <v>994</v>
      </c>
      <c r="CH14" s="92">
        <v>4293115</v>
      </c>
      <c r="CI14" s="92">
        <f>CH14-CH13</f>
        <v>430</v>
      </c>
      <c r="CJ14" s="92">
        <v>4768822</v>
      </c>
      <c r="CK14" s="92">
        <f>CJ14-CJ13</f>
        <v>412</v>
      </c>
      <c r="CL14" s="92">
        <v>2715988</v>
      </c>
      <c r="CM14" s="92">
        <f>CL14-CL13</f>
        <v>155</v>
      </c>
      <c r="CN14" s="92">
        <v>69370016</v>
      </c>
      <c r="CO14" s="92">
        <f>CN14-CN13</f>
        <v>3180</v>
      </c>
      <c r="CP14" s="92">
        <v>4457539</v>
      </c>
      <c r="CQ14" s="92">
        <f>CP14-CP13</f>
        <v>533</v>
      </c>
      <c r="CR14" s="92">
        <v>5180109</v>
      </c>
      <c r="CS14" s="92">
        <f>CR14-CR13</f>
        <v>185</v>
      </c>
      <c r="CT14" s="92">
        <v>3051937</v>
      </c>
      <c r="CU14" s="92">
        <f>CT14-CT13</f>
        <v>251</v>
      </c>
      <c r="CV14" s="92">
        <v>41462554</v>
      </c>
      <c r="CW14" s="92">
        <f>CV14-CV13</f>
        <v>131</v>
      </c>
      <c r="CX14" s="92">
        <v>6340430</v>
      </c>
      <c r="CY14" s="92">
        <f>CX14-CX13</f>
        <v>571</v>
      </c>
      <c r="CZ14" s="92">
        <v>6298996</v>
      </c>
      <c r="DA14" s="92">
        <f>CZ14-CZ13</f>
        <v>742</v>
      </c>
      <c r="DB14" s="92">
        <v>56599903</v>
      </c>
      <c r="DC14" s="92">
        <f>DB14-DB13</f>
        <v>4445</v>
      </c>
      <c r="DD14" s="92">
        <v>1995869</v>
      </c>
      <c r="DE14" s="92">
        <f>DD14-DD13</f>
        <v>506</v>
      </c>
      <c r="DF14" s="92">
        <v>21904348</v>
      </c>
      <c r="DG14" s="92">
        <f>DF14-DF13</f>
        <v>3774</v>
      </c>
      <c r="DH14" s="92">
        <v>32287122</v>
      </c>
      <c r="DI14" s="92">
        <f>DH14-DH13</f>
        <v>20</v>
      </c>
      <c r="DJ14" s="88"/>
      <c r="DK14" s="88"/>
      <c r="DL14" s="92">
        <v>985740</v>
      </c>
      <c r="DM14" s="92">
        <f>DL14-DL13</f>
        <v>291</v>
      </c>
      <c r="DN14" s="92">
        <v>1052078</v>
      </c>
      <c r="DO14" s="92">
        <f>DN14-DN13</f>
        <v>289</v>
      </c>
      <c r="DP14" s="92">
        <v>1175324</v>
      </c>
      <c r="DQ14" s="92">
        <f>DP14-DP13</f>
        <v>778</v>
      </c>
      <c r="DR14" s="92">
        <v>1159468</v>
      </c>
      <c r="DS14" s="92">
        <f>DR14-DR13</f>
        <v>868</v>
      </c>
      <c r="DT14" s="92">
        <v>957651</v>
      </c>
      <c r="DU14" s="92">
        <f>DT14-DT13</f>
        <v>1044</v>
      </c>
      <c r="DV14" s="92">
        <v>1317045</v>
      </c>
      <c r="DW14" s="92">
        <f>DV14-DV13</f>
        <v>1398</v>
      </c>
      <c r="DX14" s="92">
        <v>805709</v>
      </c>
      <c r="DY14" s="92">
        <f>DX14-DX13</f>
        <v>666</v>
      </c>
      <c r="DZ14" s="92">
        <v>1442</v>
      </c>
      <c r="EA14" s="92">
        <f>DZ14-DZ13</f>
        <v>0</v>
      </c>
      <c r="EB14" s="92">
        <v>381561</v>
      </c>
      <c r="EC14" s="92">
        <f>EB14-EB13</f>
        <v>351</v>
      </c>
      <c r="ED14" s="92">
        <v>880388</v>
      </c>
      <c r="EE14" s="92">
        <f>ED14-ED13</f>
        <v>693</v>
      </c>
      <c r="EF14" s="92">
        <v>426228</v>
      </c>
      <c r="EG14" s="92">
        <f>EF14-EF13</f>
        <v>211</v>
      </c>
      <c r="EH14" s="92">
        <v>2598</v>
      </c>
      <c r="EI14" s="92">
        <f>EH14-EH13</f>
        <v>0</v>
      </c>
      <c r="EJ14" s="92">
        <v>973979</v>
      </c>
      <c r="EK14" s="92">
        <f>EJ14-EJ13</f>
        <v>482</v>
      </c>
      <c r="EL14" s="92">
        <v>3483735</v>
      </c>
      <c r="EM14" s="92">
        <f>EL14-EL13</f>
        <v>316</v>
      </c>
      <c r="EN14" s="92">
        <v>3855798</v>
      </c>
      <c r="EO14" s="92">
        <f>EN14-EN13</f>
        <v>357</v>
      </c>
      <c r="EP14" s="92">
        <v>4206945</v>
      </c>
      <c r="EQ14" s="92">
        <f>EP14-EP13</f>
        <v>436</v>
      </c>
      <c r="ER14" s="92">
        <v>5316836</v>
      </c>
      <c r="ES14" s="92">
        <f>ER14-ER13</f>
        <v>496</v>
      </c>
      <c r="ET14" s="92">
        <v>4358112</v>
      </c>
      <c r="EU14" s="92">
        <f>ET14-ET13</f>
        <v>400</v>
      </c>
      <c r="EV14" s="92">
        <v>4493959</v>
      </c>
      <c r="EW14" s="92">
        <f>EV14-EV13</f>
        <v>410</v>
      </c>
      <c r="EX14" s="92">
        <v>8796499</v>
      </c>
      <c r="EY14" s="92">
        <f>EX14-EX13</f>
        <v>848</v>
      </c>
      <c r="EZ14" s="92">
        <v>8692353</v>
      </c>
      <c r="FA14" s="92">
        <f>EZ14-EZ13</f>
        <v>1476</v>
      </c>
      <c r="FB14" s="92">
        <v>8659244</v>
      </c>
      <c r="FC14" s="92">
        <f>FB14-FB13</f>
        <v>694</v>
      </c>
      <c r="FD14" s="92">
        <v>8163560</v>
      </c>
      <c r="FE14" s="92">
        <f>FD14-FD13</f>
        <v>764</v>
      </c>
      <c r="FF14" s="92">
        <v>5142878</v>
      </c>
      <c r="FG14" s="92">
        <f>FF14-FF13</f>
        <v>630</v>
      </c>
      <c r="FH14" s="92">
        <v>3344417</v>
      </c>
      <c r="FI14" s="92">
        <f>FH14-FH13</f>
        <v>489</v>
      </c>
      <c r="FJ14" s="92">
        <v>1568597</v>
      </c>
      <c r="FK14" s="92">
        <f>FJ14-FJ13</f>
        <v>248</v>
      </c>
      <c r="FL14" s="88"/>
      <c r="FM14" s="88"/>
    </row>
    <row r="15" spans="1:169" s="48" customFormat="1" ht="30" customHeight="1">
      <c r="A15" s="91">
        <v>44166</v>
      </c>
      <c r="B15" s="92">
        <v>20723883</v>
      </c>
      <c r="C15" s="92">
        <f>B15-B14</f>
        <v>2047</v>
      </c>
      <c r="D15" s="92">
        <v>2310183</v>
      </c>
      <c r="E15" s="92">
        <f>D15-D14</f>
        <v>249</v>
      </c>
      <c r="F15" s="92">
        <v>27584436</v>
      </c>
      <c r="G15" s="92">
        <f>F15-F14</f>
        <v>3554</v>
      </c>
      <c r="H15" s="92">
        <v>5742708</v>
      </c>
      <c r="I15" s="92">
        <f>H15-H14</f>
        <v>502</v>
      </c>
      <c r="J15" s="92"/>
      <c r="K15" s="92"/>
      <c r="L15" s="92">
        <v>21648474</v>
      </c>
      <c r="M15" s="92">
        <f>L15-L14</f>
        <v>1934</v>
      </c>
      <c r="N15" s="92">
        <v>72708173</v>
      </c>
      <c r="O15" s="92">
        <f>N15-N14</f>
        <v>8911</v>
      </c>
      <c r="P15" s="92">
        <v>24094</v>
      </c>
      <c r="Q15" s="92">
        <f>P15-P14</f>
        <v>4</v>
      </c>
      <c r="R15" s="92">
        <v>4854</v>
      </c>
      <c r="S15" s="92">
        <f>R15-R14</f>
        <v>0</v>
      </c>
      <c r="T15" s="92">
        <v>31541537</v>
      </c>
      <c r="U15" s="92">
        <f>T15-T14</f>
        <v>3428</v>
      </c>
      <c r="V15" s="92">
        <v>1621159</v>
      </c>
      <c r="W15" s="92">
        <f>V15-V14</f>
        <v>225</v>
      </c>
      <c r="X15" s="92">
        <v>1869753</v>
      </c>
      <c r="Y15" s="92">
        <f>X15-X14</f>
        <v>232</v>
      </c>
      <c r="Z15" s="92">
        <v>3494849</v>
      </c>
      <c r="AA15" s="92">
        <f>Z15-Z14</f>
        <v>584</v>
      </c>
      <c r="AB15" s="92"/>
      <c r="AC15" s="92"/>
      <c r="AD15" s="92">
        <v>54763275</v>
      </c>
      <c r="AE15" s="92">
        <f>AD15-AD14</f>
        <v>6719</v>
      </c>
      <c r="AF15" s="92">
        <v>9931335</v>
      </c>
      <c r="AG15" s="92">
        <f>AF15-AF14</f>
        <v>1338</v>
      </c>
      <c r="AH15" s="92">
        <v>1543624</v>
      </c>
      <c r="AI15" s="92">
        <f>AH15-AH14</f>
        <v>193</v>
      </c>
      <c r="AJ15" s="92">
        <v>1766171</v>
      </c>
      <c r="AK15" s="92">
        <f>AJ15-AJ14</f>
        <v>197</v>
      </c>
      <c r="AL15" s="92">
        <v>4841794</v>
      </c>
      <c r="AM15" s="92">
        <f>AL15-AL14</f>
        <v>525</v>
      </c>
      <c r="AN15" s="92">
        <v>5147082</v>
      </c>
      <c r="AO15" s="92">
        <f>AN15-AN14</f>
        <v>808</v>
      </c>
      <c r="AP15" s="92"/>
      <c r="AQ15" s="92"/>
      <c r="AR15" s="92">
        <v>1135906</v>
      </c>
      <c r="AS15" s="92">
        <f>AR15-AR14</f>
        <v>0</v>
      </c>
      <c r="AT15" s="92">
        <v>3137577</v>
      </c>
      <c r="AU15" s="92">
        <f>AT15-AT14</f>
        <v>485</v>
      </c>
      <c r="AV15" s="92"/>
      <c r="AW15" s="92"/>
      <c r="AX15" s="92">
        <v>573590</v>
      </c>
      <c r="AY15" s="92">
        <f>AX15-AX14</f>
        <v>188</v>
      </c>
      <c r="AZ15" s="92">
        <v>2362626</v>
      </c>
      <c r="BA15" s="92">
        <f>AZ15-AZ14</f>
        <v>33</v>
      </c>
      <c r="BB15" s="92">
        <v>4683852</v>
      </c>
      <c r="BC15" s="92">
        <f>BB15-BB14</f>
        <v>708</v>
      </c>
      <c r="BD15" s="92">
        <v>41645298</v>
      </c>
      <c r="BE15" s="92">
        <f>BD15-BD14</f>
        <v>5771</v>
      </c>
      <c r="BF15" s="92">
        <v>58921423</v>
      </c>
      <c r="BG15" s="92">
        <f>BF15-BF14</f>
        <v>8805</v>
      </c>
      <c r="BH15" s="92">
        <v>434207</v>
      </c>
      <c r="BI15" s="92">
        <f>BH15-BH14</f>
        <v>164</v>
      </c>
      <c r="BJ15" s="92">
        <v>11241430</v>
      </c>
      <c r="BK15" s="92">
        <f>BJ15-BJ14</f>
        <v>1800</v>
      </c>
      <c r="BL15" s="92">
        <v>1589446</v>
      </c>
      <c r="BM15" s="92">
        <f>BL15-BL14</f>
        <v>408</v>
      </c>
      <c r="BN15" s="92">
        <v>2339948</v>
      </c>
      <c r="BO15" s="92">
        <f>BN15-BN14</f>
        <v>106</v>
      </c>
      <c r="BP15" s="92">
        <v>10674488</v>
      </c>
      <c r="BQ15" s="92">
        <f>BP15-BP14</f>
        <v>1755</v>
      </c>
      <c r="BR15" s="92">
        <v>2622145</v>
      </c>
      <c r="BS15" s="92">
        <f>BR15-BR14</f>
        <v>213</v>
      </c>
      <c r="BT15" s="92">
        <v>13059364</v>
      </c>
      <c r="BU15" s="92">
        <f>BT15-BT14</f>
        <v>1836</v>
      </c>
      <c r="BV15" s="92">
        <v>10243921</v>
      </c>
      <c r="BW15" s="92">
        <f>BV15-BV14</f>
        <v>1480</v>
      </c>
      <c r="BX15" s="92">
        <v>1577344</v>
      </c>
      <c r="BY15" s="92">
        <f>BX15-BX14</f>
        <v>202</v>
      </c>
      <c r="BZ15" s="92">
        <v>19903655</v>
      </c>
      <c r="CA15" s="92">
        <f>BZ15-BZ14</f>
        <v>0</v>
      </c>
      <c r="CB15" s="92">
        <v>17452478</v>
      </c>
      <c r="CC15" s="92">
        <f>CB15-CB14</f>
        <v>0</v>
      </c>
      <c r="CD15" s="92">
        <v>18101606</v>
      </c>
      <c r="CE15" s="92">
        <f>CD15-CD14</f>
        <v>53</v>
      </c>
      <c r="CF15" s="92">
        <v>14092677</v>
      </c>
      <c r="CG15" s="92">
        <f>CF15-CF14</f>
        <v>970</v>
      </c>
      <c r="CH15" s="92">
        <v>4293561</v>
      </c>
      <c r="CI15" s="92">
        <f>CH15-CH14</f>
        <v>446</v>
      </c>
      <c r="CJ15" s="92">
        <v>4769241</v>
      </c>
      <c r="CK15" s="92">
        <f>CJ15-CJ14</f>
        <v>419</v>
      </c>
      <c r="CL15" s="92">
        <v>2716095</v>
      </c>
      <c r="CM15" s="92">
        <f>CL15-CL14</f>
        <v>107</v>
      </c>
      <c r="CN15" s="92">
        <v>69380338</v>
      </c>
      <c r="CO15" s="92">
        <f>CN15-CN14</f>
        <v>10322</v>
      </c>
      <c r="CP15" s="92">
        <v>4458063</v>
      </c>
      <c r="CQ15" s="92">
        <f>CP15-CP14</f>
        <v>524</v>
      </c>
      <c r="CR15" s="92">
        <v>5180279</v>
      </c>
      <c r="CS15" s="92">
        <f>CR15-CR14</f>
        <v>170</v>
      </c>
      <c r="CT15" s="92">
        <v>3052165</v>
      </c>
      <c r="CU15" s="92">
        <f>CT15-CT14</f>
        <v>228</v>
      </c>
      <c r="CV15" s="92">
        <v>41469925</v>
      </c>
      <c r="CW15" s="92">
        <f>CV15-CV14</f>
        <v>7371</v>
      </c>
      <c r="CX15" s="92">
        <v>6340990</v>
      </c>
      <c r="CY15" s="92">
        <f>CX15-CX14</f>
        <v>560</v>
      </c>
      <c r="CZ15" s="92">
        <v>6299745</v>
      </c>
      <c r="DA15" s="92">
        <f>CZ15-CZ14</f>
        <v>749</v>
      </c>
      <c r="DB15" s="92">
        <v>56604324</v>
      </c>
      <c r="DC15" s="92">
        <f>DB15-DB14</f>
        <v>4421</v>
      </c>
      <c r="DD15" s="92">
        <v>1996386</v>
      </c>
      <c r="DE15" s="92">
        <f>DD15-DD14</f>
        <v>517</v>
      </c>
      <c r="DF15" s="92">
        <v>21908107</v>
      </c>
      <c r="DG15" s="92">
        <f>DF15-DF14</f>
        <v>3759</v>
      </c>
      <c r="DH15" s="92">
        <v>32287141</v>
      </c>
      <c r="DI15" s="92">
        <f>DH15-DH14</f>
        <v>19</v>
      </c>
      <c r="DJ15" s="92"/>
      <c r="DK15" s="92"/>
      <c r="DL15" s="92">
        <v>986068</v>
      </c>
      <c r="DM15" s="92">
        <f>DL15-DL14</f>
        <v>328</v>
      </c>
      <c r="DN15" s="92">
        <v>1052375</v>
      </c>
      <c r="DO15" s="92">
        <f>DN15-DN14</f>
        <v>297</v>
      </c>
      <c r="DP15" s="92">
        <v>1176058</v>
      </c>
      <c r="DQ15" s="92">
        <f>DP15-DP14</f>
        <v>734</v>
      </c>
      <c r="DR15" s="92">
        <v>1160385</v>
      </c>
      <c r="DS15" s="92">
        <f>DR15-DR14</f>
        <v>917</v>
      </c>
      <c r="DT15" s="92">
        <v>958667</v>
      </c>
      <c r="DU15" s="92">
        <f>DT15-DT14</f>
        <v>1016</v>
      </c>
      <c r="DV15" s="92">
        <v>1318423</v>
      </c>
      <c r="DW15" s="92">
        <f>DV15-DV14</f>
        <v>1378</v>
      </c>
      <c r="DX15" s="92">
        <v>806326</v>
      </c>
      <c r="DY15" s="92">
        <f>DX15-DX14</f>
        <v>617</v>
      </c>
      <c r="DZ15" s="92">
        <v>1442</v>
      </c>
      <c r="EA15" s="92">
        <f>DZ15-DZ14</f>
        <v>0</v>
      </c>
      <c r="EB15" s="92">
        <v>381895</v>
      </c>
      <c r="EC15" s="92">
        <f>EB15-EB14</f>
        <v>334</v>
      </c>
      <c r="ED15" s="92">
        <v>881085</v>
      </c>
      <c r="EE15" s="92">
        <f>ED15-ED14</f>
        <v>697</v>
      </c>
      <c r="EF15" s="92">
        <v>426365</v>
      </c>
      <c r="EG15" s="92">
        <f>EF15-EF14</f>
        <v>137</v>
      </c>
      <c r="EH15" s="92">
        <v>2598</v>
      </c>
      <c r="EI15" s="92">
        <f>EH15-EH14</f>
        <v>0</v>
      </c>
      <c r="EJ15" s="92">
        <v>974453</v>
      </c>
      <c r="EK15" s="92">
        <f>EJ15-EJ14</f>
        <v>474</v>
      </c>
      <c r="EL15" s="92">
        <v>3484097</v>
      </c>
      <c r="EM15" s="92">
        <f>EL15-EL14</f>
        <v>362</v>
      </c>
      <c r="EN15" s="92">
        <v>3856188</v>
      </c>
      <c r="EO15" s="92">
        <f>EN15-EN14</f>
        <v>390</v>
      </c>
      <c r="EP15" s="92">
        <v>4207398</v>
      </c>
      <c r="EQ15" s="92">
        <f>EP15-EP14</f>
        <v>453</v>
      </c>
      <c r="ER15" s="92">
        <v>5317314</v>
      </c>
      <c r="ES15" s="92">
        <f>ER15-ER14</f>
        <v>478</v>
      </c>
      <c r="ET15" s="92">
        <v>4358516</v>
      </c>
      <c r="EU15" s="92">
        <f>ET15-ET14</f>
        <v>404</v>
      </c>
      <c r="EV15" s="92">
        <v>4494384</v>
      </c>
      <c r="EW15" s="92">
        <f>EV15-EV14</f>
        <v>425</v>
      </c>
      <c r="EX15" s="92">
        <v>8797360</v>
      </c>
      <c r="EY15" s="92">
        <f>EX15-EX14</f>
        <v>861</v>
      </c>
      <c r="EZ15" s="92">
        <v>8693815</v>
      </c>
      <c r="FA15" s="92">
        <f>EZ15-EZ14</f>
        <v>1462</v>
      </c>
      <c r="FB15" s="92">
        <v>8659946</v>
      </c>
      <c r="FC15" s="92">
        <f>FB15-FB14</f>
        <v>702</v>
      </c>
      <c r="FD15" s="92">
        <v>8164333</v>
      </c>
      <c r="FE15" s="92">
        <f>FD15-FD14</f>
        <v>773</v>
      </c>
      <c r="FF15" s="92">
        <v>5143584</v>
      </c>
      <c r="FG15" s="92">
        <f>FF15-FF14</f>
        <v>706</v>
      </c>
      <c r="FH15" s="92">
        <v>3344912</v>
      </c>
      <c r="FI15" s="92">
        <f>FH15-FH14</f>
        <v>495</v>
      </c>
      <c r="FJ15" s="92">
        <v>1568861</v>
      </c>
      <c r="FK15" s="92">
        <f>FJ15-FJ14</f>
        <v>264</v>
      </c>
      <c r="FL15" s="92"/>
      <c r="FM15" s="92"/>
    </row>
    <row r="16" spans="1:169" s="48" customFormat="1" ht="30" customHeight="1">
      <c r="A16" s="91">
        <v>44167</v>
      </c>
      <c r="B16" s="92">
        <v>20725958</v>
      </c>
      <c r="C16" s="88">
        <f t="shared" ref="C16:C45" si="83">B16-B15</f>
        <v>2075</v>
      </c>
      <c r="D16" s="92">
        <v>2310467</v>
      </c>
      <c r="E16" s="88">
        <f t="shared" ref="E16:E45" si="84">D16-D15</f>
        <v>284</v>
      </c>
      <c r="F16" s="92">
        <v>27587965</v>
      </c>
      <c r="G16" s="88">
        <f t="shared" ref="G16:G45" si="85">F16-F15</f>
        <v>3529</v>
      </c>
      <c r="H16" s="92">
        <v>5743267</v>
      </c>
      <c r="I16" s="88">
        <f t="shared" ref="I16:I45" si="86">H16-H15</f>
        <v>559</v>
      </c>
      <c r="J16" s="92"/>
      <c r="K16" s="92"/>
      <c r="L16" s="92">
        <v>21650402</v>
      </c>
      <c r="M16" s="92">
        <f t="shared" ref="M16:M45" si="87">L16-L15</f>
        <v>1928</v>
      </c>
      <c r="N16" s="92">
        <v>72717145</v>
      </c>
      <c r="O16" s="92">
        <f t="shared" ref="O16:O45" si="88">N16-N15</f>
        <v>8972</v>
      </c>
      <c r="P16" s="92">
        <v>24097</v>
      </c>
      <c r="Q16" s="92">
        <f t="shared" ref="Q16:Q45" si="89">P16-P15</f>
        <v>3</v>
      </c>
      <c r="R16" s="92">
        <v>4854</v>
      </c>
      <c r="S16" s="92">
        <f t="shared" ref="S16:S45" si="90">R16-R15</f>
        <v>0</v>
      </c>
      <c r="T16" s="92">
        <v>31545002</v>
      </c>
      <c r="U16" s="92">
        <f t="shared" ref="U16:U45" si="91">T16-T15</f>
        <v>3465</v>
      </c>
      <c r="V16" s="92">
        <v>1621383</v>
      </c>
      <c r="W16" s="92">
        <f t="shared" ref="W16:W43" si="92">V16-V15</f>
        <v>224</v>
      </c>
      <c r="X16" s="92">
        <v>1869980</v>
      </c>
      <c r="Y16" s="92">
        <f t="shared" ref="Y16:Y45" si="93">X16-X15</f>
        <v>227</v>
      </c>
      <c r="Z16" s="92">
        <v>3495430</v>
      </c>
      <c r="AA16" s="88">
        <f t="shared" ref="AA16:AA45" si="94">Z16-Z15</f>
        <v>581</v>
      </c>
      <c r="AB16" s="92"/>
      <c r="AC16" s="92"/>
      <c r="AD16" s="92">
        <v>54769529</v>
      </c>
      <c r="AE16" s="92">
        <f t="shared" ref="AE16:AE45" si="95">AD16-AD15</f>
        <v>6254</v>
      </c>
      <c r="AF16" s="92">
        <v>9932638</v>
      </c>
      <c r="AG16" s="92">
        <f t="shared" ref="AG16:AG45" si="96">AF16-AF15</f>
        <v>1303</v>
      </c>
      <c r="AH16" s="92">
        <v>1543820</v>
      </c>
      <c r="AI16" s="92">
        <f t="shared" ref="AI16:AI45" si="97">AH16-AH15</f>
        <v>196</v>
      </c>
      <c r="AJ16" s="92">
        <v>1766378</v>
      </c>
      <c r="AK16" s="92">
        <f t="shared" ref="AK16:AK45" si="98">AJ16-AJ15</f>
        <v>207</v>
      </c>
      <c r="AL16" s="92">
        <v>4842341</v>
      </c>
      <c r="AM16" s="92">
        <f t="shared" ref="AM16:AM45" si="99">AL16-AL15</f>
        <v>547</v>
      </c>
      <c r="AN16" s="92">
        <v>5147969</v>
      </c>
      <c r="AO16" s="92">
        <f t="shared" ref="AO16:AO45" si="100">AN16-AN15</f>
        <v>887</v>
      </c>
      <c r="AP16" s="92"/>
      <c r="AQ16" s="92"/>
      <c r="AR16" s="92">
        <v>1135906</v>
      </c>
      <c r="AS16" s="92">
        <f t="shared" ref="AS16:AS45" si="101">AR16-AR15</f>
        <v>0</v>
      </c>
      <c r="AT16" s="92">
        <v>3138095</v>
      </c>
      <c r="AU16" s="92">
        <f t="shared" ref="AU16:AU45" si="102">AT16-AT15</f>
        <v>518</v>
      </c>
      <c r="AV16" s="92"/>
      <c r="AW16" s="92"/>
      <c r="AX16" s="92">
        <v>573777</v>
      </c>
      <c r="AY16" s="92">
        <f t="shared" ref="AY16:AY45" si="103">AX16-AX15</f>
        <v>187</v>
      </c>
      <c r="AZ16" s="92">
        <v>2362659</v>
      </c>
      <c r="BA16" s="92">
        <f t="shared" ref="BA16:BA43" si="104">AZ16-AZ15</f>
        <v>33</v>
      </c>
      <c r="BB16" s="92">
        <v>4684545</v>
      </c>
      <c r="BC16" s="92">
        <f t="shared" ref="BC16:BC45" si="105">BB16-BB15</f>
        <v>693</v>
      </c>
      <c r="BD16" s="92">
        <v>41651134</v>
      </c>
      <c r="BE16" s="92">
        <f t="shared" ref="BE16:BE45" si="106">BD16-BD15</f>
        <v>5836</v>
      </c>
      <c r="BF16" s="92">
        <v>58930488</v>
      </c>
      <c r="BG16" s="92">
        <f t="shared" ref="BG16:BG45" si="107">BF16-BF15</f>
        <v>9065</v>
      </c>
      <c r="BH16" s="92">
        <v>434334</v>
      </c>
      <c r="BI16" s="92">
        <f t="shared" ref="BI16:BI45" si="108">BH16-BH15</f>
        <v>127</v>
      </c>
      <c r="BJ16" s="92">
        <v>11243236</v>
      </c>
      <c r="BK16" s="92">
        <f t="shared" ref="BK16:BK45" si="109">BJ16-BJ15</f>
        <v>1806</v>
      </c>
      <c r="BL16" s="92">
        <v>1589855</v>
      </c>
      <c r="BM16" s="92">
        <f t="shared" ref="BM16:BM45" si="110">BL16-BL15</f>
        <v>409</v>
      </c>
      <c r="BN16" s="92">
        <v>2340116</v>
      </c>
      <c r="BO16" s="92">
        <f t="shared" ref="BO16:BO45" si="111">BN16-BN15</f>
        <v>168</v>
      </c>
      <c r="BP16" s="92">
        <v>10676238</v>
      </c>
      <c r="BQ16" s="92">
        <f t="shared" ref="BQ16:BQ45" si="112">BP16-BP15</f>
        <v>1750</v>
      </c>
      <c r="BR16" s="92">
        <v>2622362</v>
      </c>
      <c r="BS16" s="92">
        <f t="shared" ref="BS16:BS45" si="113">BR16-BR15</f>
        <v>217</v>
      </c>
      <c r="BT16" s="92">
        <v>13061452</v>
      </c>
      <c r="BU16" s="92">
        <f t="shared" ref="BU16:BU45" si="114">BT16-BT15</f>
        <v>2088</v>
      </c>
      <c r="BV16" s="92">
        <v>10245413</v>
      </c>
      <c r="BW16" s="92">
        <f t="shared" ref="BW16:BW45" si="115">BV16-BV15</f>
        <v>1492</v>
      </c>
      <c r="BX16" s="92">
        <v>1577559</v>
      </c>
      <c r="BY16" s="92">
        <f t="shared" ref="BY16:BY45" si="116">BX16-BX15</f>
        <v>215</v>
      </c>
      <c r="BZ16" s="92">
        <v>19903655</v>
      </c>
      <c r="CA16" s="92">
        <f t="shared" ref="CA16:CA45" si="117">BZ16-BZ15</f>
        <v>0</v>
      </c>
      <c r="CB16" s="92">
        <v>17452478</v>
      </c>
      <c r="CC16" s="92">
        <f t="shared" ref="CC16:CC45" si="118">CB16-CB15</f>
        <v>0</v>
      </c>
      <c r="CD16" s="92">
        <v>18108286</v>
      </c>
      <c r="CE16" s="92">
        <f t="shared" ref="CE16:CE45" si="119">CD16-CD15</f>
        <v>6680</v>
      </c>
      <c r="CF16" s="92">
        <v>14093702</v>
      </c>
      <c r="CG16" s="92">
        <f t="shared" ref="CG16:CG45" si="120">CF16-CF15</f>
        <v>1025</v>
      </c>
      <c r="CH16" s="92">
        <v>4293998</v>
      </c>
      <c r="CI16" s="92">
        <f t="shared" ref="CI16:CI45" si="121">CH16-CH15</f>
        <v>437</v>
      </c>
      <c r="CJ16" s="92">
        <v>4769655</v>
      </c>
      <c r="CK16" s="92">
        <f t="shared" ref="CK16:CK45" si="122">CJ16-CJ15</f>
        <v>414</v>
      </c>
      <c r="CL16" s="92">
        <v>2716270</v>
      </c>
      <c r="CM16" s="92">
        <f t="shared" ref="CM16:CM45" si="123">CL16-CL15</f>
        <v>175</v>
      </c>
      <c r="CN16" s="92">
        <v>69383867</v>
      </c>
      <c r="CO16" s="92">
        <f t="shared" ref="CO16:CO45" si="124">CN16-CN15</f>
        <v>3529</v>
      </c>
      <c r="CP16" s="92">
        <v>4458604</v>
      </c>
      <c r="CQ16" s="92">
        <f t="shared" ref="CQ16:CQ45" si="125">CP16-CP15</f>
        <v>541</v>
      </c>
      <c r="CR16" s="92">
        <v>5180451</v>
      </c>
      <c r="CS16" s="92">
        <f t="shared" ref="CS16:CS43" si="126">CR16-CR15</f>
        <v>172</v>
      </c>
      <c r="CT16" s="92">
        <v>3052408</v>
      </c>
      <c r="CU16" s="92">
        <f t="shared" ref="CU16:CU45" si="127">CT16-CT15</f>
        <v>243</v>
      </c>
      <c r="CV16" s="92">
        <v>41470464</v>
      </c>
      <c r="CW16" s="92">
        <f t="shared" ref="CW16:CW45" si="128">CV16-CV15</f>
        <v>539</v>
      </c>
      <c r="CX16" s="92">
        <v>6341557</v>
      </c>
      <c r="CY16" s="92">
        <f t="shared" ref="CY16:CY45" si="129">CX16-CX15</f>
        <v>567</v>
      </c>
      <c r="CZ16" s="92">
        <v>6300499</v>
      </c>
      <c r="DA16" s="92">
        <f t="shared" ref="DA16:DA43" si="130">CZ16-CZ15</f>
        <v>754</v>
      </c>
      <c r="DB16" s="92">
        <v>56608724</v>
      </c>
      <c r="DC16" s="92">
        <f t="shared" ref="DC16:DC45" si="131">DB16-DB15</f>
        <v>4400</v>
      </c>
      <c r="DD16" s="92">
        <v>1996879</v>
      </c>
      <c r="DE16" s="92">
        <f t="shared" ref="DE16:DE45" si="132">DD16-DD15</f>
        <v>493</v>
      </c>
      <c r="DF16" s="92">
        <v>21911881</v>
      </c>
      <c r="DG16" s="92">
        <f t="shared" ref="DG16:DG45" si="133">DF16-DF15</f>
        <v>3774</v>
      </c>
      <c r="DH16" s="92">
        <v>32287161</v>
      </c>
      <c r="DI16" s="92">
        <f t="shared" ref="DI16:DI45" si="134">DH16-DH15</f>
        <v>20</v>
      </c>
      <c r="DJ16" s="92"/>
      <c r="DK16" s="92"/>
      <c r="DL16" s="92">
        <v>986242</v>
      </c>
      <c r="DM16" s="92">
        <f t="shared" ref="DM16:DM45" si="135">DL16-DL15</f>
        <v>174</v>
      </c>
      <c r="DN16" s="92">
        <v>1052628</v>
      </c>
      <c r="DO16" s="92">
        <f t="shared" ref="DO16:DO45" si="136">DN16-DN15</f>
        <v>253</v>
      </c>
      <c r="DP16" s="92">
        <v>1176736</v>
      </c>
      <c r="DQ16" s="92">
        <f t="shared" ref="DQ16:DQ45" si="137">DP16-DP15</f>
        <v>678</v>
      </c>
      <c r="DR16" s="92">
        <v>1161194</v>
      </c>
      <c r="DS16" s="92">
        <f t="shared" ref="DS16:DS45" si="138">DR16-DR15</f>
        <v>809</v>
      </c>
      <c r="DT16" s="92">
        <v>959660</v>
      </c>
      <c r="DU16" s="92">
        <f t="shared" ref="DU16:DU45" si="139">DT16-DT15</f>
        <v>993</v>
      </c>
      <c r="DV16" s="92">
        <v>1319783</v>
      </c>
      <c r="DW16" s="92">
        <f t="shared" ref="DW16:DW45" si="140">DV16-DV15</f>
        <v>1360</v>
      </c>
      <c r="DX16" s="92">
        <v>806941</v>
      </c>
      <c r="DY16" s="92">
        <f t="shared" ref="DY16:DY45" si="141">DX16-DX15</f>
        <v>615</v>
      </c>
      <c r="DZ16" s="92">
        <v>1442</v>
      </c>
      <c r="EA16" s="92">
        <f t="shared" ref="EA16:EA45" si="142">DZ16-DZ15</f>
        <v>0</v>
      </c>
      <c r="EB16" s="92">
        <v>382223</v>
      </c>
      <c r="EC16" s="92">
        <f t="shared" ref="EC16:EC45" si="143">EB16-EB15</f>
        <v>328</v>
      </c>
      <c r="ED16" s="92">
        <v>881787</v>
      </c>
      <c r="EE16" s="92">
        <f t="shared" ref="EE16:EE45" si="144">ED16-ED15</f>
        <v>702</v>
      </c>
      <c r="EF16" s="92">
        <v>426534</v>
      </c>
      <c r="EG16" s="92">
        <f t="shared" ref="EG16:EG45" si="145">EF16-EF15</f>
        <v>169</v>
      </c>
      <c r="EH16" s="92">
        <v>2598</v>
      </c>
      <c r="EI16" s="92">
        <f t="shared" ref="EI16:EI45" si="146">EH16-EH15</f>
        <v>0</v>
      </c>
      <c r="EJ16" s="92">
        <v>974913</v>
      </c>
      <c r="EK16" s="92">
        <f t="shared" ref="EK16:EK45" si="147">EJ16-EJ15</f>
        <v>460</v>
      </c>
      <c r="EL16" s="92">
        <v>3484442</v>
      </c>
      <c r="EM16" s="92">
        <f t="shared" ref="EM16:EM45" si="148">EL16-EL15</f>
        <v>345</v>
      </c>
      <c r="EN16" s="92">
        <v>3856558</v>
      </c>
      <c r="EO16" s="92">
        <f t="shared" ref="EO16:EO45" si="149">EN16-EN15</f>
        <v>370</v>
      </c>
      <c r="EP16" s="92">
        <v>4207833</v>
      </c>
      <c r="EQ16" s="92">
        <f t="shared" ref="EQ16:EQ45" si="150">EP16-EP15</f>
        <v>435</v>
      </c>
      <c r="ER16" s="92">
        <v>5317784</v>
      </c>
      <c r="ES16" s="92">
        <f t="shared" ref="ES16:ES45" si="151">ER16-ER15</f>
        <v>470</v>
      </c>
      <c r="ET16" s="92">
        <v>4358938</v>
      </c>
      <c r="EU16" s="92">
        <f t="shared" ref="EU16:EU45" si="152">ET16-ET15</f>
        <v>422</v>
      </c>
      <c r="EV16" s="92">
        <v>4494802</v>
      </c>
      <c r="EW16" s="92">
        <f t="shared" ref="EW16:EW45" si="153">EV16-EV15</f>
        <v>418</v>
      </c>
      <c r="EX16" s="92">
        <v>8798219</v>
      </c>
      <c r="EY16" s="92">
        <f t="shared" ref="EY16:EY45" si="154">EX16-EX15</f>
        <v>859</v>
      </c>
      <c r="EZ16" s="92">
        <v>8695297</v>
      </c>
      <c r="FA16" s="92">
        <f t="shared" ref="FA16:FA45" si="155">EZ16-EZ15</f>
        <v>1482</v>
      </c>
      <c r="FB16" s="92">
        <v>8660650</v>
      </c>
      <c r="FC16" s="92">
        <f t="shared" ref="FC16:FC45" si="156">FB16-FB15</f>
        <v>704</v>
      </c>
      <c r="FD16" s="92">
        <v>8165110</v>
      </c>
      <c r="FE16" s="92">
        <f t="shared" ref="FE16:FE45" si="157">FD16-FD15</f>
        <v>777</v>
      </c>
      <c r="FF16" s="92">
        <v>5144297</v>
      </c>
      <c r="FG16" s="92">
        <f t="shared" ref="FG16:FG43" si="158">FF16-FF15</f>
        <v>713</v>
      </c>
      <c r="FH16" s="92">
        <v>3345405</v>
      </c>
      <c r="FI16" s="92">
        <f t="shared" ref="FI16:FI45" si="159">FH16-FH15</f>
        <v>493</v>
      </c>
      <c r="FJ16" s="92">
        <v>1569127</v>
      </c>
      <c r="FK16" s="92">
        <f t="shared" ref="FK16:FK45" si="160">FJ16-FJ15</f>
        <v>266</v>
      </c>
      <c r="FL16" s="92"/>
      <c r="FM16" s="92"/>
    </row>
    <row r="17" spans="1:169" s="48" customFormat="1" ht="30" customHeight="1">
      <c r="A17" s="91">
        <v>44168</v>
      </c>
      <c r="B17" s="92">
        <v>20727989</v>
      </c>
      <c r="C17" s="92">
        <f t="shared" si="83"/>
        <v>2031</v>
      </c>
      <c r="D17" s="92">
        <v>2310723</v>
      </c>
      <c r="E17" s="92">
        <f t="shared" si="84"/>
        <v>256</v>
      </c>
      <c r="F17" s="92">
        <v>27591432</v>
      </c>
      <c r="G17" s="92">
        <f t="shared" si="85"/>
        <v>3467</v>
      </c>
      <c r="H17" s="92">
        <v>5743778</v>
      </c>
      <c r="I17" s="92">
        <f t="shared" si="86"/>
        <v>511</v>
      </c>
      <c r="J17" s="92"/>
      <c r="K17" s="92"/>
      <c r="L17" s="92">
        <v>21652266</v>
      </c>
      <c r="M17" s="92">
        <f t="shared" si="87"/>
        <v>1864</v>
      </c>
      <c r="N17" s="92">
        <v>72726233</v>
      </c>
      <c r="O17" s="92">
        <f t="shared" si="88"/>
        <v>9088</v>
      </c>
      <c r="P17" s="92">
        <v>24101</v>
      </c>
      <c r="Q17" s="92">
        <f t="shared" si="89"/>
        <v>4</v>
      </c>
      <c r="R17" s="92">
        <v>4855</v>
      </c>
      <c r="S17" s="92">
        <f t="shared" si="90"/>
        <v>1</v>
      </c>
      <c r="T17" s="92">
        <v>31548463</v>
      </c>
      <c r="U17" s="92">
        <f t="shared" si="91"/>
        <v>3461</v>
      </c>
      <c r="V17" s="92">
        <v>1621621</v>
      </c>
      <c r="W17" s="92">
        <f t="shared" si="92"/>
        <v>238</v>
      </c>
      <c r="X17" s="92">
        <v>1870205</v>
      </c>
      <c r="Y17" s="92">
        <f t="shared" si="93"/>
        <v>225</v>
      </c>
      <c r="Z17" s="92">
        <v>3496012</v>
      </c>
      <c r="AA17" s="92">
        <f t="shared" si="94"/>
        <v>582</v>
      </c>
      <c r="AB17" s="92"/>
      <c r="AC17" s="92"/>
      <c r="AD17" s="92">
        <v>54775471</v>
      </c>
      <c r="AE17" s="92">
        <f t="shared" si="95"/>
        <v>5942</v>
      </c>
      <c r="AF17" s="92">
        <v>9933845</v>
      </c>
      <c r="AG17" s="92">
        <f t="shared" si="96"/>
        <v>1207</v>
      </c>
      <c r="AH17" s="92">
        <v>1544015</v>
      </c>
      <c r="AI17" s="92">
        <f t="shared" si="97"/>
        <v>195</v>
      </c>
      <c r="AJ17" s="92">
        <v>1766558</v>
      </c>
      <c r="AK17" s="92">
        <f t="shared" si="98"/>
        <v>180</v>
      </c>
      <c r="AL17" s="92">
        <v>4842881</v>
      </c>
      <c r="AM17" s="92">
        <f t="shared" si="99"/>
        <v>540</v>
      </c>
      <c r="AN17" s="92">
        <v>5148729</v>
      </c>
      <c r="AO17" s="92">
        <f t="shared" si="100"/>
        <v>760</v>
      </c>
      <c r="AP17" s="92"/>
      <c r="AQ17" s="92"/>
      <c r="AR17" s="92">
        <v>1135906</v>
      </c>
      <c r="AS17" s="92">
        <f t="shared" si="101"/>
        <v>0</v>
      </c>
      <c r="AT17" s="92">
        <v>3138599</v>
      </c>
      <c r="AU17" s="92">
        <f t="shared" si="102"/>
        <v>504</v>
      </c>
      <c r="AV17" s="92"/>
      <c r="AW17" s="92"/>
      <c r="AX17" s="92">
        <v>573965</v>
      </c>
      <c r="AY17" s="92">
        <f t="shared" si="103"/>
        <v>188</v>
      </c>
      <c r="AZ17" s="92">
        <v>2362690</v>
      </c>
      <c r="BA17" s="92">
        <f t="shared" si="104"/>
        <v>31</v>
      </c>
      <c r="BB17" s="92">
        <v>4685223</v>
      </c>
      <c r="BC17" s="92">
        <f t="shared" si="105"/>
        <v>678</v>
      </c>
      <c r="BD17" s="92">
        <v>41656732</v>
      </c>
      <c r="BE17" s="92">
        <f t="shared" si="106"/>
        <v>5598</v>
      </c>
      <c r="BF17" s="92">
        <v>58939339</v>
      </c>
      <c r="BG17" s="92">
        <f t="shared" si="107"/>
        <v>8851</v>
      </c>
      <c r="BH17" s="92">
        <v>434458</v>
      </c>
      <c r="BI17" s="92">
        <f t="shared" si="108"/>
        <v>124</v>
      </c>
      <c r="BJ17" s="92">
        <v>11245046</v>
      </c>
      <c r="BK17" s="92">
        <f t="shared" si="109"/>
        <v>1810</v>
      </c>
      <c r="BL17" s="92">
        <v>1590260</v>
      </c>
      <c r="BM17" s="92">
        <f t="shared" si="110"/>
        <v>405</v>
      </c>
      <c r="BN17" s="92">
        <v>2340218</v>
      </c>
      <c r="BO17" s="92">
        <f t="shared" si="111"/>
        <v>102</v>
      </c>
      <c r="BP17" s="92">
        <v>10677942</v>
      </c>
      <c r="BQ17" s="92">
        <f t="shared" si="112"/>
        <v>1704</v>
      </c>
      <c r="BR17" s="92">
        <v>2622578</v>
      </c>
      <c r="BS17" s="92">
        <f t="shared" si="113"/>
        <v>216</v>
      </c>
      <c r="BT17" s="92">
        <v>13063381</v>
      </c>
      <c r="BU17" s="92">
        <f t="shared" si="114"/>
        <v>1929</v>
      </c>
      <c r="BV17" s="92">
        <v>10246969</v>
      </c>
      <c r="BW17" s="92">
        <f t="shared" si="115"/>
        <v>1556</v>
      </c>
      <c r="BX17" s="92">
        <v>1577746</v>
      </c>
      <c r="BY17" s="92">
        <f t="shared" si="116"/>
        <v>187</v>
      </c>
      <c r="BZ17" s="92">
        <v>19903655</v>
      </c>
      <c r="CA17" s="92">
        <f t="shared" si="117"/>
        <v>0</v>
      </c>
      <c r="CB17" s="92">
        <v>17452478</v>
      </c>
      <c r="CC17" s="92">
        <f t="shared" si="118"/>
        <v>0</v>
      </c>
      <c r="CD17" s="92">
        <v>18110454</v>
      </c>
      <c r="CE17" s="92">
        <f t="shared" si="119"/>
        <v>2168</v>
      </c>
      <c r="CF17" s="92">
        <v>14094683</v>
      </c>
      <c r="CG17" s="92">
        <f t="shared" si="120"/>
        <v>981</v>
      </c>
      <c r="CH17" s="92">
        <v>4294457</v>
      </c>
      <c r="CI17" s="92">
        <f t="shared" si="121"/>
        <v>459</v>
      </c>
      <c r="CJ17" s="92">
        <v>4770063</v>
      </c>
      <c r="CK17" s="92">
        <f t="shared" si="122"/>
        <v>408</v>
      </c>
      <c r="CL17" s="92">
        <v>2716385</v>
      </c>
      <c r="CM17" s="92">
        <f t="shared" si="123"/>
        <v>115</v>
      </c>
      <c r="CN17" s="92">
        <v>69391873</v>
      </c>
      <c r="CO17" s="92">
        <f t="shared" si="124"/>
        <v>8006</v>
      </c>
      <c r="CP17" s="92">
        <v>4459035</v>
      </c>
      <c r="CQ17" s="92">
        <f t="shared" si="125"/>
        <v>431</v>
      </c>
      <c r="CR17" s="92">
        <v>5180626</v>
      </c>
      <c r="CS17" s="92">
        <f t="shared" si="126"/>
        <v>175</v>
      </c>
      <c r="CT17" s="92">
        <v>3052646</v>
      </c>
      <c r="CU17" s="92">
        <f t="shared" si="127"/>
        <v>238</v>
      </c>
      <c r="CV17" s="92">
        <v>41475576</v>
      </c>
      <c r="CW17" s="92">
        <f t="shared" si="128"/>
        <v>5112</v>
      </c>
      <c r="CX17" s="92">
        <v>6342118</v>
      </c>
      <c r="CY17" s="92">
        <f t="shared" si="129"/>
        <v>561</v>
      </c>
      <c r="CZ17" s="92">
        <v>6301250</v>
      </c>
      <c r="DA17" s="92">
        <f t="shared" si="130"/>
        <v>751</v>
      </c>
      <c r="DB17" s="92">
        <v>56613118</v>
      </c>
      <c r="DC17" s="92">
        <f t="shared" si="131"/>
        <v>4394</v>
      </c>
      <c r="DD17" s="92">
        <v>1997379</v>
      </c>
      <c r="DE17" s="92">
        <f t="shared" si="132"/>
        <v>500</v>
      </c>
      <c r="DF17" s="92">
        <v>21915637</v>
      </c>
      <c r="DG17" s="92">
        <f t="shared" si="133"/>
        <v>3756</v>
      </c>
      <c r="DH17" s="92">
        <v>32287181</v>
      </c>
      <c r="DI17" s="92">
        <f t="shared" si="134"/>
        <v>20</v>
      </c>
      <c r="DJ17" s="92"/>
      <c r="DK17" s="92"/>
      <c r="DL17" s="92">
        <v>986383</v>
      </c>
      <c r="DM17" s="92">
        <f t="shared" si="135"/>
        <v>141</v>
      </c>
      <c r="DN17" s="92">
        <v>1052826</v>
      </c>
      <c r="DO17" s="92">
        <f t="shared" si="136"/>
        <v>198</v>
      </c>
      <c r="DP17" s="92">
        <v>1177335</v>
      </c>
      <c r="DQ17" s="92">
        <f t="shared" si="137"/>
        <v>599</v>
      </c>
      <c r="DR17" s="92">
        <v>1161923</v>
      </c>
      <c r="DS17" s="92">
        <f t="shared" si="138"/>
        <v>729</v>
      </c>
      <c r="DT17" s="92">
        <v>960681</v>
      </c>
      <c r="DU17" s="92">
        <f t="shared" si="139"/>
        <v>1021</v>
      </c>
      <c r="DV17" s="92">
        <v>1321149</v>
      </c>
      <c r="DW17" s="92">
        <f t="shared" si="140"/>
        <v>1366</v>
      </c>
      <c r="DX17" s="92">
        <v>807472</v>
      </c>
      <c r="DY17" s="92">
        <f t="shared" si="141"/>
        <v>531</v>
      </c>
      <c r="DZ17" s="92">
        <v>1442</v>
      </c>
      <c r="EA17" s="92">
        <f t="shared" si="142"/>
        <v>0</v>
      </c>
      <c r="EB17" s="92">
        <v>382542</v>
      </c>
      <c r="EC17" s="92">
        <f t="shared" si="143"/>
        <v>319</v>
      </c>
      <c r="ED17" s="92">
        <v>882485</v>
      </c>
      <c r="EE17" s="92">
        <f t="shared" si="144"/>
        <v>698</v>
      </c>
      <c r="EF17" s="92">
        <v>426771</v>
      </c>
      <c r="EG17" s="92">
        <f t="shared" si="145"/>
        <v>237</v>
      </c>
      <c r="EH17" s="92">
        <v>2598</v>
      </c>
      <c r="EI17" s="92">
        <f t="shared" si="146"/>
        <v>0</v>
      </c>
      <c r="EJ17" s="92">
        <v>975389</v>
      </c>
      <c r="EK17" s="92">
        <f t="shared" si="147"/>
        <v>476</v>
      </c>
      <c r="EL17" s="92">
        <v>3484776</v>
      </c>
      <c r="EM17" s="92">
        <f t="shared" si="148"/>
        <v>334</v>
      </c>
      <c r="EN17" s="92">
        <v>3856939</v>
      </c>
      <c r="EO17" s="92">
        <f t="shared" si="149"/>
        <v>381</v>
      </c>
      <c r="EP17" s="92">
        <v>4208258</v>
      </c>
      <c r="EQ17" s="92">
        <f t="shared" si="150"/>
        <v>425</v>
      </c>
      <c r="ER17" s="92">
        <v>5318262</v>
      </c>
      <c r="ES17" s="92">
        <f t="shared" si="151"/>
        <v>478</v>
      </c>
      <c r="ET17" s="92">
        <v>4359360</v>
      </c>
      <c r="EU17" s="92">
        <f t="shared" si="152"/>
        <v>422</v>
      </c>
      <c r="EV17" s="92">
        <v>4495213</v>
      </c>
      <c r="EW17" s="92">
        <f t="shared" si="153"/>
        <v>411</v>
      </c>
      <c r="EX17" s="92">
        <v>8799082</v>
      </c>
      <c r="EY17" s="92">
        <f t="shared" si="154"/>
        <v>863</v>
      </c>
      <c r="EZ17" s="92">
        <v>8696775</v>
      </c>
      <c r="FA17" s="92">
        <f t="shared" si="155"/>
        <v>1478</v>
      </c>
      <c r="FB17" s="92">
        <v>8661355</v>
      </c>
      <c r="FC17" s="92">
        <f t="shared" si="156"/>
        <v>705</v>
      </c>
      <c r="FD17" s="92">
        <v>8165883</v>
      </c>
      <c r="FE17" s="92">
        <f t="shared" si="157"/>
        <v>773</v>
      </c>
      <c r="FF17" s="92">
        <v>5144988</v>
      </c>
      <c r="FG17" s="92">
        <f t="shared" si="158"/>
        <v>691</v>
      </c>
      <c r="FH17" s="92">
        <v>3345905</v>
      </c>
      <c r="FI17" s="92">
        <f t="shared" si="159"/>
        <v>500</v>
      </c>
      <c r="FJ17" s="92">
        <v>1569390</v>
      </c>
      <c r="FK17" s="92">
        <f t="shared" si="160"/>
        <v>263</v>
      </c>
      <c r="FL17" s="92"/>
      <c r="FM17" s="92"/>
    </row>
    <row r="18" spans="1:169" s="48" customFormat="1" ht="30" customHeight="1">
      <c r="A18" s="91">
        <v>44169</v>
      </c>
      <c r="B18" s="92">
        <v>20730157</v>
      </c>
      <c r="C18" s="88">
        <f t="shared" si="83"/>
        <v>2168</v>
      </c>
      <c r="D18" s="92">
        <v>2310992</v>
      </c>
      <c r="E18" s="88">
        <f t="shared" si="84"/>
        <v>269</v>
      </c>
      <c r="F18" s="92">
        <v>27594871</v>
      </c>
      <c r="G18" s="88">
        <f t="shared" si="85"/>
        <v>3439</v>
      </c>
      <c r="H18" s="92">
        <v>5744288</v>
      </c>
      <c r="I18" s="88">
        <f t="shared" si="86"/>
        <v>510</v>
      </c>
      <c r="J18" s="92"/>
      <c r="K18" s="92"/>
      <c r="L18" s="92">
        <v>21654139</v>
      </c>
      <c r="M18" s="92">
        <f t="shared" si="87"/>
        <v>1873</v>
      </c>
      <c r="N18" s="92">
        <v>72735200</v>
      </c>
      <c r="O18" s="92">
        <f t="shared" si="88"/>
        <v>8967</v>
      </c>
      <c r="P18" s="92">
        <v>24106</v>
      </c>
      <c r="Q18" s="92">
        <f t="shared" si="89"/>
        <v>5</v>
      </c>
      <c r="R18" s="92">
        <v>4855</v>
      </c>
      <c r="S18" s="92">
        <f t="shared" si="90"/>
        <v>0</v>
      </c>
      <c r="T18" s="92">
        <v>31551849</v>
      </c>
      <c r="U18" s="92">
        <f t="shared" si="91"/>
        <v>3386</v>
      </c>
      <c r="V18" s="92">
        <v>1621859</v>
      </c>
      <c r="W18" s="92">
        <f t="shared" si="92"/>
        <v>238</v>
      </c>
      <c r="X18" s="92">
        <v>1870424</v>
      </c>
      <c r="Y18" s="92">
        <f t="shared" si="93"/>
        <v>219</v>
      </c>
      <c r="Z18" s="92">
        <v>3496597</v>
      </c>
      <c r="AA18" s="88">
        <f t="shared" si="94"/>
        <v>585</v>
      </c>
      <c r="AB18" s="92"/>
      <c r="AC18" s="92"/>
      <c r="AD18" s="92">
        <v>54781378</v>
      </c>
      <c r="AE18" s="92">
        <f t="shared" si="95"/>
        <v>5907</v>
      </c>
      <c r="AF18" s="92">
        <v>9935036</v>
      </c>
      <c r="AG18" s="92">
        <f t="shared" si="96"/>
        <v>1191</v>
      </c>
      <c r="AH18" s="92">
        <v>1544210</v>
      </c>
      <c r="AI18" s="92">
        <f t="shared" si="97"/>
        <v>195</v>
      </c>
      <c r="AJ18" s="92">
        <v>1766737</v>
      </c>
      <c r="AK18" s="92">
        <f t="shared" si="98"/>
        <v>179</v>
      </c>
      <c r="AL18" s="92">
        <v>4843425</v>
      </c>
      <c r="AM18" s="92">
        <f t="shared" si="99"/>
        <v>544</v>
      </c>
      <c r="AN18" s="92">
        <v>5149480</v>
      </c>
      <c r="AO18" s="92">
        <f t="shared" si="100"/>
        <v>751</v>
      </c>
      <c r="AP18" s="92"/>
      <c r="AQ18" s="92"/>
      <c r="AR18" s="92">
        <v>1135906</v>
      </c>
      <c r="AS18" s="92">
        <f t="shared" si="101"/>
        <v>0</v>
      </c>
      <c r="AT18" s="92">
        <v>3139083</v>
      </c>
      <c r="AU18" s="92">
        <f t="shared" si="102"/>
        <v>484</v>
      </c>
      <c r="AV18" s="92"/>
      <c r="AW18" s="92"/>
      <c r="AX18" s="92">
        <v>574152</v>
      </c>
      <c r="AY18" s="92">
        <f t="shared" si="103"/>
        <v>187</v>
      </c>
      <c r="AZ18" s="92">
        <v>2362712</v>
      </c>
      <c r="BA18" s="92">
        <f t="shared" si="104"/>
        <v>22</v>
      </c>
      <c r="BB18" s="92">
        <v>4685941</v>
      </c>
      <c r="BC18" s="92">
        <f t="shared" si="105"/>
        <v>718</v>
      </c>
      <c r="BD18" s="92">
        <v>41662504</v>
      </c>
      <c r="BE18" s="92">
        <f t="shared" si="106"/>
        <v>5772</v>
      </c>
      <c r="BF18" s="92">
        <v>58947996</v>
      </c>
      <c r="BG18" s="92">
        <f t="shared" si="107"/>
        <v>8657</v>
      </c>
      <c r="BH18" s="92">
        <v>434584</v>
      </c>
      <c r="BI18" s="92">
        <f t="shared" si="108"/>
        <v>126</v>
      </c>
      <c r="BJ18" s="92">
        <v>11246738</v>
      </c>
      <c r="BK18" s="92">
        <f t="shared" si="109"/>
        <v>1692</v>
      </c>
      <c r="BL18" s="92">
        <v>1590664</v>
      </c>
      <c r="BM18" s="92">
        <f t="shared" si="110"/>
        <v>404</v>
      </c>
      <c r="BN18" s="92">
        <v>2340370</v>
      </c>
      <c r="BO18" s="92">
        <f t="shared" si="111"/>
        <v>152</v>
      </c>
      <c r="BP18" s="92">
        <v>10679642</v>
      </c>
      <c r="BQ18" s="92">
        <f t="shared" si="112"/>
        <v>1700</v>
      </c>
      <c r="BR18" s="92">
        <v>2622788</v>
      </c>
      <c r="BS18" s="92">
        <f t="shared" si="113"/>
        <v>210</v>
      </c>
      <c r="BT18" s="92">
        <v>13065240</v>
      </c>
      <c r="BU18" s="92">
        <f t="shared" si="114"/>
        <v>1859</v>
      </c>
      <c r="BV18" s="92">
        <v>10248467</v>
      </c>
      <c r="BW18" s="92">
        <f t="shared" si="115"/>
        <v>1498</v>
      </c>
      <c r="BX18" s="92">
        <v>1577945</v>
      </c>
      <c r="BY18" s="92">
        <f t="shared" si="116"/>
        <v>199</v>
      </c>
      <c r="BZ18" s="92">
        <v>19903655</v>
      </c>
      <c r="CA18" s="92">
        <f t="shared" si="117"/>
        <v>0</v>
      </c>
      <c r="CB18" s="92">
        <v>17452478</v>
      </c>
      <c r="CC18" s="92">
        <f t="shared" si="118"/>
        <v>0</v>
      </c>
      <c r="CD18" s="92">
        <v>18110525</v>
      </c>
      <c r="CE18" s="92">
        <f t="shared" si="119"/>
        <v>71</v>
      </c>
      <c r="CF18" s="92">
        <v>14095605</v>
      </c>
      <c r="CG18" s="92">
        <f t="shared" si="120"/>
        <v>922</v>
      </c>
      <c r="CH18" s="92">
        <v>4294908</v>
      </c>
      <c r="CI18" s="92">
        <f t="shared" si="121"/>
        <v>451</v>
      </c>
      <c r="CJ18" s="92">
        <v>4770473</v>
      </c>
      <c r="CK18" s="92">
        <f t="shared" si="122"/>
        <v>410</v>
      </c>
      <c r="CL18" s="92">
        <v>2716447</v>
      </c>
      <c r="CM18" s="92">
        <f t="shared" si="123"/>
        <v>62</v>
      </c>
      <c r="CN18" s="92">
        <v>69400539</v>
      </c>
      <c r="CO18" s="92">
        <f t="shared" si="124"/>
        <v>8666</v>
      </c>
      <c r="CP18" s="92">
        <v>4459443</v>
      </c>
      <c r="CQ18" s="92">
        <f t="shared" si="125"/>
        <v>408</v>
      </c>
      <c r="CR18" s="92">
        <v>5180787</v>
      </c>
      <c r="CS18" s="92">
        <f t="shared" si="126"/>
        <v>161</v>
      </c>
      <c r="CT18" s="92">
        <v>3052900</v>
      </c>
      <c r="CU18" s="92">
        <f t="shared" si="127"/>
        <v>254</v>
      </c>
      <c r="CV18" s="92">
        <v>41481450</v>
      </c>
      <c r="CW18" s="92">
        <f t="shared" si="128"/>
        <v>5874</v>
      </c>
      <c r="CX18" s="92">
        <v>6342679</v>
      </c>
      <c r="CY18" s="92">
        <f t="shared" si="129"/>
        <v>561</v>
      </c>
      <c r="CZ18" s="92">
        <v>6302001</v>
      </c>
      <c r="DA18" s="92">
        <f t="shared" si="130"/>
        <v>751</v>
      </c>
      <c r="DB18" s="92">
        <v>56616904</v>
      </c>
      <c r="DC18" s="92">
        <f t="shared" si="131"/>
        <v>3786</v>
      </c>
      <c r="DD18" s="92">
        <v>1997869</v>
      </c>
      <c r="DE18" s="92">
        <f t="shared" si="132"/>
        <v>490</v>
      </c>
      <c r="DF18" s="92">
        <v>21918801</v>
      </c>
      <c r="DG18" s="92">
        <f t="shared" si="133"/>
        <v>3164</v>
      </c>
      <c r="DH18" s="92">
        <v>32287201</v>
      </c>
      <c r="DI18" s="92">
        <f t="shared" si="134"/>
        <v>20</v>
      </c>
      <c r="DJ18" s="92"/>
      <c r="DK18" s="92"/>
      <c r="DL18" s="92">
        <v>986504</v>
      </c>
      <c r="DM18" s="92">
        <f t="shared" si="135"/>
        <v>121</v>
      </c>
      <c r="DN18" s="92">
        <v>1053007</v>
      </c>
      <c r="DO18" s="92">
        <f t="shared" si="136"/>
        <v>181</v>
      </c>
      <c r="DP18" s="92">
        <v>1177917</v>
      </c>
      <c r="DQ18" s="92">
        <f t="shared" si="137"/>
        <v>582</v>
      </c>
      <c r="DR18" s="92">
        <v>1162673</v>
      </c>
      <c r="DS18" s="92">
        <f t="shared" si="138"/>
        <v>750</v>
      </c>
      <c r="DT18" s="92">
        <v>961662</v>
      </c>
      <c r="DU18" s="92">
        <f t="shared" si="139"/>
        <v>981</v>
      </c>
      <c r="DV18" s="92">
        <v>1322511</v>
      </c>
      <c r="DW18" s="92">
        <f t="shared" si="140"/>
        <v>1362</v>
      </c>
      <c r="DX18" s="92">
        <v>808020</v>
      </c>
      <c r="DY18" s="92">
        <f t="shared" si="141"/>
        <v>548</v>
      </c>
      <c r="DZ18" s="92">
        <v>1442</v>
      </c>
      <c r="EA18" s="92">
        <f t="shared" si="142"/>
        <v>0</v>
      </c>
      <c r="EB18" s="92">
        <v>382861</v>
      </c>
      <c r="EC18" s="92">
        <f t="shared" si="143"/>
        <v>319</v>
      </c>
      <c r="ED18" s="92">
        <v>883188</v>
      </c>
      <c r="EE18" s="92">
        <f t="shared" si="144"/>
        <v>703</v>
      </c>
      <c r="EF18" s="92">
        <v>426995</v>
      </c>
      <c r="EG18" s="92">
        <f t="shared" si="145"/>
        <v>224</v>
      </c>
      <c r="EH18" s="92">
        <v>2598</v>
      </c>
      <c r="EI18" s="92">
        <f t="shared" si="146"/>
        <v>0</v>
      </c>
      <c r="EJ18" s="92">
        <v>975821</v>
      </c>
      <c r="EK18" s="92">
        <f t="shared" si="147"/>
        <v>432</v>
      </c>
      <c r="EL18" s="92">
        <v>3485107</v>
      </c>
      <c r="EM18" s="92">
        <f t="shared" si="148"/>
        <v>331</v>
      </c>
      <c r="EN18" s="92">
        <v>3857327</v>
      </c>
      <c r="EO18" s="92">
        <f t="shared" si="149"/>
        <v>388</v>
      </c>
      <c r="EP18" s="92">
        <v>4208693</v>
      </c>
      <c r="EQ18" s="92">
        <f t="shared" si="150"/>
        <v>435</v>
      </c>
      <c r="ER18" s="92">
        <v>5318786</v>
      </c>
      <c r="ES18" s="92">
        <f t="shared" si="151"/>
        <v>524</v>
      </c>
      <c r="ET18" s="92">
        <v>4359794</v>
      </c>
      <c r="EU18" s="92">
        <f t="shared" si="152"/>
        <v>434</v>
      </c>
      <c r="EV18" s="92">
        <v>4495638</v>
      </c>
      <c r="EW18" s="92">
        <f t="shared" si="153"/>
        <v>425</v>
      </c>
      <c r="EX18" s="92">
        <v>8799943</v>
      </c>
      <c r="EY18" s="92">
        <f t="shared" si="154"/>
        <v>861</v>
      </c>
      <c r="EZ18" s="92">
        <v>8698166</v>
      </c>
      <c r="FA18" s="92">
        <f t="shared" si="155"/>
        <v>1391</v>
      </c>
      <c r="FB18" s="92">
        <v>8662051</v>
      </c>
      <c r="FC18" s="92">
        <f t="shared" si="156"/>
        <v>696</v>
      </c>
      <c r="FD18" s="92">
        <v>8166653</v>
      </c>
      <c r="FE18" s="92">
        <f t="shared" si="157"/>
        <v>770</v>
      </c>
      <c r="FF18" s="92">
        <v>5145683</v>
      </c>
      <c r="FG18" s="92">
        <f t="shared" si="158"/>
        <v>695</v>
      </c>
      <c r="FH18" s="92">
        <v>3346401</v>
      </c>
      <c r="FI18" s="92">
        <f t="shared" si="159"/>
        <v>496</v>
      </c>
      <c r="FJ18" s="92">
        <v>1569651</v>
      </c>
      <c r="FK18" s="92">
        <f t="shared" si="160"/>
        <v>261</v>
      </c>
      <c r="FL18" s="92"/>
      <c r="FM18" s="92"/>
    </row>
    <row r="19" spans="1:169" s="48" customFormat="1" ht="30" customHeight="1">
      <c r="A19" s="91">
        <v>44170</v>
      </c>
      <c r="B19" s="92">
        <v>20732344</v>
      </c>
      <c r="C19" s="92">
        <f t="shared" si="83"/>
        <v>2187</v>
      </c>
      <c r="D19" s="92">
        <v>2311253</v>
      </c>
      <c r="E19" s="92">
        <f t="shared" si="84"/>
        <v>261</v>
      </c>
      <c r="F19" s="92">
        <v>27598268</v>
      </c>
      <c r="G19" s="92">
        <f t="shared" si="85"/>
        <v>3397</v>
      </c>
      <c r="H19" s="92">
        <v>5744799</v>
      </c>
      <c r="I19" s="92">
        <f t="shared" si="86"/>
        <v>511</v>
      </c>
      <c r="J19" s="92"/>
      <c r="K19" s="92"/>
      <c r="L19" s="92">
        <v>21656019</v>
      </c>
      <c r="M19" s="92">
        <f t="shared" si="87"/>
        <v>1880</v>
      </c>
      <c r="N19" s="92">
        <v>72744285</v>
      </c>
      <c r="O19" s="92">
        <f t="shared" si="88"/>
        <v>9085</v>
      </c>
      <c r="P19" s="92">
        <v>24110</v>
      </c>
      <c r="Q19" s="92">
        <f t="shared" si="89"/>
        <v>4</v>
      </c>
      <c r="R19" s="92">
        <v>4855</v>
      </c>
      <c r="S19" s="92">
        <f t="shared" si="90"/>
        <v>0</v>
      </c>
      <c r="T19" s="92">
        <v>31555400</v>
      </c>
      <c r="U19" s="92">
        <f t="shared" si="91"/>
        <v>3551</v>
      </c>
      <c r="V19" s="92">
        <v>1622142</v>
      </c>
      <c r="W19" s="92">
        <f t="shared" si="92"/>
        <v>283</v>
      </c>
      <c r="X19" s="92">
        <v>1870637</v>
      </c>
      <c r="Y19" s="92">
        <f t="shared" si="93"/>
        <v>213</v>
      </c>
      <c r="Z19" s="92">
        <v>3497183</v>
      </c>
      <c r="AA19" s="92">
        <f t="shared" si="94"/>
        <v>586</v>
      </c>
      <c r="AB19" s="92"/>
      <c r="AC19" s="92"/>
      <c r="AD19" s="92">
        <v>54787286</v>
      </c>
      <c r="AE19" s="92">
        <f t="shared" si="95"/>
        <v>5908</v>
      </c>
      <c r="AF19" s="92">
        <v>9936192</v>
      </c>
      <c r="AG19" s="92">
        <f t="shared" si="96"/>
        <v>1156</v>
      </c>
      <c r="AH19" s="92">
        <v>1544403</v>
      </c>
      <c r="AI19" s="92">
        <f t="shared" si="97"/>
        <v>193</v>
      </c>
      <c r="AJ19" s="92">
        <v>1766918</v>
      </c>
      <c r="AK19" s="92">
        <f t="shared" si="98"/>
        <v>181</v>
      </c>
      <c r="AL19" s="92">
        <v>4843964</v>
      </c>
      <c r="AM19" s="92">
        <f t="shared" si="99"/>
        <v>539</v>
      </c>
      <c r="AN19" s="92">
        <v>5150316</v>
      </c>
      <c r="AO19" s="92">
        <f t="shared" si="100"/>
        <v>836</v>
      </c>
      <c r="AP19" s="92"/>
      <c r="AQ19" s="92"/>
      <c r="AR19" s="92">
        <v>1135906</v>
      </c>
      <c r="AS19" s="92">
        <f t="shared" si="101"/>
        <v>0</v>
      </c>
      <c r="AT19" s="92">
        <v>3139571</v>
      </c>
      <c r="AU19" s="92">
        <f t="shared" si="102"/>
        <v>488</v>
      </c>
      <c r="AV19" s="92"/>
      <c r="AW19" s="92"/>
      <c r="AX19" s="92">
        <v>574338</v>
      </c>
      <c r="AY19" s="92">
        <f t="shared" si="103"/>
        <v>186</v>
      </c>
      <c r="AZ19" s="92">
        <v>2362761</v>
      </c>
      <c r="BA19" s="92">
        <f t="shared" si="104"/>
        <v>49</v>
      </c>
      <c r="BB19" s="92">
        <v>4686752</v>
      </c>
      <c r="BC19" s="92">
        <f t="shared" si="105"/>
        <v>811</v>
      </c>
      <c r="BD19" s="92">
        <v>41668332</v>
      </c>
      <c r="BE19" s="92">
        <f t="shared" si="106"/>
        <v>5828</v>
      </c>
      <c r="BF19" s="92">
        <v>58956658</v>
      </c>
      <c r="BG19" s="92">
        <f t="shared" si="107"/>
        <v>8662</v>
      </c>
      <c r="BH19" s="92">
        <v>434707</v>
      </c>
      <c r="BI19" s="92">
        <f t="shared" si="108"/>
        <v>123</v>
      </c>
      <c r="BJ19" s="92">
        <v>11248344</v>
      </c>
      <c r="BK19" s="92">
        <f t="shared" si="109"/>
        <v>1606</v>
      </c>
      <c r="BL19" s="92">
        <v>1591067</v>
      </c>
      <c r="BM19" s="92">
        <f t="shared" si="110"/>
        <v>403</v>
      </c>
      <c r="BN19" s="92">
        <v>2340568</v>
      </c>
      <c r="BO19" s="92">
        <f t="shared" si="111"/>
        <v>198</v>
      </c>
      <c r="BP19" s="92">
        <v>10681397</v>
      </c>
      <c r="BQ19" s="92">
        <f t="shared" si="112"/>
        <v>1755</v>
      </c>
      <c r="BR19" s="92">
        <v>2622995</v>
      </c>
      <c r="BS19" s="92">
        <f t="shared" si="113"/>
        <v>207</v>
      </c>
      <c r="BT19" s="92">
        <v>13067041</v>
      </c>
      <c r="BU19" s="92">
        <f t="shared" si="114"/>
        <v>1801</v>
      </c>
      <c r="BV19" s="92">
        <v>10249989</v>
      </c>
      <c r="BW19" s="92">
        <f t="shared" si="115"/>
        <v>1522</v>
      </c>
      <c r="BX19" s="92">
        <v>1578147</v>
      </c>
      <c r="BY19" s="92">
        <f t="shared" si="116"/>
        <v>202</v>
      </c>
      <c r="BZ19" s="92">
        <v>19903655</v>
      </c>
      <c r="CA19" s="92">
        <f t="shared" si="117"/>
        <v>0</v>
      </c>
      <c r="CB19" s="92">
        <v>17452478</v>
      </c>
      <c r="CC19" s="92">
        <f t="shared" si="118"/>
        <v>0</v>
      </c>
      <c r="CD19" s="92">
        <v>18110598</v>
      </c>
      <c r="CE19" s="92">
        <f t="shared" si="119"/>
        <v>73</v>
      </c>
      <c r="CF19" s="92">
        <v>14096538</v>
      </c>
      <c r="CG19" s="92">
        <f t="shared" si="120"/>
        <v>933</v>
      </c>
      <c r="CH19" s="92">
        <v>4295351</v>
      </c>
      <c r="CI19" s="92">
        <f t="shared" si="121"/>
        <v>443</v>
      </c>
      <c r="CJ19" s="92">
        <v>4770888</v>
      </c>
      <c r="CK19" s="92">
        <f t="shared" si="122"/>
        <v>415</v>
      </c>
      <c r="CL19" s="92">
        <v>2716523</v>
      </c>
      <c r="CM19" s="92">
        <f t="shared" si="123"/>
        <v>76</v>
      </c>
      <c r="CN19" s="92">
        <v>69408921</v>
      </c>
      <c r="CO19" s="92">
        <f t="shared" si="124"/>
        <v>8382</v>
      </c>
      <c r="CP19" s="92">
        <v>4459818</v>
      </c>
      <c r="CQ19" s="92">
        <f t="shared" si="125"/>
        <v>375</v>
      </c>
      <c r="CR19" s="92">
        <v>5180953</v>
      </c>
      <c r="CS19" s="92">
        <f t="shared" si="126"/>
        <v>166</v>
      </c>
      <c r="CT19" s="92">
        <v>3053152</v>
      </c>
      <c r="CU19" s="92">
        <f t="shared" si="127"/>
        <v>252</v>
      </c>
      <c r="CV19" s="92">
        <v>41487033</v>
      </c>
      <c r="CW19" s="92">
        <f t="shared" si="128"/>
        <v>5583</v>
      </c>
      <c r="CX19" s="92">
        <v>6343240</v>
      </c>
      <c r="CY19" s="92">
        <f t="shared" si="129"/>
        <v>561</v>
      </c>
      <c r="CZ19" s="92">
        <v>6302751</v>
      </c>
      <c r="DA19" s="92">
        <f t="shared" si="130"/>
        <v>750</v>
      </c>
      <c r="DB19" s="92">
        <v>56620559</v>
      </c>
      <c r="DC19" s="92">
        <f t="shared" si="131"/>
        <v>3655</v>
      </c>
      <c r="DD19" s="92">
        <v>1998369</v>
      </c>
      <c r="DE19" s="92">
        <f t="shared" si="132"/>
        <v>500</v>
      </c>
      <c r="DF19" s="92">
        <v>21921815</v>
      </c>
      <c r="DG19" s="92">
        <f t="shared" si="133"/>
        <v>3014</v>
      </c>
      <c r="DH19" s="92">
        <v>32287221</v>
      </c>
      <c r="DI19" s="92">
        <f t="shared" si="134"/>
        <v>20</v>
      </c>
      <c r="DJ19" s="92"/>
      <c r="DK19" s="92"/>
      <c r="DL19" s="92">
        <v>986644</v>
      </c>
      <c r="DM19" s="92">
        <f t="shared" si="135"/>
        <v>140</v>
      </c>
      <c r="DN19" s="92">
        <v>1053229</v>
      </c>
      <c r="DO19" s="92">
        <f t="shared" si="136"/>
        <v>222</v>
      </c>
      <c r="DP19" s="92">
        <v>1178483</v>
      </c>
      <c r="DQ19" s="92">
        <f t="shared" si="137"/>
        <v>566</v>
      </c>
      <c r="DR19" s="92">
        <v>1163425</v>
      </c>
      <c r="DS19" s="92">
        <f t="shared" si="138"/>
        <v>752</v>
      </c>
      <c r="DT19" s="92">
        <v>962634</v>
      </c>
      <c r="DU19" s="92">
        <f t="shared" si="139"/>
        <v>972</v>
      </c>
      <c r="DV19" s="92">
        <v>1323865</v>
      </c>
      <c r="DW19" s="92">
        <f t="shared" si="140"/>
        <v>1354</v>
      </c>
      <c r="DX19" s="92">
        <v>808562</v>
      </c>
      <c r="DY19" s="92">
        <f t="shared" si="141"/>
        <v>542</v>
      </c>
      <c r="DZ19" s="92">
        <v>1442</v>
      </c>
      <c r="EA19" s="92">
        <f t="shared" si="142"/>
        <v>0</v>
      </c>
      <c r="EB19" s="92">
        <v>383182</v>
      </c>
      <c r="EC19" s="92">
        <f t="shared" si="143"/>
        <v>321</v>
      </c>
      <c r="ED19" s="92">
        <v>883893</v>
      </c>
      <c r="EE19" s="92">
        <f t="shared" si="144"/>
        <v>705</v>
      </c>
      <c r="EF19" s="92">
        <v>427191</v>
      </c>
      <c r="EG19" s="92">
        <f t="shared" si="145"/>
        <v>196</v>
      </c>
      <c r="EH19" s="92">
        <v>2598</v>
      </c>
      <c r="EI19" s="92">
        <f t="shared" si="146"/>
        <v>0</v>
      </c>
      <c r="EJ19" s="92">
        <v>976241</v>
      </c>
      <c r="EK19" s="92">
        <f t="shared" si="147"/>
        <v>420</v>
      </c>
      <c r="EL19" s="92">
        <v>3485433</v>
      </c>
      <c r="EM19" s="92">
        <f t="shared" si="148"/>
        <v>326</v>
      </c>
      <c r="EN19" s="92">
        <v>3857705</v>
      </c>
      <c r="EO19" s="92">
        <f t="shared" si="149"/>
        <v>378</v>
      </c>
      <c r="EP19" s="92">
        <v>4209142</v>
      </c>
      <c r="EQ19" s="92">
        <f t="shared" si="150"/>
        <v>449</v>
      </c>
      <c r="ER19" s="92">
        <v>5319293</v>
      </c>
      <c r="ES19" s="92">
        <f t="shared" si="151"/>
        <v>507</v>
      </c>
      <c r="ET19" s="92">
        <v>4360235</v>
      </c>
      <c r="EU19" s="92">
        <f t="shared" si="152"/>
        <v>441</v>
      </c>
      <c r="EV19" s="92">
        <v>4496079</v>
      </c>
      <c r="EW19" s="92">
        <f t="shared" si="153"/>
        <v>441</v>
      </c>
      <c r="EX19" s="92">
        <v>8800805</v>
      </c>
      <c r="EY19" s="92">
        <f t="shared" si="154"/>
        <v>862</v>
      </c>
      <c r="EZ19" s="92">
        <v>8699579</v>
      </c>
      <c r="FA19" s="92">
        <f t="shared" si="155"/>
        <v>1413</v>
      </c>
      <c r="FB19" s="92">
        <v>8662749</v>
      </c>
      <c r="FC19" s="92">
        <f t="shared" si="156"/>
        <v>698</v>
      </c>
      <c r="FD19" s="92">
        <v>8167417</v>
      </c>
      <c r="FE19" s="92">
        <f t="shared" si="157"/>
        <v>764</v>
      </c>
      <c r="FF19" s="92">
        <v>5146363</v>
      </c>
      <c r="FG19" s="92">
        <f t="shared" si="158"/>
        <v>680</v>
      </c>
      <c r="FH19" s="92">
        <v>3346897</v>
      </c>
      <c r="FI19" s="92">
        <f t="shared" si="159"/>
        <v>496</v>
      </c>
      <c r="FJ19" s="92">
        <v>1569905</v>
      </c>
      <c r="FK19" s="92">
        <f t="shared" si="160"/>
        <v>254</v>
      </c>
      <c r="FL19" s="92"/>
      <c r="FM19" s="92"/>
    </row>
    <row r="20" spans="1:169" s="48" customFormat="1" ht="30" customHeight="1">
      <c r="A20" s="91">
        <v>44171</v>
      </c>
      <c r="B20" s="92">
        <v>20734428</v>
      </c>
      <c r="C20" s="88">
        <f t="shared" si="83"/>
        <v>2084</v>
      </c>
      <c r="D20" s="92">
        <v>2311453</v>
      </c>
      <c r="E20" s="88">
        <f t="shared" si="84"/>
        <v>200</v>
      </c>
      <c r="F20" s="92">
        <v>27601548</v>
      </c>
      <c r="G20" s="88">
        <f t="shared" si="85"/>
        <v>3280</v>
      </c>
      <c r="H20" s="92">
        <v>5745313</v>
      </c>
      <c r="I20" s="88">
        <f t="shared" si="86"/>
        <v>514</v>
      </c>
      <c r="J20" s="92"/>
      <c r="K20" s="92"/>
      <c r="L20" s="92">
        <v>21657861</v>
      </c>
      <c r="M20" s="92">
        <f t="shared" si="87"/>
        <v>1842</v>
      </c>
      <c r="N20" s="92">
        <v>72753179</v>
      </c>
      <c r="O20" s="92">
        <f t="shared" si="88"/>
        <v>8894</v>
      </c>
      <c r="P20" s="92">
        <v>24121</v>
      </c>
      <c r="Q20" s="92">
        <f t="shared" si="89"/>
        <v>11</v>
      </c>
      <c r="R20" s="92">
        <v>4855</v>
      </c>
      <c r="S20" s="92">
        <f t="shared" si="90"/>
        <v>0</v>
      </c>
      <c r="T20" s="92">
        <v>31558940</v>
      </c>
      <c r="U20" s="92">
        <f t="shared" si="91"/>
        <v>3540</v>
      </c>
      <c r="V20" s="92">
        <v>1622418</v>
      </c>
      <c r="W20" s="92">
        <f t="shared" si="92"/>
        <v>276</v>
      </c>
      <c r="X20" s="92">
        <v>1870847</v>
      </c>
      <c r="Y20" s="92">
        <f t="shared" si="93"/>
        <v>210</v>
      </c>
      <c r="Z20" s="92">
        <v>3497766</v>
      </c>
      <c r="AA20" s="88">
        <f t="shared" si="94"/>
        <v>583</v>
      </c>
      <c r="AB20" s="92"/>
      <c r="AC20" s="92"/>
      <c r="AD20" s="92">
        <v>54793306</v>
      </c>
      <c r="AE20" s="92">
        <f t="shared" si="95"/>
        <v>6020</v>
      </c>
      <c r="AF20" s="92">
        <v>9937416</v>
      </c>
      <c r="AG20" s="92">
        <f t="shared" si="96"/>
        <v>1224</v>
      </c>
      <c r="AH20" s="92">
        <v>1544592</v>
      </c>
      <c r="AI20" s="92">
        <f t="shared" si="97"/>
        <v>189</v>
      </c>
      <c r="AJ20" s="92">
        <v>1767101</v>
      </c>
      <c r="AK20" s="92">
        <f t="shared" si="98"/>
        <v>183</v>
      </c>
      <c r="AL20" s="92">
        <v>4844499</v>
      </c>
      <c r="AM20" s="92">
        <f t="shared" si="99"/>
        <v>535</v>
      </c>
      <c r="AN20" s="92">
        <v>5151135</v>
      </c>
      <c r="AO20" s="92">
        <f t="shared" si="100"/>
        <v>819</v>
      </c>
      <c r="AP20" s="92"/>
      <c r="AQ20" s="92"/>
      <c r="AR20" s="92">
        <v>1135906</v>
      </c>
      <c r="AS20" s="92">
        <f t="shared" si="101"/>
        <v>0</v>
      </c>
      <c r="AT20" s="92">
        <v>3140068</v>
      </c>
      <c r="AU20" s="92">
        <f t="shared" si="102"/>
        <v>497</v>
      </c>
      <c r="AV20" s="92"/>
      <c r="AW20" s="92"/>
      <c r="AX20" s="92">
        <v>574524</v>
      </c>
      <c r="AY20" s="92">
        <f t="shared" si="103"/>
        <v>186</v>
      </c>
      <c r="AZ20" s="92">
        <v>2362812</v>
      </c>
      <c r="BA20" s="92">
        <f t="shared" si="104"/>
        <v>51</v>
      </c>
      <c r="BB20" s="92">
        <v>4687474</v>
      </c>
      <c r="BC20" s="92">
        <f t="shared" si="105"/>
        <v>722</v>
      </c>
      <c r="BD20" s="92">
        <v>41674015</v>
      </c>
      <c r="BE20" s="92">
        <f t="shared" si="106"/>
        <v>5683</v>
      </c>
      <c r="BF20" s="92">
        <v>58964594</v>
      </c>
      <c r="BG20" s="92">
        <f t="shared" si="107"/>
        <v>7936</v>
      </c>
      <c r="BH20" s="92">
        <v>434829</v>
      </c>
      <c r="BI20" s="92">
        <f t="shared" si="108"/>
        <v>122</v>
      </c>
      <c r="BJ20" s="92">
        <v>11250009</v>
      </c>
      <c r="BK20" s="92">
        <f t="shared" si="109"/>
        <v>1665</v>
      </c>
      <c r="BL20" s="92">
        <v>1591467</v>
      </c>
      <c r="BM20" s="92">
        <f t="shared" si="110"/>
        <v>400</v>
      </c>
      <c r="BN20" s="92">
        <v>2340744</v>
      </c>
      <c r="BO20" s="92">
        <f t="shared" si="111"/>
        <v>176</v>
      </c>
      <c r="BP20" s="92">
        <v>10683131</v>
      </c>
      <c r="BQ20" s="92">
        <f t="shared" si="112"/>
        <v>1734</v>
      </c>
      <c r="BR20" s="92">
        <v>2623204</v>
      </c>
      <c r="BS20" s="92">
        <f t="shared" si="113"/>
        <v>209</v>
      </c>
      <c r="BT20" s="92">
        <v>13068158</v>
      </c>
      <c r="BU20" s="92">
        <f t="shared" si="114"/>
        <v>1117</v>
      </c>
      <c r="BV20" s="92">
        <v>10251476</v>
      </c>
      <c r="BW20" s="92">
        <f t="shared" si="115"/>
        <v>1487</v>
      </c>
      <c r="BX20" s="92">
        <v>1578339</v>
      </c>
      <c r="BY20" s="92">
        <f t="shared" si="116"/>
        <v>192</v>
      </c>
      <c r="BZ20" s="92">
        <v>19903655</v>
      </c>
      <c r="CA20" s="92">
        <f t="shared" si="117"/>
        <v>0</v>
      </c>
      <c r="CB20" s="92">
        <v>17452479</v>
      </c>
      <c r="CC20" s="92">
        <f t="shared" si="118"/>
        <v>1</v>
      </c>
      <c r="CD20" s="92">
        <v>18110671</v>
      </c>
      <c r="CE20" s="92">
        <f t="shared" si="119"/>
        <v>73</v>
      </c>
      <c r="CF20" s="92">
        <v>14097505</v>
      </c>
      <c r="CG20" s="92">
        <f t="shared" si="120"/>
        <v>967</v>
      </c>
      <c r="CH20" s="92">
        <v>4295788</v>
      </c>
      <c r="CI20" s="92">
        <f t="shared" si="121"/>
        <v>437</v>
      </c>
      <c r="CJ20" s="92">
        <v>4771299</v>
      </c>
      <c r="CK20" s="92">
        <f t="shared" si="122"/>
        <v>411</v>
      </c>
      <c r="CL20" s="92">
        <v>2716645</v>
      </c>
      <c r="CM20" s="92">
        <f t="shared" si="123"/>
        <v>122</v>
      </c>
      <c r="CN20" s="92">
        <v>69417768</v>
      </c>
      <c r="CO20" s="92">
        <f t="shared" si="124"/>
        <v>8847</v>
      </c>
      <c r="CP20" s="92">
        <v>4460194</v>
      </c>
      <c r="CQ20" s="92">
        <f t="shared" si="125"/>
        <v>376</v>
      </c>
      <c r="CR20" s="92">
        <v>5181134</v>
      </c>
      <c r="CS20" s="92">
        <f t="shared" si="126"/>
        <v>181</v>
      </c>
      <c r="CT20" s="92">
        <v>3053404</v>
      </c>
      <c r="CU20" s="92">
        <f t="shared" si="127"/>
        <v>252</v>
      </c>
      <c r="CV20" s="92">
        <v>41493037</v>
      </c>
      <c r="CW20" s="92">
        <f t="shared" si="128"/>
        <v>6004</v>
      </c>
      <c r="CX20" s="92">
        <v>6343805</v>
      </c>
      <c r="CY20" s="92">
        <f t="shared" si="129"/>
        <v>565</v>
      </c>
      <c r="CZ20" s="92">
        <v>6303499</v>
      </c>
      <c r="DA20" s="92">
        <f t="shared" si="130"/>
        <v>748</v>
      </c>
      <c r="DB20" s="92">
        <v>56624073</v>
      </c>
      <c r="DC20" s="92">
        <f t="shared" si="131"/>
        <v>3514</v>
      </c>
      <c r="DD20" s="92">
        <v>1998859</v>
      </c>
      <c r="DE20" s="92">
        <f t="shared" si="132"/>
        <v>490</v>
      </c>
      <c r="DF20" s="92">
        <v>21924694</v>
      </c>
      <c r="DG20" s="92">
        <f t="shared" si="133"/>
        <v>2879</v>
      </c>
      <c r="DH20" s="92">
        <v>32287241</v>
      </c>
      <c r="DI20" s="92">
        <f t="shared" si="134"/>
        <v>20</v>
      </c>
      <c r="DJ20" s="92"/>
      <c r="DK20" s="92"/>
      <c r="DL20" s="92">
        <v>986799</v>
      </c>
      <c r="DM20" s="92">
        <f t="shared" si="135"/>
        <v>155</v>
      </c>
      <c r="DN20" s="92">
        <v>1053438</v>
      </c>
      <c r="DO20" s="92">
        <f t="shared" si="136"/>
        <v>209</v>
      </c>
      <c r="DP20" s="92">
        <v>1179122</v>
      </c>
      <c r="DQ20" s="92">
        <f t="shared" si="137"/>
        <v>639</v>
      </c>
      <c r="DR20" s="92">
        <v>1164154</v>
      </c>
      <c r="DS20" s="92">
        <f t="shared" si="138"/>
        <v>729</v>
      </c>
      <c r="DT20" s="92">
        <v>963579</v>
      </c>
      <c r="DU20" s="92">
        <f t="shared" si="139"/>
        <v>945</v>
      </c>
      <c r="DV20" s="92">
        <v>1325229</v>
      </c>
      <c r="DW20" s="92">
        <f t="shared" si="140"/>
        <v>1364</v>
      </c>
      <c r="DX20" s="92">
        <v>809074</v>
      </c>
      <c r="DY20" s="92">
        <f t="shared" si="141"/>
        <v>512</v>
      </c>
      <c r="DZ20" s="92">
        <v>1442</v>
      </c>
      <c r="EA20" s="92">
        <f t="shared" si="142"/>
        <v>0</v>
      </c>
      <c r="EB20" s="92">
        <v>383502</v>
      </c>
      <c r="EC20" s="92">
        <f t="shared" si="143"/>
        <v>320</v>
      </c>
      <c r="ED20" s="92">
        <v>884589</v>
      </c>
      <c r="EE20" s="92">
        <f t="shared" si="144"/>
        <v>696</v>
      </c>
      <c r="EF20" s="92">
        <v>427400</v>
      </c>
      <c r="EG20" s="92">
        <f t="shared" si="145"/>
        <v>209</v>
      </c>
      <c r="EH20" s="92">
        <v>2598</v>
      </c>
      <c r="EI20" s="92">
        <f t="shared" si="146"/>
        <v>0</v>
      </c>
      <c r="EJ20" s="92">
        <v>976658</v>
      </c>
      <c r="EK20" s="92">
        <f t="shared" si="147"/>
        <v>417</v>
      </c>
      <c r="EL20" s="92">
        <v>3485740</v>
      </c>
      <c r="EM20" s="92">
        <f t="shared" si="148"/>
        <v>307</v>
      </c>
      <c r="EN20" s="92">
        <v>3858073</v>
      </c>
      <c r="EO20" s="92">
        <f t="shared" si="149"/>
        <v>368</v>
      </c>
      <c r="EP20" s="92">
        <v>4209578</v>
      </c>
      <c r="EQ20" s="92">
        <f t="shared" si="150"/>
        <v>436</v>
      </c>
      <c r="ER20" s="92">
        <v>5319790</v>
      </c>
      <c r="ES20" s="92">
        <f t="shared" si="151"/>
        <v>497</v>
      </c>
      <c r="ET20" s="92">
        <v>4360667</v>
      </c>
      <c r="EU20" s="92">
        <f t="shared" si="152"/>
        <v>432</v>
      </c>
      <c r="EV20" s="92">
        <v>4496506</v>
      </c>
      <c r="EW20" s="92">
        <f t="shared" si="153"/>
        <v>427</v>
      </c>
      <c r="EX20" s="92">
        <v>8801661</v>
      </c>
      <c r="EY20" s="92">
        <f t="shared" si="154"/>
        <v>856</v>
      </c>
      <c r="EZ20" s="92">
        <v>8700978</v>
      </c>
      <c r="FA20" s="92">
        <f t="shared" si="155"/>
        <v>1399</v>
      </c>
      <c r="FB20" s="92">
        <v>8663439</v>
      </c>
      <c r="FC20" s="92">
        <f t="shared" si="156"/>
        <v>690</v>
      </c>
      <c r="FD20" s="92">
        <v>8168182</v>
      </c>
      <c r="FE20" s="92">
        <f t="shared" si="157"/>
        <v>765</v>
      </c>
      <c r="FF20" s="92">
        <v>5147001</v>
      </c>
      <c r="FG20" s="92">
        <f t="shared" si="158"/>
        <v>638</v>
      </c>
      <c r="FH20" s="92">
        <v>3347386</v>
      </c>
      <c r="FI20" s="92">
        <f t="shared" si="159"/>
        <v>489</v>
      </c>
      <c r="FJ20" s="92">
        <v>1570132</v>
      </c>
      <c r="FK20" s="92">
        <f t="shared" si="160"/>
        <v>227</v>
      </c>
      <c r="FL20" s="92"/>
      <c r="FM20" s="92"/>
    </row>
    <row r="21" spans="1:169" s="48" customFormat="1" ht="30" customHeight="1">
      <c r="A21" s="91">
        <v>44172</v>
      </c>
      <c r="B21" s="92">
        <v>20736444</v>
      </c>
      <c r="C21" s="92">
        <f t="shared" si="83"/>
        <v>2016</v>
      </c>
      <c r="D21" s="92">
        <v>2311634</v>
      </c>
      <c r="E21" s="92">
        <f t="shared" si="84"/>
        <v>181</v>
      </c>
      <c r="F21" s="92">
        <v>27604779</v>
      </c>
      <c r="G21" s="92">
        <f t="shared" si="85"/>
        <v>3231</v>
      </c>
      <c r="H21" s="92">
        <v>5745845</v>
      </c>
      <c r="I21" s="92">
        <f t="shared" si="86"/>
        <v>532</v>
      </c>
      <c r="J21" s="92"/>
      <c r="K21" s="92"/>
      <c r="L21" s="92">
        <v>21659716</v>
      </c>
      <c r="M21" s="92">
        <f t="shared" si="87"/>
        <v>1855</v>
      </c>
      <c r="N21" s="92">
        <v>72762132</v>
      </c>
      <c r="O21" s="92">
        <f t="shared" si="88"/>
        <v>8953</v>
      </c>
      <c r="P21" s="92">
        <v>24135</v>
      </c>
      <c r="Q21" s="92">
        <f t="shared" si="89"/>
        <v>14</v>
      </c>
      <c r="R21" s="92">
        <v>4855</v>
      </c>
      <c r="S21" s="92">
        <f t="shared" si="90"/>
        <v>0</v>
      </c>
      <c r="T21" s="92">
        <v>31562448</v>
      </c>
      <c r="U21" s="92">
        <f t="shared" si="91"/>
        <v>3508</v>
      </c>
      <c r="V21" s="92">
        <v>1622693</v>
      </c>
      <c r="W21" s="92">
        <f t="shared" si="92"/>
        <v>275</v>
      </c>
      <c r="X21" s="92">
        <v>1871055</v>
      </c>
      <c r="Y21" s="92">
        <f t="shared" si="93"/>
        <v>208</v>
      </c>
      <c r="Z21" s="92">
        <v>3498347</v>
      </c>
      <c r="AA21" s="92">
        <f t="shared" si="94"/>
        <v>581</v>
      </c>
      <c r="AB21" s="92"/>
      <c r="AC21" s="92"/>
      <c r="AD21" s="92">
        <v>54799142</v>
      </c>
      <c r="AE21" s="92">
        <f t="shared" si="95"/>
        <v>5836</v>
      </c>
      <c r="AF21" s="92">
        <v>9938467</v>
      </c>
      <c r="AG21" s="92">
        <f t="shared" si="96"/>
        <v>1051</v>
      </c>
      <c r="AH21" s="92">
        <v>1544787</v>
      </c>
      <c r="AI21" s="92">
        <f t="shared" si="97"/>
        <v>195</v>
      </c>
      <c r="AJ21" s="92">
        <v>1767293</v>
      </c>
      <c r="AK21" s="92">
        <f t="shared" si="98"/>
        <v>192</v>
      </c>
      <c r="AL21" s="92">
        <v>4845052</v>
      </c>
      <c r="AM21" s="92">
        <f t="shared" si="99"/>
        <v>553</v>
      </c>
      <c r="AN21" s="92">
        <v>5151952</v>
      </c>
      <c r="AO21" s="92">
        <f t="shared" si="100"/>
        <v>817</v>
      </c>
      <c r="AP21" s="92"/>
      <c r="AQ21" s="92"/>
      <c r="AR21" s="92">
        <v>1135906</v>
      </c>
      <c r="AS21" s="92">
        <f t="shared" si="101"/>
        <v>0</v>
      </c>
      <c r="AT21" s="92">
        <v>3140558</v>
      </c>
      <c r="AU21" s="92">
        <f t="shared" si="102"/>
        <v>490</v>
      </c>
      <c r="AV21" s="92"/>
      <c r="AW21" s="92"/>
      <c r="AX21" s="92">
        <v>574710</v>
      </c>
      <c r="AY21" s="92">
        <f t="shared" si="103"/>
        <v>186</v>
      </c>
      <c r="AZ21" s="92">
        <v>2362949</v>
      </c>
      <c r="BA21" s="92">
        <f t="shared" si="104"/>
        <v>137</v>
      </c>
      <c r="BB21" s="92">
        <v>4688142</v>
      </c>
      <c r="BC21" s="92">
        <f t="shared" si="105"/>
        <v>668</v>
      </c>
      <c r="BD21" s="92">
        <v>41679900</v>
      </c>
      <c r="BE21" s="92">
        <f t="shared" si="106"/>
        <v>5885</v>
      </c>
      <c r="BF21" s="92">
        <v>58972563</v>
      </c>
      <c r="BG21" s="92">
        <f t="shared" si="107"/>
        <v>7969</v>
      </c>
      <c r="BH21" s="92">
        <v>434952</v>
      </c>
      <c r="BI21" s="92">
        <f t="shared" si="108"/>
        <v>123</v>
      </c>
      <c r="BJ21" s="92">
        <v>11251695</v>
      </c>
      <c r="BK21" s="92">
        <f t="shared" si="109"/>
        <v>1686</v>
      </c>
      <c r="BL21" s="92">
        <v>1591866</v>
      </c>
      <c r="BM21" s="92">
        <f t="shared" si="110"/>
        <v>399</v>
      </c>
      <c r="BN21" s="92">
        <v>2340922</v>
      </c>
      <c r="BO21" s="92">
        <f t="shared" si="111"/>
        <v>178</v>
      </c>
      <c r="BP21" s="92">
        <v>10684815</v>
      </c>
      <c r="BQ21" s="92">
        <f t="shared" si="112"/>
        <v>1684</v>
      </c>
      <c r="BR21" s="92">
        <v>2623411</v>
      </c>
      <c r="BS21" s="92">
        <f t="shared" si="113"/>
        <v>207</v>
      </c>
      <c r="BT21" s="92">
        <v>13069304</v>
      </c>
      <c r="BU21" s="92">
        <f t="shared" si="114"/>
        <v>1146</v>
      </c>
      <c r="BV21" s="92">
        <v>10252959</v>
      </c>
      <c r="BW21" s="92">
        <f t="shared" si="115"/>
        <v>1483</v>
      </c>
      <c r="BX21" s="92">
        <v>1578547</v>
      </c>
      <c r="BY21" s="92">
        <f t="shared" si="116"/>
        <v>208</v>
      </c>
      <c r="BZ21" s="92">
        <v>19903655</v>
      </c>
      <c r="CA21" s="92">
        <f t="shared" si="117"/>
        <v>0</v>
      </c>
      <c r="CB21" s="92">
        <v>17452479</v>
      </c>
      <c r="CC21" s="92">
        <f t="shared" si="118"/>
        <v>0</v>
      </c>
      <c r="CD21" s="92">
        <v>18110744</v>
      </c>
      <c r="CE21" s="92">
        <f t="shared" si="119"/>
        <v>73</v>
      </c>
      <c r="CF21" s="92">
        <v>14098471</v>
      </c>
      <c r="CG21" s="92">
        <f t="shared" si="120"/>
        <v>966</v>
      </c>
      <c r="CH21" s="92">
        <v>4296219</v>
      </c>
      <c r="CI21" s="92">
        <f t="shared" si="121"/>
        <v>431</v>
      </c>
      <c r="CJ21" s="92">
        <v>4771716</v>
      </c>
      <c r="CK21" s="92">
        <f t="shared" si="122"/>
        <v>417</v>
      </c>
      <c r="CL21" s="92">
        <v>2716764</v>
      </c>
      <c r="CM21" s="92">
        <f t="shared" si="123"/>
        <v>119</v>
      </c>
      <c r="CN21" s="92">
        <v>69427366</v>
      </c>
      <c r="CO21" s="92">
        <f t="shared" si="124"/>
        <v>9598</v>
      </c>
      <c r="CP21" s="92">
        <v>4460571</v>
      </c>
      <c r="CQ21" s="92">
        <f t="shared" si="125"/>
        <v>377</v>
      </c>
      <c r="CR21" s="92">
        <v>5181302</v>
      </c>
      <c r="CS21" s="92">
        <f t="shared" si="126"/>
        <v>168</v>
      </c>
      <c r="CT21" s="92">
        <v>3053656</v>
      </c>
      <c r="CU21" s="92">
        <f t="shared" si="127"/>
        <v>252</v>
      </c>
      <c r="CV21" s="92">
        <v>41499847</v>
      </c>
      <c r="CW21" s="92">
        <f t="shared" si="128"/>
        <v>6810</v>
      </c>
      <c r="CX21" s="92">
        <v>6344368</v>
      </c>
      <c r="CY21" s="92">
        <f t="shared" si="129"/>
        <v>563</v>
      </c>
      <c r="CZ21" s="92">
        <v>6304245</v>
      </c>
      <c r="DA21" s="92">
        <f t="shared" si="130"/>
        <v>746</v>
      </c>
      <c r="DB21" s="92">
        <v>56627585</v>
      </c>
      <c r="DC21" s="92">
        <f t="shared" si="131"/>
        <v>3512</v>
      </c>
      <c r="DD21" s="92">
        <v>1999350</v>
      </c>
      <c r="DE21" s="92">
        <f t="shared" si="132"/>
        <v>491</v>
      </c>
      <c r="DF21" s="92">
        <v>21927568</v>
      </c>
      <c r="DG21" s="92">
        <f t="shared" si="133"/>
        <v>2874</v>
      </c>
      <c r="DH21" s="92">
        <v>32287260</v>
      </c>
      <c r="DI21" s="92">
        <f t="shared" si="134"/>
        <v>19</v>
      </c>
      <c r="DJ21" s="92"/>
      <c r="DK21" s="92"/>
      <c r="DL21" s="92">
        <v>986959</v>
      </c>
      <c r="DM21" s="92">
        <f t="shared" si="135"/>
        <v>160</v>
      </c>
      <c r="DN21" s="92">
        <v>1053652</v>
      </c>
      <c r="DO21" s="92">
        <f t="shared" si="136"/>
        <v>214</v>
      </c>
      <c r="DP21" s="92">
        <v>1179739</v>
      </c>
      <c r="DQ21" s="92">
        <f t="shared" si="137"/>
        <v>617</v>
      </c>
      <c r="DR21" s="92">
        <v>1164901</v>
      </c>
      <c r="DS21" s="92">
        <f t="shared" si="138"/>
        <v>747</v>
      </c>
      <c r="DT21" s="92">
        <v>964547</v>
      </c>
      <c r="DU21" s="92">
        <f t="shared" si="139"/>
        <v>968</v>
      </c>
      <c r="DV21" s="92">
        <v>1271060</v>
      </c>
      <c r="DW21" s="93">
        <f t="shared" si="140"/>
        <v>-54169</v>
      </c>
      <c r="DX21" s="92">
        <v>809568</v>
      </c>
      <c r="DY21" s="92">
        <f t="shared" si="141"/>
        <v>494</v>
      </c>
      <c r="DZ21" s="92">
        <v>1442</v>
      </c>
      <c r="EA21" s="92">
        <f t="shared" si="142"/>
        <v>0</v>
      </c>
      <c r="EB21" s="92">
        <v>383819</v>
      </c>
      <c r="EC21" s="92">
        <f t="shared" si="143"/>
        <v>317</v>
      </c>
      <c r="ED21" s="92">
        <v>885287</v>
      </c>
      <c r="EE21" s="92">
        <f t="shared" si="144"/>
        <v>698</v>
      </c>
      <c r="EF21" s="92">
        <v>427618</v>
      </c>
      <c r="EG21" s="92">
        <f t="shared" si="145"/>
        <v>218</v>
      </c>
      <c r="EH21" s="92">
        <v>2598</v>
      </c>
      <c r="EI21" s="92">
        <f t="shared" si="146"/>
        <v>0</v>
      </c>
      <c r="EJ21" s="92">
        <v>977084</v>
      </c>
      <c r="EK21" s="92">
        <f t="shared" si="147"/>
        <v>426</v>
      </c>
      <c r="EL21" s="92">
        <v>3486055</v>
      </c>
      <c r="EM21" s="92">
        <f t="shared" si="148"/>
        <v>315</v>
      </c>
      <c r="EN21" s="92">
        <v>3858432</v>
      </c>
      <c r="EO21" s="92">
        <f t="shared" si="149"/>
        <v>359</v>
      </c>
      <c r="EP21" s="92">
        <v>4210023</v>
      </c>
      <c r="EQ21" s="92">
        <f t="shared" si="150"/>
        <v>445</v>
      </c>
      <c r="ER21" s="92">
        <v>5320284</v>
      </c>
      <c r="ES21" s="92">
        <f t="shared" si="151"/>
        <v>494</v>
      </c>
      <c r="ET21" s="92">
        <v>4361071</v>
      </c>
      <c r="EU21" s="92">
        <f t="shared" si="152"/>
        <v>404</v>
      </c>
      <c r="EV21" s="92">
        <v>4496942</v>
      </c>
      <c r="EW21" s="92">
        <f t="shared" si="153"/>
        <v>436</v>
      </c>
      <c r="EX21" s="92">
        <v>8802516</v>
      </c>
      <c r="EY21" s="92">
        <f t="shared" si="154"/>
        <v>855</v>
      </c>
      <c r="EZ21" s="92">
        <v>8702383</v>
      </c>
      <c r="FA21" s="92">
        <f t="shared" si="155"/>
        <v>1405</v>
      </c>
      <c r="FB21" s="92">
        <v>8664108</v>
      </c>
      <c r="FC21" s="92">
        <f t="shared" si="156"/>
        <v>669</v>
      </c>
      <c r="FD21" s="92">
        <v>8168951</v>
      </c>
      <c r="FE21" s="92">
        <f t="shared" si="157"/>
        <v>769</v>
      </c>
      <c r="FF21" s="92">
        <v>5147602</v>
      </c>
      <c r="FG21" s="92">
        <f t="shared" si="158"/>
        <v>601</v>
      </c>
      <c r="FH21" s="92">
        <v>3347880</v>
      </c>
      <c r="FI21" s="92">
        <f t="shared" si="159"/>
        <v>494</v>
      </c>
      <c r="FJ21" s="92">
        <v>1570343</v>
      </c>
      <c r="FK21" s="92">
        <f t="shared" si="160"/>
        <v>211</v>
      </c>
      <c r="FL21" s="92"/>
      <c r="FM21" s="92"/>
    </row>
    <row r="22" spans="1:169" s="48" customFormat="1" ht="30" customHeight="1">
      <c r="A22" s="91">
        <v>44173</v>
      </c>
      <c r="B22" s="92">
        <v>20738504</v>
      </c>
      <c r="C22" s="88">
        <f t="shared" si="83"/>
        <v>2060</v>
      </c>
      <c r="D22" s="92">
        <v>2311887</v>
      </c>
      <c r="E22" s="88">
        <f t="shared" si="84"/>
        <v>253</v>
      </c>
      <c r="F22" s="92">
        <v>27608139</v>
      </c>
      <c r="G22" s="88">
        <f t="shared" si="85"/>
        <v>3360</v>
      </c>
      <c r="H22" s="92">
        <v>5746339</v>
      </c>
      <c r="I22" s="88">
        <f t="shared" si="86"/>
        <v>494</v>
      </c>
      <c r="J22" s="92"/>
      <c r="K22" s="92"/>
      <c r="L22" s="92">
        <v>21661580</v>
      </c>
      <c r="M22" s="92">
        <f t="shared" si="87"/>
        <v>1864</v>
      </c>
      <c r="N22" s="92">
        <v>72771403</v>
      </c>
      <c r="O22" s="92">
        <f t="shared" si="88"/>
        <v>9271</v>
      </c>
      <c r="P22" s="92">
        <v>24148</v>
      </c>
      <c r="Q22" s="92">
        <f t="shared" si="89"/>
        <v>13</v>
      </c>
      <c r="R22" s="92">
        <v>4855</v>
      </c>
      <c r="S22" s="92">
        <f t="shared" si="90"/>
        <v>0</v>
      </c>
      <c r="T22" s="92">
        <v>31565726</v>
      </c>
      <c r="U22" s="92">
        <f t="shared" si="91"/>
        <v>3278</v>
      </c>
      <c r="V22" s="92">
        <v>1622935</v>
      </c>
      <c r="W22" s="92">
        <f t="shared" si="92"/>
        <v>242</v>
      </c>
      <c r="X22" s="92">
        <v>1871260</v>
      </c>
      <c r="Y22" s="92">
        <f t="shared" si="93"/>
        <v>205</v>
      </c>
      <c r="Z22" s="92">
        <v>3498925</v>
      </c>
      <c r="AA22" s="88">
        <f t="shared" si="94"/>
        <v>578</v>
      </c>
      <c r="AB22" s="92"/>
      <c r="AC22" s="92"/>
      <c r="AD22" s="92">
        <v>54804692</v>
      </c>
      <c r="AE22" s="92">
        <f t="shared" si="95"/>
        <v>5550</v>
      </c>
      <c r="AF22" s="92">
        <v>9939329</v>
      </c>
      <c r="AG22" s="92">
        <f t="shared" si="96"/>
        <v>862</v>
      </c>
      <c r="AH22" s="92">
        <v>1544976</v>
      </c>
      <c r="AI22" s="92">
        <f t="shared" si="97"/>
        <v>189</v>
      </c>
      <c r="AJ22" s="92">
        <v>1767464</v>
      </c>
      <c r="AK22" s="92">
        <f t="shared" si="98"/>
        <v>171</v>
      </c>
      <c r="AL22" s="92">
        <v>4845576</v>
      </c>
      <c r="AM22" s="92">
        <f t="shared" si="99"/>
        <v>524</v>
      </c>
      <c r="AN22" s="92">
        <v>5152775</v>
      </c>
      <c r="AO22" s="92">
        <f t="shared" si="100"/>
        <v>823</v>
      </c>
      <c r="AP22" s="92"/>
      <c r="AQ22" s="92"/>
      <c r="AR22" s="92">
        <v>1141283</v>
      </c>
      <c r="AS22" s="94">
        <f t="shared" si="101"/>
        <v>5377</v>
      </c>
      <c r="AT22" s="92">
        <v>3141048</v>
      </c>
      <c r="AU22" s="92">
        <f t="shared" si="102"/>
        <v>490</v>
      </c>
      <c r="AV22" s="92"/>
      <c r="AW22" s="92"/>
      <c r="AX22" s="92">
        <v>574896</v>
      </c>
      <c r="AY22" s="92">
        <f t="shared" si="103"/>
        <v>186</v>
      </c>
      <c r="AZ22" s="92">
        <v>2362967</v>
      </c>
      <c r="BA22" s="92">
        <f t="shared" si="104"/>
        <v>18</v>
      </c>
      <c r="BB22" s="92">
        <v>4688768</v>
      </c>
      <c r="BC22" s="92">
        <f t="shared" si="105"/>
        <v>626</v>
      </c>
      <c r="BD22" s="92">
        <v>41685441</v>
      </c>
      <c r="BE22" s="92">
        <f t="shared" si="106"/>
        <v>5541</v>
      </c>
      <c r="BF22" s="92">
        <v>58980427</v>
      </c>
      <c r="BG22" s="92">
        <f t="shared" si="107"/>
        <v>7864</v>
      </c>
      <c r="BH22" s="92">
        <v>435076</v>
      </c>
      <c r="BI22" s="92">
        <f t="shared" si="108"/>
        <v>124</v>
      </c>
      <c r="BJ22" s="92">
        <v>11253378</v>
      </c>
      <c r="BK22" s="92">
        <f t="shared" si="109"/>
        <v>1683</v>
      </c>
      <c r="BL22" s="92">
        <v>1592269</v>
      </c>
      <c r="BM22" s="92">
        <f t="shared" si="110"/>
        <v>403</v>
      </c>
      <c r="BN22" s="92">
        <v>2341021</v>
      </c>
      <c r="BO22" s="92">
        <f t="shared" si="111"/>
        <v>99</v>
      </c>
      <c r="BP22" s="92">
        <v>10686528</v>
      </c>
      <c r="BQ22" s="92">
        <f t="shared" si="112"/>
        <v>1713</v>
      </c>
      <c r="BR22" s="92">
        <v>2623626</v>
      </c>
      <c r="BS22" s="92">
        <f t="shared" si="113"/>
        <v>215</v>
      </c>
      <c r="BT22" s="92">
        <v>13070454</v>
      </c>
      <c r="BU22" s="92">
        <f t="shared" si="114"/>
        <v>1150</v>
      </c>
      <c r="BV22" s="92">
        <v>10254433</v>
      </c>
      <c r="BW22" s="92">
        <f t="shared" si="115"/>
        <v>1474</v>
      </c>
      <c r="BX22" s="92">
        <v>1578729</v>
      </c>
      <c r="BY22" s="92">
        <f t="shared" si="116"/>
        <v>182</v>
      </c>
      <c r="BZ22" s="92">
        <v>19903655</v>
      </c>
      <c r="CA22" s="92">
        <f t="shared" si="117"/>
        <v>0</v>
      </c>
      <c r="CB22" s="92">
        <v>17452479</v>
      </c>
      <c r="CC22" s="92">
        <f t="shared" si="118"/>
        <v>0</v>
      </c>
      <c r="CD22" s="92">
        <v>18110817</v>
      </c>
      <c r="CE22" s="92">
        <f t="shared" si="119"/>
        <v>73</v>
      </c>
      <c r="CF22" s="92">
        <v>14099388</v>
      </c>
      <c r="CG22" s="92">
        <f t="shared" si="120"/>
        <v>917</v>
      </c>
      <c r="CH22" s="92">
        <v>4296660</v>
      </c>
      <c r="CI22" s="92">
        <f t="shared" si="121"/>
        <v>441</v>
      </c>
      <c r="CJ22" s="92">
        <v>4772127</v>
      </c>
      <c r="CK22" s="92">
        <f t="shared" si="122"/>
        <v>411</v>
      </c>
      <c r="CL22" s="92">
        <v>2716830</v>
      </c>
      <c r="CM22" s="92">
        <f t="shared" si="123"/>
        <v>66</v>
      </c>
      <c r="CN22" s="92">
        <v>69437179</v>
      </c>
      <c r="CO22" s="92">
        <f t="shared" si="124"/>
        <v>9813</v>
      </c>
      <c r="CP22" s="92">
        <v>4460948</v>
      </c>
      <c r="CQ22" s="92">
        <f t="shared" si="125"/>
        <v>377</v>
      </c>
      <c r="CR22" s="92">
        <v>5181474</v>
      </c>
      <c r="CS22" s="92">
        <f t="shared" si="126"/>
        <v>172</v>
      </c>
      <c r="CT22" s="92">
        <v>3053906</v>
      </c>
      <c r="CU22" s="92">
        <f t="shared" si="127"/>
        <v>250</v>
      </c>
      <c r="CV22" s="92">
        <v>41506842</v>
      </c>
      <c r="CW22" s="92">
        <f t="shared" si="128"/>
        <v>6995</v>
      </c>
      <c r="CX22" s="92">
        <v>6344930</v>
      </c>
      <c r="CY22" s="92">
        <f t="shared" si="129"/>
        <v>562</v>
      </c>
      <c r="CZ22" s="92">
        <v>6304990</v>
      </c>
      <c r="DA22" s="92">
        <f t="shared" si="130"/>
        <v>745</v>
      </c>
      <c r="DB22" s="92">
        <v>56631902</v>
      </c>
      <c r="DC22" s="92">
        <f t="shared" si="131"/>
        <v>4317</v>
      </c>
      <c r="DD22" s="92">
        <v>1999839</v>
      </c>
      <c r="DE22" s="92">
        <f t="shared" si="132"/>
        <v>489</v>
      </c>
      <c r="DF22" s="92">
        <v>21931271</v>
      </c>
      <c r="DG22" s="92">
        <f t="shared" si="133"/>
        <v>3703</v>
      </c>
      <c r="DH22" s="92">
        <v>32287280</v>
      </c>
      <c r="DI22" s="92">
        <f t="shared" si="134"/>
        <v>20</v>
      </c>
      <c r="DJ22" s="92"/>
      <c r="DK22" s="92"/>
      <c r="DL22" s="92">
        <v>987136</v>
      </c>
      <c r="DM22" s="92">
        <f t="shared" si="135"/>
        <v>177</v>
      </c>
      <c r="DN22" s="92">
        <v>1053870</v>
      </c>
      <c r="DO22" s="92">
        <f t="shared" si="136"/>
        <v>218</v>
      </c>
      <c r="DP22" s="92">
        <v>1180296</v>
      </c>
      <c r="DQ22" s="92">
        <f t="shared" si="137"/>
        <v>557</v>
      </c>
      <c r="DR22" s="92">
        <v>1110112</v>
      </c>
      <c r="DS22" s="93">
        <f t="shared" si="138"/>
        <v>-54789</v>
      </c>
      <c r="DT22" s="92">
        <v>965544</v>
      </c>
      <c r="DU22" s="92">
        <f t="shared" si="139"/>
        <v>997</v>
      </c>
      <c r="DV22" s="92">
        <v>1272421</v>
      </c>
      <c r="DW22" s="92">
        <f t="shared" si="140"/>
        <v>1361</v>
      </c>
      <c r="DX22" s="92">
        <v>810084</v>
      </c>
      <c r="DY22" s="92">
        <f t="shared" si="141"/>
        <v>516</v>
      </c>
      <c r="DZ22" s="92">
        <v>1442</v>
      </c>
      <c r="EA22" s="92">
        <f t="shared" si="142"/>
        <v>0</v>
      </c>
      <c r="EB22" s="92">
        <v>384147</v>
      </c>
      <c r="EC22" s="92">
        <f t="shared" si="143"/>
        <v>328</v>
      </c>
      <c r="ED22" s="92">
        <v>885983</v>
      </c>
      <c r="EE22" s="92">
        <f t="shared" si="144"/>
        <v>696</v>
      </c>
      <c r="EF22" s="92">
        <v>427721</v>
      </c>
      <c r="EG22" s="92">
        <f t="shared" si="145"/>
        <v>103</v>
      </c>
      <c r="EH22" s="92">
        <v>2598</v>
      </c>
      <c r="EI22" s="92">
        <f t="shared" si="146"/>
        <v>0</v>
      </c>
      <c r="EJ22" s="92">
        <v>977528</v>
      </c>
      <c r="EK22" s="92">
        <f t="shared" si="147"/>
        <v>444</v>
      </c>
      <c r="EL22" s="92">
        <v>3486414</v>
      </c>
      <c r="EM22" s="92">
        <f t="shared" si="148"/>
        <v>359</v>
      </c>
      <c r="EN22" s="92">
        <v>3858835</v>
      </c>
      <c r="EO22" s="92">
        <f t="shared" si="149"/>
        <v>403</v>
      </c>
      <c r="EP22" s="92">
        <v>4210484</v>
      </c>
      <c r="EQ22" s="92">
        <f t="shared" si="150"/>
        <v>461</v>
      </c>
      <c r="ER22" s="92">
        <v>5320778</v>
      </c>
      <c r="ES22" s="92">
        <f t="shared" si="151"/>
        <v>494</v>
      </c>
      <c r="ET22" s="92">
        <v>4361496</v>
      </c>
      <c r="EU22" s="92">
        <f t="shared" si="152"/>
        <v>425</v>
      </c>
      <c r="EV22" s="92">
        <v>4497376</v>
      </c>
      <c r="EW22" s="92">
        <f t="shared" si="153"/>
        <v>434</v>
      </c>
      <c r="EX22" s="92">
        <v>8803366</v>
      </c>
      <c r="EY22" s="92">
        <f t="shared" si="154"/>
        <v>850</v>
      </c>
      <c r="EZ22" s="92">
        <v>8703868</v>
      </c>
      <c r="FA22" s="92">
        <f t="shared" si="155"/>
        <v>1485</v>
      </c>
      <c r="FB22" s="92">
        <v>8664809</v>
      </c>
      <c r="FC22" s="92">
        <f t="shared" si="156"/>
        <v>701</v>
      </c>
      <c r="FD22" s="92">
        <v>8169724</v>
      </c>
      <c r="FE22" s="92">
        <f t="shared" si="157"/>
        <v>773</v>
      </c>
      <c r="FF22" s="92">
        <v>5148281</v>
      </c>
      <c r="FG22" s="92">
        <f t="shared" si="158"/>
        <v>679</v>
      </c>
      <c r="FH22" s="92">
        <v>3348376</v>
      </c>
      <c r="FI22" s="92">
        <f t="shared" si="159"/>
        <v>496</v>
      </c>
      <c r="FJ22" s="92">
        <v>1570569</v>
      </c>
      <c r="FK22" s="92">
        <f t="shared" si="160"/>
        <v>226</v>
      </c>
      <c r="FL22" s="92"/>
      <c r="FM22" s="92"/>
    </row>
    <row r="23" spans="1:169" s="48" customFormat="1" ht="30" customHeight="1">
      <c r="A23" s="91">
        <v>44174</v>
      </c>
      <c r="B23" s="92">
        <v>20740573</v>
      </c>
      <c r="C23" s="92">
        <f t="shared" si="83"/>
        <v>2069</v>
      </c>
      <c r="D23" s="92">
        <v>2312150</v>
      </c>
      <c r="E23" s="92">
        <f t="shared" si="84"/>
        <v>263</v>
      </c>
      <c r="F23" s="92">
        <v>27611504</v>
      </c>
      <c r="G23" s="92">
        <f t="shared" si="85"/>
        <v>3365</v>
      </c>
      <c r="H23" s="92">
        <v>5746871</v>
      </c>
      <c r="I23" s="92">
        <f t="shared" si="86"/>
        <v>532</v>
      </c>
      <c r="J23" s="92"/>
      <c r="K23" s="92"/>
      <c r="L23" s="92">
        <v>21663435</v>
      </c>
      <c r="M23" s="92">
        <f t="shared" si="87"/>
        <v>1855</v>
      </c>
      <c r="N23" s="92">
        <v>72780354</v>
      </c>
      <c r="O23" s="92">
        <f t="shared" si="88"/>
        <v>8951</v>
      </c>
      <c r="P23" s="92">
        <v>24162</v>
      </c>
      <c r="Q23" s="92">
        <f t="shared" si="89"/>
        <v>14</v>
      </c>
      <c r="R23" s="92">
        <v>4855</v>
      </c>
      <c r="S23" s="92">
        <f t="shared" si="90"/>
        <v>0</v>
      </c>
      <c r="T23" s="92">
        <v>31568946</v>
      </c>
      <c r="U23" s="92">
        <f t="shared" si="91"/>
        <v>3220</v>
      </c>
      <c r="V23" s="92">
        <v>1623174</v>
      </c>
      <c r="W23" s="92">
        <f t="shared" si="92"/>
        <v>239</v>
      </c>
      <c r="X23" s="92">
        <v>1871465</v>
      </c>
      <c r="Y23" s="92">
        <f t="shared" si="93"/>
        <v>205</v>
      </c>
      <c r="Z23" s="92">
        <v>3499504</v>
      </c>
      <c r="AA23" s="92">
        <f t="shared" si="94"/>
        <v>579</v>
      </c>
      <c r="AB23" s="92"/>
      <c r="AC23" s="92"/>
      <c r="AD23" s="92">
        <v>54810142</v>
      </c>
      <c r="AE23" s="92">
        <f t="shared" si="95"/>
        <v>5450</v>
      </c>
      <c r="AF23" s="92">
        <v>9940180</v>
      </c>
      <c r="AG23" s="92">
        <f t="shared" si="96"/>
        <v>851</v>
      </c>
      <c r="AH23" s="92">
        <v>1545185</v>
      </c>
      <c r="AI23" s="92">
        <f t="shared" si="97"/>
        <v>209</v>
      </c>
      <c r="AJ23" s="92">
        <v>1767637</v>
      </c>
      <c r="AK23" s="92">
        <f t="shared" si="98"/>
        <v>173</v>
      </c>
      <c r="AL23" s="92">
        <v>4846114</v>
      </c>
      <c r="AM23" s="92">
        <f t="shared" si="99"/>
        <v>538</v>
      </c>
      <c r="AN23" s="92">
        <v>5153579</v>
      </c>
      <c r="AO23" s="92">
        <f t="shared" si="100"/>
        <v>804</v>
      </c>
      <c r="AP23" s="92"/>
      <c r="AQ23" s="92"/>
      <c r="AR23" s="92">
        <v>1141586</v>
      </c>
      <c r="AS23" s="92">
        <f t="shared" si="101"/>
        <v>303</v>
      </c>
      <c r="AT23" s="92">
        <v>3141529</v>
      </c>
      <c r="AU23" s="92">
        <f t="shared" si="102"/>
        <v>481</v>
      </c>
      <c r="AV23" s="92"/>
      <c r="AW23" s="92"/>
      <c r="AX23" s="92">
        <v>575083</v>
      </c>
      <c r="AY23" s="92">
        <f t="shared" si="103"/>
        <v>187</v>
      </c>
      <c r="AZ23" s="92">
        <v>2362994</v>
      </c>
      <c r="BA23" s="92">
        <f t="shared" si="104"/>
        <v>27</v>
      </c>
      <c r="BB23" s="92">
        <v>4689453</v>
      </c>
      <c r="BC23" s="92">
        <f t="shared" si="105"/>
        <v>685</v>
      </c>
      <c r="BD23" s="92">
        <v>41691059</v>
      </c>
      <c r="BE23" s="92">
        <f t="shared" si="106"/>
        <v>5618</v>
      </c>
      <c r="BF23" s="92">
        <v>58988488</v>
      </c>
      <c r="BG23" s="92">
        <f t="shared" si="107"/>
        <v>8061</v>
      </c>
      <c r="BH23" s="92">
        <v>435197</v>
      </c>
      <c r="BI23" s="92">
        <f t="shared" si="108"/>
        <v>121</v>
      </c>
      <c r="BJ23" s="92">
        <v>11255052</v>
      </c>
      <c r="BK23" s="92">
        <f t="shared" si="109"/>
        <v>1674</v>
      </c>
      <c r="BL23" s="92">
        <v>1592669</v>
      </c>
      <c r="BM23" s="92">
        <f t="shared" si="110"/>
        <v>400</v>
      </c>
      <c r="BN23" s="92">
        <v>2341102</v>
      </c>
      <c r="BO23" s="92">
        <f t="shared" si="111"/>
        <v>81</v>
      </c>
      <c r="BP23" s="92">
        <v>10688233</v>
      </c>
      <c r="BQ23" s="92">
        <f t="shared" si="112"/>
        <v>1705</v>
      </c>
      <c r="BR23" s="92">
        <v>2623841</v>
      </c>
      <c r="BS23" s="92">
        <f t="shared" si="113"/>
        <v>215</v>
      </c>
      <c r="BT23" s="92">
        <v>13071830</v>
      </c>
      <c r="BU23" s="92">
        <f t="shared" si="114"/>
        <v>1376</v>
      </c>
      <c r="BV23" s="92">
        <v>10255892</v>
      </c>
      <c r="BW23" s="92">
        <f t="shared" si="115"/>
        <v>1459</v>
      </c>
      <c r="BX23" s="92">
        <v>1578914</v>
      </c>
      <c r="BY23" s="92">
        <f t="shared" si="116"/>
        <v>185</v>
      </c>
      <c r="BZ23" s="92">
        <v>19903655</v>
      </c>
      <c r="CA23" s="92">
        <f t="shared" si="117"/>
        <v>0</v>
      </c>
      <c r="CB23" s="92">
        <v>17452479</v>
      </c>
      <c r="CC23" s="92">
        <f t="shared" si="118"/>
        <v>0</v>
      </c>
      <c r="CD23" s="92">
        <v>18110890</v>
      </c>
      <c r="CE23" s="92">
        <f t="shared" si="119"/>
        <v>73</v>
      </c>
      <c r="CF23" s="92">
        <v>14100303</v>
      </c>
      <c r="CG23" s="92">
        <f t="shared" si="120"/>
        <v>915</v>
      </c>
      <c r="CH23" s="92">
        <v>4297099</v>
      </c>
      <c r="CI23" s="92">
        <f t="shared" si="121"/>
        <v>439</v>
      </c>
      <c r="CJ23" s="92">
        <v>4772525</v>
      </c>
      <c r="CK23" s="92">
        <f t="shared" si="122"/>
        <v>398</v>
      </c>
      <c r="CL23" s="92">
        <v>2716908</v>
      </c>
      <c r="CM23" s="92">
        <f t="shared" si="123"/>
        <v>78</v>
      </c>
      <c r="CN23" s="92">
        <v>69446450</v>
      </c>
      <c r="CO23" s="92">
        <f t="shared" si="124"/>
        <v>9271</v>
      </c>
      <c r="CP23" s="92">
        <v>4461321</v>
      </c>
      <c r="CQ23" s="92">
        <f t="shared" si="125"/>
        <v>373</v>
      </c>
      <c r="CR23" s="92">
        <v>5181639</v>
      </c>
      <c r="CS23" s="92">
        <f t="shared" si="126"/>
        <v>165</v>
      </c>
      <c r="CT23" s="92">
        <v>3054161</v>
      </c>
      <c r="CU23" s="92">
        <f t="shared" si="127"/>
        <v>255</v>
      </c>
      <c r="CV23" s="92">
        <v>41513319</v>
      </c>
      <c r="CW23" s="92">
        <f t="shared" si="128"/>
        <v>6477</v>
      </c>
      <c r="CX23" s="92">
        <v>6345487</v>
      </c>
      <c r="CY23" s="92">
        <f t="shared" si="129"/>
        <v>557</v>
      </c>
      <c r="CZ23" s="92">
        <v>6305736</v>
      </c>
      <c r="DA23" s="92">
        <f t="shared" si="130"/>
        <v>746</v>
      </c>
      <c r="DB23" s="92">
        <v>56636265</v>
      </c>
      <c r="DC23" s="92">
        <f t="shared" si="131"/>
        <v>4363</v>
      </c>
      <c r="DD23" s="92">
        <v>2000338</v>
      </c>
      <c r="DE23" s="92">
        <f t="shared" si="132"/>
        <v>499</v>
      </c>
      <c r="DF23" s="92">
        <v>21935017</v>
      </c>
      <c r="DG23" s="92">
        <f t="shared" si="133"/>
        <v>3746</v>
      </c>
      <c r="DH23" s="92">
        <v>32287300</v>
      </c>
      <c r="DI23" s="92">
        <f t="shared" si="134"/>
        <v>20</v>
      </c>
      <c r="DJ23" s="92"/>
      <c r="DK23" s="92"/>
      <c r="DL23" s="92">
        <v>987292</v>
      </c>
      <c r="DM23" s="92">
        <f t="shared" si="135"/>
        <v>156</v>
      </c>
      <c r="DN23" s="92">
        <v>1054062</v>
      </c>
      <c r="DO23" s="92">
        <f t="shared" si="136"/>
        <v>192</v>
      </c>
      <c r="DP23" s="92">
        <v>1180811</v>
      </c>
      <c r="DQ23" s="92">
        <f t="shared" si="137"/>
        <v>515</v>
      </c>
      <c r="DR23" s="92">
        <v>1110810</v>
      </c>
      <c r="DS23" s="92">
        <f t="shared" si="138"/>
        <v>698</v>
      </c>
      <c r="DT23" s="92">
        <v>966540</v>
      </c>
      <c r="DU23" s="92">
        <f t="shared" si="139"/>
        <v>996</v>
      </c>
      <c r="DV23" s="92">
        <v>1273765</v>
      </c>
      <c r="DW23" s="92">
        <f t="shared" si="140"/>
        <v>1344</v>
      </c>
      <c r="DX23" s="92">
        <v>810604</v>
      </c>
      <c r="DY23" s="92">
        <f t="shared" si="141"/>
        <v>520</v>
      </c>
      <c r="DZ23" s="92">
        <v>1442</v>
      </c>
      <c r="EA23" s="92">
        <f t="shared" si="142"/>
        <v>0</v>
      </c>
      <c r="EB23" s="92">
        <v>384468</v>
      </c>
      <c r="EC23" s="92">
        <f t="shared" si="143"/>
        <v>321</v>
      </c>
      <c r="ED23" s="92">
        <v>886683</v>
      </c>
      <c r="EE23" s="92">
        <f t="shared" si="144"/>
        <v>700</v>
      </c>
      <c r="EF23" s="92">
        <v>427830</v>
      </c>
      <c r="EG23" s="92">
        <f t="shared" si="145"/>
        <v>109</v>
      </c>
      <c r="EH23" s="92">
        <v>2598</v>
      </c>
      <c r="EI23" s="92">
        <f t="shared" si="146"/>
        <v>0</v>
      </c>
      <c r="EJ23" s="92">
        <v>977964</v>
      </c>
      <c r="EK23" s="92">
        <f t="shared" si="147"/>
        <v>436</v>
      </c>
      <c r="EL23" s="92">
        <v>3486762</v>
      </c>
      <c r="EM23" s="92">
        <f t="shared" si="148"/>
        <v>348</v>
      </c>
      <c r="EN23" s="92">
        <v>3859220</v>
      </c>
      <c r="EO23" s="92">
        <f t="shared" si="149"/>
        <v>385</v>
      </c>
      <c r="EP23" s="92">
        <v>4210921</v>
      </c>
      <c r="EQ23" s="92">
        <f t="shared" si="150"/>
        <v>437</v>
      </c>
      <c r="ER23" s="92">
        <v>5321260</v>
      </c>
      <c r="ES23" s="92">
        <f t="shared" si="151"/>
        <v>482</v>
      </c>
      <c r="ET23" s="92">
        <v>4361906</v>
      </c>
      <c r="EU23" s="92">
        <f t="shared" si="152"/>
        <v>410</v>
      </c>
      <c r="EV23" s="92">
        <v>4497820</v>
      </c>
      <c r="EW23" s="92">
        <f t="shared" si="153"/>
        <v>444</v>
      </c>
      <c r="EX23" s="92">
        <v>8804219</v>
      </c>
      <c r="EY23" s="92">
        <f t="shared" si="154"/>
        <v>853</v>
      </c>
      <c r="EZ23" s="92">
        <v>8705328</v>
      </c>
      <c r="FA23" s="92">
        <f t="shared" si="155"/>
        <v>1460</v>
      </c>
      <c r="FB23" s="92">
        <v>8665513</v>
      </c>
      <c r="FC23" s="92">
        <f t="shared" si="156"/>
        <v>704</v>
      </c>
      <c r="FD23" s="92">
        <v>8170497</v>
      </c>
      <c r="FE23" s="92">
        <f t="shared" si="157"/>
        <v>773</v>
      </c>
      <c r="FF23" s="92">
        <v>5148975</v>
      </c>
      <c r="FG23" s="92">
        <f t="shared" si="158"/>
        <v>694</v>
      </c>
      <c r="FH23" s="92">
        <v>3348868</v>
      </c>
      <c r="FI23" s="92">
        <f t="shared" si="159"/>
        <v>492</v>
      </c>
      <c r="FJ23" s="92">
        <v>1570798</v>
      </c>
      <c r="FK23" s="92">
        <f t="shared" si="160"/>
        <v>229</v>
      </c>
      <c r="FL23" s="92"/>
      <c r="FM23" s="92"/>
    </row>
    <row r="24" spans="1:169" s="48" customFormat="1" ht="30" customHeight="1">
      <c r="A24" s="91">
        <v>44175</v>
      </c>
      <c r="B24" s="92">
        <v>20742785</v>
      </c>
      <c r="C24" s="88">
        <f t="shared" si="83"/>
        <v>2212</v>
      </c>
      <c r="D24" s="92">
        <v>2312417</v>
      </c>
      <c r="E24" s="88">
        <f t="shared" si="84"/>
        <v>267</v>
      </c>
      <c r="F24" s="92">
        <v>27614926</v>
      </c>
      <c r="G24" s="88">
        <f t="shared" si="85"/>
        <v>3422</v>
      </c>
      <c r="H24" s="92">
        <v>5747397</v>
      </c>
      <c r="I24" s="88">
        <f t="shared" si="86"/>
        <v>526</v>
      </c>
      <c r="J24" s="92"/>
      <c r="K24" s="92"/>
      <c r="L24" s="92">
        <v>21665278</v>
      </c>
      <c r="M24" s="92">
        <f t="shared" si="87"/>
        <v>1843</v>
      </c>
      <c r="N24" s="92">
        <v>72789261</v>
      </c>
      <c r="O24" s="92">
        <f t="shared" si="88"/>
        <v>8907</v>
      </c>
      <c r="P24" s="92">
        <v>24176</v>
      </c>
      <c r="Q24" s="92">
        <f t="shared" si="89"/>
        <v>14</v>
      </c>
      <c r="R24" s="92">
        <v>4855</v>
      </c>
      <c r="S24" s="92">
        <f t="shared" si="90"/>
        <v>0</v>
      </c>
      <c r="T24" s="92">
        <v>31572159</v>
      </c>
      <c r="U24" s="92">
        <f t="shared" si="91"/>
        <v>3213</v>
      </c>
      <c r="V24" s="92">
        <v>1623409</v>
      </c>
      <c r="W24" s="92">
        <f t="shared" si="92"/>
        <v>235</v>
      </c>
      <c r="X24" s="92">
        <v>1871671</v>
      </c>
      <c r="Y24" s="92">
        <f t="shared" si="93"/>
        <v>206</v>
      </c>
      <c r="Z24" s="92">
        <v>3500085</v>
      </c>
      <c r="AA24" s="88">
        <f t="shared" si="94"/>
        <v>581</v>
      </c>
      <c r="AB24" s="92"/>
      <c r="AC24" s="92"/>
      <c r="AD24" s="92">
        <v>54815773</v>
      </c>
      <c r="AE24" s="92">
        <f t="shared" si="95"/>
        <v>5631</v>
      </c>
      <c r="AF24" s="92">
        <v>9941331</v>
      </c>
      <c r="AG24" s="92">
        <f t="shared" si="96"/>
        <v>1151</v>
      </c>
      <c r="AH24" s="92">
        <v>1545381</v>
      </c>
      <c r="AI24" s="92">
        <f t="shared" si="97"/>
        <v>196</v>
      </c>
      <c r="AJ24" s="92">
        <v>1767831</v>
      </c>
      <c r="AK24" s="92">
        <f t="shared" si="98"/>
        <v>194</v>
      </c>
      <c r="AL24" s="92">
        <v>4846660</v>
      </c>
      <c r="AM24" s="92">
        <f t="shared" si="99"/>
        <v>546</v>
      </c>
      <c r="AN24" s="92">
        <v>5154407</v>
      </c>
      <c r="AO24" s="92">
        <f t="shared" si="100"/>
        <v>828</v>
      </c>
      <c r="AP24" s="92"/>
      <c r="AQ24" s="92"/>
      <c r="AR24" s="92">
        <v>1141891</v>
      </c>
      <c r="AS24" s="92">
        <f t="shared" si="101"/>
        <v>305</v>
      </c>
      <c r="AT24" s="92">
        <v>3142008</v>
      </c>
      <c r="AU24" s="92">
        <f t="shared" si="102"/>
        <v>479</v>
      </c>
      <c r="AV24" s="92"/>
      <c r="AW24" s="92"/>
      <c r="AX24" s="92">
        <v>575269</v>
      </c>
      <c r="AY24" s="92">
        <f t="shared" si="103"/>
        <v>186</v>
      </c>
      <c r="AZ24" s="92">
        <v>2363066</v>
      </c>
      <c r="BA24" s="92">
        <f t="shared" si="104"/>
        <v>72</v>
      </c>
      <c r="BB24" s="92">
        <v>4690104</v>
      </c>
      <c r="BC24" s="92">
        <f t="shared" si="105"/>
        <v>651</v>
      </c>
      <c r="BD24" s="92">
        <v>41696781</v>
      </c>
      <c r="BE24" s="92">
        <f t="shared" si="106"/>
        <v>5722</v>
      </c>
      <c r="BF24" s="92">
        <v>58997255</v>
      </c>
      <c r="BG24" s="92">
        <f t="shared" si="107"/>
        <v>8767</v>
      </c>
      <c r="BH24" s="92">
        <v>435324</v>
      </c>
      <c r="BI24" s="92">
        <f t="shared" si="108"/>
        <v>127</v>
      </c>
      <c r="BJ24" s="92">
        <v>11256799</v>
      </c>
      <c r="BK24" s="92">
        <f t="shared" si="109"/>
        <v>1747</v>
      </c>
      <c r="BL24" s="92">
        <v>1593069</v>
      </c>
      <c r="BM24" s="92">
        <f t="shared" si="110"/>
        <v>400</v>
      </c>
      <c r="BN24" s="92">
        <v>2341188</v>
      </c>
      <c r="BO24" s="92">
        <f t="shared" si="111"/>
        <v>86</v>
      </c>
      <c r="BP24" s="92">
        <v>10689973</v>
      </c>
      <c r="BQ24" s="92">
        <f t="shared" si="112"/>
        <v>1740</v>
      </c>
      <c r="BR24" s="92">
        <v>2624061</v>
      </c>
      <c r="BS24" s="92">
        <f t="shared" si="113"/>
        <v>220</v>
      </c>
      <c r="BT24" s="92">
        <v>13073735</v>
      </c>
      <c r="BU24" s="92">
        <f t="shared" si="114"/>
        <v>1905</v>
      </c>
      <c r="BV24" s="92">
        <v>10257403</v>
      </c>
      <c r="BW24" s="92">
        <f t="shared" si="115"/>
        <v>1511</v>
      </c>
      <c r="BX24" s="92">
        <v>1579095</v>
      </c>
      <c r="BY24" s="92">
        <f t="shared" si="116"/>
        <v>181</v>
      </c>
      <c r="BZ24" s="92">
        <v>19903655</v>
      </c>
      <c r="CA24" s="92">
        <f t="shared" si="117"/>
        <v>0</v>
      </c>
      <c r="CB24" s="92">
        <v>17452479</v>
      </c>
      <c r="CC24" s="92">
        <f t="shared" si="118"/>
        <v>0</v>
      </c>
      <c r="CD24" s="92">
        <v>18110963</v>
      </c>
      <c r="CE24" s="92">
        <f t="shared" si="119"/>
        <v>73</v>
      </c>
      <c r="CF24" s="92">
        <v>14101274</v>
      </c>
      <c r="CG24" s="92">
        <f t="shared" si="120"/>
        <v>971</v>
      </c>
      <c r="CH24" s="92">
        <v>4297547</v>
      </c>
      <c r="CI24" s="92">
        <f t="shared" si="121"/>
        <v>448</v>
      </c>
      <c r="CJ24" s="92">
        <v>4772933</v>
      </c>
      <c r="CK24" s="92">
        <f t="shared" si="122"/>
        <v>408</v>
      </c>
      <c r="CL24" s="92">
        <v>2717025</v>
      </c>
      <c r="CM24" s="92">
        <f t="shared" si="123"/>
        <v>117</v>
      </c>
      <c r="CN24" s="92">
        <v>69455937</v>
      </c>
      <c r="CO24" s="92">
        <f t="shared" si="124"/>
        <v>9487</v>
      </c>
      <c r="CP24" s="92">
        <v>4461626</v>
      </c>
      <c r="CQ24" s="92">
        <f t="shared" si="125"/>
        <v>305</v>
      </c>
      <c r="CR24" s="92">
        <v>5181802</v>
      </c>
      <c r="CS24" s="92">
        <f t="shared" si="126"/>
        <v>163</v>
      </c>
      <c r="CT24" s="92">
        <v>3054414</v>
      </c>
      <c r="CU24" s="92">
        <f t="shared" si="127"/>
        <v>253</v>
      </c>
      <c r="CV24" s="92">
        <v>41520086</v>
      </c>
      <c r="CW24" s="92">
        <f t="shared" si="128"/>
        <v>6767</v>
      </c>
      <c r="CX24" s="92">
        <v>6346044</v>
      </c>
      <c r="CY24" s="92">
        <f t="shared" si="129"/>
        <v>557</v>
      </c>
      <c r="CZ24" s="92">
        <v>6306484</v>
      </c>
      <c r="DA24" s="92">
        <f t="shared" si="130"/>
        <v>748</v>
      </c>
      <c r="DB24" s="92">
        <v>56640648</v>
      </c>
      <c r="DC24" s="92">
        <f t="shared" si="131"/>
        <v>4383</v>
      </c>
      <c r="DD24" s="92">
        <v>2000833</v>
      </c>
      <c r="DE24" s="92">
        <f t="shared" si="132"/>
        <v>495</v>
      </c>
      <c r="DF24" s="92">
        <v>21938716</v>
      </c>
      <c r="DG24" s="92">
        <f t="shared" si="133"/>
        <v>3699</v>
      </c>
      <c r="DH24" s="92">
        <v>32287320</v>
      </c>
      <c r="DI24" s="92">
        <f t="shared" si="134"/>
        <v>20</v>
      </c>
      <c r="DJ24" s="92"/>
      <c r="DK24" s="92"/>
      <c r="DL24" s="92">
        <v>987440</v>
      </c>
      <c r="DM24" s="92">
        <f t="shared" si="135"/>
        <v>148</v>
      </c>
      <c r="DN24" s="92">
        <v>1054242</v>
      </c>
      <c r="DO24" s="92">
        <f t="shared" si="136"/>
        <v>180</v>
      </c>
      <c r="DP24" s="92">
        <v>1181336</v>
      </c>
      <c r="DQ24" s="92">
        <f t="shared" si="137"/>
        <v>525</v>
      </c>
      <c r="DR24" s="92">
        <v>1111473</v>
      </c>
      <c r="DS24" s="92">
        <f t="shared" si="138"/>
        <v>663</v>
      </c>
      <c r="DT24" s="92">
        <v>967548</v>
      </c>
      <c r="DU24" s="92">
        <f t="shared" si="139"/>
        <v>1008</v>
      </c>
      <c r="DV24" s="92">
        <v>1275129</v>
      </c>
      <c r="DW24" s="92">
        <f t="shared" si="140"/>
        <v>1364</v>
      </c>
      <c r="DX24" s="92">
        <v>811102</v>
      </c>
      <c r="DY24" s="92">
        <f t="shared" si="141"/>
        <v>498</v>
      </c>
      <c r="DZ24" s="92">
        <v>1442</v>
      </c>
      <c r="EA24" s="92">
        <f t="shared" si="142"/>
        <v>0</v>
      </c>
      <c r="EB24" s="92">
        <v>384775</v>
      </c>
      <c r="EC24" s="92">
        <f t="shared" si="143"/>
        <v>307</v>
      </c>
      <c r="ED24" s="92">
        <v>887376</v>
      </c>
      <c r="EE24" s="92">
        <f t="shared" si="144"/>
        <v>693</v>
      </c>
      <c r="EF24" s="92">
        <v>427947</v>
      </c>
      <c r="EG24" s="92">
        <f t="shared" si="145"/>
        <v>117</v>
      </c>
      <c r="EH24" s="92">
        <v>2598</v>
      </c>
      <c r="EI24" s="92">
        <f t="shared" si="146"/>
        <v>0</v>
      </c>
      <c r="EJ24" s="92">
        <v>978396</v>
      </c>
      <c r="EK24" s="92">
        <f t="shared" si="147"/>
        <v>432</v>
      </c>
      <c r="EL24" s="92">
        <v>3487085</v>
      </c>
      <c r="EM24" s="92">
        <f t="shared" si="148"/>
        <v>323</v>
      </c>
      <c r="EN24" s="92">
        <v>3859602</v>
      </c>
      <c r="EO24" s="92">
        <f t="shared" si="149"/>
        <v>382</v>
      </c>
      <c r="EP24" s="92">
        <v>4211377</v>
      </c>
      <c r="EQ24" s="92">
        <f t="shared" si="150"/>
        <v>456</v>
      </c>
      <c r="ER24" s="92">
        <v>5321793</v>
      </c>
      <c r="ES24" s="92">
        <f t="shared" si="151"/>
        <v>533</v>
      </c>
      <c r="ET24" s="92">
        <v>4362305</v>
      </c>
      <c r="EU24" s="92">
        <f t="shared" si="152"/>
        <v>399</v>
      </c>
      <c r="EV24" s="92">
        <v>4498266</v>
      </c>
      <c r="EW24" s="92">
        <f t="shared" si="153"/>
        <v>446</v>
      </c>
      <c r="EX24" s="92">
        <v>8805093</v>
      </c>
      <c r="EY24" s="92">
        <f t="shared" si="154"/>
        <v>874</v>
      </c>
      <c r="EZ24" s="92">
        <v>8706802</v>
      </c>
      <c r="FA24" s="92">
        <f t="shared" si="155"/>
        <v>1474</v>
      </c>
      <c r="FB24" s="92">
        <v>8666220</v>
      </c>
      <c r="FC24" s="92">
        <f t="shared" si="156"/>
        <v>707</v>
      </c>
      <c r="FD24" s="92">
        <v>8171262</v>
      </c>
      <c r="FE24" s="92">
        <f t="shared" si="157"/>
        <v>765</v>
      </c>
      <c r="FF24" s="92">
        <v>5149685</v>
      </c>
      <c r="FG24" s="92">
        <f t="shared" si="158"/>
        <v>710</v>
      </c>
      <c r="FH24" s="92">
        <v>3349361</v>
      </c>
      <c r="FI24" s="92">
        <f t="shared" si="159"/>
        <v>493</v>
      </c>
      <c r="FJ24" s="92">
        <v>1571031</v>
      </c>
      <c r="FK24" s="92">
        <f t="shared" si="160"/>
        <v>233</v>
      </c>
      <c r="FL24" s="92"/>
      <c r="FM24" s="92"/>
    </row>
    <row r="25" spans="1:169" s="48" customFormat="1" ht="30" customHeight="1">
      <c r="A25" s="91">
        <v>44176</v>
      </c>
      <c r="B25" s="92">
        <v>20744752</v>
      </c>
      <c r="C25" s="92">
        <f t="shared" si="83"/>
        <v>1967</v>
      </c>
      <c r="D25" s="92">
        <v>2312661</v>
      </c>
      <c r="E25" s="92">
        <f t="shared" si="84"/>
        <v>244</v>
      </c>
      <c r="F25" s="92">
        <v>27618325</v>
      </c>
      <c r="G25" s="92">
        <f t="shared" si="85"/>
        <v>3399</v>
      </c>
      <c r="H25" s="92">
        <v>5747899</v>
      </c>
      <c r="I25" s="92">
        <f t="shared" si="86"/>
        <v>502</v>
      </c>
      <c r="J25" s="92"/>
      <c r="K25" s="92"/>
      <c r="L25" s="92">
        <v>21667072</v>
      </c>
      <c r="M25" s="92">
        <f t="shared" si="87"/>
        <v>1794</v>
      </c>
      <c r="N25" s="92">
        <v>72798072</v>
      </c>
      <c r="O25" s="92">
        <f t="shared" si="88"/>
        <v>8811</v>
      </c>
      <c r="P25" s="92">
        <v>24190</v>
      </c>
      <c r="Q25" s="92">
        <f t="shared" si="89"/>
        <v>14</v>
      </c>
      <c r="R25" s="92">
        <v>4855</v>
      </c>
      <c r="S25" s="92">
        <f t="shared" si="90"/>
        <v>0</v>
      </c>
      <c r="T25" s="92">
        <v>31575407</v>
      </c>
      <c r="U25" s="92">
        <f t="shared" si="91"/>
        <v>3248</v>
      </c>
      <c r="V25" s="92">
        <v>1623642</v>
      </c>
      <c r="W25" s="92">
        <f t="shared" si="92"/>
        <v>233</v>
      </c>
      <c r="X25" s="92">
        <v>1871874</v>
      </c>
      <c r="Y25" s="92">
        <f t="shared" si="93"/>
        <v>203</v>
      </c>
      <c r="Z25" s="92">
        <v>3500659</v>
      </c>
      <c r="AA25" s="92">
        <f t="shared" si="94"/>
        <v>574</v>
      </c>
      <c r="AB25" s="92"/>
      <c r="AC25" s="92"/>
      <c r="AD25" s="92">
        <v>54821589</v>
      </c>
      <c r="AE25" s="92">
        <f t="shared" si="95"/>
        <v>5816</v>
      </c>
      <c r="AF25" s="92">
        <v>9942558</v>
      </c>
      <c r="AG25" s="92">
        <f t="shared" si="96"/>
        <v>1227</v>
      </c>
      <c r="AH25" s="92">
        <v>1545587</v>
      </c>
      <c r="AI25" s="92">
        <f t="shared" si="97"/>
        <v>206</v>
      </c>
      <c r="AJ25" s="92">
        <v>1768036</v>
      </c>
      <c r="AK25" s="92">
        <f t="shared" si="98"/>
        <v>205</v>
      </c>
      <c r="AL25" s="92">
        <v>4847188</v>
      </c>
      <c r="AM25" s="92">
        <f t="shared" si="99"/>
        <v>528</v>
      </c>
      <c r="AN25" s="92">
        <v>5155166</v>
      </c>
      <c r="AO25" s="92">
        <f t="shared" si="100"/>
        <v>759</v>
      </c>
      <c r="AP25" s="92"/>
      <c r="AQ25" s="92"/>
      <c r="AR25" s="92">
        <v>1142195</v>
      </c>
      <c r="AS25" s="92">
        <f t="shared" si="101"/>
        <v>304</v>
      </c>
      <c r="AT25" s="92">
        <v>3142481</v>
      </c>
      <c r="AU25" s="92">
        <f t="shared" si="102"/>
        <v>473</v>
      </c>
      <c r="AV25" s="92"/>
      <c r="AW25" s="92"/>
      <c r="AX25" s="92">
        <v>575456</v>
      </c>
      <c r="AY25" s="92">
        <f t="shared" si="103"/>
        <v>187</v>
      </c>
      <c r="AZ25" s="92">
        <v>2363094</v>
      </c>
      <c r="BA25" s="92">
        <f t="shared" si="104"/>
        <v>28</v>
      </c>
      <c r="BB25" s="92">
        <v>4690675</v>
      </c>
      <c r="BC25" s="92">
        <f t="shared" si="105"/>
        <v>571</v>
      </c>
      <c r="BD25" s="92">
        <v>41702269</v>
      </c>
      <c r="BE25" s="92">
        <f t="shared" si="106"/>
        <v>5488</v>
      </c>
      <c r="BF25" s="92">
        <v>59005464</v>
      </c>
      <c r="BG25" s="92">
        <f t="shared" si="107"/>
        <v>8209</v>
      </c>
      <c r="BH25" s="92">
        <v>435439</v>
      </c>
      <c r="BI25" s="92">
        <f t="shared" si="108"/>
        <v>115</v>
      </c>
      <c r="BJ25" s="92">
        <v>11258545</v>
      </c>
      <c r="BK25" s="92">
        <f t="shared" si="109"/>
        <v>1746</v>
      </c>
      <c r="BL25" s="92">
        <v>1593470</v>
      </c>
      <c r="BM25" s="92">
        <f t="shared" si="110"/>
        <v>401</v>
      </c>
      <c r="BN25" s="92">
        <v>2341326</v>
      </c>
      <c r="BO25" s="92">
        <f t="shared" si="111"/>
        <v>138</v>
      </c>
      <c r="BP25" s="92">
        <v>10691604</v>
      </c>
      <c r="BQ25" s="92">
        <f t="shared" si="112"/>
        <v>1631</v>
      </c>
      <c r="BR25" s="92">
        <v>2624285</v>
      </c>
      <c r="BS25" s="92">
        <f t="shared" si="113"/>
        <v>224</v>
      </c>
      <c r="BT25" s="92">
        <v>13075381</v>
      </c>
      <c r="BU25" s="92">
        <f t="shared" si="114"/>
        <v>1646</v>
      </c>
      <c r="BV25" s="92">
        <v>10258707</v>
      </c>
      <c r="BW25" s="92">
        <f t="shared" si="115"/>
        <v>1304</v>
      </c>
      <c r="BX25" s="92">
        <v>1579264</v>
      </c>
      <c r="BY25" s="92">
        <f t="shared" si="116"/>
        <v>169</v>
      </c>
      <c r="BZ25" s="92">
        <v>19903655</v>
      </c>
      <c r="CA25" s="92">
        <f t="shared" si="117"/>
        <v>0</v>
      </c>
      <c r="CB25" s="92">
        <v>17452479</v>
      </c>
      <c r="CC25" s="92">
        <f t="shared" si="118"/>
        <v>0</v>
      </c>
      <c r="CD25" s="92">
        <v>18111036</v>
      </c>
      <c r="CE25" s="92">
        <f t="shared" si="119"/>
        <v>73</v>
      </c>
      <c r="CF25" s="92">
        <v>14102317</v>
      </c>
      <c r="CG25" s="92">
        <f t="shared" si="120"/>
        <v>1043</v>
      </c>
      <c r="CH25" s="92">
        <v>4298002</v>
      </c>
      <c r="CI25" s="92">
        <f t="shared" si="121"/>
        <v>455</v>
      </c>
      <c r="CJ25" s="92">
        <v>4773356</v>
      </c>
      <c r="CK25" s="92">
        <f t="shared" si="122"/>
        <v>423</v>
      </c>
      <c r="CL25" s="92">
        <v>2717192</v>
      </c>
      <c r="CM25" s="92">
        <f t="shared" si="123"/>
        <v>167</v>
      </c>
      <c r="CN25" s="92">
        <v>69466751</v>
      </c>
      <c r="CO25" s="92">
        <f t="shared" si="124"/>
        <v>10814</v>
      </c>
      <c r="CP25" s="92">
        <v>4461796</v>
      </c>
      <c r="CQ25" s="92">
        <f t="shared" si="125"/>
        <v>170</v>
      </c>
      <c r="CR25" s="92">
        <v>5181979</v>
      </c>
      <c r="CS25" s="92">
        <f t="shared" si="126"/>
        <v>177</v>
      </c>
      <c r="CT25" s="92">
        <v>3054666</v>
      </c>
      <c r="CU25" s="92">
        <f t="shared" si="127"/>
        <v>252</v>
      </c>
      <c r="CV25" s="92">
        <v>41528267</v>
      </c>
      <c r="CW25" s="92">
        <f t="shared" si="128"/>
        <v>8181</v>
      </c>
      <c r="CX25" s="92">
        <v>6346606</v>
      </c>
      <c r="CY25" s="92">
        <f t="shared" si="129"/>
        <v>562</v>
      </c>
      <c r="CZ25" s="92">
        <v>6307226</v>
      </c>
      <c r="DA25" s="92">
        <f t="shared" si="130"/>
        <v>742</v>
      </c>
      <c r="DB25" s="92">
        <v>56644816</v>
      </c>
      <c r="DC25" s="92">
        <f t="shared" si="131"/>
        <v>4168</v>
      </c>
      <c r="DD25" s="92">
        <v>2001316</v>
      </c>
      <c r="DE25" s="92">
        <f t="shared" si="132"/>
        <v>483</v>
      </c>
      <c r="DF25" s="92">
        <v>21942264</v>
      </c>
      <c r="DG25" s="92">
        <f t="shared" si="133"/>
        <v>3548</v>
      </c>
      <c r="DH25" s="92">
        <v>32287340</v>
      </c>
      <c r="DI25" s="92">
        <f t="shared" si="134"/>
        <v>20</v>
      </c>
      <c r="DJ25" s="92"/>
      <c r="DK25" s="92"/>
      <c r="DL25" s="92">
        <v>987604</v>
      </c>
      <c r="DM25" s="92">
        <f t="shared" si="135"/>
        <v>164</v>
      </c>
      <c r="DN25" s="92">
        <v>1054401</v>
      </c>
      <c r="DO25" s="92">
        <f t="shared" si="136"/>
        <v>159</v>
      </c>
      <c r="DP25" s="92">
        <v>1181918</v>
      </c>
      <c r="DQ25" s="92">
        <f t="shared" si="137"/>
        <v>582</v>
      </c>
      <c r="DR25" s="92">
        <v>1112207</v>
      </c>
      <c r="DS25" s="92">
        <f t="shared" si="138"/>
        <v>734</v>
      </c>
      <c r="DT25" s="92">
        <v>968570</v>
      </c>
      <c r="DU25" s="92">
        <f t="shared" si="139"/>
        <v>1022</v>
      </c>
      <c r="DV25" s="92">
        <v>1276490</v>
      </c>
      <c r="DW25" s="92">
        <f t="shared" si="140"/>
        <v>1361</v>
      </c>
      <c r="DX25" s="92">
        <v>811594</v>
      </c>
      <c r="DY25" s="92">
        <f t="shared" si="141"/>
        <v>492</v>
      </c>
      <c r="DZ25" s="92">
        <v>1442</v>
      </c>
      <c r="EA25" s="92">
        <f t="shared" si="142"/>
        <v>0</v>
      </c>
      <c r="EB25" s="92">
        <v>385109</v>
      </c>
      <c r="EC25" s="92">
        <f t="shared" si="143"/>
        <v>334</v>
      </c>
      <c r="ED25" s="92">
        <v>888070</v>
      </c>
      <c r="EE25" s="92">
        <f t="shared" si="144"/>
        <v>694</v>
      </c>
      <c r="EF25" s="92">
        <v>428065</v>
      </c>
      <c r="EG25" s="92">
        <f t="shared" si="145"/>
        <v>118</v>
      </c>
      <c r="EH25" s="92">
        <v>2598</v>
      </c>
      <c r="EI25" s="92">
        <f t="shared" si="146"/>
        <v>0</v>
      </c>
      <c r="EJ25" s="92">
        <v>978857</v>
      </c>
      <c r="EK25" s="92">
        <f t="shared" si="147"/>
        <v>461</v>
      </c>
      <c r="EL25" s="92">
        <v>3487409</v>
      </c>
      <c r="EM25" s="92">
        <f t="shared" si="148"/>
        <v>324</v>
      </c>
      <c r="EN25" s="92">
        <v>3859989</v>
      </c>
      <c r="EO25" s="92">
        <f t="shared" si="149"/>
        <v>387</v>
      </c>
      <c r="EP25" s="92">
        <v>4211819</v>
      </c>
      <c r="EQ25" s="92">
        <f t="shared" si="150"/>
        <v>442</v>
      </c>
      <c r="ER25" s="92">
        <v>5322340</v>
      </c>
      <c r="ES25" s="92">
        <f t="shared" si="151"/>
        <v>547</v>
      </c>
      <c r="ET25" s="92">
        <v>4362696</v>
      </c>
      <c r="EU25" s="92">
        <f t="shared" si="152"/>
        <v>391</v>
      </c>
      <c r="EV25" s="92">
        <v>4498704</v>
      </c>
      <c r="EW25" s="92">
        <f t="shared" si="153"/>
        <v>438</v>
      </c>
      <c r="EX25" s="92">
        <v>8805967</v>
      </c>
      <c r="EY25" s="92">
        <f t="shared" si="154"/>
        <v>874</v>
      </c>
      <c r="EZ25" s="92">
        <v>8708203</v>
      </c>
      <c r="FA25" s="92">
        <f t="shared" si="155"/>
        <v>1401</v>
      </c>
      <c r="FB25" s="92">
        <v>8666923</v>
      </c>
      <c r="FC25" s="92">
        <f t="shared" si="156"/>
        <v>703</v>
      </c>
      <c r="FD25" s="92">
        <v>8172007</v>
      </c>
      <c r="FE25" s="92">
        <f t="shared" si="157"/>
        <v>745</v>
      </c>
      <c r="FF25" s="92">
        <v>5150376</v>
      </c>
      <c r="FG25" s="92">
        <f t="shared" si="158"/>
        <v>691</v>
      </c>
      <c r="FH25" s="92">
        <v>3349860</v>
      </c>
      <c r="FI25" s="92">
        <f t="shared" si="159"/>
        <v>499</v>
      </c>
      <c r="FJ25" s="92">
        <v>1571258</v>
      </c>
      <c r="FK25" s="92">
        <f t="shared" si="160"/>
        <v>227</v>
      </c>
      <c r="FL25" s="92"/>
      <c r="FM25" s="92"/>
    </row>
    <row r="26" spans="1:169" s="48" customFormat="1" ht="30" customHeight="1">
      <c r="A26" s="91">
        <v>44177</v>
      </c>
      <c r="B26" s="92">
        <v>20746713</v>
      </c>
      <c r="C26" s="88">
        <f t="shared" si="83"/>
        <v>1961</v>
      </c>
      <c r="D26" s="92">
        <v>2312882</v>
      </c>
      <c r="E26" s="88">
        <f t="shared" si="84"/>
        <v>221</v>
      </c>
      <c r="F26" s="92">
        <v>27621712</v>
      </c>
      <c r="G26" s="88">
        <f t="shared" si="85"/>
        <v>3387</v>
      </c>
      <c r="H26" s="92">
        <v>5748438</v>
      </c>
      <c r="I26" s="88">
        <f t="shared" si="86"/>
        <v>539</v>
      </c>
      <c r="J26" s="92"/>
      <c r="K26" s="92"/>
      <c r="L26" s="92">
        <v>21668926</v>
      </c>
      <c r="M26" s="92">
        <f t="shared" si="87"/>
        <v>1854</v>
      </c>
      <c r="N26" s="92">
        <v>72806778</v>
      </c>
      <c r="O26" s="92">
        <f t="shared" si="88"/>
        <v>8706</v>
      </c>
      <c r="P26" s="92">
        <v>24204</v>
      </c>
      <c r="Q26" s="92">
        <f t="shared" si="89"/>
        <v>14</v>
      </c>
      <c r="R26" s="92">
        <v>4855</v>
      </c>
      <c r="S26" s="92">
        <f t="shared" si="90"/>
        <v>0</v>
      </c>
      <c r="T26" s="92">
        <v>31578851</v>
      </c>
      <c r="U26" s="92">
        <f t="shared" si="91"/>
        <v>3444</v>
      </c>
      <c r="V26" s="92">
        <v>1623879</v>
      </c>
      <c r="W26" s="92">
        <f t="shared" si="92"/>
        <v>237</v>
      </c>
      <c r="X26" s="92">
        <v>1872077</v>
      </c>
      <c r="Y26" s="92">
        <f t="shared" si="93"/>
        <v>203</v>
      </c>
      <c r="Z26" s="92">
        <v>3501232</v>
      </c>
      <c r="AA26" s="88">
        <f t="shared" si="94"/>
        <v>573</v>
      </c>
      <c r="AB26" s="92"/>
      <c r="AC26" s="92"/>
      <c r="AD26" s="92">
        <v>54827827</v>
      </c>
      <c r="AE26" s="92">
        <f t="shared" si="95"/>
        <v>6238</v>
      </c>
      <c r="AF26" s="92">
        <v>9943858</v>
      </c>
      <c r="AG26" s="92">
        <f t="shared" si="96"/>
        <v>1300</v>
      </c>
      <c r="AH26" s="92">
        <v>1545797</v>
      </c>
      <c r="AI26" s="92">
        <f t="shared" si="97"/>
        <v>210</v>
      </c>
      <c r="AJ26" s="92">
        <v>1768254</v>
      </c>
      <c r="AK26" s="92">
        <f t="shared" si="98"/>
        <v>218</v>
      </c>
      <c r="AL26" s="92">
        <v>4847720</v>
      </c>
      <c r="AM26" s="92">
        <f t="shared" si="99"/>
        <v>532</v>
      </c>
      <c r="AN26" s="92">
        <v>5155998</v>
      </c>
      <c r="AO26" s="92">
        <f t="shared" si="100"/>
        <v>832</v>
      </c>
      <c r="AP26" s="92"/>
      <c r="AQ26" s="92"/>
      <c r="AR26" s="92">
        <v>1142499</v>
      </c>
      <c r="AS26" s="92">
        <f t="shared" si="101"/>
        <v>304</v>
      </c>
      <c r="AT26" s="92">
        <v>3143028</v>
      </c>
      <c r="AU26" s="92">
        <f t="shared" si="102"/>
        <v>547</v>
      </c>
      <c r="AV26" s="92"/>
      <c r="AW26" s="92"/>
      <c r="AX26" s="92">
        <v>575642</v>
      </c>
      <c r="AY26" s="92">
        <f t="shared" si="103"/>
        <v>186</v>
      </c>
      <c r="AZ26" s="92">
        <v>2363114</v>
      </c>
      <c r="BA26" s="92">
        <f t="shared" si="104"/>
        <v>20</v>
      </c>
      <c r="BB26" s="92">
        <v>4691257</v>
      </c>
      <c r="BC26" s="92">
        <f t="shared" si="105"/>
        <v>582</v>
      </c>
      <c r="BD26" s="92">
        <v>41708029</v>
      </c>
      <c r="BE26" s="92">
        <f t="shared" si="106"/>
        <v>5760</v>
      </c>
      <c r="BF26" s="92">
        <v>59013996</v>
      </c>
      <c r="BG26" s="92">
        <f t="shared" si="107"/>
        <v>8532</v>
      </c>
      <c r="BH26" s="92">
        <v>435557</v>
      </c>
      <c r="BI26" s="92">
        <f t="shared" si="108"/>
        <v>118</v>
      </c>
      <c r="BJ26" s="92">
        <v>11260282</v>
      </c>
      <c r="BK26" s="92">
        <f t="shared" si="109"/>
        <v>1737</v>
      </c>
      <c r="BL26" s="92">
        <v>1593869</v>
      </c>
      <c r="BM26" s="92">
        <f t="shared" si="110"/>
        <v>399</v>
      </c>
      <c r="BN26" s="92">
        <v>2341543</v>
      </c>
      <c r="BO26" s="92">
        <f t="shared" si="111"/>
        <v>217</v>
      </c>
      <c r="BP26" s="92">
        <v>10693425</v>
      </c>
      <c r="BQ26" s="92">
        <f t="shared" si="112"/>
        <v>1821</v>
      </c>
      <c r="BR26" s="92">
        <v>2624501</v>
      </c>
      <c r="BS26" s="92">
        <f t="shared" si="113"/>
        <v>216</v>
      </c>
      <c r="BT26" s="92">
        <v>13077012</v>
      </c>
      <c r="BU26" s="92">
        <f t="shared" si="114"/>
        <v>1631</v>
      </c>
      <c r="BV26" s="92">
        <v>10260023</v>
      </c>
      <c r="BW26" s="92">
        <f t="shared" si="115"/>
        <v>1316</v>
      </c>
      <c r="BX26" s="92">
        <v>1579471</v>
      </c>
      <c r="BY26" s="92">
        <f t="shared" si="116"/>
        <v>207</v>
      </c>
      <c r="BZ26" s="92">
        <v>19903655</v>
      </c>
      <c r="CA26" s="92">
        <f t="shared" si="117"/>
        <v>0</v>
      </c>
      <c r="CB26" s="92">
        <v>17452480</v>
      </c>
      <c r="CC26" s="92">
        <f t="shared" si="118"/>
        <v>1</v>
      </c>
      <c r="CD26" s="92">
        <v>18111109</v>
      </c>
      <c r="CE26" s="92">
        <f t="shared" si="119"/>
        <v>73</v>
      </c>
      <c r="CF26" s="92">
        <v>14103375</v>
      </c>
      <c r="CG26" s="92">
        <f t="shared" si="120"/>
        <v>1058</v>
      </c>
      <c r="CH26" s="92">
        <v>4298449</v>
      </c>
      <c r="CI26" s="92">
        <f t="shared" si="121"/>
        <v>447</v>
      </c>
      <c r="CJ26" s="92">
        <v>4773774</v>
      </c>
      <c r="CK26" s="92">
        <f t="shared" si="122"/>
        <v>418</v>
      </c>
      <c r="CL26" s="92">
        <v>2717387</v>
      </c>
      <c r="CM26" s="92">
        <f t="shared" si="123"/>
        <v>195</v>
      </c>
      <c r="CN26" s="92">
        <v>69478257</v>
      </c>
      <c r="CO26" s="92">
        <f t="shared" si="124"/>
        <v>11506</v>
      </c>
      <c r="CP26" s="92">
        <v>4461964</v>
      </c>
      <c r="CQ26" s="92">
        <f t="shared" si="125"/>
        <v>168</v>
      </c>
      <c r="CR26" s="92">
        <v>5182141</v>
      </c>
      <c r="CS26" s="92">
        <f t="shared" si="126"/>
        <v>162</v>
      </c>
      <c r="CT26" s="92">
        <v>3054923</v>
      </c>
      <c r="CU26" s="92">
        <f t="shared" si="127"/>
        <v>257</v>
      </c>
      <c r="CV26" s="92">
        <v>41537188</v>
      </c>
      <c r="CW26" s="92">
        <f t="shared" si="128"/>
        <v>8921</v>
      </c>
      <c r="CX26" s="92">
        <v>6347167</v>
      </c>
      <c r="CY26" s="92">
        <f t="shared" si="129"/>
        <v>561</v>
      </c>
      <c r="CZ26" s="92">
        <v>6307970</v>
      </c>
      <c r="DA26" s="92">
        <f t="shared" si="130"/>
        <v>744</v>
      </c>
      <c r="DB26" s="92">
        <v>56648854</v>
      </c>
      <c r="DC26" s="92">
        <f t="shared" si="131"/>
        <v>4038</v>
      </c>
      <c r="DD26" s="92">
        <v>2001815</v>
      </c>
      <c r="DE26" s="92">
        <f t="shared" si="132"/>
        <v>499</v>
      </c>
      <c r="DF26" s="92">
        <v>21945669</v>
      </c>
      <c r="DG26" s="92">
        <f t="shared" si="133"/>
        <v>3405</v>
      </c>
      <c r="DH26" s="92">
        <v>32287359</v>
      </c>
      <c r="DI26" s="92">
        <f t="shared" si="134"/>
        <v>19</v>
      </c>
      <c r="DJ26" s="92"/>
      <c r="DK26" s="92"/>
      <c r="DL26" s="92">
        <v>987819</v>
      </c>
      <c r="DM26" s="92">
        <f t="shared" si="135"/>
        <v>215</v>
      </c>
      <c r="DN26" s="92">
        <v>1054672</v>
      </c>
      <c r="DO26" s="92">
        <f t="shared" si="136"/>
        <v>271</v>
      </c>
      <c r="DP26" s="92">
        <v>1182596</v>
      </c>
      <c r="DQ26" s="92">
        <f t="shared" si="137"/>
        <v>678</v>
      </c>
      <c r="DR26" s="92">
        <v>1113001</v>
      </c>
      <c r="DS26" s="92">
        <f t="shared" si="138"/>
        <v>794</v>
      </c>
      <c r="DT26" s="92">
        <v>969591</v>
      </c>
      <c r="DU26" s="92">
        <f t="shared" si="139"/>
        <v>1021</v>
      </c>
      <c r="DV26" s="92">
        <v>1277852</v>
      </c>
      <c r="DW26" s="92">
        <f t="shared" si="140"/>
        <v>1362</v>
      </c>
      <c r="DX26" s="92">
        <v>812183</v>
      </c>
      <c r="DY26" s="92">
        <f t="shared" si="141"/>
        <v>589</v>
      </c>
      <c r="DZ26" s="92">
        <v>1442</v>
      </c>
      <c r="EA26" s="92">
        <f t="shared" si="142"/>
        <v>0</v>
      </c>
      <c r="EB26" s="92">
        <v>385458</v>
      </c>
      <c r="EC26" s="92">
        <f t="shared" si="143"/>
        <v>349</v>
      </c>
      <c r="ED26" s="92">
        <v>888766</v>
      </c>
      <c r="EE26" s="92">
        <f t="shared" si="144"/>
        <v>696</v>
      </c>
      <c r="EF26" s="92">
        <v>428206</v>
      </c>
      <c r="EG26" s="92">
        <f t="shared" si="145"/>
        <v>141</v>
      </c>
      <c r="EH26" s="92">
        <v>2598</v>
      </c>
      <c r="EI26" s="92">
        <f t="shared" si="146"/>
        <v>0</v>
      </c>
      <c r="EJ26" s="92">
        <v>979341</v>
      </c>
      <c r="EK26" s="92">
        <f t="shared" si="147"/>
        <v>484</v>
      </c>
      <c r="EL26" s="92">
        <v>3487754</v>
      </c>
      <c r="EM26" s="92">
        <f t="shared" si="148"/>
        <v>345</v>
      </c>
      <c r="EN26" s="92">
        <v>3860355</v>
      </c>
      <c r="EO26" s="92">
        <f t="shared" si="149"/>
        <v>366</v>
      </c>
      <c r="EP26" s="92">
        <v>4212278</v>
      </c>
      <c r="EQ26" s="92">
        <f t="shared" si="150"/>
        <v>459</v>
      </c>
      <c r="ER26" s="92">
        <v>5322943</v>
      </c>
      <c r="ES26" s="92">
        <f t="shared" si="151"/>
        <v>603</v>
      </c>
      <c r="ET26" s="92">
        <v>4363087</v>
      </c>
      <c r="EU26" s="92">
        <f t="shared" si="152"/>
        <v>391</v>
      </c>
      <c r="EV26" s="92">
        <v>4499111</v>
      </c>
      <c r="EW26" s="92">
        <f t="shared" si="153"/>
        <v>407</v>
      </c>
      <c r="EX26" s="92">
        <v>8806836</v>
      </c>
      <c r="EY26" s="92">
        <f t="shared" si="154"/>
        <v>869</v>
      </c>
      <c r="EZ26" s="92">
        <v>8709540</v>
      </c>
      <c r="FA26" s="92">
        <f t="shared" si="155"/>
        <v>1337</v>
      </c>
      <c r="FB26" s="92">
        <v>8667616</v>
      </c>
      <c r="FC26" s="92">
        <f t="shared" si="156"/>
        <v>693</v>
      </c>
      <c r="FD26" s="92">
        <v>8172740</v>
      </c>
      <c r="FE26" s="92">
        <f t="shared" si="157"/>
        <v>733</v>
      </c>
      <c r="FF26" s="92">
        <v>5151048</v>
      </c>
      <c r="FG26" s="92">
        <f t="shared" si="158"/>
        <v>672</v>
      </c>
      <c r="FH26" s="92">
        <v>3350355</v>
      </c>
      <c r="FI26" s="92">
        <f t="shared" si="159"/>
        <v>495</v>
      </c>
      <c r="FJ26" s="92">
        <v>1571484</v>
      </c>
      <c r="FK26" s="92">
        <f t="shared" si="160"/>
        <v>226</v>
      </c>
      <c r="FL26" s="92"/>
      <c r="FM26" s="92"/>
    </row>
    <row r="27" spans="1:169" s="48" customFormat="1" ht="30" customHeight="1">
      <c r="A27" s="91">
        <v>44178</v>
      </c>
      <c r="B27" s="92">
        <v>20748533</v>
      </c>
      <c r="C27" s="92">
        <f t="shared" si="83"/>
        <v>1820</v>
      </c>
      <c r="D27" s="92">
        <v>2313054</v>
      </c>
      <c r="E27" s="92">
        <f t="shared" si="84"/>
        <v>172</v>
      </c>
      <c r="F27" s="92">
        <v>27625024</v>
      </c>
      <c r="G27" s="92">
        <f t="shared" si="85"/>
        <v>3312</v>
      </c>
      <c r="H27" s="92">
        <v>5748965</v>
      </c>
      <c r="I27" s="92">
        <f t="shared" si="86"/>
        <v>527</v>
      </c>
      <c r="J27" s="92"/>
      <c r="K27" s="92"/>
      <c r="L27" s="92">
        <v>21670728</v>
      </c>
      <c r="M27" s="92">
        <f t="shared" si="87"/>
        <v>1802</v>
      </c>
      <c r="N27" s="92">
        <v>72815408</v>
      </c>
      <c r="O27" s="92">
        <f t="shared" si="88"/>
        <v>8630</v>
      </c>
      <c r="P27" s="92">
        <v>24217</v>
      </c>
      <c r="Q27" s="92">
        <f t="shared" si="89"/>
        <v>13</v>
      </c>
      <c r="R27" s="92">
        <v>4855</v>
      </c>
      <c r="S27" s="92">
        <f t="shared" si="90"/>
        <v>0</v>
      </c>
      <c r="T27" s="92">
        <v>31582327</v>
      </c>
      <c r="U27" s="92">
        <f t="shared" si="91"/>
        <v>3476</v>
      </c>
      <c r="V27" s="92">
        <v>1624115</v>
      </c>
      <c r="W27" s="92">
        <f t="shared" si="92"/>
        <v>236</v>
      </c>
      <c r="X27" s="92">
        <v>1872282</v>
      </c>
      <c r="Y27" s="92">
        <f t="shared" si="93"/>
        <v>205</v>
      </c>
      <c r="Z27" s="92">
        <v>3501807</v>
      </c>
      <c r="AA27" s="92">
        <f t="shared" si="94"/>
        <v>575</v>
      </c>
      <c r="AB27" s="92"/>
      <c r="AC27" s="92"/>
      <c r="AD27" s="92">
        <v>54834487</v>
      </c>
      <c r="AE27" s="92">
        <f t="shared" si="95"/>
        <v>6660</v>
      </c>
      <c r="AF27" s="92">
        <v>9945249</v>
      </c>
      <c r="AG27" s="92">
        <f t="shared" si="96"/>
        <v>1391</v>
      </c>
      <c r="AH27" s="92">
        <v>1546004</v>
      </c>
      <c r="AI27" s="92">
        <f t="shared" si="97"/>
        <v>207</v>
      </c>
      <c r="AJ27" s="92">
        <v>1768476</v>
      </c>
      <c r="AK27" s="92">
        <f t="shared" si="98"/>
        <v>222</v>
      </c>
      <c r="AL27" s="92">
        <v>4848278</v>
      </c>
      <c r="AM27" s="92">
        <f t="shared" si="99"/>
        <v>558</v>
      </c>
      <c r="AN27" s="92">
        <v>5156868</v>
      </c>
      <c r="AO27" s="92">
        <f t="shared" si="100"/>
        <v>870</v>
      </c>
      <c r="AP27" s="92"/>
      <c r="AQ27" s="92"/>
      <c r="AR27" s="92">
        <v>1142804</v>
      </c>
      <c r="AS27" s="92">
        <f t="shared" si="101"/>
        <v>305</v>
      </c>
      <c r="AT27" s="92">
        <v>3143576</v>
      </c>
      <c r="AU27" s="92">
        <f t="shared" si="102"/>
        <v>548</v>
      </c>
      <c r="AV27" s="92"/>
      <c r="AW27" s="92"/>
      <c r="AX27" s="92">
        <v>575829</v>
      </c>
      <c r="AY27" s="92">
        <f t="shared" si="103"/>
        <v>187</v>
      </c>
      <c r="AZ27" s="92">
        <v>2363204</v>
      </c>
      <c r="BA27" s="92">
        <f t="shared" si="104"/>
        <v>90</v>
      </c>
      <c r="BB27" s="92">
        <v>4691817</v>
      </c>
      <c r="BC27" s="92">
        <f t="shared" si="105"/>
        <v>560</v>
      </c>
      <c r="BD27" s="92">
        <v>41713850</v>
      </c>
      <c r="BE27" s="92">
        <f t="shared" si="106"/>
        <v>5821</v>
      </c>
      <c r="BF27" s="92">
        <v>59022695</v>
      </c>
      <c r="BG27" s="92">
        <f t="shared" si="107"/>
        <v>8699</v>
      </c>
      <c r="BH27" s="92">
        <v>435682</v>
      </c>
      <c r="BI27" s="92">
        <f t="shared" si="108"/>
        <v>125</v>
      </c>
      <c r="BJ27" s="92">
        <v>11262072</v>
      </c>
      <c r="BK27" s="92">
        <f t="shared" si="109"/>
        <v>1790</v>
      </c>
      <c r="BL27" s="92">
        <v>1594268</v>
      </c>
      <c r="BM27" s="92">
        <f t="shared" si="110"/>
        <v>399</v>
      </c>
      <c r="BN27" s="92">
        <v>2341860</v>
      </c>
      <c r="BO27" s="92">
        <f t="shared" si="111"/>
        <v>317</v>
      </c>
      <c r="BP27" s="92">
        <v>10695292</v>
      </c>
      <c r="BQ27" s="92">
        <f t="shared" si="112"/>
        <v>1867</v>
      </c>
      <c r="BR27" s="92">
        <v>2624720</v>
      </c>
      <c r="BS27" s="92">
        <f t="shared" si="113"/>
        <v>219</v>
      </c>
      <c r="BT27" s="92">
        <v>13078574</v>
      </c>
      <c r="BU27" s="92">
        <f t="shared" si="114"/>
        <v>1562</v>
      </c>
      <c r="BV27" s="92">
        <v>10261352</v>
      </c>
      <c r="BW27" s="92">
        <f t="shared" si="115"/>
        <v>1329</v>
      </c>
      <c r="BX27" s="92">
        <v>1579679</v>
      </c>
      <c r="BY27" s="92">
        <f t="shared" si="116"/>
        <v>208</v>
      </c>
      <c r="BZ27" s="92">
        <v>19903655</v>
      </c>
      <c r="CA27" s="92">
        <f t="shared" si="117"/>
        <v>0</v>
      </c>
      <c r="CB27" s="92">
        <v>17452480</v>
      </c>
      <c r="CC27" s="92">
        <f t="shared" si="118"/>
        <v>0</v>
      </c>
      <c r="CD27" s="92">
        <v>18111182</v>
      </c>
      <c r="CE27" s="92">
        <f t="shared" si="119"/>
        <v>73</v>
      </c>
      <c r="CF27" s="92">
        <v>14104421</v>
      </c>
      <c r="CG27" s="92">
        <f t="shared" si="120"/>
        <v>1046</v>
      </c>
      <c r="CH27" s="92">
        <v>4298902</v>
      </c>
      <c r="CI27" s="92">
        <f t="shared" si="121"/>
        <v>453</v>
      </c>
      <c r="CJ27" s="92">
        <v>4774189</v>
      </c>
      <c r="CK27" s="92">
        <f t="shared" si="122"/>
        <v>415</v>
      </c>
      <c r="CL27" s="92">
        <v>2717567</v>
      </c>
      <c r="CM27" s="92">
        <f t="shared" si="123"/>
        <v>180</v>
      </c>
      <c r="CN27" s="92">
        <v>69488934</v>
      </c>
      <c r="CO27" s="92">
        <f t="shared" si="124"/>
        <v>10677</v>
      </c>
      <c r="CP27" s="92">
        <v>4462135</v>
      </c>
      <c r="CQ27" s="92">
        <f t="shared" si="125"/>
        <v>171</v>
      </c>
      <c r="CR27" s="92">
        <v>5182304</v>
      </c>
      <c r="CS27" s="92">
        <f t="shared" si="126"/>
        <v>163</v>
      </c>
      <c r="CT27" s="92">
        <v>3055179</v>
      </c>
      <c r="CU27" s="92">
        <f t="shared" si="127"/>
        <v>256</v>
      </c>
      <c r="CV27" s="92">
        <v>41545299</v>
      </c>
      <c r="CW27" s="92">
        <f t="shared" si="128"/>
        <v>8111</v>
      </c>
      <c r="CX27" s="92">
        <v>6347730</v>
      </c>
      <c r="CY27" s="92">
        <f t="shared" si="129"/>
        <v>563</v>
      </c>
      <c r="CZ27" s="92">
        <v>6308707</v>
      </c>
      <c r="DA27" s="92">
        <f t="shared" si="130"/>
        <v>737</v>
      </c>
      <c r="DB27" s="92">
        <v>56652972</v>
      </c>
      <c r="DC27" s="92">
        <f t="shared" si="131"/>
        <v>4118</v>
      </c>
      <c r="DD27" s="92">
        <v>2002301</v>
      </c>
      <c r="DE27" s="92">
        <f t="shared" si="132"/>
        <v>486</v>
      </c>
      <c r="DF27" s="92">
        <v>21949133</v>
      </c>
      <c r="DG27" s="92">
        <f t="shared" si="133"/>
        <v>3464</v>
      </c>
      <c r="DH27" s="92">
        <v>32287379</v>
      </c>
      <c r="DI27" s="92">
        <f t="shared" si="134"/>
        <v>20</v>
      </c>
      <c r="DJ27" s="92"/>
      <c r="DK27" s="92"/>
      <c r="DL27" s="92">
        <v>988129</v>
      </c>
      <c r="DM27" s="92">
        <f t="shared" si="135"/>
        <v>310</v>
      </c>
      <c r="DN27" s="92">
        <v>1054993</v>
      </c>
      <c r="DO27" s="92">
        <f t="shared" si="136"/>
        <v>321</v>
      </c>
      <c r="DP27" s="92">
        <v>1183356</v>
      </c>
      <c r="DQ27" s="92">
        <f t="shared" si="137"/>
        <v>760</v>
      </c>
      <c r="DR27" s="92">
        <v>1113897</v>
      </c>
      <c r="DS27" s="92">
        <f t="shared" si="138"/>
        <v>896</v>
      </c>
      <c r="DT27" s="92">
        <v>970609</v>
      </c>
      <c r="DU27" s="92">
        <f t="shared" si="139"/>
        <v>1018</v>
      </c>
      <c r="DV27" s="92">
        <v>1279215</v>
      </c>
      <c r="DW27" s="92">
        <f t="shared" si="140"/>
        <v>1363</v>
      </c>
      <c r="DX27" s="92">
        <v>812810</v>
      </c>
      <c r="DY27" s="92">
        <f t="shared" si="141"/>
        <v>627</v>
      </c>
      <c r="DZ27" s="92">
        <v>1442</v>
      </c>
      <c r="EA27" s="92">
        <f t="shared" si="142"/>
        <v>0</v>
      </c>
      <c r="EB27" s="92">
        <v>385800</v>
      </c>
      <c r="EC27" s="92">
        <f t="shared" si="143"/>
        <v>342</v>
      </c>
      <c r="ED27" s="92">
        <v>889464</v>
      </c>
      <c r="EE27" s="92">
        <f t="shared" si="144"/>
        <v>698</v>
      </c>
      <c r="EF27" s="92">
        <v>428386</v>
      </c>
      <c r="EG27" s="92">
        <f t="shared" si="145"/>
        <v>180</v>
      </c>
      <c r="EH27" s="92">
        <v>2598</v>
      </c>
      <c r="EI27" s="92">
        <f t="shared" si="146"/>
        <v>0</v>
      </c>
      <c r="EJ27" s="92">
        <v>979810</v>
      </c>
      <c r="EK27" s="92">
        <f t="shared" si="147"/>
        <v>469</v>
      </c>
      <c r="EL27" s="92">
        <v>3488093</v>
      </c>
      <c r="EM27" s="92">
        <f t="shared" si="148"/>
        <v>339</v>
      </c>
      <c r="EN27" s="92">
        <v>3860728</v>
      </c>
      <c r="EO27" s="92">
        <f t="shared" si="149"/>
        <v>373</v>
      </c>
      <c r="EP27" s="92">
        <v>4212708</v>
      </c>
      <c r="EQ27" s="92">
        <f t="shared" si="150"/>
        <v>430</v>
      </c>
      <c r="ER27" s="92">
        <v>5323515</v>
      </c>
      <c r="ES27" s="92">
        <f t="shared" si="151"/>
        <v>572</v>
      </c>
      <c r="ET27" s="92">
        <v>4363426</v>
      </c>
      <c r="EU27" s="92">
        <f t="shared" si="152"/>
        <v>339</v>
      </c>
      <c r="EV27" s="92">
        <v>4499499</v>
      </c>
      <c r="EW27" s="92">
        <f t="shared" si="153"/>
        <v>388</v>
      </c>
      <c r="EX27" s="92">
        <v>8807687</v>
      </c>
      <c r="EY27" s="92">
        <f t="shared" si="154"/>
        <v>851</v>
      </c>
      <c r="EZ27" s="92">
        <v>8710868</v>
      </c>
      <c r="FA27" s="92">
        <f t="shared" si="155"/>
        <v>1328</v>
      </c>
      <c r="FB27" s="92">
        <v>8668281</v>
      </c>
      <c r="FC27" s="92">
        <f t="shared" si="156"/>
        <v>665</v>
      </c>
      <c r="FD27" s="92">
        <v>8173484</v>
      </c>
      <c r="FE27" s="92">
        <f t="shared" si="157"/>
        <v>744</v>
      </c>
      <c r="FF27" s="92">
        <v>5151672</v>
      </c>
      <c r="FG27" s="92">
        <f t="shared" si="158"/>
        <v>624</v>
      </c>
      <c r="FH27" s="92">
        <v>3350846</v>
      </c>
      <c r="FI27" s="92">
        <f t="shared" si="159"/>
        <v>491</v>
      </c>
      <c r="FJ27" s="92">
        <v>1571709</v>
      </c>
      <c r="FK27" s="92">
        <f t="shared" si="160"/>
        <v>225</v>
      </c>
      <c r="FL27" s="92"/>
      <c r="FM27" s="92"/>
    </row>
    <row r="28" spans="1:169" s="48" customFormat="1" ht="30" customHeight="1">
      <c r="A28" s="91">
        <v>44179</v>
      </c>
      <c r="B28" s="92">
        <v>20750322</v>
      </c>
      <c r="C28" s="88">
        <f t="shared" si="83"/>
        <v>1789</v>
      </c>
      <c r="D28" s="92">
        <v>2313221</v>
      </c>
      <c r="E28" s="88">
        <f t="shared" si="84"/>
        <v>167</v>
      </c>
      <c r="F28" s="92">
        <v>27628230</v>
      </c>
      <c r="G28" s="88">
        <f t="shared" si="85"/>
        <v>3206</v>
      </c>
      <c r="H28" s="92">
        <v>5749492</v>
      </c>
      <c r="I28" s="88">
        <f t="shared" si="86"/>
        <v>527</v>
      </c>
      <c r="J28" s="92"/>
      <c r="K28" s="92"/>
      <c r="L28" s="92">
        <v>21672516</v>
      </c>
      <c r="M28" s="92">
        <f t="shared" si="87"/>
        <v>1788</v>
      </c>
      <c r="N28" s="92">
        <v>72824008</v>
      </c>
      <c r="O28" s="92">
        <f t="shared" si="88"/>
        <v>8600</v>
      </c>
      <c r="P28" s="92">
        <v>24231</v>
      </c>
      <c r="Q28" s="92">
        <f t="shared" si="89"/>
        <v>14</v>
      </c>
      <c r="R28" s="92">
        <v>4855</v>
      </c>
      <c r="S28" s="92">
        <f t="shared" si="90"/>
        <v>0</v>
      </c>
      <c r="T28" s="92">
        <v>31585732</v>
      </c>
      <c r="U28" s="92">
        <f t="shared" si="91"/>
        <v>3405</v>
      </c>
      <c r="V28" s="92">
        <v>1624351</v>
      </c>
      <c r="W28" s="92">
        <f t="shared" si="92"/>
        <v>236</v>
      </c>
      <c r="X28" s="92">
        <v>1872487</v>
      </c>
      <c r="Y28" s="92">
        <f t="shared" si="93"/>
        <v>205</v>
      </c>
      <c r="Z28" s="92">
        <v>3502373</v>
      </c>
      <c r="AA28" s="88">
        <f t="shared" si="94"/>
        <v>566</v>
      </c>
      <c r="AB28" s="92"/>
      <c r="AC28" s="92"/>
      <c r="AD28" s="92">
        <v>54841006</v>
      </c>
      <c r="AE28" s="92">
        <f t="shared" si="95"/>
        <v>6519</v>
      </c>
      <c r="AF28" s="92">
        <v>9946620</v>
      </c>
      <c r="AG28" s="92">
        <f t="shared" si="96"/>
        <v>1371</v>
      </c>
      <c r="AH28" s="92">
        <v>1546209</v>
      </c>
      <c r="AI28" s="92">
        <f t="shared" si="97"/>
        <v>205</v>
      </c>
      <c r="AJ28" s="92">
        <v>1768717</v>
      </c>
      <c r="AK28" s="92">
        <f t="shared" si="98"/>
        <v>241</v>
      </c>
      <c r="AL28" s="92">
        <v>4848844</v>
      </c>
      <c r="AM28" s="92">
        <f t="shared" si="99"/>
        <v>566</v>
      </c>
      <c r="AN28" s="92">
        <v>5157698</v>
      </c>
      <c r="AO28" s="92">
        <f t="shared" si="100"/>
        <v>830</v>
      </c>
      <c r="AP28" s="92"/>
      <c r="AQ28" s="92"/>
      <c r="AR28" s="92">
        <v>1143109</v>
      </c>
      <c r="AS28" s="92">
        <f t="shared" si="101"/>
        <v>305</v>
      </c>
      <c r="AT28" s="92">
        <v>3144098</v>
      </c>
      <c r="AU28" s="92">
        <f t="shared" si="102"/>
        <v>522</v>
      </c>
      <c r="AV28" s="92"/>
      <c r="AW28" s="92"/>
      <c r="AX28" s="92">
        <v>576014</v>
      </c>
      <c r="AY28" s="92">
        <f t="shared" si="103"/>
        <v>185</v>
      </c>
      <c r="AZ28" s="92">
        <v>2363349</v>
      </c>
      <c r="BA28" s="92">
        <f t="shared" si="104"/>
        <v>145</v>
      </c>
      <c r="BB28" s="92">
        <v>4692358</v>
      </c>
      <c r="BC28" s="92">
        <f t="shared" si="105"/>
        <v>541</v>
      </c>
      <c r="BD28" s="92">
        <v>41719643</v>
      </c>
      <c r="BE28" s="92">
        <f t="shared" si="106"/>
        <v>5793</v>
      </c>
      <c r="BF28" s="92">
        <v>59031402</v>
      </c>
      <c r="BG28" s="92">
        <f t="shared" si="107"/>
        <v>8707</v>
      </c>
      <c r="BH28" s="92">
        <v>435797</v>
      </c>
      <c r="BI28" s="92">
        <f t="shared" si="108"/>
        <v>115</v>
      </c>
      <c r="BJ28" s="92">
        <v>11263874</v>
      </c>
      <c r="BK28" s="92">
        <f t="shared" si="109"/>
        <v>1802</v>
      </c>
      <c r="BL28" s="92">
        <v>1594668</v>
      </c>
      <c r="BM28" s="92">
        <f t="shared" si="110"/>
        <v>400</v>
      </c>
      <c r="BN28" s="92">
        <v>2342254</v>
      </c>
      <c r="BO28" s="92">
        <f t="shared" si="111"/>
        <v>394</v>
      </c>
      <c r="BP28" s="92">
        <v>10697033</v>
      </c>
      <c r="BQ28" s="92">
        <f t="shared" si="112"/>
        <v>1741</v>
      </c>
      <c r="BR28" s="92">
        <v>2624945</v>
      </c>
      <c r="BS28" s="92">
        <f t="shared" si="113"/>
        <v>225</v>
      </c>
      <c r="BT28" s="92">
        <v>13080156</v>
      </c>
      <c r="BU28" s="92">
        <f t="shared" si="114"/>
        <v>1582</v>
      </c>
      <c r="BV28" s="92">
        <v>10262767</v>
      </c>
      <c r="BW28" s="92">
        <f t="shared" si="115"/>
        <v>1415</v>
      </c>
      <c r="BX28" s="92">
        <v>1579877</v>
      </c>
      <c r="BY28" s="92">
        <f t="shared" si="116"/>
        <v>198</v>
      </c>
      <c r="BZ28" s="92">
        <v>19903655</v>
      </c>
      <c r="CA28" s="92">
        <f t="shared" si="117"/>
        <v>0</v>
      </c>
      <c r="CB28" s="92">
        <v>17452480</v>
      </c>
      <c r="CC28" s="92">
        <f t="shared" si="118"/>
        <v>0</v>
      </c>
      <c r="CD28" s="92">
        <v>18111255</v>
      </c>
      <c r="CE28" s="92">
        <f t="shared" si="119"/>
        <v>73</v>
      </c>
      <c r="CF28" s="92">
        <v>14105448</v>
      </c>
      <c r="CG28" s="92">
        <f t="shared" si="120"/>
        <v>1027</v>
      </c>
      <c r="CH28" s="92">
        <v>4299333</v>
      </c>
      <c r="CI28" s="92">
        <f t="shared" si="121"/>
        <v>431</v>
      </c>
      <c r="CJ28" s="92">
        <v>4774620</v>
      </c>
      <c r="CK28" s="92">
        <f t="shared" si="122"/>
        <v>431</v>
      </c>
      <c r="CL28" s="92">
        <v>2717735</v>
      </c>
      <c r="CM28" s="92">
        <f t="shared" si="123"/>
        <v>168</v>
      </c>
      <c r="CN28" s="92">
        <v>69499364</v>
      </c>
      <c r="CO28" s="92">
        <f t="shared" si="124"/>
        <v>10430</v>
      </c>
      <c r="CP28" s="92">
        <v>4462243</v>
      </c>
      <c r="CQ28" s="92">
        <f t="shared" si="125"/>
        <v>108</v>
      </c>
      <c r="CR28" s="92">
        <v>5182466</v>
      </c>
      <c r="CS28" s="92">
        <f t="shared" si="126"/>
        <v>162</v>
      </c>
      <c r="CT28" s="92">
        <v>3055431</v>
      </c>
      <c r="CU28" s="92">
        <f t="shared" si="127"/>
        <v>252</v>
      </c>
      <c r="CV28" s="92">
        <v>41553248</v>
      </c>
      <c r="CW28" s="92">
        <f t="shared" si="128"/>
        <v>7949</v>
      </c>
      <c r="CX28" s="92">
        <v>6348291</v>
      </c>
      <c r="CY28" s="92">
        <f t="shared" si="129"/>
        <v>561</v>
      </c>
      <c r="CZ28" s="92">
        <v>6309444</v>
      </c>
      <c r="DA28" s="92">
        <f t="shared" si="130"/>
        <v>737</v>
      </c>
      <c r="DB28" s="92">
        <v>56657258</v>
      </c>
      <c r="DC28" s="92">
        <f t="shared" si="131"/>
        <v>4286</v>
      </c>
      <c r="DD28" s="92">
        <v>2002817</v>
      </c>
      <c r="DE28" s="92">
        <f t="shared" si="132"/>
        <v>516</v>
      </c>
      <c r="DF28" s="92">
        <v>21952742</v>
      </c>
      <c r="DG28" s="92">
        <f t="shared" si="133"/>
        <v>3609</v>
      </c>
      <c r="DH28" s="92">
        <v>32287399</v>
      </c>
      <c r="DI28" s="92">
        <f t="shared" si="134"/>
        <v>20</v>
      </c>
      <c r="DJ28" s="92"/>
      <c r="DK28" s="92"/>
      <c r="DL28" s="92">
        <v>988403</v>
      </c>
      <c r="DM28" s="92">
        <f t="shared" si="135"/>
        <v>274</v>
      </c>
      <c r="DN28" s="92">
        <v>1055275</v>
      </c>
      <c r="DO28" s="92">
        <f t="shared" si="136"/>
        <v>282</v>
      </c>
      <c r="DP28" s="92">
        <v>1184069</v>
      </c>
      <c r="DQ28" s="92">
        <f t="shared" si="137"/>
        <v>713</v>
      </c>
      <c r="DR28" s="92">
        <v>1114772</v>
      </c>
      <c r="DS28" s="92">
        <f t="shared" si="138"/>
        <v>875</v>
      </c>
      <c r="DT28" s="92">
        <v>971632</v>
      </c>
      <c r="DU28" s="92">
        <f t="shared" si="139"/>
        <v>1023</v>
      </c>
      <c r="DV28" s="92">
        <v>1280591</v>
      </c>
      <c r="DW28" s="92">
        <f t="shared" si="140"/>
        <v>1376</v>
      </c>
      <c r="DX28" s="92">
        <v>813415</v>
      </c>
      <c r="DY28" s="92">
        <f t="shared" si="141"/>
        <v>605</v>
      </c>
      <c r="DZ28" s="92">
        <v>1442</v>
      </c>
      <c r="EA28" s="92">
        <f t="shared" si="142"/>
        <v>0</v>
      </c>
      <c r="EB28" s="92">
        <v>386141</v>
      </c>
      <c r="EC28" s="92">
        <f t="shared" si="143"/>
        <v>341</v>
      </c>
      <c r="ED28" s="92">
        <v>890158</v>
      </c>
      <c r="EE28" s="92">
        <f t="shared" si="144"/>
        <v>694</v>
      </c>
      <c r="EF28" s="92">
        <v>428547</v>
      </c>
      <c r="EG28" s="92">
        <f t="shared" si="145"/>
        <v>161</v>
      </c>
      <c r="EH28" s="92">
        <v>2598</v>
      </c>
      <c r="EI28" s="92">
        <f t="shared" si="146"/>
        <v>0</v>
      </c>
      <c r="EJ28" s="92">
        <v>980267</v>
      </c>
      <c r="EK28" s="92">
        <f t="shared" si="147"/>
        <v>457</v>
      </c>
      <c r="EL28" s="92">
        <v>3488427</v>
      </c>
      <c r="EM28" s="92">
        <f t="shared" si="148"/>
        <v>334</v>
      </c>
      <c r="EN28" s="92">
        <v>3861098</v>
      </c>
      <c r="EO28" s="92">
        <f t="shared" si="149"/>
        <v>370</v>
      </c>
      <c r="EP28" s="92">
        <v>4213133</v>
      </c>
      <c r="EQ28" s="92">
        <f t="shared" si="150"/>
        <v>425</v>
      </c>
      <c r="ER28" s="92">
        <v>5324069</v>
      </c>
      <c r="ES28" s="92">
        <f t="shared" si="151"/>
        <v>554</v>
      </c>
      <c r="ET28" s="92">
        <v>4363762</v>
      </c>
      <c r="EU28" s="92">
        <f t="shared" si="152"/>
        <v>336</v>
      </c>
      <c r="EV28" s="92">
        <v>4499878</v>
      </c>
      <c r="EW28" s="92">
        <f t="shared" si="153"/>
        <v>379</v>
      </c>
      <c r="EX28" s="92">
        <v>8808516</v>
      </c>
      <c r="EY28" s="92">
        <f t="shared" si="154"/>
        <v>829</v>
      </c>
      <c r="EZ28" s="92">
        <v>8712256</v>
      </c>
      <c r="FA28" s="92">
        <f t="shared" si="155"/>
        <v>1388</v>
      </c>
      <c r="FB28" s="92">
        <v>8668931</v>
      </c>
      <c r="FC28" s="92">
        <f t="shared" si="156"/>
        <v>650</v>
      </c>
      <c r="FD28" s="92">
        <v>8174222</v>
      </c>
      <c r="FE28" s="92">
        <f t="shared" si="157"/>
        <v>738</v>
      </c>
      <c r="FF28" s="92">
        <v>5152249</v>
      </c>
      <c r="FG28" s="92">
        <f t="shared" si="158"/>
        <v>577</v>
      </c>
      <c r="FH28" s="92">
        <v>3351334</v>
      </c>
      <c r="FI28" s="92">
        <f t="shared" si="159"/>
        <v>488</v>
      </c>
      <c r="FJ28" s="92">
        <v>1571920</v>
      </c>
      <c r="FK28" s="92">
        <f t="shared" si="160"/>
        <v>211</v>
      </c>
      <c r="FL28" s="92"/>
      <c r="FM28" s="92"/>
    </row>
    <row r="29" spans="1:169" s="48" customFormat="1" ht="30" customHeight="1">
      <c r="A29" s="91">
        <v>44180</v>
      </c>
      <c r="B29" s="92">
        <v>20752196</v>
      </c>
      <c r="C29" s="92">
        <f t="shared" si="83"/>
        <v>1874</v>
      </c>
      <c r="D29" s="92">
        <v>2313428</v>
      </c>
      <c r="E29" s="92">
        <f t="shared" si="84"/>
        <v>207</v>
      </c>
      <c r="F29" s="92">
        <v>27631558</v>
      </c>
      <c r="G29" s="92">
        <f t="shared" si="85"/>
        <v>3328</v>
      </c>
      <c r="H29" s="92">
        <v>5749990</v>
      </c>
      <c r="I29" s="92">
        <f t="shared" si="86"/>
        <v>498</v>
      </c>
      <c r="J29" s="92"/>
      <c r="K29" s="92"/>
      <c r="L29" s="92">
        <v>21674348</v>
      </c>
      <c r="M29" s="92">
        <f t="shared" si="87"/>
        <v>1832</v>
      </c>
      <c r="N29" s="92">
        <v>72832820</v>
      </c>
      <c r="O29" s="92">
        <f t="shared" si="88"/>
        <v>8812</v>
      </c>
      <c r="P29" s="92">
        <v>24245</v>
      </c>
      <c r="Q29" s="92">
        <f t="shared" si="89"/>
        <v>14</v>
      </c>
      <c r="R29" s="92">
        <v>4855</v>
      </c>
      <c r="S29" s="92">
        <f t="shared" si="90"/>
        <v>0</v>
      </c>
      <c r="T29" s="92">
        <v>31589219</v>
      </c>
      <c r="U29" s="92">
        <f t="shared" si="91"/>
        <v>3487</v>
      </c>
      <c r="V29" s="92">
        <v>1624620</v>
      </c>
      <c r="W29" s="92">
        <f t="shared" si="92"/>
        <v>269</v>
      </c>
      <c r="X29" s="92">
        <v>1872695</v>
      </c>
      <c r="Y29" s="92">
        <f t="shared" si="93"/>
        <v>208</v>
      </c>
      <c r="Z29" s="92">
        <v>3502952</v>
      </c>
      <c r="AA29" s="92">
        <f t="shared" si="94"/>
        <v>579</v>
      </c>
      <c r="AB29" s="92"/>
      <c r="AC29" s="92"/>
      <c r="AD29" s="92">
        <v>54847414</v>
      </c>
      <c r="AE29" s="92">
        <f t="shared" si="95"/>
        <v>6408</v>
      </c>
      <c r="AF29" s="92">
        <v>9947958</v>
      </c>
      <c r="AG29" s="92">
        <f t="shared" si="96"/>
        <v>1338</v>
      </c>
      <c r="AH29" s="92">
        <v>1546417</v>
      </c>
      <c r="AI29" s="92">
        <f t="shared" si="97"/>
        <v>208</v>
      </c>
      <c r="AJ29" s="92">
        <v>1768939</v>
      </c>
      <c r="AK29" s="92">
        <f t="shared" si="98"/>
        <v>222</v>
      </c>
      <c r="AL29" s="92">
        <v>4849388</v>
      </c>
      <c r="AM29" s="92">
        <f t="shared" si="99"/>
        <v>544</v>
      </c>
      <c r="AN29" s="92">
        <v>5158420</v>
      </c>
      <c r="AO29" s="92">
        <f t="shared" si="100"/>
        <v>722</v>
      </c>
      <c r="AP29" s="92"/>
      <c r="AQ29" s="92"/>
      <c r="AR29" s="92">
        <v>1143413</v>
      </c>
      <c r="AS29" s="92">
        <f t="shared" si="101"/>
        <v>304</v>
      </c>
      <c r="AT29" s="92">
        <v>3144571</v>
      </c>
      <c r="AU29" s="92">
        <f t="shared" si="102"/>
        <v>473</v>
      </c>
      <c r="AV29" s="92"/>
      <c r="AW29" s="92"/>
      <c r="AX29" s="92">
        <v>576200</v>
      </c>
      <c r="AY29" s="92">
        <f t="shared" si="103"/>
        <v>186</v>
      </c>
      <c r="AZ29" s="92">
        <v>2363458</v>
      </c>
      <c r="BA29" s="92">
        <f t="shared" si="104"/>
        <v>109</v>
      </c>
      <c r="BB29" s="92">
        <v>4692894</v>
      </c>
      <c r="BC29" s="92">
        <f t="shared" si="105"/>
        <v>536</v>
      </c>
      <c r="BD29" s="92">
        <v>41725133</v>
      </c>
      <c r="BE29" s="92">
        <f t="shared" si="106"/>
        <v>5490</v>
      </c>
      <c r="BF29" s="92">
        <v>59039833</v>
      </c>
      <c r="BG29" s="92">
        <f t="shared" si="107"/>
        <v>8431</v>
      </c>
      <c r="BH29" s="92">
        <v>435915</v>
      </c>
      <c r="BI29" s="92">
        <f t="shared" si="108"/>
        <v>118</v>
      </c>
      <c r="BJ29" s="92">
        <v>11265662</v>
      </c>
      <c r="BK29" s="92">
        <f t="shared" si="109"/>
        <v>1788</v>
      </c>
      <c r="BL29" s="92">
        <v>1595076</v>
      </c>
      <c r="BM29" s="92">
        <f t="shared" si="110"/>
        <v>408</v>
      </c>
      <c r="BN29" s="92">
        <v>2342492</v>
      </c>
      <c r="BO29" s="92">
        <f t="shared" si="111"/>
        <v>238</v>
      </c>
      <c r="BP29" s="92">
        <v>10698768</v>
      </c>
      <c r="BQ29" s="92">
        <f t="shared" si="112"/>
        <v>1735</v>
      </c>
      <c r="BR29" s="92">
        <v>2625174</v>
      </c>
      <c r="BS29" s="92">
        <f t="shared" si="113"/>
        <v>229</v>
      </c>
      <c r="BT29" s="92">
        <v>13081694</v>
      </c>
      <c r="BU29" s="92">
        <f t="shared" si="114"/>
        <v>1538</v>
      </c>
      <c r="BV29" s="92">
        <v>10264092</v>
      </c>
      <c r="BW29" s="92">
        <f t="shared" si="115"/>
        <v>1325</v>
      </c>
      <c r="BX29" s="92">
        <v>1580060</v>
      </c>
      <c r="BY29" s="92">
        <f t="shared" si="116"/>
        <v>183</v>
      </c>
      <c r="BZ29" s="92">
        <v>19904809</v>
      </c>
      <c r="CA29" s="92">
        <f t="shared" si="117"/>
        <v>1154</v>
      </c>
      <c r="CB29" s="92">
        <v>17455602</v>
      </c>
      <c r="CC29" s="92">
        <f t="shared" si="118"/>
        <v>3122</v>
      </c>
      <c r="CD29" s="92">
        <v>18111584</v>
      </c>
      <c r="CE29" s="92">
        <f t="shared" si="119"/>
        <v>329</v>
      </c>
      <c r="CF29" s="92">
        <v>14106456</v>
      </c>
      <c r="CG29" s="92">
        <f t="shared" si="120"/>
        <v>1008</v>
      </c>
      <c r="CH29" s="92">
        <v>4299782</v>
      </c>
      <c r="CI29" s="92">
        <f t="shared" si="121"/>
        <v>449</v>
      </c>
      <c r="CJ29" s="92">
        <v>4775049</v>
      </c>
      <c r="CK29" s="92">
        <f t="shared" si="122"/>
        <v>429</v>
      </c>
      <c r="CL29" s="92">
        <v>2717866</v>
      </c>
      <c r="CM29" s="92">
        <f t="shared" si="123"/>
        <v>131</v>
      </c>
      <c r="CN29" s="92">
        <v>69503032</v>
      </c>
      <c r="CO29" s="92">
        <f t="shared" si="124"/>
        <v>3668</v>
      </c>
      <c r="CP29" s="92">
        <v>4462346</v>
      </c>
      <c r="CQ29" s="92">
        <f t="shared" si="125"/>
        <v>103</v>
      </c>
      <c r="CR29" s="92">
        <v>5182630</v>
      </c>
      <c r="CS29" s="92">
        <f t="shared" si="126"/>
        <v>164</v>
      </c>
      <c r="CT29" s="92">
        <v>3055687</v>
      </c>
      <c r="CU29" s="92">
        <f t="shared" si="127"/>
        <v>256</v>
      </c>
      <c r="CV29" s="92">
        <v>41554412</v>
      </c>
      <c r="CW29" s="92">
        <f t="shared" si="128"/>
        <v>1164</v>
      </c>
      <c r="CX29" s="92">
        <v>6348859</v>
      </c>
      <c r="CY29" s="92">
        <f t="shared" si="129"/>
        <v>568</v>
      </c>
      <c r="CZ29" s="92">
        <v>6310187</v>
      </c>
      <c r="DA29" s="92">
        <f t="shared" si="130"/>
        <v>743</v>
      </c>
      <c r="DB29" s="92">
        <v>56661754</v>
      </c>
      <c r="DC29" s="92">
        <f t="shared" si="131"/>
        <v>4496</v>
      </c>
      <c r="DD29" s="92">
        <v>2003302</v>
      </c>
      <c r="DE29" s="92">
        <f t="shared" si="132"/>
        <v>485</v>
      </c>
      <c r="DF29" s="92">
        <v>21956186</v>
      </c>
      <c r="DG29" s="92">
        <f t="shared" si="133"/>
        <v>3444</v>
      </c>
      <c r="DH29" s="92">
        <v>32287855</v>
      </c>
      <c r="DI29" s="92">
        <f t="shared" si="134"/>
        <v>456</v>
      </c>
      <c r="DJ29" s="92"/>
      <c r="DK29" s="92"/>
      <c r="DL29" s="92">
        <v>988670</v>
      </c>
      <c r="DM29" s="92">
        <f t="shared" si="135"/>
        <v>267</v>
      </c>
      <c r="DN29" s="92">
        <v>1055553</v>
      </c>
      <c r="DO29" s="92">
        <f t="shared" si="136"/>
        <v>278</v>
      </c>
      <c r="DP29" s="92">
        <v>1184731</v>
      </c>
      <c r="DQ29" s="92">
        <f t="shared" si="137"/>
        <v>662</v>
      </c>
      <c r="DR29" s="92">
        <v>1115602</v>
      </c>
      <c r="DS29" s="92">
        <f t="shared" si="138"/>
        <v>830</v>
      </c>
      <c r="DT29" s="92">
        <v>972671</v>
      </c>
      <c r="DU29" s="92">
        <f t="shared" si="139"/>
        <v>1039</v>
      </c>
      <c r="DV29" s="92">
        <v>1281981</v>
      </c>
      <c r="DW29" s="92">
        <f t="shared" si="140"/>
        <v>1390</v>
      </c>
      <c r="DX29" s="92">
        <v>813975</v>
      </c>
      <c r="DY29" s="92">
        <f t="shared" si="141"/>
        <v>560</v>
      </c>
      <c r="DZ29" s="92">
        <v>1442</v>
      </c>
      <c r="EA29" s="92">
        <f t="shared" si="142"/>
        <v>0</v>
      </c>
      <c r="EB29" s="92">
        <v>386466</v>
      </c>
      <c r="EC29" s="92">
        <f t="shared" si="143"/>
        <v>325</v>
      </c>
      <c r="ED29" s="92">
        <v>890855</v>
      </c>
      <c r="EE29" s="92">
        <f t="shared" si="144"/>
        <v>697</v>
      </c>
      <c r="EF29" s="92">
        <v>428665</v>
      </c>
      <c r="EG29" s="92">
        <f t="shared" si="145"/>
        <v>118</v>
      </c>
      <c r="EH29" s="92">
        <v>2598</v>
      </c>
      <c r="EI29" s="92">
        <f t="shared" si="146"/>
        <v>0</v>
      </c>
      <c r="EJ29" s="92">
        <v>980697</v>
      </c>
      <c r="EK29" s="92">
        <f t="shared" si="147"/>
        <v>430</v>
      </c>
      <c r="EL29" s="92">
        <v>3488773</v>
      </c>
      <c r="EM29" s="92">
        <f t="shared" si="148"/>
        <v>346</v>
      </c>
      <c r="EN29" s="92">
        <v>3861486</v>
      </c>
      <c r="EO29" s="92">
        <f t="shared" si="149"/>
        <v>388</v>
      </c>
      <c r="EP29" s="92">
        <v>4213555</v>
      </c>
      <c r="EQ29" s="92">
        <f t="shared" si="150"/>
        <v>422</v>
      </c>
      <c r="ER29" s="92">
        <v>5324615</v>
      </c>
      <c r="ES29" s="92">
        <f t="shared" si="151"/>
        <v>546</v>
      </c>
      <c r="ET29" s="92">
        <v>4364096</v>
      </c>
      <c r="EU29" s="92">
        <f t="shared" si="152"/>
        <v>334</v>
      </c>
      <c r="EV29" s="92">
        <v>4500305</v>
      </c>
      <c r="EW29" s="92">
        <f t="shared" si="153"/>
        <v>427</v>
      </c>
      <c r="EX29" s="92">
        <v>8809376</v>
      </c>
      <c r="EY29" s="92">
        <f t="shared" si="154"/>
        <v>860</v>
      </c>
      <c r="EZ29" s="92">
        <v>8713583</v>
      </c>
      <c r="FA29" s="92">
        <f t="shared" si="155"/>
        <v>1327</v>
      </c>
      <c r="FB29" s="92">
        <v>8669632</v>
      </c>
      <c r="FC29" s="92">
        <f t="shared" si="156"/>
        <v>701</v>
      </c>
      <c r="FD29" s="92">
        <v>8174958</v>
      </c>
      <c r="FE29" s="92">
        <f t="shared" si="157"/>
        <v>736</v>
      </c>
      <c r="FF29" s="92">
        <v>5152880</v>
      </c>
      <c r="FG29" s="92">
        <f t="shared" si="158"/>
        <v>631</v>
      </c>
      <c r="FH29" s="92">
        <v>3351822</v>
      </c>
      <c r="FI29" s="92">
        <f t="shared" si="159"/>
        <v>488</v>
      </c>
      <c r="FJ29" s="92">
        <v>1572147</v>
      </c>
      <c r="FK29" s="92">
        <f t="shared" si="160"/>
        <v>227</v>
      </c>
      <c r="FL29" s="92"/>
      <c r="FM29" s="92"/>
    </row>
    <row r="30" spans="1:169" s="48" customFormat="1" ht="30" customHeight="1">
      <c r="A30" s="91">
        <v>44181</v>
      </c>
      <c r="B30" s="92">
        <v>20754167</v>
      </c>
      <c r="C30" s="88">
        <f t="shared" si="83"/>
        <v>1971</v>
      </c>
      <c r="D30" s="92">
        <v>2313694</v>
      </c>
      <c r="E30" s="88">
        <f t="shared" si="84"/>
        <v>266</v>
      </c>
      <c r="F30" s="92">
        <v>27634862</v>
      </c>
      <c r="G30" s="88">
        <f t="shared" si="85"/>
        <v>3304</v>
      </c>
      <c r="H30" s="92">
        <v>5750525</v>
      </c>
      <c r="I30" s="88">
        <f t="shared" si="86"/>
        <v>535</v>
      </c>
      <c r="J30" s="92"/>
      <c r="K30" s="92"/>
      <c r="L30" s="92">
        <v>21676180</v>
      </c>
      <c r="M30" s="92">
        <f t="shared" si="87"/>
        <v>1832</v>
      </c>
      <c r="N30" s="92">
        <v>72841810</v>
      </c>
      <c r="O30" s="92">
        <f t="shared" si="88"/>
        <v>8990</v>
      </c>
      <c r="P30" s="92">
        <v>24258</v>
      </c>
      <c r="Q30" s="92">
        <f t="shared" si="89"/>
        <v>13</v>
      </c>
      <c r="R30" s="92">
        <v>4855</v>
      </c>
      <c r="S30" s="92">
        <f t="shared" si="90"/>
        <v>0</v>
      </c>
      <c r="T30" s="92">
        <v>31592619</v>
      </c>
      <c r="U30" s="92">
        <f t="shared" si="91"/>
        <v>3400</v>
      </c>
      <c r="V30" s="92">
        <v>1624904</v>
      </c>
      <c r="W30" s="92">
        <f t="shared" si="92"/>
        <v>284</v>
      </c>
      <c r="X30" s="92">
        <v>1872902</v>
      </c>
      <c r="Y30" s="92">
        <f t="shared" si="93"/>
        <v>207</v>
      </c>
      <c r="Z30" s="92">
        <v>3503533</v>
      </c>
      <c r="AA30" s="88">
        <f t="shared" si="94"/>
        <v>581</v>
      </c>
      <c r="AB30" s="92"/>
      <c r="AC30" s="92"/>
      <c r="AD30" s="92">
        <v>54853579</v>
      </c>
      <c r="AE30" s="92">
        <f t="shared" si="95"/>
        <v>6165</v>
      </c>
      <c r="AF30" s="92">
        <v>9949154</v>
      </c>
      <c r="AG30" s="92">
        <f t="shared" si="96"/>
        <v>1196</v>
      </c>
      <c r="AH30" s="92">
        <v>1546623</v>
      </c>
      <c r="AI30" s="92">
        <f t="shared" si="97"/>
        <v>206</v>
      </c>
      <c r="AJ30" s="92">
        <v>1769122</v>
      </c>
      <c r="AK30" s="92">
        <f t="shared" si="98"/>
        <v>183</v>
      </c>
      <c r="AL30" s="92">
        <v>4849966</v>
      </c>
      <c r="AM30" s="92">
        <f t="shared" si="99"/>
        <v>578</v>
      </c>
      <c r="AN30" s="92">
        <v>5159165</v>
      </c>
      <c r="AO30" s="92">
        <f t="shared" si="100"/>
        <v>745</v>
      </c>
      <c r="AP30" s="92"/>
      <c r="AQ30" s="92"/>
      <c r="AR30" s="92">
        <v>1143717</v>
      </c>
      <c r="AS30" s="92">
        <f t="shared" si="101"/>
        <v>304</v>
      </c>
      <c r="AT30" s="92">
        <v>3145050</v>
      </c>
      <c r="AU30" s="92">
        <f t="shared" si="102"/>
        <v>479</v>
      </c>
      <c r="AV30" s="92"/>
      <c r="AW30" s="92"/>
      <c r="AX30" s="92">
        <v>576386</v>
      </c>
      <c r="AY30" s="92">
        <f t="shared" si="103"/>
        <v>186</v>
      </c>
      <c r="AZ30" s="92">
        <v>2363494</v>
      </c>
      <c r="BA30" s="92">
        <f t="shared" si="104"/>
        <v>36</v>
      </c>
      <c r="BB30" s="92">
        <v>4693724</v>
      </c>
      <c r="BC30" s="92">
        <f t="shared" si="105"/>
        <v>830</v>
      </c>
      <c r="BD30" s="92">
        <v>41730868</v>
      </c>
      <c r="BE30" s="92">
        <f t="shared" si="106"/>
        <v>5735</v>
      </c>
      <c r="BF30" s="92">
        <v>59047970</v>
      </c>
      <c r="BG30" s="92">
        <f t="shared" si="107"/>
        <v>8137</v>
      </c>
      <c r="BH30" s="92">
        <v>436028</v>
      </c>
      <c r="BI30" s="92">
        <f t="shared" si="108"/>
        <v>113</v>
      </c>
      <c r="BJ30" s="92">
        <v>11267376</v>
      </c>
      <c r="BK30" s="92">
        <f t="shared" si="109"/>
        <v>1714</v>
      </c>
      <c r="BL30" s="92">
        <v>1595480</v>
      </c>
      <c r="BM30" s="92">
        <f t="shared" si="110"/>
        <v>404</v>
      </c>
      <c r="BN30" s="92">
        <v>2342615</v>
      </c>
      <c r="BO30" s="92">
        <f t="shared" si="111"/>
        <v>123</v>
      </c>
      <c r="BP30" s="92">
        <v>10700509</v>
      </c>
      <c r="BQ30" s="92">
        <f t="shared" si="112"/>
        <v>1741</v>
      </c>
      <c r="BR30" s="92">
        <v>2625391</v>
      </c>
      <c r="BS30" s="92">
        <f t="shared" si="113"/>
        <v>217</v>
      </c>
      <c r="BT30" s="92">
        <v>13083178</v>
      </c>
      <c r="BU30" s="92">
        <f t="shared" si="114"/>
        <v>1484</v>
      </c>
      <c r="BV30" s="92">
        <v>10265397</v>
      </c>
      <c r="BW30" s="92">
        <f t="shared" si="115"/>
        <v>1305</v>
      </c>
      <c r="BX30" s="92">
        <v>1580244</v>
      </c>
      <c r="BY30" s="92">
        <f t="shared" si="116"/>
        <v>184</v>
      </c>
      <c r="BZ30" s="92">
        <v>19904809</v>
      </c>
      <c r="CA30" s="92">
        <f t="shared" si="117"/>
        <v>0</v>
      </c>
      <c r="CB30" s="92">
        <v>17456098</v>
      </c>
      <c r="CC30" s="92">
        <f t="shared" si="118"/>
        <v>496</v>
      </c>
      <c r="CD30" s="92">
        <v>18112380</v>
      </c>
      <c r="CE30" s="92">
        <f t="shared" si="119"/>
        <v>796</v>
      </c>
      <c r="CF30" s="92">
        <v>14107395</v>
      </c>
      <c r="CG30" s="92">
        <f t="shared" si="120"/>
        <v>939</v>
      </c>
      <c r="CH30" s="92">
        <v>4300211</v>
      </c>
      <c r="CI30" s="92">
        <f t="shared" si="121"/>
        <v>429</v>
      </c>
      <c r="CJ30" s="92">
        <v>4775469</v>
      </c>
      <c r="CK30" s="92">
        <f t="shared" si="122"/>
        <v>420</v>
      </c>
      <c r="CL30" s="92">
        <v>2717957</v>
      </c>
      <c r="CM30" s="92">
        <f t="shared" si="123"/>
        <v>91</v>
      </c>
      <c r="CN30" s="92">
        <v>69507208</v>
      </c>
      <c r="CO30" s="92">
        <f t="shared" si="124"/>
        <v>4176</v>
      </c>
      <c r="CP30" s="92">
        <v>4462450</v>
      </c>
      <c r="CQ30" s="92">
        <f t="shared" si="125"/>
        <v>104</v>
      </c>
      <c r="CR30" s="92">
        <v>5182784</v>
      </c>
      <c r="CS30" s="92">
        <f t="shared" si="126"/>
        <v>154</v>
      </c>
      <c r="CT30" s="92">
        <v>3055933</v>
      </c>
      <c r="CU30" s="92">
        <f t="shared" si="127"/>
        <v>246</v>
      </c>
      <c r="CV30" s="92">
        <v>41556137</v>
      </c>
      <c r="CW30" s="92">
        <f t="shared" si="128"/>
        <v>1725</v>
      </c>
      <c r="CX30" s="92">
        <v>6349429</v>
      </c>
      <c r="CY30" s="92">
        <f t="shared" si="129"/>
        <v>570</v>
      </c>
      <c r="CZ30" s="92">
        <v>6310931</v>
      </c>
      <c r="DA30" s="92">
        <f t="shared" si="130"/>
        <v>744</v>
      </c>
      <c r="DB30" s="92">
        <v>56668004</v>
      </c>
      <c r="DC30" s="92">
        <f t="shared" si="131"/>
        <v>6250</v>
      </c>
      <c r="DD30" s="92">
        <v>2003787</v>
      </c>
      <c r="DE30" s="92">
        <f t="shared" si="132"/>
        <v>485</v>
      </c>
      <c r="DF30" s="92">
        <v>21959663</v>
      </c>
      <c r="DG30" s="92">
        <f t="shared" si="133"/>
        <v>3477</v>
      </c>
      <c r="DH30" s="92">
        <v>32290038</v>
      </c>
      <c r="DI30" s="92">
        <f t="shared" si="134"/>
        <v>2183</v>
      </c>
      <c r="DJ30" s="92"/>
      <c r="DK30" s="92"/>
      <c r="DL30" s="92">
        <v>988891</v>
      </c>
      <c r="DM30" s="92">
        <f t="shared" si="135"/>
        <v>221</v>
      </c>
      <c r="DN30" s="92">
        <v>1055796</v>
      </c>
      <c r="DO30" s="92">
        <f t="shared" si="136"/>
        <v>243</v>
      </c>
      <c r="DP30" s="92">
        <v>1185418</v>
      </c>
      <c r="DQ30" s="92">
        <f t="shared" si="137"/>
        <v>687</v>
      </c>
      <c r="DR30" s="92">
        <v>1116422</v>
      </c>
      <c r="DS30" s="92">
        <f t="shared" si="138"/>
        <v>820</v>
      </c>
      <c r="DT30" s="92">
        <v>973690</v>
      </c>
      <c r="DU30" s="92">
        <f t="shared" si="139"/>
        <v>1019</v>
      </c>
      <c r="DV30" s="92">
        <v>1283364</v>
      </c>
      <c r="DW30" s="92">
        <f t="shared" si="140"/>
        <v>1383</v>
      </c>
      <c r="DX30" s="92">
        <v>814510</v>
      </c>
      <c r="DY30" s="92">
        <f t="shared" si="141"/>
        <v>535</v>
      </c>
      <c r="DZ30" s="92">
        <v>1442</v>
      </c>
      <c r="EA30" s="92">
        <f t="shared" si="142"/>
        <v>0</v>
      </c>
      <c r="EB30" s="92">
        <v>386785</v>
      </c>
      <c r="EC30" s="92">
        <f t="shared" si="143"/>
        <v>319</v>
      </c>
      <c r="ED30" s="92">
        <v>891552</v>
      </c>
      <c r="EE30" s="92">
        <f t="shared" si="144"/>
        <v>697</v>
      </c>
      <c r="EF30" s="92">
        <v>428763</v>
      </c>
      <c r="EG30" s="92">
        <f t="shared" si="145"/>
        <v>98</v>
      </c>
      <c r="EH30" s="92">
        <v>2598</v>
      </c>
      <c r="EI30" s="92">
        <f t="shared" si="146"/>
        <v>0</v>
      </c>
      <c r="EJ30" s="92">
        <v>981118</v>
      </c>
      <c r="EK30" s="92">
        <f t="shared" si="147"/>
        <v>421</v>
      </c>
      <c r="EL30" s="92">
        <v>3489127</v>
      </c>
      <c r="EM30" s="92">
        <f t="shared" si="148"/>
        <v>354</v>
      </c>
      <c r="EN30" s="92">
        <v>3861875</v>
      </c>
      <c r="EO30" s="92">
        <f t="shared" si="149"/>
        <v>389</v>
      </c>
      <c r="EP30" s="92">
        <v>4213975</v>
      </c>
      <c r="EQ30" s="92">
        <f t="shared" si="150"/>
        <v>420</v>
      </c>
      <c r="ER30" s="92">
        <v>5325162</v>
      </c>
      <c r="ES30" s="92">
        <f t="shared" si="151"/>
        <v>547</v>
      </c>
      <c r="ET30" s="92">
        <v>4364450</v>
      </c>
      <c r="EU30" s="92">
        <f t="shared" si="152"/>
        <v>354</v>
      </c>
      <c r="EV30" s="92">
        <v>4500736</v>
      </c>
      <c r="EW30" s="92">
        <f t="shared" si="153"/>
        <v>431</v>
      </c>
      <c r="EX30" s="92">
        <v>8810229</v>
      </c>
      <c r="EY30" s="92">
        <f t="shared" si="154"/>
        <v>853</v>
      </c>
      <c r="EZ30" s="92">
        <v>8714945</v>
      </c>
      <c r="FA30" s="92">
        <f t="shared" si="155"/>
        <v>1362</v>
      </c>
      <c r="FB30" s="92">
        <v>8670335</v>
      </c>
      <c r="FC30" s="92">
        <f t="shared" si="156"/>
        <v>703</v>
      </c>
      <c r="FD30" s="92">
        <v>8175702</v>
      </c>
      <c r="FE30" s="92">
        <f t="shared" si="157"/>
        <v>744</v>
      </c>
      <c r="FF30" s="92">
        <v>5153511</v>
      </c>
      <c r="FG30" s="92">
        <f t="shared" si="158"/>
        <v>631</v>
      </c>
      <c r="FH30" s="92">
        <v>3352309</v>
      </c>
      <c r="FI30" s="92">
        <f t="shared" si="159"/>
        <v>487</v>
      </c>
      <c r="FJ30" s="92">
        <v>1572375</v>
      </c>
      <c r="FK30" s="92">
        <f t="shared" si="160"/>
        <v>228</v>
      </c>
      <c r="FL30" s="92"/>
      <c r="FM30" s="92"/>
    </row>
    <row r="31" spans="1:169" ht="30" customHeight="1">
      <c r="A31" s="91">
        <v>44182</v>
      </c>
      <c r="B31" s="92">
        <v>20756114</v>
      </c>
      <c r="C31" s="92">
        <f t="shared" si="83"/>
        <v>1947</v>
      </c>
      <c r="D31" s="92">
        <v>2313942</v>
      </c>
      <c r="E31" s="92">
        <f t="shared" si="84"/>
        <v>248</v>
      </c>
      <c r="F31" s="92">
        <v>27638192</v>
      </c>
      <c r="G31" s="92">
        <f t="shared" si="85"/>
        <v>3330</v>
      </c>
      <c r="H31" s="92">
        <v>5751010</v>
      </c>
      <c r="I31" s="92">
        <f t="shared" si="86"/>
        <v>485</v>
      </c>
      <c r="J31" s="92"/>
      <c r="K31" s="92"/>
      <c r="L31" s="92">
        <v>21678028</v>
      </c>
      <c r="M31" s="92">
        <f t="shared" si="87"/>
        <v>1848</v>
      </c>
      <c r="N31" s="92">
        <v>72850671</v>
      </c>
      <c r="O31" s="92">
        <f t="shared" si="88"/>
        <v>8861</v>
      </c>
      <c r="P31" s="92">
        <v>24272</v>
      </c>
      <c r="Q31" s="92">
        <f t="shared" si="89"/>
        <v>14</v>
      </c>
      <c r="R31" s="92">
        <v>4855</v>
      </c>
      <c r="S31" s="92">
        <f t="shared" si="90"/>
        <v>0</v>
      </c>
      <c r="T31" s="92">
        <v>31596093</v>
      </c>
      <c r="U31" s="92">
        <f t="shared" si="91"/>
        <v>3474</v>
      </c>
      <c r="V31" s="92">
        <v>1625186</v>
      </c>
      <c r="W31" s="92">
        <f t="shared" si="92"/>
        <v>282</v>
      </c>
      <c r="X31" s="92">
        <v>1873105</v>
      </c>
      <c r="Y31" s="92">
        <f t="shared" si="93"/>
        <v>203</v>
      </c>
      <c r="Z31" s="92">
        <v>3504115</v>
      </c>
      <c r="AA31" s="92">
        <f t="shared" si="94"/>
        <v>582</v>
      </c>
      <c r="AB31" s="92"/>
      <c r="AC31" s="92"/>
      <c r="AD31" s="92">
        <v>54859688</v>
      </c>
      <c r="AE31" s="92">
        <f t="shared" si="95"/>
        <v>6109</v>
      </c>
      <c r="AF31" s="92">
        <v>9950249</v>
      </c>
      <c r="AG31" s="92">
        <f t="shared" si="96"/>
        <v>1095</v>
      </c>
      <c r="AH31" s="92">
        <v>1546832</v>
      </c>
      <c r="AI31" s="92">
        <f t="shared" si="97"/>
        <v>209</v>
      </c>
      <c r="AJ31" s="92">
        <v>1769303</v>
      </c>
      <c r="AK31" s="92">
        <f t="shared" si="98"/>
        <v>181</v>
      </c>
      <c r="AL31" s="92">
        <v>4850501</v>
      </c>
      <c r="AM31" s="92">
        <f t="shared" si="99"/>
        <v>535</v>
      </c>
      <c r="AN31" s="92">
        <v>5159939</v>
      </c>
      <c r="AO31" s="92">
        <f t="shared" si="100"/>
        <v>774</v>
      </c>
      <c r="AP31" s="92"/>
      <c r="AQ31" s="92"/>
      <c r="AR31" s="92">
        <v>1144022</v>
      </c>
      <c r="AS31" s="92">
        <f t="shared" si="101"/>
        <v>305</v>
      </c>
      <c r="AT31" s="92">
        <v>3145528</v>
      </c>
      <c r="AU31" s="92">
        <f t="shared" si="102"/>
        <v>478</v>
      </c>
      <c r="AV31" s="92"/>
      <c r="AW31" s="92"/>
      <c r="AX31" s="92">
        <v>576572</v>
      </c>
      <c r="AY31" s="92">
        <f t="shared" si="103"/>
        <v>186</v>
      </c>
      <c r="AZ31" s="92">
        <v>2363539</v>
      </c>
      <c r="BA31" s="92">
        <f t="shared" si="104"/>
        <v>45</v>
      </c>
      <c r="BB31" s="92">
        <v>4694568</v>
      </c>
      <c r="BC31" s="92">
        <f t="shared" si="105"/>
        <v>844</v>
      </c>
      <c r="BD31" s="92">
        <v>41736617</v>
      </c>
      <c r="BE31" s="92">
        <f t="shared" si="106"/>
        <v>5749</v>
      </c>
      <c r="BF31" s="92">
        <v>59055965</v>
      </c>
      <c r="BG31" s="92">
        <f t="shared" si="107"/>
        <v>7995</v>
      </c>
      <c r="BH31" s="92">
        <v>436147</v>
      </c>
      <c r="BI31" s="92">
        <f t="shared" si="108"/>
        <v>119</v>
      </c>
      <c r="BJ31" s="92">
        <v>11268951</v>
      </c>
      <c r="BK31" s="92">
        <f t="shared" si="109"/>
        <v>1575</v>
      </c>
      <c r="BL31" s="92">
        <v>1595883</v>
      </c>
      <c r="BM31" s="92">
        <f t="shared" si="110"/>
        <v>403</v>
      </c>
      <c r="BN31" s="92">
        <v>2342766</v>
      </c>
      <c r="BO31" s="92">
        <f t="shared" si="111"/>
        <v>151</v>
      </c>
      <c r="BP31" s="92">
        <v>10702253</v>
      </c>
      <c r="BQ31" s="92">
        <f t="shared" si="112"/>
        <v>1744</v>
      </c>
      <c r="BR31" s="92">
        <v>2625605</v>
      </c>
      <c r="BS31" s="92">
        <f t="shared" si="113"/>
        <v>214</v>
      </c>
      <c r="BT31" s="92">
        <v>13084620</v>
      </c>
      <c r="BU31" s="92">
        <f t="shared" si="114"/>
        <v>1442</v>
      </c>
      <c r="BV31" s="92">
        <v>10266706</v>
      </c>
      <c r="BW31" s="92">
        <f t="shared" si="115"/>
        <v>1309</v>
      </c>
      <c r="BX31" s="92">
        <v>1580432</v>
      </c>
      <c r="BY31" s="92">
        <f t="shared" si="116"/>
        <v>188</v>
      </c>
      <c r="BZ31" s="92">
        <v>19904809</v>
      </c>
      <c r="CA31" s="92">
        <f t="shared" si="117"/>
        <v>0</v>
      </c>
      <c r="CB31" s="92">
        <v>17456098</v>
      </c>
      <c r="CC31" s="92">
        <f t="shared" si="118"/>
        <v>0</v>
      </c>
      <c r="CD31" s="92">
        <v>18112454</v>
      </c>
      <c r="CE31" s="92">
        <f t="shared" si="119"/>
        <v>74</v>
      </c>
      <c r="CF31" s="92">
        <v>14108395</v>
      </c>
      <c r="CG31" s="92">
        <f t="shared" si="120"/>
        <v>1000</v>
      </c>
      <c r="CH31" s="92">
        <v>4300645</v>
      </c>
      <c r="CI31" s="92">
        <f t="shared" si="121"/>
        <v>434</v>
      </c>
      <c r="CJ31" s="92">
        <v>4775901</v>
      </c>
      <c r="CK31" s="92">
        <f t="shared" si="122"/>
        <v>432</v>
      </c>
      <c r="CL31" s="92">
        <v>2718093</v>
      </c>
      <c r="CM31" s="92">
        <f t="shared" si="123"/>
        <v>136</v>
      </c>
      <c r="CN31" s="92">
        <v>69511127</v>
      </c>
      <c r="CO31" s="92">
        <f t="shared" si="124"/>
        <v>3919</v>
      </c>
      <c r="CP31" s="92">
        <v>4462554</v>
      </c>
      <c r="CQ31" s="92">
        <f t="shared" si="125"/>
        <v>104</v>
      </c>
      <c r="CR31" s="92">
        <v>5182952</v>
      </c>
      <c r="CS31" s="92">
        <f t="shared" si="126"/>
        <v>168</v>
      </c>
      <c r="CT31" s="92">
        <v>3056180</v>
      </c>
      <c r="CU31" s="92">
        <f t="shared" si="127"/>
        <v>247</v>
      </c>
      <c r="CV31" s="92">
        <v>41557535</v>
      </c>
      <c r="CW31" s="92">
        <f t="shared" si="128"/>
        <v>1398</v>
      </c>
      <c r="CX31" s="92">
        <v>6349996</v>
      </c>
      <c r="CY31" s="92">
        <f t="shared" si="129"/>
        <v>567</v>
      </c>
      <c r="CZ31" s="92">
        <v>6311674</v>
      </c>
      <c r="DA31" s="92">
        <f t="shared" si="130"/>
        <v>743</v>
      </c>
      <c r="DB31" s="92">
        <v>56675231</v>
      </c>
      <c r="DC31" s="92">
        <f t="shared" si="131"/>
        <v>7227</v>
      </c>
      <c r="DD31" s="92">
        <v>2004260</v>
      </c>
      <c r="DE31" s="92">
        <f t="shared" si="132"/>
        <v>473</v>
      </c>
      <c r="DF31" s="92">
        <v>21963014</v>
      </c>
      <c r="DG31" s="92">
        <f t="shared" si="133"/>
        <v>3351</v>
      </c>
      <c r="DH31" s="92">
        <v>32293323</v>
      </c>
      <c r="DI31" s="92">
        <f t="shared" si="134"/>
        <v>3285</v>
      </c>
      <c r="DJ31" s="92"/>
      <c r="DK31" s="92"/>
      <c r="DL31" s="92">
        <v>989080</v>
      </c>
      <c r="DM31" s="92">
        <f t="shared" si="135"/>
        <v>189</v>
      </c>
      <c r="DN31" s="92">
        <v>1056027</v>
      </c>
      <c r="DO31" s="92">
        <f t="shared" si="136"/>
        <v>231</v>
      </c>
      <c r="DP31" s="92">
        <v>1186136</v>
      </c>
      <c r="DQ31" s="92">
        <f t="shared" si="137"/>
        <v>718</v>
      </c>
      <c r="DR31" s="92">
        <v>1117319</v>
      </c>
      <c r="DS31" s="92">
        <f t="shared" si="138"/>
        <v>897</v>
      </c>
      <c r="DT31" s="92">
        <v>974714</v>
      </c>
      <c r="DU31" s="92">
        <f t="shared" si="139"/>
        <v>1024</v>
      </c>
      <c r="DV31" s="92">
        <v>1284731</v>
      </c>
      <c r="DW31" s="92">
        <f t="shared" si="140"/>
        <v>1367</v>
      </c>
      <c r="DX31" s="92">
        <v>815072</v>
      </c>
      <c r="DY31" s="92">
        <f t="shared" si="141"/>
        <v>562</v>
      </c>
      <c r="DZ31" s="92">
        <v>1442</v>
      </c>
      <c r="EA31" s="92">
        <f t="shared" si="142"/>
        <v>0</v>
      </c>
      <c r="EB31" s="92">
        <v>387103</v>
      </c>
      <c r="EC31" s="92">
        <f t="shared" si="143"/>
        <v>318</v>
      </c>
      <c r="ED31" s="92">
        <v>892250</v>
      </c>
      <c r="EE31" s="92">
        <f t="shared" si="144"/>
        <v>698</v>
      </c>
      <c r="EF31" s="92">
        <v>428884</v>
      </c>
      <c r="EG31" s="92">
        <f t="shared" si="145"/>
        <v>121</v>
      </c>
      <c r="EH31" s="92">
        <v>2598</v>
      </c>
      <c r="EI31" s="92">
        <f t="shared" si="146"/>
        <v>0</v>
      </c>
      <c r="EJ31" s="92">
        <v>981544</v>
      </c>
      <c r="EK31" s="92">
        <f t="shared" si="147"/>
        <v>426</v>
      </c>
      <c r="EL31" s="92">
        <v>3489486</v>
      </c>
      <c r="EM31" s="92">
        <f t="shared" si="148"/>
        <v>359</v>
      </c>
      <c r="EN31" s="92">
        <v>3862263</v>
      </c>
      <c r="EO31" s="92">
        <f t="shared" si="149"/>
        <v>388</v>
      </c>
      <c r="EP31" s="92">
        <v>4214405</v>
      </c>
      <c r="EQ31" s="92">
        <f t="shared" si="150"/>
        <v>430</v>
      </c>
      <c r="ER31" s="92">
        <v>5325703</v>
      </c>
      <c r="ES31" s="92">
        <f t="shared" si="151"/>
        <v>541</v>
      </c>
      <c r="ET31" s="92">
        <v>4364841</v>
      </c>
      <c r="EU31" s="92">
        <f t="shared" si="152"/>
        <v>391</v>
      </c>
      <c r="EV31" s="92">
        <v>4501162</v>
      </c>
      <c r="EW31" s="92">
        <f t="shared" si="153"/>
        <v>426</v>
      </c>
      <c r="EX31" s="92">
        <v>8811084</v>
      </c>
      <c r="EY31" s="92">
        <f t="shared" si="154"/>
        <v>855</v>
      </c>
      <c r="EZ31" s="92">
        <v>8716276</v>
      </c>
      <c r="FA31" s="92">
        <f t="shared" si="155"/>
        <v>1331</v>
      </c>
      <c r="FB31" s="92">
        <v>8671038</v>
      </c>
      <c r="FC31" s="92">
        <f t="shared" si="156"/>
        <v>703</v>
      </c>
      <c r="FD31" s="92">
        <v>8176441</v>
      </c>
      <c r="FE31" s="92">
        <f t="shared" si="157"/>
        <v>739</v>
      </c>
      <c r="FF31" s="92">
        <v>5154147</v>
      </c>
      <c r="FG31" s="92">
        <f t="shared" si="158"/>
        <v>636</v>
      </c>
      <c r="FH31" s="92">
        <v>3352800</v>
      </c>
      <c r="FI31" s="92">
        <f t="shared" si="159"/>
        <v>491</v>
      </c>
      <c r="FJ31" s="92">
        <v>1572599</v>
      </c>
      <c r="FK31" s="92">
        <f t="shared" si="160"/>
        <v>224</v>
      </c>
      <c r="FL31" s="92"/>
      <c r="FM31" s="92"/>
    </row>
    <row r="32" spans="1:169" ht="30" customHeight="1">
      <c r="A32" s="91">
        <v>44183</v>
      </c>
      <c r="B32" s="92">
        <v>20758162</v>
      </c>
      <c r="C32" s="88">
        <f t="shared" si="83"/>
        <v>2048</v>
      </c>
      <c r="D32" s="92">
        <v>2314191</v>
      </c>
      <c r="E32" s="88">
        <f t="shared" si="84"/>
        <v>249</v>
      </c>
      <c r="F32" s="92">
        <v>27641506</v>
      </c>
      <c r="G32" s="88">
        <f t="shared" si="85"/>
        <v>3314</v>
      </c>
      <c r="H32" s="92">
        <v>5751495</v>
      </c>
      <c r="I32" s="88">
        <f t="shared" si="86"/>
        <v>485</v>
      </c>
      <c r="J32" s="92"/>
      <c r="K32" s="92"/>
      <c r="L32" s="92">
        <v>21679846</v>
      </c>
      <c r="M32" s="92">
        <f t="shared" si="87"/>
        <v>1818</v>
      </c>
      <c r="N32" s="92">
        <v>72860756</v>
      </c>
      <c r="O32" s="92">
        <f t="shared" si="88"/>
        <v>10085</v>
      </c>
      <c r="P32" s="92">
        <v>24285</v>
      </c>
      <c r="Q32" s="92">
        <f t="shared" si="89"/>
        <v>13</v>
      </c>
      <c r="R32" s="92">
        <v>4855</v>
      </c>
      <c r="S32" s="92">
        <f t="shared" si="90"/>
        <v>0</v>
      </c>
      <c r="T32" s="92">
        <v>31601433</v>
      </c>
      <c r="U32" s="92">
        <f t="shared" si="91"/>
        <v>5340</v>
      </c>
      <c r="V32" s="92">
        <v>1625460</v>
      </c>
      <c r="W32" s="92">
        <f t="shared" si="92"/>
        <v>274</v>
      </c>
      <c r="X32" s="92">
        <v>1873308</v>
      </c>
      <c r="Y32" s="92">
        <f t="shared" si="93"/>
        <v>203</v>
      </c>
      <c r="Z32" s="92">
        <v>3504695</v>
      </c>
      <c r="AA32" s="88">
        <f t="shared" si="94"/>
        <v>580</v>
      </c>
      <c r="AB32" s="92"/>
      <c r="AC32" s="92"/>
      <c r="AD32" s="92">
        <v>54865926</v>
      </c>
      <c r="AE32" s="92">
        <f t="shared" si="95"/>
        <v>6238</v>
      </c>
      <c r="AF32" s="92">
        <v>9951479</v>
      </c>
      <c r="AG32" s="92">
        <f t="shared" si="96"/>
        <v>1230</v>
      </c>
      <c r="AH32" s="92">
        <v>1547038</v>
      </c>
      <c r="AI32" s="92">
        <f t="shared" si="97"/>
        <v>206</v>
      </c>
      <c r="AJ32" s="92">
        <v>1769488</v>
      </c>
      <c r="AK32" s="92">
        <f t="shared" si="98"/>
        <v>185</v>
      </c>
      <c r="AL32" s="92">
        <v>4851036</v>
      </c>
      <c r="AM32" s="92">
        <f t="shared" si="99"/>
        <v>535</v>
      </c>
      <c r="AN32" s="92">
        <v>5160741</v>
      </c>
      <c r="AO32" s="92">
        <f t="shared" si="100"/>
        <v>802</v>
      </c>
      <c r="AP32" s="92"/>
      <c r="AQ32" s="92"/>
      <c r="AR32" s="92">
        <v>1144325</v>
      </c>
      <c r="AS32" s="92">
        <f t="shared" si="101"/>
        <v>303</v>
      </c>
      <c r="AT32" s="92">
        <v>3145990</v>
      </c>
      <c r="AU32" s="92">
        <f t="shared" si="102"/>
        <v>462</v>
      </c>
      <c r="AV32" s="92"/>
      <c r="AW32" s="92"/>
      <c r="AX32" s="92">
        <v>576758</v>
      </c>
      <c r="AY32" s="92">
        <f t="shared" si="103"/>
        <v>186</v>
      </c>
      <c r="AZ32" s="92">
        <v>2363568</v>
      </c>
      <c r="BA32" s="92">
        <f t="shared" si="104"/>
        <v>29</v>
      </c>
      <c r="BB32" s="92">
        <v>4695418</v>
      </c>
      <c r="BC32" s="92">
        <f t="shared" si="105"/>
        <v>850</v>
      </c>
      <c r="BD32" s="92">
        <v>41742364</v>
      </c>
      <c r="BE32" s="92">
        <f t="shared" si="106"/>
        <v>5747</v>
      </c>
      <c r="BF32" s="92">
        <v>59064001</v>
      </c>
      <c r="BG32" s="92">
        <f t="shared" si="107"/>
        <v>8036</v>
      </c>
      <c r="BH32" s="92">
        <v>436243</v>
      </c>
      <c r="BI32" s="92">
        <f t="shared" si="108"/>
        <v>96</v>
      </c>
      <c r="BJ32" s="92">
        <v>11270519</v>
      </c>
      <c r="BK32" s="92">
        <f t="shared" si="109"/>
        <v>1568</v>
      </c>
      <c r="BL32" s="92">
        <v>1596284</v>
      </c>
      <c r="BM32" s="92">
        <f t="shared" si="110"/>
        <v>401</v>
      </c>
      <c r="BN32" s="92">
        <v>2342857</v>
      </c>
      <c r="BO32" s="92">
        <f t="shared" si="111"/>
        <v>91</v>
      </c>
      <c r="BP32" s="92">
        <v>10704016</v>
      </c>
      <c r="BQ32" s="92">
        <f t="shared" si="112"/>
        <v>1763</v>
      </c>
      <c r="BR32" s="92">
        <v>2625816</v>
      </c>
      <c r="BS32" s="92">
        <f t="shared" si="113"/>
        <v>211</v>
      </c>
      <c r="BT32" s="92">
        <v>13086156</v>
      </c>
      <c r="BU32" s="92">
        <f t="shared" si="114"/>
        <v>1536</v>
      </c>
      <c r="BV32" s="92">
        <v>10268056</v>
      </c>
      <c r="BW32" s="92">
        <f t="shared" si="115"/>
        <v>1350</v>
      </c>
      <c r="BX32" s="92">
        <v>1580600</v>
      </c>
      <c r="BY32" s="92">
        <f t="shared" si="116"/>
        <v>168</v>
      </c>
      <c r="BZ32" s="92">
        <v>19904809</v>
      </c>
      <c r="CA32" s="92">
        <f t="shared" si="117"/>
        <v>0</v>
      </c>
      <c r="CB32" s="92">
        <v>17456098</v>
      </c>
      <c r="CC32" s="92">
        <f t="shared" si="118"/>
        <v>0</v>
      </c>
      <c r="CD32" s="92">
        <v>18113242</v>
      </c>
      <c r="CE32" s="92">
        <f t="shared" si="119"/>
        <v>788</v>
      </c>
      <c r="CF32" s="92">
        <v>14109359</v>
      </c>
      <c r="CG32" s="92">
        <f t="shared" si="120"/>
        <v>964</v>
      </c>
      <c r="CH32" s="92">
        <v>4301058</v>
      </c>
      <c r="CI32" s="92">
        <f t="shared" si="121"/>
        <v>413</v>
      </c>
      <c r="CJ32" s="92">
        <v>4776334</v>
      </c>
      <c r="CK32" s="92">
        <f t="shared" si="122"/>
        <v>433</v>
      </c>
      <c r="CL32" s="92">
        <v>2718211</v>
      </c>
      <c r="CM32" s="92">
        <f t="shared" si="123"/>
        <v>118</v>
      </c>
      <c r="CN32" s="92">
        <v>69517530</v>
      </c>
      <c r="CO32" s="92">
        <f t="shared" si="124"/>
        <v>6403</v>
      </c>
      <c r="CP32" s="92">
        <v>4462659</v>
      </c>
      <c r="CQ32" s="92">
        <f t="shared" si="125"/>
        <v>105</v>
      </c>
      <c r="CR32" s="92">
        <v>5183107</v>
      </c>
      <c r="CS32" s="92">
        <f t="shared" si="126"/>
        <v>155</v>
      </c>
      <c r="CT32" s="92">
        <v>3056424</v>
      </c>
      <c r="CU32" s="92">
        <f t="shared" si="127"/>
        <v>244</v>
      </c>
      <c r="CV32" s="92">
        <v>41561457</v>
      </c>
      <c r="CW32" s="92">
        <f t="shared" si="128"/>
        <v>3922</v>
      </c>
      <c r="CX32" s="92">
        <v>6350563</v>
      </c>
      <c r="CY32" s="92">
        <f t="shared" si="129"/>
        <v>567</v>
      </c>
      <c r="CZ32" s="92">
        <v>6312415</v>
      </c>
      <c r="DA32" s="92">
        <f t="shared" si="130"/>
        <v>741</v>
      </c>
      <c r="DB32" s="92">
        <v>56679316</v>
      </c>
      <c r="DC32" s="92">
        <f t="shared" si="131"/>
        <v>4085</v>
      </c>
      <c r="DD32" s="92">
        <v>2004741</v>
      </c>
      <c r="DE32" s="92">
        <f t="shared" si="132"/>
        <v>481</v>
      </c>
      <c r="DF32" s="92">
        <v>21966358</v>
      </c>
      <c r="DG32" s="92">
        <f t="shared" si="133"/>
        <v>3344</v>
      </c>
      <c r="DH32" s="92">
        <v>32293476</v>
      </c>
      <c r="DI32" s="92">
        <f t="shared" si="134"/>
        <v>153</v>
      </c>
      <c r="DJ32" s="92"/>
      <c r="DK32" s="92"/>
      <c r="DL32" s="92">
        <v>989286</v>
      </c>
      <c r="DM32" s="92">
        <f t="shared" si="135"/>
        <v>206</v>
      </c>
      <c r="DN32" s="92">
        <v>1056246</v>
      </c>
      <c r="DO32" s="92">
        <f t="shared" si="136"/>
        <v>219</v>
      </c>
      <c r="DP32" s="92">
        <v>1186836</v>
      </c>
      <c r="DQ32" s="92">
        <f t="shared" si="137"/>
        <v>700</v>
      </c>
      <c r="DR32" s="92">
        <v>1118184</v>
      </c>
      <c r="DS32" s="92">
        <f t="shared" si="138"/>
        <v>865</v>
      </c>
      <c r="DT32" s="92">
        <v>975739</v>
      </c>
      <c r="DU32" s="92">
        <f t="shared" si="139"/>
        <v>1025</v>
      </c>
      <c r="DV32" s="92">
        <v>1286095</v>
      </c>
      <c r="DW32" s="92">
        <f t="shared" si="140"/>
        <v>1364</v>
      </c>
      <c r="DX32" s="92">
        <v>815644</v>
      </c>
      <c r="DY32" s="92">
        <f t="shared" si="141"/>
        <v>572</v>
      </c>
      <c r="DZ32" s="92">
        <v>1442</v>
      </c>
      <c r="EA32" s="92">
        <f t="shared" si="142"/>
        <v>0</v>
      </c>
      <c r="EB32" s="92">
        <v>387436</v>
      </c>
      <c r="EC32" s="92">
        <f t="shared" si="143"/>
        <v>333</v>
      </c>
      <c r="ED32" s="92">
        <v>892952</v>
      </c>
      <c r="EE32" s="92">
        <f t="shared" si="144"/>
        <v>702</v>
      </c>
      <c r="EF32" s="92">
        <v>429000</v>
      </c>
      <c r="EG32" s="92">
        <f t="shared" si="145"/>
        <v>116</v>
      </c>
      <c r="EH32" s="92">
        <v>2614</v>
      </c>
      <c r="EI32" s="92">
        <f t="shared" si="146"/>
        <v>16</v>
      </c>
      <c r="EJ32" s="92">
        <v>981971</v>
      </c>
      <c r="EK32" s="92">
        <f t="shared" si="147"/>
        <v>427</v>
      </c>
      <c r="EL32" s="92">
        <v>3489853</v>
      </c>
      <c r="EM32" s="92">
        <f t="shared" si="148"/>
        <v>367</v>
      </c>
      <c r="EN32" s="92">
        <v>3862638</v>
      </c>
      <c r="EO32" s="92">
        <f t="shared" si="149"/>
        <v>375</v>
      </c>
      <c r="EP32" s="92">
        <v>4214799</v>
      </c>
      <c r="EQ32" s="92">
        <f t="shared" si="150"/>
        <v>394</v>
      </c>
      <c r="ER32" s="92">
        <v>5326356</v>
      </c>
      <c r="ES32" s="92">
        <f t="shared" si="151"/>
        <v>653</v>
      </c>
      <c r="ET32" s="92">
        <v>4365228</v>
      </c>
      <c r="EU32" s="92">
        <f t="shared" si="152"/>
        <v>387</v>
      </c>
      <c r="EV32" s="92">
        <v>4501581</v>
      </c>
      <c r="EW32" s="92">
        <f t="shared" si="153"/>
        <v>419</v>
      </c>
      <c r="EX32" s="92">
        <v>8811935</v>
      </c>
      <c r="EY32" s="92">
        <f t="shared" si="154"/>
        <v>851</v>
      </c>
      <c r="EZ32" s="92">
        <v>8717593</v>
      </c>
      <c r="FA32" s="92">
        <f t="shared" si="155"/>
        <v>1317</v>
      </c>
      <c r="FB32" s="92">
        <v>8671740</v>
      </c>
      <c r="FC32" s="92">
        <f t="shared" si="156"/>
        <v>702</v>
      </c>
      <c r="FD32" s="92">
        <v>8177180</v>
      </c>
      <c r="FE32" s="92">
        <f t="shared" si="157"/>
        <v>739</v>
      </c>
      <c r="FF32" s="92">
        <v>5154781</v>
      </c>
      <c r="FG32" s="92">
        <f t="shared" si="158"/>
        <v>634</v>
      </c>
      <c r="FH32" s="92">
        <v>3353305</v>
      </c>
      <c r="FI32" s="92">
        <f t="shared" si="159"/>
        <v>505</v>
      </c>
      <c r="FJ32" s="92">
        <v>1572819</v>
      </c>
      <c r="FK32" s="92">
        <f t="shared" si="160"/>
        <v>220</v>
      </c>
      <c r="FL32" s="92"/>
      <c r="FM32" s="92"/>
    </row>
    <row r="33" spans="1:169" ht="30" customHeight="1">
      <c r="A33" s="91">
        <v>44184</v>
      </c>
      <c r="B33" s="92">
        <v>20760189</v>
      </c>
      <c r="C33" s="92">
        <f t="shared" si="83"/>
        <v>2027</v>
      </c>
      <c r="D33" s="92">
        <v>2314462</v>
      </c>
      <c r="E33" s="92">
        <f t="shared" si="84"/>
        <v>271</v>
      </c>
      <c r="F33" s="92">
        <v>27644827</v>
      </c>
      <c r="G33" s="92">
        <f t="shared" si="85"/>
        <v>3321</v>
      </c>
      <c r="H33" s="92">
        <v>5752055</v>
      </c>
      <c r="I33" s="92">
        <f t="shared" si="86"/>
        <v>560</v>
      </c>
      <c r="J33" s="92"/>
      <c r="K33" s="92"/>
      <c r="L33" s="92">
        <v>21681712</v>
      </c>
      <c r="M33" s="92">
        <f t="shared" si="87"/>
        <v>1866</v>
      </c>
      <c r="N33" s="92">
        <v>72871605</v>
      </c>
      <c r="O33" s="92">
        <f t="shared" si="88"/>
        <v>10849</v>
      </c>
      <c r="P33" s="92">
        <v>24298</v>
      </c>
      <c r="Q33" s="92">
        <f t="shared" si="89"/>
        <v>13</v>
      </c>
      <c r="R33" s="92">
        <v>4855</v>
      </c>
      <c r="S33" s="92">
        <f t="shared" si="90"/>
        <v>0</v>
      </c>
      <c r="T33" s="92">
        <v>31608321</v>
      </c>
      <c r="U33" s="92">
        <f t="shared" si="91"/>
        <v>6888</v>
      </c>
      <c r="V33" s="92">
        <v>1625736</v>
      </c>
      <c r="W33" s="92">
        <f t="shared" si="92"/>
        <v>276</v>
      </c>
      <c r="X33" s="92">
        <v>1873510</v>
      </c>
      <c r="Y33" s="92">
        <f t="shared" si="93"/>
        <v>202</v>
      </c>
      <c r="Z33" s="92">
        <v>3505275</v>
      </c>
      <c r="AA33" s="92">
        <f t="shared" si="94"/>
        <v>580</v>
      </c>
      <c r="AB33" s="92"/>
      <c r="AC33" s="92"/>
      <c r="AD33" s="92">
        <v>54872407</v>
      </c>
      <c r="AE33" s="92">
        <f t="shared" si="95"/>
        <v>6481</v>
      </c>
      <c r="AF33" s="92">
        <v>9952692</v>
      </c>
      <c r="AG33" s="92">
        <f t="shared" si="96"/>
        <v>1213</v>
      </c>
      <c r="AH33" s="92">
        <v>1547241</v>
      </c>
      <c r="AI33" s="92">
        <f t="shared" si="97"/>
        <v>203</v>
      </c>
      <c r="AJ33" s="92">
        <v>1769695</v>
      </c>
      <c r="AK33" s="92">
        <f t="shared" si="98"/>
        <v>207</v>
      </c>
      <c r="AL33" s="92">
        <v>4851599</v>
      </c>
      <c r="AM33" s="92">
        <f t="shared" si="99"/>
        <v>563</v>
      </c>
      <c r="AN33" s="92">
        <v>5161623</v>
      </c>
      <c r="AO33" s="92">
        <f t="shared" si="100"/>
        <v>882</v>
      </c>
      <c r="AP33" s="92"/>
      <c r="AQ33" s="92"/>
      <c r="AR33" s="92">
        <v>1144633</v>
      </c>
      <c r="AS33" s="92">
        <f t="shared" si="101"/>
        <v>308</v>
      </c>
      <c r="AT33" s="92">
        <v>3146482</v>
      </c>
      <c r="AU33" s="92">
        <f t="shared" si="102"/>
        <v>492</v>
      </c>
      <c r="AV33" s="92"/>
      <c r="AW33" s="92"/>
      <c r="AX33" s="92">
        <v>576944</v>
      </c>
      <c r="AY33" s="92">
        <f t="shared" si="103"/>
        <v>186</v>
      </c>
      <c r="AZ33" s="92">
        <v>2363653</v>
      </c>
      <c r="BA33" s="92">
        <f t="shared" si="104"/>
        <v>85</v>
      </c>
      <c r="BB33" s="92">
        <v>4696258</v>
      </c>
      <c r="BC33" s="92">
        <f t="shared" si="105"/>
        <v>840</v>
      </c>
      <c r="BD33" s="92">
        <v>41748347</v>
      </c>
      <c r="BE33" s="92">
        <f t="shared" si="106"/>
        <v>5983</v>
      </c>
      <c r="BF33" s="92">
        <v>59072250</v>
      </c>
      <c r="BG33" s="92">
        <f t="shared" si="107"/>
        <v>8249</v>
      </c>
      <c r="BH33" s="92">
        <v>436341</v>
      </c>
      <c r="BI33" s="92">
        <f t="shared" si="108"/>
        <v>98</v>
      </c>
      <c r="BJ33" s="92">
        <v>11272075</v>
      </c>
      <c r="BK33" s="92">
        <f t="shared" si="109"/>
        <v>1556</v>
      </c>
      <c r="BL33" s="92">
        <v>1596686</v>
      </c>
      <c r="BM33" s="92">
        <f t="shared" si="110"/>
        <v>402</v>
      </c>
      <c r="BN33" s="92">
        <v>2343122</v>
      </c>
      <c r="BO33" s="92">
        <f t="shared" si="111"/>
        <v>265</v>
      </c>
      <c r="BP33" s="92">
        <v>10705848</v>
      </c>
      <c r="BQ33" s="92">
        <f t="shared" si="112"/>
        <v>1832</v>
      </c>
      <c r="BR33" s="92">
        <v>2626029</v>
      </c>
      <c r="BS33" s="92">
        <f t="shared" si="113"/>
        <v>213</v>
      </c>
      <c r="BT33" s="92">
        <v>13087718</v>
      </c>
      <c r="BU33" s="92">
        <f t="shared" si="114"/>
        <v>1562</v>
      </c>
      <c r="BV33" s="92">
        <v>10269394</v>
      </c>
      <c r="BW33" s="92">
        <f t="shared" si="115"/>
        <v>1338</v>
      </c>
      <c r="BX33" s="92">
        <v>1580782</v>
      </c>
      <c r="BY33" s="92">
        <f t="shared" si="116"/>
        <v>182</v>
      </c>
      <c r="BZ33" s="92">
        <v>19904809</v>
      </c>
      <c r="CA33" s="92">
        <f t="shared" si="117"/>
        <v>0</v>
      </c>
      <c r="CB33" s="92">
        <v>17456098</v>
      </c>
      <c r="CC33" s="92">
        <f t="shared" si="118"/>
        <v>0</v>
      </c>
      <c r="CD33" s="92">
        <v>18113317</v>
      </c>
      <c r="CE33" s="92">
        <f t="shared" si="119"/>
        <v>75</v>
      </c>
      <c r="CF33" s="92">
        <v>14110288</v>
      </c>
      <c r="CG33" s="92">
        <f t="shared" si="120"/>
        <v>929</v>
      </c>
      <c r="CH33" s="92">
        <v>4301474</v>
      </c>
      <c r="CI33" s="92">
        <f t="shared" si="121"/>
        <v>416</v>
      </c>
      <c r="CJ33" s="92">
        <v>4776745</v>
      </c>
      <c r="CK33" s="92">
        <f t="shared" si="122"/>
        <v>411</v>
      </c>
      <c r="CL33" s="92">
        <v>2718315</v>
      </c>
      <c r="CM33" s="92">
        <f t="shared" si="123"/>
        <v>104</v>
      </c>
      <c r="CN33" s="92">
        <v>69525312</v>
      </c>
      <c r="CO33" s="92">
        <f t="shared" si="124"/>
        <v>7782</v>
      </c>
      <c r="CP33" s="92">
        <v>4462762</v>
      </c>
      <c r="CQ33" s="92">
        <f t="shared" si="125"/>
        <v>103</v>
      </c>
      <c r="CR33" s="92">
        <v>5183269</v>
      </c>
      <c r="CS33" s="92">
        <f t="shared" si="126"/>
        <v>162</v>
      </c>
      <c r="CT33" s="92">
        <v>3056669</v>
      </c>
      <c r="CU33" s="92">
        <f t="shared" si="127"/>
        <v>245</v>
      </c>
      <c r="CV33" s="92">
        <v>41566749</v>
      </c>
      <c r="CW33" s="92">
        <f t="shared" si="128"/>
        <v>5292</v>
      </c>
      <c r="CX33" s="92">
        <v>6351130</v>
      </c>
      <c r="CY33" s="92">
        <f t="shared" si="129"/>
        <v>567</v>
      </c>
      <c r="CZ33" s="92">
        <v>6313158</v>
      </c>
      <c r="DA33" s="92">
        <f t="shared" si="130"/>
        <v>743</v>
      </c>
      <c r="DB33" s="92">
        <v>56683568</v>
      </c>
      <c r="DC33" s="92">
        <f t="shared" si="131"/>
        <v>4252</v>
      </c>
      <c r="DD33" s="92">
        <v>2005273</v>
      </c>
      <c r="DE33" s="92">
        <f t="shared" si="132"/>
        <v>532</v>
      </c>
      <c r="DF33" s="92">
        <v>21969919</v>
      </c>
      <c r="DG33" s="92">
        <f t="shared" si="133"/>
        <v>3561</v>
      </c>
      <c r="DH33" s="92">
        <v>32293496</v>
      </c>
      <c r="DI33" s="92">
        <f t="shared" si="134"/>
        <v>20</v>
      </c>
      <c r="DJ33" s="92"/>
      <c r="DK33" s="92"/>
      <c r="DL33" s="92">
        <v>989531</v>
      </c>
      <c r="DM33" s="92">
        <f t="shared" si="135"/>
        <v>245</v>
      </c>
      <c r="DN33" s="92">
        <v>1056512</v>
      </c>
      <c r="DO33" s="92">
        <f t="shared" si="136"/>
        <v>266</v>
      </c>
      <c r="DP33" s="92">
        <v>1187556</v>
      </c>
      <c r="DQ33" s="92">
        <f t="shared" si="137"/>
        <v>720</v>
      </c>
      <c r="DR33" s="92">
        <v>1119105</v>
      </c>
      <c r="DS33" s="92">
        <f t="shared" si="138"/>
        <v>921</v>
      </c>
      <c r="DT33" s="92">
        <v>976731</v>
      </c>
      <c r="DU33" s="92">
        <f t="shared" si="139"/>
        <v>992</v>
      </c>
      <c r="DV33" s="92">
        <v>1287452</v>
      </c>
      <c r="DW33" s="92">
        <f t="shared" si="140"/>
        <v>1357</v>
      </c>
      <c r="DX33" s="92">
        <v>816275</v>
      </c>
      <c r="DY33" s="92">
        <f t="shared" si="141"/>
        <v>631</v>
      </c>
      <c r="DZ33" s="92">
        <v>1442</v>
      </c>
      <c r="EA33" s="92">
        <f t="shared" si="142"/>
        <v>0</v>
      </c>
      <c r="EB33" s="92">
        <v>387758</v>
      </c>
      <c r="EC33" s="92">
        <f t="shared" si="143"/>
        <v>322</v>
      </c>
      <c r="ED33" s="92">
        <v>893658</v>
      </c>
      <c r="EE33" s="92">
        <f t="shared" si="144"/>
        <v>706</v>
      </c>
      <c r="EF33" s="92">
        <v>429135</v>
      </c>
      <c r="EG33" s="92">
        <f t="shared" si="145"/>
        <v>135</v>
      </c>
      <c r="EH33" s="92">
        <v>2638</v>
      </c>
      <c r="EI33" s="92">
        <f t="shared" si="146"/>
        <v>24</v>
      </c>
      <c r="EJ33" s="92">
        <v>982410</v>
      </c>
      <c r="EK33" s="92">
        <f t="shared" si="147"/>
        <v>439</v>
      </c>
      <c r="EL33" s="92">
        <v>3490203</v>
      </c>
      <c r="EM33" s="92">
        <f t="shared" si="148"/>
        <v>350</v>
      </c>
      <c r="EN33" s="92">
        <v>3862997</v>
      </c>
      <c r="EO33" s="92">
        <f t="shared" si="149"/>
        <v>359</v>
      </c>
      <c r="EP33" s="92">
        <v>4215206</v>
      </c>
      <c r="EQ33" s="92">
        <f t="shared" si="150"/>
        <v>407</v>
      </c>
      <c r="ER33" s="92">
        <v>5326973</v>
      </c>
      <c r="ES33" s="92">
        <f t="shared" si="151"/>
        <v>617</v>
      </c>
      <c r="ET33" s="92">
        <v>4365610</v>
      </c>
      <c r="EU33" s="92">
        <f t="shared" si="152"/>
        <v>382</v>
      </c>
      <c r="EV33" s="92">
        <v>4501989</v>
      </c>
      <c r="EW33" s="92">
        <f t="shared" si="153"/>
        <v>408</v>
      </c>
      <c r="EX33" s="92">
        <v>8812784</v>
      </c>
      <c r="EY33" s="92">
        <f t="shared" si="154"/>
        <v>849</v>
      </c>
      <c r="EZ33" s="92">
        <v>8718963</v>
      </c>
      <c r="FA33" s="92">
        <f t="shared" si="155"/>
        <v>1370</v>
      </c>
      <c r="FB33" s="92">
        <v>8672449</v>
      </c>
      <c r="FC33" s="92">
        <f t="shared" si="156"/>
        <v>709</v>
      </c>
      <c r="FD33" s="92">
        <v>8177919</v>
      </c>
      <c r="FE33" s="92">
        <f t="shared" si="157"/>
        <v>739</v>
      </c>
      <c r="FF33" s="92">
        <v>5155400</v>
      </c>
      <c r="FG33" s="92">
        <f t="shared" si="158"/>
        <v>619</v>
      </c>
      <c r="FH33" s="92">
        <v>3353801</v>
      </c>
      <c r="FI33" s="92">
        <f t="shared" si="159"/>
        <v>496</v>
      </c>
      <c r="FJ33" s="92">
        <v>1573045</v>
      </c>
      <c r="FK33" s="92">
        <f t="shared" si="160"/>
        <v>226</v>
      </c>
      <c r="FL33" s="92"/>
      <c r="FM33" s="92"/>
    </row>
    <row r="34" spans="1:169" ht="30" customHeight="1">
      <c r="A34" s="91">
        <v>44185</v>
      </c>
      <c r="B34" s="92">
        <v>20762119</v>
      </c>
      <c r="C34" s="88">
        <f t="shared" si="83"/>
        <v>1930</v>
      </c>
      <c r="D34" s="92">
        <v>2314646</v>
      </c>
      <c r="E34" s="88">
        <f t="shared" si="84"/>
        <v>184</v>
      </c>
      <c r="F34" s="92">
        <v>27648045</v>
      </c>
      <c r="G34" s="88">
        <f t="shared" si="85"/>
        <v>3218</v>
      </c>
      <c r="H34" s="92">
        <v>5752617</v>
      </c>
      <c r="I34" s="88">
        <f t="shared" si="86"/>
        <v>562</v>
      </c>
      <c r="J34" s="92"/>
      <c r="K34" s="92"/>
      <c r="L34" s="92">
        <v>21683544</v>
      </c>
      <c r="M34" s="92">
        <f t="shared" si="87"/>
        <v>1832</v>
      </c>
      <c r="N34" s="92">
        <v>72882162</v>
      </c>
      <c r="O34" s="92">
        <f t="shared" si="88"/>
        <v>10557</v>
      </c>
      <c r="P34" s="92">
        <v>24312</v>
      </c>
      <c r="Q34" s="92">
        <f t="shared" si="89"/>
        <v>14</v>
      </c>
      <c r="R34" s="92">
        <v>4855</v>
      </c>
      <c r="S34" s="92">
        <f t="shared" si="90"/>
        <v>0</v>
      </c>
      <c r="T34" s="92">
        <v>31615292</v>
      </c>
      <c r="U34" s="92">
        <f t="shared" si="91"/>
        <v>6971</v>
      </c>
      <c r="V34" s="92">
        <v>1626020</v>
      </c>
      <c r="W34" s="92">
        <f t="shared" si="92"/>
        <v>284</v>
      </c>
      <c r="X34" s="92">
        <v>1873710</v>
      </c>
      <c r="Y34" s="92">
        <f t="shared" si="93"/>
        <v>200</v>
      </c>
      <c r="Z34" s="92">
        <v>3505858</v>
      </c>
      <c r="AA34" s="88">
        <f t="shared" si="94"/>
        <v>583</v>
      </c>
      <c r="AB34" s="92"/>
      <c r="AC34" s="92"/>
      <c r="AD34" s="92">
        <v>54878991</v>
      </c>
      <c r="AE34" s="92">
        <f t="shared" si="95"/>
        <v>6584</v>
      </c>
      <c r="AF34" s="92">
        <v>9954007</v>
      </c>
      <c r="AG34" s="92">
        <f t="shared" si="96"/>
        <v>1315</v>
      </c>
      <c r="AH34" s="92">
        <v>1547442</v>
      </c>
      <c r="AI34" s="92">
        <f t="shared" si="97"/>
        <v>201</v>
      </c>
      <c r="AJ34" s="92">
        <v>1769920</v>
      </c>
      <c r="AK34" s="92">
        <f t="shared" si="98"/>
        <v>225</v>
      </c>
      <c r="AL34" s="92">
        <v>4852164</v>
      </c>
      <c r="AM34" s="92">
        <f t="shared" si="99"/>
        <v>565</v>
      </c>
      <c r="AN34" s="92">
        <v>5162444</v>
      </c>
      <c r="AO34" s="92">
        <f t="shared" si="100"/>
        <v>821</v>
      </c>
      <c r="AP34" s="92"/>
      <c r="AQ34" s="92"/>
      <c r="AR34" s="92">
        <v>1144940</v>
      </c>
      <c r="AS34" s="92">
        <f t="shared" si="101"/>
        <v>307</v>
      </c>
      <c r="AT34" s="92">
        <v>3147013</v>
      </c>
      <c r="AU34" s="92">
        <f t="shared" si="102"/>
        <v>531</v>
      </c>
      <c r="AV34" s="92"/>
      <c r="AW34" s="92"/>
      <c r="AX34" s="92">
        <v>577130</v>
      </c>
      <c r="AY34" s="92">
        <f t="shared" si="103"/>
        <v>186</v>
      </c>
      <c r="AZ34" s="92">
        <v>2363877</v>
      </c>
      <c r="BA34" s="92">
        <f t="shared" si="104"/>
        <v>224</v>
      </c>
      <c r="BB34" s="92">
        <v>4696967</v>
      </c>
      <c r="BC34" s="92">
        <f t="shared" si="105"/>
        <v>709</v>
      </c>
      <c r="BD34" s="92">
        <v>41754314</v>
      </c>
      <c r="BE34" s="92">
        <f t="shared" si="106"/>
        <v>5967</v>
      </c>
      <c r="BF34" s="92">
        <v>59080569</v>
      </c>
      <c r="BG34" s="92">
        <f t="shared" si="107"/>
        <v>8319</v>
      </c>
      <c r="BH34" s="92">
        <v>436441</v>
      </c>
      <c r="BI34" s="92">
        <f t="shared" si="108"/>
        <v>100</v>
      </c>
      <c r="BJ34" s="92">
        <v>11273656</v>
      </c>
      <c r="BK34" s="92">
        <f t="shared" si="109"/>
        <v>1581</v>
      </c>
      <c r="BL34" s="92">
        <v>1597086</v>
      </c>
      <c r="BM34" s="92">
        <f t="shared" si="110"/>
        <v>400</v>
      </c>
      <c r="BN34" s="92">
        <v>2343458</v>
      </c>
      <c r="BO34" s="92">
        <f t="shared" si="111"/>
        <v>336</v>
      </c>
      <c r="BP34" s="92">
        <v>10707661</v>
      </c>
      <c r="BQ34" s="92">
        <f t="shared" si="112"/>
        <v>1813</v>
      </c>
      <c r="BR34" s="92">
        <v>2626248</v>
      </c>
      <c r="BS34" s="92">
        <f t="shared" si="113"/>
        <v>219</v>
      </c>
      <c r="BT34" s="92">
        <v>13089188</v>
      </c>
      <c r="BU34" s="92">
        <f t="shared" si="114"/>
        <v>1470</v>
      </c>
      <c r="BV34" s="92">
        <v>10270731</v>
      </c>
      <c r="BW34" s="92">
        <f t="shared" si="115"/>
        <v>1337</v>
      </c>
      <c r="BX34" s="92">
        <v>1580963</v>
      </c>
      <c r="BY34" s="92">
        <f t="shared" si="116"/>
        <v>181</v>
      </c>
      <c r="BZ34" s="92">
        <v>19904809</v>
      </c>
      <c r="CA34" s="92">
        <f t="shared" si="117"/>
        <v>0</v>
      </c>
      <c r="CB34" s="92">
        <v>17456098</v>
      </c>
      <c r="CC34" s="92">
        <f t="shared" si="118"/>
        <v>0</v>
      </c>
      <c r="CD34" s="92">
        <v>18113392</v>
      </c>
      <c r="CE34" s="92">
        <f t="shared" si="119"/>
        <v>75</v>
      </c>
      <c r="CF34" s="92">
        <v>14111244</v>
      </c>
      <c r="CG34" s="92">
        <f t="shared" si="120"/>
        <v>956</v>
      </c>
      <c r="CH34" s="92">
        <v>4301895</v>
      </c>
      <c r="CI34" s="92">
        <f t="shared" si="121"/>
        <v>421</v>
      </c>
      <c r="CJ34" s="92">
        <v>4777173</v>
      </c>
      <c r="CK34" s="92">
        <f t="shared" si="122"/>
        <v>428</v>
      </c>
      <c r="CL34" s="92">
        <v>2718422</v>
      </c>
      <c r="CM34" s="92">
        <f t="shared" si="123"/>
        <v>107</v>
      </c>
      <c r="CN34" s="92">
        <v>69532444</v>
      </c>
      <c r="CO34" s="92">
        <f t="shared" si="124"/>
        <v>7132</v>
      </c>
      <c r="CP34" s="92">
        <v>4462866</v>
      </c>
      <c r="CQ34" s="92">
        <f t="shared" si="125"/>
        <v>104</v>
      </c>
      <c r="CR34" s="92">
        <v>5183442</v>
      </c>
      <c r="CS34" s="92">
        <f t="shared" si="126"/>
        <v>173</v>
      </c>
      <c r="CT34" s="92">
        <v>3056907</v>
      </c>
      <c r="CU34" s="92">
        <f t="shared" si="127"/>
        <v>238</v>
      </c>
      <c r="CV34" s="92">
        <v>41571348</v>
      </c>
      <c r="CW34" s="92">
        <f t="shared" si="128"/>
        <v>4599</v>
      </c>
      <c r="CX34" s="92">
        <v>6351693</v>
      </c>
      <c r="CY34" s="92">
        <f t="shared" si="129"/>
        <v>563</v>
      </c>
      <c r="CZ34" s="92">
        <v>6313901</v>
      </c>
      <c r="DA34" s="92">
        <f t="shared" si="130"/>
        <v>743</v>
      </c>
      <c r="DB34" s="92">
        <v>56687417</v>
      </c>
      <c r="DC34" s="92">
        <f t="shared" si="131"/>
        <v>3849</v>
      </c>
      <c r="DD34" s="92">
        <v>2005758</v>
      </c>
      <c r="DE34" s="92">
        <f t="shared" si="132"/>
        <v>485</v>
      </c>
      <c r="DF34" s="92">
        <v>21973111</v>
      </c>
      <c r="DG34" s="92">
        <f t="shared" si="133"/>
        <v>3192</v>
      </c>
      <c r="DH34" s="92">
        <v>32293516</v>
      </c>
      <c r="DI34" s="92">
        <f t="shared" si="134"/>
        <v>20</v>
      </c>
      <c r="DJ34" s="92"/>
      <c r="DK34" s="92"/>
      <c r="DL34" s="92">
        <v>989830</v>
      </c>
      <c r="DM34" s="92">
        <f t="shared" si="135"/>
        <v>299</v>
      </c>
      <c r="DN34" s="92">
        <v>1056844</v>
      </c>
      <c r="DO34" s="92">
        <f t="shared" si="136"/>
        <v>332</v>
      </c>
      <c r="DP34" s="92">
        <v>1188323</v>
      </c>
      <c r="DQ34" s="92">
        <f t="shared" si="137"/>
        <v>767</v>
      </c>
      <c r="DR34" s="92">
        <v>1120036</v>
      </c>
      <c r="DS34" s="92">
        <f t="shared" si="138"/>
        <v>931</v>
      </c>
      <c r="DT34" s="92">
        <v>977664</v>
      </c>
      <c r="DU34" s="92">
        <f t="shared" si="139"/>
        <v>933</v>
      </c>
      <c r="DV34" s="92">
        <v>1288805</v>
      </c>
      <c r="DW34" s="92">
        <f t="shared" si="140"/>
        <v>1353</v>
      </c>
      <c r="DX34" s="92">
        <v>816873</v>
      </c>
      <c r="DY34" s="92">
        <f t="shared" si="141"/>
        <v>598</v>
      </c>
      <c r="DZ34" s="92">
        <v>1442</v>
      </c>
      <c r="EA34" s="92">
        <f t="shared" si="142"/>
        <v>0</v>
      </c>
      <c r="EB34" s="92">
        <v>388078</v>
      </c>
      <c r="EC34" s="92">
        <f t="shared" si="143"/>
        <v>320</v>
      </c>
      <c r="ED34" s="92">
        <v>894358</v>
      </c>
      <c r="EE34" s="92">
        <f t="shared" si="144"/>
        <v>700</v>
      </c>
      <c r="EF34" s="92">
        <v>429340</v>
      </c>
      <c r="EG34" s="92">
        <f t="shared" si="145"/>
        <v>205</v>
      </c>
      <c r="EH34" s="92">
        <v>2663</v>
      </c>
      <c r="EI34" s="92">
        <f t="shared" si="146"/>
        <v>25</v>
      </c>
      <c r="EJ34" s="92">
        <v>982851</v>
      </c>
      <c r="EK34" s="92">
        <f t="shared" si="147"/>
        <v>441</v>
      </c>
      <c r="EL34" s="92">
        <v>3490532</v>
      </c>
      <c r="EM34" s="92">
        <f t="shared" si="148"/>
        <v>329</v>
      </c>
      <c r="EN34" s="92">
        <v>3863366</v>
      </c>
      <c r="EO34" s="92">
        <f t="shared" si="149"/>
        <v>369</v>
      </c>
      <c r="EP34" s="92">
        <v>4215582</v>
      </c>
      <c r="EQ34" s="92">
        <f t="shared" si="150"/>
        <v>376</v>
      </c>
      <c r="ER34" s="92">
        <v>5327585</v>
      </c>
      <c r="ES34" s="92">
        <f t="shared" si="151"/>
        <v>612</v>
      </c>
      <c r="ET34" s="92">
        <v>4366003</v>
      </c>
      <c r="EU34" s="92">
        <f t="shared" si="152"/>
        <v>393</v>
      </c>
      <c r="EV34" s="92">
        <v>4502404</v>
      </c>
      <c r="EW34" s="92">
        <f t="shared" si="153"/>
        <v>415</v>
      </c>
      <c r="EX34" s="92">
        <v>8813621</v>
      </c>
      <c r="EY34" s="92">
        <f t="shared" si="154"/>
        <v>837</v>
      </c>
      <c r="EZ34" s="92">
        <v>8720157</v>
      </c>
      <c r="FA34" s="92">
        <f t="shared" si="155"/>
        <v>1194</v>
      </c>
      <c r="FB34" s="92">
        <v>8673151</v>
      </c>
      <c r="FC34" s="92">
        <f t="shared" si="156"/>
        <v>702</v>
      </c>
      <c r="FD34" s="92">
        <v>8178651</v>
      </c>
      <c r="FE34" s="92">
        <f t="shared" si="157"/>
        <v>732</v>
      </c>
      <c r="FF34" s="92">
        <v>5155978</v>
      </c>
      <c r="FG34" s="92">
        <f t="shared" si="158"/>
        <v>578</v>
      </c>
      <c r="FH34" s="92">
        <v>3354287</v>
      </c>
      <c r="FI34" s="92">
        <f t="shared" si="159"/>
        <v>486</v>
      </c>
      <c r="FJ34" s="92">
        <v>1573281</v>
      </c>
      <c r="FK34" s="92">
        <f t="shared" si="160"/>
        <v>236</v>
      </c>
      <c r="FL34" s="92"/>
      <c r="FM34" s="92"/>
    </row>
    <row r="35" spans="1:169" ht="30" customHeight="1">
      <c r="A35" s="91">
        <v>44186</v>
      </c>
      <c r="B35" s="92">
        <v>20763971</v>
      </c>
      <c r="C35" s="92">
        <f t="shared" si="83"/>
        <v>1852</v>
      </c>
      <c r="D35" s="92">
        <v>2314802</v>
      </c>
      <c r="E35" s="92">
        <f t="shared" si="84"/>
        <v>156</v>
      </c>
      <c r="F35" s="92">
        <v>27651225</v>
      </c>
      <c r="G35" s="92">
        <f t="shared" si="85"/>
        <v>3180</v>
      </c>
      <c r="H35" s="92">
        <v>5753096</v>
      </c>
      <c r="I35" s="92">
        <f t="shared" si="86"/>
        <v>479</v>
      </c>
      <c r="J35" s="92"/>
      <c r="K35" s="92"/>
      <c r="L35" s="92">
        <v>21685289</v>
      </c>
      <c r="M35" s="92">
        <f t="shared" si="87"/>
        <v>1745</v>
      </c>
      <c r="N35" s="92">
        <v>72892700</v>
      </c>
      <c r="O35" s="92">
        <f t="shared" si="88"/>
        <v>10538</v>
      </c>
      <c r="P35" s="92">
        <v>24325</v>
      </c>
      <c r="Q35" s="92">
        <f t="shared" si="89"/>
        <v>13</v>
      </c>
      <c r="R35" s="92">
        <v>4855</v>
      </c>
      <c r="S35" s="92">
        <f t="shared" si="90"/>
        <v>0</v>
      </c>
      <c r="T35" s="92">
        <v>31622104</v>
      </c>
      <c r="U35" s="92">
        <f t="shared" si="91"/>
        <v>6812</v>
      </c>
      <c r="V35" s="92">
        <v>1626303</v>
      </c>
      <c r="W35" s="92">
        <f t="shared" si="92"/>
        <v>283</v>
      </c>
      <c r="X35" s="92">
        <v>1873910</v>
      </c>
      <c r="Y35" s="92">
        <f t="shared" si="93"/>
        <v>200</v>
      </c>
      <c r="Z35" s="92">
        <v>3506441</v>
      </c>
      <c r="AA35" s="92">
        <f t="shared" si="94"/>
        <v>583</v>
      </c>
      <c r="AB35" s="92"/>
      <c r="AC35" s="92"/>
      <c r="AD35" s="92">
        <v>54885273</v>
      </c>
      <c r="AE35" s="92">
        <f t="shared" si="95"/>
        <v>6282</v>
      </c>
      <c r="AF35" s="92">
        <v>9955379</v>
      </c>
      <c r="AG35" s="92">
        <f t="shared" si="96"/>
        <v>1372</v>
      </c>
      <c r="AH35" s="92">
        <v>1547650</v>
      </c>
      <c r="AI35" s="92">
        <f t="shared" si="97"/>
        <v>208</v>
      </c>
      <c r="AJ35" s="92">
        <v>1770144</v>
      </c>
      <c r="AK35" s="92">
        <f t="shared" si="98"/>
        <v>224</v>
      </c>
      <c r="AL35" s="92">
        <v>4852688</v>
      </c>
      <c r="AM35" s="92">
        <f t="shared" si="99"/>
        <v>524</v>
      </c>
      <c r="AN35" s="92">
        <v>5163269</v>
      </c>
      <c r="AO35" s="92">
        <f t="shared" si="100"/>
        <v>825</v>
      </c>
      <c r="AP35" s="92"/>
      <c r="AQ35" s="92"/>
      <c r="AR35" s="92">
        <v>1145247</v>
      </c>
      <c r="AS35" s="92">
        <f t="shared" si="101"/>
        <v>307</v>
      </c>
      <c r="AT35" s="92">
        <v>3147506</v>
      </c>
      <c r="AU35" s="92">
        <f t="shared" si="102"/>
        <v>493</v>
      </c>
      <c r="AV35" s="92"/>
      <c r="AW35" s="92"/>
      <c r="AX35" s="92">
        <v>577317</v>
      </c>
      <c r="AY35" s="92">
        <f t="shared" si="103"/>
        <v>187</v>
      </c>
      <c r="AZ35" s="92">
        <v>2364096</v>
      </c>
      <c r="BA35" s="92">
        <f t="shared" si="104"/>
        <v>219</v>
      </c>
      <c r="BB35" s="92">
        <v>4697638</v>
      </c>
      <c r="BC35" s="92">
        <f t="shared" si="105"/>
        <v>671</v>
      </c>
      <c r="BD35" s="92">
        <v>41760139</v>
      </c>
      <c r="BE35" s="92">
        <f t="shared" si="106"/>
        <v>5825</v>
      </c>
      <c r="BF35" s="92">
        <v>59088712</v>
      </c>
      <c r="BG35" s="92">
        <f t="shared" si="107"/>
        <v>8143</v>
      </c>
      <c r="BH35" s="92">
        <v>436540</v>
      </c>
      <c r="BI35" s="92">
        <f t="shared" si="108"/>
        <v>99</v>
      </c>
      <c r="BJ35" s="92">
        <v>11275221</v>
      </c>
      <c r="BK35" s="92">
        <f t="shared" si="109"/>
        <v>1565</v>
      </c>
      <c r="BL35" s="92">
        <v>1597485</v>
      </c>
      <c r="BM35" s="92">
        <f t="shared" si="110"/>
        <v>399</v>
      </c>
      <c r="BN35" s="92">
        <v>2343797</v>
      </c>
      <c r="BO35" s="92">
        <f t="shared" si="111"/>
        <v>339</v>
      </c>
      <c r="BP35" s="92">
        <v>10709450</v>
      </c>
      <c r="BQ35" s="92">
        <f t="shared" si="112"/>
        <v>1789</v>
      </c>
      <c r="BR35" s="92">
        <v>2626460</v>
      </c>
      <c r="BS35" s="92">
        <f t="shared" si="113"/>
        <v>212</v>
      </c>
      <c r="BT35" s="92">
        <v>13090623</v>
      </c>
      <c r="BU35" s="92">
        <f t="shared" si="114"/>
        <v>1435</v>
      </c>
      <c r="BV35" s="92">
        <v>10271998</v>
      </c>
      <c r="BW35" s="92">
        <f t="shared" si="115"/>
        <v>1267</v>
      </c>
      <c r="BX35" s="92">
        <v>1581144</v>
      </c>
      <c r="BY35" s="92">
        <f t="shared" si="116"/>
        <v>181</v>
      </c>
      <c r="BZ35" s="92">
        <v>19904809</v>
      </c>
      <c r="CA35" s="92">
        <f t="shared" si="117"/>
        <v>0</v>
      </c>
      <c r="CB35" s="92">
        <v>17456098</v>
      </c>
      <c r="CC35" s="92">
        <f t="shared" si="118"/>
        <v>0</v>
      </c>
      <c r="CD35" s="92">
        <v>18113467</v>
      </c>
      <c r="CE35" s="92">
        <f t="shared" si="119"/>
        <v>75</v>
      </c>
      <c r="CF35" s="92">
        <v>14112216</v>
      </c>
      <c r="CG35" s="92">
        <f t="shared" si="120"/>
        <v>972</v>
      </c>
      <c r="CH35" s="92">
        <v>4302316</v>
      </c>
      <c r="CI35" s="92">
        <f t="shared" si="121"/>
        <v>421</v>
      </c>
      <c r="CJ35" s="92">
        <v>4777612</v>
      </c>
      <c r="CK35" s="92">
        <f t="shared" si="122"/>
        <v>439</v>
      </c>
      <c r="CL35" s="92">
        <v>2718535</v>
      </c>
      <c r="CM35" s="92">
        <f t="shared" si="123"/>
        <v>113</v>
      </c>
      <c r="CN35" s="92">
        <v>69539881</v>
      </c>
      <c r="CO35" s="92">
        <f t="shared" si="124"/>
        <v>7437</v>
      </c>
      <c r="CP35" s="92">
        <v>4462968</v>
      </c>
      <c r="CQ35" s="92">
        <f t="shared" si="125"/>
        <v>102</v>
      </c>
      <c r="CR35" s="92">
        <v>5183615</v>
      </c>
      <c r="CS35" s="92">
        <f t="shared" si="126"/>
        <v>173</v>
      </c>
      <c r="CT35" s="92">
        <v>3057148</v>
      </c>
      <c r="CU35" s="92">
        <f t="shared" si="127"/>
        <v>241</v>
      </c>
      <c r="CV35" s="92">
        <v>41576250</v>
      </c>
      <c r="CW35" s="92">
        <f t="shared" si="128"/>
        <v>4902</v>
      </c>
      <c r="CX35" s="92">
        <v>6352254</v>
      </c>
      <c r="CY35" s="92">
        <f t="shared" si="129"/>
        <v>561</v>
      </c>
      <c r="CZ35" s="92">
        <v>6314644</v>
      </c>
      <c r="DA35" s="92">
        <f t="shared" si="130"/>
        <v>743</v>
      </c>
      <c r="DB35" s="92">
        <v>56691182</v>
      </c>
      <c r="DC35" s="92">
        <f t="shared" si="131"/>
        <v>3765</v>
      </c>
      <c r="DD35" s="92">
        <v>2006249</v>
      </c>
      <c r="DE35" s="92">
        <f t="shared" si="132"/>
        <v>491</v>
      </c>
      <c r="DF35" s="92">
        <v>21976221</v>
      </c>
      <c r="DG35" s="92">
        <f t="shared" si="133"/>
        <v>3110</v>
      </c>
      <c r="DH35" s="92">
        <v>32293536</v>
      </c>
      <c r="DI35" s="92">
        <f t="shared" si="134"/>
        <v>20</v>
      </c>
      <c r="DJ35" s="92"/>
      <c r="DK35" s="92"/>
      <c r="DL35" s="92">
        <v>990105</v>
      </c>
      <c r="DM35" s="92">
        <f t="shared" si="135"/>
        <v>275</v>
      </c>
      <c r="DN35" s="92">
        <v>1057188</v>
      </c>
      <c r="DO35" s="92">
        <f t="shared" si="136"/>
        <v>344</v>
      </c>
      <c r="DP35" s="92">
        <v>1189132</v>
      </c>
      <c r="DQ35" s="92">
        <f t="shared" si="137"/>
        <v>809</v>
      </c>
      <c r="DR35" s="92">
        <v>1120902</v>
      </c>
      <c r="DS35" s="92">
        <f t="shared" si="138"/>
        <v>866</v>
      </c>
      <c r="DT35" s="92">
        <v>978457</v>
      </c>
      <c r="DU35" s="92">
        <f t="shared" si="139"/>
        <v>793</v>
      </c>
      <c r="DV35" s="92">
        <v>1290141</v>
      </c>
      <c r="DW35" s="92">
        <f t="shared" si="140"/>
        <v>1336</v>
      </c>
      <c r="DX35" s="92">
        <v>817464</v>
      </c>
      <c r="DY35" s="92">
        <f t="shared" si="141"/>
        <v>591</v>
      </c>
      <c r="DZ35" s="92">
        <v>1442</v>
      </c>
      <c r="EA35" s="92">
        <f t="shared" si="142"/>
        <v>0</v>
      </c>
      <c r="EB35" s="92">
        <v>388414</v>
      </c>
      <c r="EC35" s="92">
        <f t="shared" si="143"/>
        <v>336</v>
      </c>
      <c r="ED35" s="92">
        <v>895048</v>
      </c>
      <c r="EE35" s="92">
        <f t="shared" si="144"/>
        <v>690</v>
      </c>
      <c r="EF35" s="92">
        <v>429590</v>
      </c>
      <c r="EG35" s="92">
        <f t="shared" si="145"/>
        <v>250</v>
      </c>
      <c r="EH35" s="92">
        <v>2689</v>
      </c>
      <c r="EI35" s="92">
        <f t="shared" si="146"/>
        <v>26</v>
      </c>
      <c r="EJ35" s="92">
        <v>983292</v>
      </c>
      <c r="EK35" s="92">
        <f t="shared" si="147"/>
        <v>441</v>
      </c>
      <c r="EL35" s="92">
        <v>3490859</v>
      </c>
      <c r="EM35" s="92">
        <f t="shared" si="148"/>
        <v>327</v>
      </c>
      <c r="EN35" s="92">
        <v>3863735</v>
      </c>
      <c r="EO35" s="92">
        <f t="shared" si="149"/>
        <v>369</v>
      </c>
      <c r="EP35" s="92">
        <v>4215959</v>
      </c>
      <c r="EQ35" s="92">
        <f t="shared" si="150"/>
        <v>377</v>
      </c>
      <c r="ER35" s="92">
        <v>5328175</v>
      </c>
      <c r="ES35" s="92">
        <f t="shared" si="151"/>
        <v>590</v>
      </c>
      <c r="ET35" s="92">
        <v>4366379</v>
      </c>
      <c r="EU35" s="92">
        <f t="shared" si="152"/>
        <v>376</v>
      </c>
      <c r="EV35" s="92">
        <v>4502810</v>
      </c>
      <c r="EW35" s="92">
        <f t="shared" si="153"/>
        <v>406</v>
      </c>
      <c r="EX35" s="92">
        <v>8814456</v>
      </c>
      <c r="EY35" s="92">
        <f t="shared" si="154"/>
        <v>835</v>
      </c>
      <c r="EZ35" s="92">
        <v>8721341</v>
      </c>
      <c r="FA35" s="92">
        <f t="shared" si="155"/>
        <v>1184</v>
      </c>
      <c r="FB35" s="92">
        <v>8673843</v>
      </c>
      <c r="FC35" s="92">
        <f t="shared" si="156"/>
        <v>692</v>
      </c>
      <c r="FD35" s="92">
        <v>8179381</v>
      </c>
      <c r="FE35" s="92">
        <f t="shared" si="157"/>
        <v>730</v>
      </c>
      <c r="FF35" s="92">
        <v>5156506</v>
      </c>
      <c r="FG35" s="92">
        <f t="shared" si="158"/>
        <v>528</v>
      </c>
      <c r="FH35" s="92">
        <v>3354777</v>
      </c>
      <c r="FI35" s="92">
        <f t="shared" si="159"/>
        <v>490</v>
      </c>
      <c r="FJ35" s="92">
        <v>1573495</v>
      </c>
      <c r="FK35" s="92">
        <f t="shared" si="160"/>
        <v>214</v>
      </c>
      <c r="FL35" s="92"/>
      <c r="FM35" s="92"/>
    </row>
    <row r="36" spans="1:169" ht="30" customHeight="1">
      <c r="A36" s="91">
        <v>44187</v>
      </c>
      <c r="B36" s="92">
        <v>20765850</v>
      </c>
      <c r="C36" s="88">
        <f t="shared" si="83"/>
        <v>1879</v>
      </c>
      <c r="D36" s="92">
        <v>2315021</v>
      </c>
      <c r="E36" s="88">
        <f t="shared" si="84"/>
        <v>219</v>
      </c>
      <c r="F36" s="92">
        <v>27654534</v>
      </c>
      <c r="G36" s="88">
        <f t="shared" si="85"/>
        <v>3309</v>
      </c>
      <c r="H36" s="92">
        <v>5753582</v>
      </c>
      <c r="I36" s="88">
        <f t="shared" si="86"/>
        <v>486</v>
      </c>
      <c r="J36" s="92"/>
      <c r="K36" s="92"/>
      <c r="L36" s="92">
        <v>21687052</v>
      </c>
      <c r="M36" s="92">
        <f t="shared" si="87"/>
        <v>1763</v>
      </c>
      <c r="N36" s="92">
        <v>72903303</v>
      </c>
      <c r="O36" s="92">
        <f t="shared" si="88"/>
        <v>10603</v>
      </c>
      <c r="P36" s="92">
        <v>24337</v>
      </c>
      <c r="Q36" s="92">
        <f t="shared" si="89"/>
        <v>12</v>
      </c>
      <c r="R36" s="92">
        <v>4855</v>
      </c>
      <c r="S36" s="92">
        <f t="shared" si="90"/>
        <v>0</v>
      </c>
      <c r="T36" s="92">
        <v>31629049</v>
      </c>
      <c r="U36" s="92">
        <f t="shared" si="91"/>
        <v>6945</v>
      </c>
      <c r="V36" s="92">
        <v>1626581</v>
      </c>
      <c r="W36" s="92">
        <f t="shared" si="92"/>
        <v>278</v>
      </c>
      <c r="X36" s="92">
        <v>1874109</v>
      </c>
      <c r="Y36" s="92">
        <f t="shared" si="93"/>
        <v>199</v>
      </c>
      <c r="Z36" s="92">
        <v>3507021</v>
      </c>
      <c r="AA36" s="88">
        <f t="shared" si="94"/>
        <v>580</v>
      </c>
      <c r="AB36" s="92"/>
      <c r="AC36" s="92"/>
      <c r="AD36" s="92">
        <v>54891600</v>
      </c>
      <c r="AE36" s="92">
        <f t="shared" si="95"/>
        <v>6327</v>
      </c>
      <c r="AF36" s="92">
        <v>9956586</v>
      </c>
      <c r="AG36" s="92">
        <f t="shared" si="96"/>
        <v>1207</v>
      </c>
      <c r="AH36" s="92">
        <v>1547855</v>
      </c>
      <c r="AI36" s="92">
        <f t="shared" si="97"/>
        <v>205</v>
      </c>
      <c r="AJ36" s="92">
        <v>1770372</v>
      </c>
      <c r="AK36" s="92">
        <f t="shared" si="98"/>
        <v>228</v>
      </c>
      <c r="AL36" s="92">
        <v>4853219</v>
      </c>
      <c r="AM36" s="92">
        <f t="shared" si="99"/>
        <v>531</v>
      </c>
      <c r="AN36" s="92">
        <v>5164122</v>
      </c>
      <c r="AO36" s="92">
        <f t="shared" si="100"/>
        <v>853</v>
      </c>
      <c r="AP36" s="92"/>
      <c r="AQ36" s="92"/>
      <c r="AR36" s="92">
        <v>1145553</v>
      </c>
      <c r="AS36" s="92">
        <f t="shared" si="101"/>
        <v>306</v>
      </c>
      <c r="AT36" s="92">
        <v>3148005</v>
      </c>
      <c r="AU36" s="92">
        <f t="shared" si="102"/>
        <v>499</v>
      </c>
      <c r="AV36" s="92"/>
      <c r="AW36" s="92"/>
      <c r="AX36" s="92">
        <v>577425</v>
      </c>
      <c r="AY36" s="92">
        <f t="shared" si="103"/>
        <v>108</v>
      </c>
      <c r="AZ36" s="92">
        <v>2364213</v>
      </c>
      <c r="BA36" s="92">
        <f t="shared" si="104"/>
        <v>117</v>
      </c>
      <c r="BB36" s="92">
        <v>4698230</v>
      </c>
      <c r="BC36" s="92">
        <f t="shared" si="105"/>
        <v>592</v>
      </c>
      <c r="BD36" s="92">
        <v>41765781</v>
      </c>
      <c r="BE36" s="92">
        <f t="shared" si="106"/>
        <v>5642</v>
      </c>
      <c r="BF36" s="92">
        <v>59096802</v>
      </c>
      <c r="BG36" s="92">
        <f t="shared" si="107"/>
        <v>8090</v>
      </c>
      <c r="BH36" s="92">
        <v>436638</v>
      </c>
      <c r="BI36" s="92">
        <f t="shared" si="108"/>
        <v>98</v>
      </c>
      <c r="BJ36" s="92">
        <v>11276674</v>
      </c>
      <c r="BK36" s="92">
        <f t="shared" si="109"/>
        <v>1453</v>
      </c>
      <c r="BL36" s="92">
        <v>1597882</v>
      </c>
      <c r="BM36" s="92">
        <f t="shared" si="110"/>
        <v>397</v>
      </c>
      <c r="BN36" s="92">
        <v>2344122</v>
      </c>
      <c r="BO36" s="92">
        <f t="shared" si="111"/>
        <v>325</v>
      </c>
      <c r="BP36" s="92">
        <v>10711246</v>
      </c>
      <c r="BQ36" s="92">
        <f t="shared" si="112"/>
        <v>1796</v>
      </c>
      <c r="BR36" s="92">
        <v>2626669</v>
      </c>
      <c r="BS36" s="92">
        <f t="shared" si="113"/>
        <v>209</v>
      </c>
      <c r="BT36" s="92">
        <v>13092063</v>
      </c>
      <c r="BU36" s="92">
        <f t="shared" si="114"/>
        <v>1440</v>
      </c>
      <c r="BV36" s="92">
        <v>10273349</v>
      </c>
      <c r="BW36" s="92">
        <f t="shared" si="115"/>
        <v>1351</v>
      </c>
      <c r="BX36" s="92">
        <v>1581321</v>
      </c>
      <c r="BY36" s="92">
        <f t="shared" si="116"/>
        <v>177</v>
      </c>
      <c r="BZ36" s="92">
        <v>19904809</v>
      </c>
      <c r="CA36" s="92">
        <f t="shared" si="117"/>
        <v>0</v>
      </c>
      <c r="CB36" s="92">
        <v>17456098</v>
      </c>
      <c r="CC36" s="92">
        <f t="shared" si="118"/>
        <v>0</v>
      </c>
      <c r="CD36" s="92">
        <v>18113542</v>
      </c>
      <c r="CE36" s="92">
        <f t="shared" si="119"/>
        <v>75</v>
      </c>
      <c r="CF36" s="92">
        <v>14113197</v>
      </c>
      <c r="CG36" s="92">
        <f t="shared" si="120"/>
        <v>981</v>
      </c>
      <c r="CH36" s="92">
        <v>4302739</v>
      </c>
      <c r="CI36" s="92">
        <f t="shared" si="121"/>
        <v>423</v>
      </c>
      <c r="CJ36" s="92">
        <v>4778062</v>
      </c>
      <c r="CK36" s="92">
        <f t="shared" si="122"/>
        <v>450</v>
      </c>
      <c r="CL36" s="92">
        <v>2718644</v>
      </c>
      <c r="CM36" s="92">
        <f t="shared" si="123"/>
        <v>109</v>
      </c>
      <c r="CN36" s="92">
        <v>69547740</v>
      </c>
      <c r="CO36" s="92">
        <f t="shared" si="124"/>
        <v>7859</v>
      </c>
      <c r="CP36" s="92">
        <v>4463071</v>
      </c>
      <c r="CQ36" s="92">
        <f t="shared" si="125"/>
        <v>103</v>
      </c>
      <c r="CR36" s="92">
        <v>5183785</v>
      </c>
      <c r="CS36" s="92">
        <f t="shared" si="126"/>
        <v>170</v>
      </c>
      <c r="CT36" s="92">
        <v>3057393</v>
      </c>
      <c r="CU36" s="92">
        <f t="shared" si="127"/>
        <v>245</v>
      </c>
      <c r="CV36" s="92">
        <v>41581596</v>
      </c>
      <c r="CW36" s="92">
        <f t="shared" si="128"/>
        <v>5346</v>
      </c>
      <c r="CX36" s="92">
        <v>6352817</v>
      </c>
      <c r="CY36" s="92">
        <f t="shared" si="129"/>
        <v>563</v>
      </c>
      <c r="CZ36" s="92">
        <v>6315386</v>
      </c>
      <c r="DA36" s="92">
        <f t="shared" si="130"/>
        <v>742</v>
      </c>
      <c r="DB36" s="92">
        <v>56695124</v>
      </c>
      <c r="DC36" s="92">
        <f t="shared" si="131"/>
        <v>3942</v>
      </c>
      <c r="DD36" s="92">
        <v>2006727</v>
      </c>
      <c r="DE36" s="92">
        <f t="shared" si="132"/>
        <v>478</v>
      </c>
      <c r="DF36" s="92">
        <v>21979522</v>
      </c>
      <c r="DG36" s="92">
        <f t="shared" si="133"/>
        <v>3301</v>
      </c>
      <c r="DH36" s="92">
        <v>32293556</v>
      </c>
      <c r="DI36" s="92">
        <f t="shared" si="134"/>
        <v>20</v>
      </c>
      <c r="DJ36" s="92"/>
      <c r="DK36" s="92"/>
      <c r="DL36" s="92">
        <v>990401</v>
      </c>
      <c r="DM36" s="92">
        <f t="shared" si="135"/>
        <v>296</v>
      </c>
      <c r="DN36" s="92">
        <v>1057547</v>
      </c>
      <c r="DO36" s="92">
        <f t="shared" si="136"/>
        <v>359</v>
      </c>
      <c r="DP36" s="92">
        <v>1189939</v>
      </c>
      <c r="DQ36" s="92">
        <f t="shared" si="137"/>
        <v>807</v>
      </c>
      <c r="DR36" s="92">
        <v>1121748</v>
      </c>
      <c r="DS36" s="92">
        <f t="shared" si="138"/>
        <v>846</v>
      </c>
      <c r="DT36" s="92">
        <v>979283</v>
      </c>
      <c r="DU36" s="92">
        <f t="shared" si="139"/>
        <v>826</v>
      </c>
      <c r="DV36" s="92">
        <v>1291479</v>
      </c>
      <c r="DW36" s="92">
        <f t="shared" si="140"/>
        <v>1338</v>
      </c>
      <c r="DX36" s="92">
        <v>818106</v>
      </c>
      <c r="DY36" s="92">
        <f t="shared" si="141"/>
        <v>642</v>
      </c>
      <c r="DZ36" s="92">
        <v>1442</v>
      </c>
      <c r="EA36" s="92">
        <f t="shared" si="142"/>
        <v>0</v>
      </c>
      <c r="EB36" s="92">
        <v>388736</v>
      </c>
      <c r="EC36" s="92">
        <f t="shared" si="143"/>
        <v>322</v>
      </c>
      <c r="ED36" s="92">
        <v>840198</v>
      </c>
      <c r="EE36" s="93">
        <f t="shared" si="144"/>
        <v>-54850</v>
      </c>
      <c r="EF36" s="92">
        <v>429780</v>
      </c>
      <c r="EG36" s="92">
        <f t="shared" si="145"/>
        <v>190</v>
      </c>
      <c r="EH36" s="92">
        <v>2714</v>
      </c>
      <c r="EI36" s="92">
        <f t="shared" si="146"/>
        <v>25</v>
      </c>
      <c r="EJ36" s="92">
        <v>983751</v>
      </c>
      <c r="EK36" s="92">
        <f t="shared" si="147"/>
        <v>459</v>
      </c>
      <c r="EL36" s="92">
        <v>3491196</v>
      </c>
      <c r="EM36" s="92">
        <f t="shared" si="148"/>
        <v>337</v>
      </c>
      <c r="EN36" s="92">
        <v>3864100</v>
      </c>
      <c r="EO36" s="92">
        <f t="shared" si="149"/>
        <v>365</v>
      </c>
      <c r="EP36" s="92">
        <v>4216346</v>
      </c>
      <c r="EQ36" s="92">
        <f t="shared" si="150"/>
        <v>387</v>
      </c>
      <c r="ER36" s="92">
        <v>5328724</v>
      </c>
      <c r="ES36" s="92">
        <f t="shared" si="151"/>
        <v>549</v>
      </c>
      <c r="ET36" s="92">
        <v>4366764</v>
      </c>
      <c r="EU36" s="92">
        <f t="shared" si="152"/>
        <v>385</v>
      </c>
      <c r="EV36" s="92">
        <v>4503215</v>
      </c>
      <c r="EW36" s="92">
        <f t="shared" si="153"/>
        <v>405</v>
      </c>
      <c r="EX36" s="92">
        <v>8815293</v>
      </c>
      <c r="EY36" s="92">
        <f t="shared" si="154"/>
        <v>837</v>
      </c>
      <c r="EZ36" s="92">
        <v>8722609</v>
      </c>
      <c r="FA36" s="92">
        <f t="shared" si="155"/>
        <v>1268</v>
      </c>
      <c r="FB36" s="92">
        <v>8674523</v>
      </c>
      <c r="FC36" s="92">
        <f t="shared" si="156"/>
        <v>680</v>
      </c>
      <c r="FD36" s="92">
        <v>8180121</v>
      </c>
      <c r="FE36" s="92">
        <f t="shared" si="157"/>
        <v>740</v>
      </c>
      <c r="FF36" s="92">
        <v>5157115</v>
      </c>
      <c r="FG36" s="92">
        <f t="shared" si="158"/>
        <v>609</v>
      </c>
      <c r="FH36" s="92">
        <v>3355264</v>
      </c>
      <c r="FI36" s="92">
        <f t="shared" si="159"/>
        <v>487</v>
      </c>
      <c r="FJ36" s="92">
        <v>1573722</v>
      </c>
      <c r="FK36" s="92">
        <f t="shared" si="160"/>
        <v>227</v>
      </c>
      <c r="FL36" s="92"/>
      <c r="FM36" s="92"/>
    </row>
    <row r="37" spans="1:169" ht="30" customHeight="1">
      <c r="A37" s="91">
        <v>44188</v>
      </c>
      <c r="B37" s="92">
        <v>20767767</v>
      </c>
      <c r="C37" s="92">
        <f t="shared" si="83"/>
        <v>1917</v>
      </c>
      <c r="D37" s="92">
        <v>2315262</v>
      </c>
      <c r="E37" s="92">
        <f t="shared" si="84"/>
        <v>241</v>
      </c>
      <c r="F37" s="92">
        <v>27657857</v>
      </c>
      <c r="G37" s="92">
        <f t="shared" si="85"/>
        <v>3323</v>
      </c>
      <c r="H37" s="92">
        <v>5754123</v>
      </c>
      <c r="I37" s="92">
        <f t="shared" si="86"/>
        <v>541</v>
      </c>
      <c r="J37" s="92"/>
      <c r="K37" s="92"/>
      <c r="L37" s="92">
        <v>21688846</v>
      </c>
      <c r="M37" s="92">
        <f t="shared" si="87"/>
        <v>1794</v>
      </c>
      <c r="N37" s="92">
        <v>72913839</v>
      </c>
      <c r="O37" s="92">
        <f t="shared" si="88"/>
        <v>10536</v>
      </c>
      <c r="P37" s="92">
        <v>24347</v>
      </c>
      <c r="Q37" s="92">
        <f t="shared" si="89"/>
        <v>10</v>
      </c>
      <c r="R37" s="92">
        <v>4855</v>
      </c>
      <c r="S37" s="92">
        <f t="shared" si="90"/>
        <v>0</v>
      </c>
      <c r="T37" s="92">
        <v>31635977</v>
      </c>
      <c r="U37" s="92">
        <f t="shared" si="91"/>
        <v>6928</v>
      </c>
      <c r="V37" s="92">
        <v>1626847</v>
      </c>
      <c r="W37" s="92">
        <f t="shared" si="92"/>
        <v>266</v>
      </c>
      <c r="X37" s="92">
        <v>1874306</v>
      </c>
      <c r="Y37" s="92">
        <f t="shared" si="93"/>
        <v>197</v>
      </c>
      <c r="Z37" s="92">
        <v>3507598</v>
      </c>
      <c r="AA37" s="92">
        <f t="shared" si="94"/>
        <v>577</v>
      </c>
      <c r="AB37" s="92"/>
      <c r="AC37" s="92"/>
      <c r="AD37" s="92">
        <v>54898191</v>
      </c>
      <c r="AE37" s="92">
        <f t="shared" si="95"/>
        <v>6591</v>
      </c>
      <c r="AF37" s="92">
        <v>9957838</v>
      </c>
      <c r="AG37" s="92">
        <f t="shared" si="96"/>
        <v>1252</v>
      </c>
      <c r="AH37" s="92">
        <v>1548061</v>
      </c>
      <c r="AI37" s="92">
        <f t="shared" si="97"/>
        <v>206</v>
      </c>
      <c r="AJ37" s="92">
        <v>1770593</v>
      </c>
      <c r="AK37" s="92">
        <f t="shared" si="98"/>
        <v>221</v>
      </c>
      <c r="AL37" s="92">
        <v>4853784</v>
      </c>
      <c r="AM37" s="92">
        <f t="shared" si="99"/>
        <v>565</v>
      </c>
      <c r="AN37" s="92">
        <v>5164990</v>
      </c>
      <c r="AO37" s="92">
        <f t="shared" si="100"/>
        <v>868</v>
      </c>
      <c r="AP37" s="92"/>
      <c r="AQ37" s="92"/>
      <c r="AR37" s="92">
        <v>1145858</v>
      </c>
      <c r="AS37" s="92">
        <f t="shared" si="101"/>
        <v>305</v>
      </c>
      <c r="AT37" s="92">
        <v>3148521</v>
      </c>
      <c r="AU37" s="92">
        <f t="shared" si="102"/>
        <v>516</v>
      </c>
      <c r="AV37" s="92"/>
      <c r="AW37" s="92"/>
      <c r="AX37" s="92">
        <v>577531</v>
      </c>
      <c r="AY37" s="92">
        <f t="shared" si="103"/>
        <v>106</v>
      </c>
      <c r="AZ37" s="92">
        <v>2364325</v>
      </c>
      <c r="BA37" s="92">
        <f t="shared" si="104"/>
        <v>112</v>
      </c>
      <c r="BB37" s="92">
        <v>4698792</v>
      </c>
      <c r="BC37" s="92">
        <f t="shared" si="105"/>
        <v>562</v>
      </c>
      <c r="BD37" s="92">
        <v>41771460</v>
      </c>
      <c r="BE37" s="92">
        <f t="shared" si="106"/>
        <v>5679</v>
      </c>
      <c r="BF37" s="92">
        <v>59105225</v>
      </c>
      <c r="BG37" s="92">
        <f t="shared" si="107"/>
        <v>8423</v>
      </c>
      <c r="BH37" s="92">
        <v>436765</v>
      </c>
      <c r="BI37" s="92">
        <f t="shared" si="108"/>
        <v>127</v>
      </c>
      <c r="BJ37" s="92">
        <v>11278106</v>
      </c>
      <c r="BK37" s="92">
        <f t="shared" si="109"/>
        <v>1432</v>
      </c>
      <c r="BL37" s="92">
        <v>1598278</v>
      </c>
      <c r="BM37" s="92">
        <f t="shared" si="110"/>
        <v>396</v>
      </c>
      <c r="BN37" s="92">
        <v>2344505</v>
      </c>
      <c r="BO37" s="92">
        <f t="shared" si="111"/>
        <v>383</v>
      </c>
      <c r="BP37" s="92">
        <v>10713170</v>
      </c>
      <c r="BQ37" s="92">
        <f t="shared" si="112"/>
        <v>1924</v>
      </c>
      <c r="BR37" s="92">
        <v>2626880</v>
      </c>
      <c r="BS37" s="92">
        <f t="shared" si="113"/>
        <v>211</v>
      </c>
      <c r="BT37" s="92">
        <v>13093573</v>
      </c>
      <c r="BU37" s="92">
        <f t="shared" si="114"/>
        <v>1510</v>
      </c>
      <c r="BV37" s="92">
        <v>10274707</v>
      </c>
      <c r="BW37" s="92">
        <f t="shared" si="115"/>
        <v>1358</v>
      </c>
      <c r="BX37" s="92">
        <v>1581506</v>
      </c>
      <c r="BY37" s="92">
        <f t="shared" si="116"/>
        <v>185</v>
      </c>
      <c r="BZ37" s="92">
        <v>19904809</v>
      </c>
      <c r="CA37" s="92">
        <f t="shared" si="117"/>
        <v>0</v>
      </c>
      <c r="CB37" s="92">
        <v>17456098</v>
      </c>
      <c r="CC37" s="92">
        <f t="shared" si="118"/>
        <v>0</v>
      </c>
      <c r="CD37" s="92">
        <v>18113617</v>
      </c>
      <c r="CE37" s="92">
        <f t="shared" si="119"/>
        <v>75</v>
      </c>
      <c r="CF37" s="92">
        <v>14114177</v>
      </c>
      <c r="CG37" s="92">
        <f t="shared" si="120"/>
        <v>980</v>
      </c>
      <c r="CH37" s="92">
        <v>4303148</v>
      </c>
      <c r="CI37" s="92">
        <f t="shared" si="121"/>
        <v>409</v>
      </c>
      <c r="CJ37" s="92">
        <v>4778509</v>
      </c>
      <c r="CK37" s="92">
        <f t="shared" si="122"/>
        <v>447</v>
      </c>
      <c r="CL37" s="92">
        <v>2718770</v>
      </c>
      <c r="CM37" s="92">
        <f t="shared" si="123"/>
        <v>126</v>
      </c>
      <c r="CN37" s="92">
        <v>69553985</v>
      </c>
      <c r="CO37" s="92">
        <f t="shared" si="124"/>
        <v>6245</v>
      </c>
      <c r="CP37" s="92">
        <v>4463177</v>
      </c>
      <c r="CQ37" s="92">
        <f t="shared" si="125"/>
        <v>106</v>
      </c>
      <c r="CR37" s="92">
        <v>5183967</v>
      </c>
      <c r="CS37" s="92">
        <f t="shared" si="126"/>
        <v>182</v>
      </c>
      <c r="CT37" s="92">
        <v>3057614</v>
      </c>
      <c r="CU37" s="92">
        <f t="shared" si="127"/>
        <v>221</v>
      </c>
      <c r="CV37" s="92">
        <v>41585274</v>
      </c>
      <c r="CW37" s="92">
        <f t="shared" si="128"/>
        <v>3678</v>
      </c>
      <c r="CX37" s="92">
        <v>6353382</v>
      </c>
      <c r="CY37" s="92">
        <f t="shared" si="129"/>
        <v>565</v>
      </c>
      <c r="CZ37" s="92">
        <v>6316132</v>
      </c>
      <c r="DA37" s="92">
        <f t="shared" si="130"/>
        <v>746</v>
      </c>
      <c r="DB37" s="92">
        <v>56700503</v>
      </c>
      <c r="DC37" s="92">
        <f t="shared" si="131"/>
        <v>5379</v>
      </c>
      <c r="DD37" s="92">
        <v>2007209</v>
      </c>
      <c r="DE37" s="92">
        <f t="shared" si="132"/>
        <v>482</v>
      </c>
      <c r="DF37" s="92">
        <v>21982587</v>
      </c>
      <c r="DG37" s="92">
        <f t="shared" si="133"/>
        <v>3065</v>
      </c>
      <c r="DH37" s="92">
        <v>32295239</v>
      </c>
      <c r="DI37" s="92">
        <f t="shared" si="134"/>
        <v>1683</v>
      </c>
      <c r="DJ37" s="92"/>
      <c r="DK37" s="92"/>
      <c r="DL37" s="92">
        <v>990714</v>
      </c>
      <c r="DM37" s="92">
        <f t="shared" si="135"/>
        <v>313</v>
      </c>
      <c r="DN37" s="92">
        <v>1057880</v>
      </c>
      <c r="DO37" s="92">
        <f t="shared" si="136"/>
        <v>333</v>
      </c>
      <c r="DP37" s="92">
        <v>1190822</v>
      </c>
      <c r="DQ37" s="92">
        <f t="shared" si="137"/>
        <v>883</v>
      </c>
      <c r="DR37" s="92">
        <v>1122678</v>
      </c>
      <c r="DS37" s="92">
        <f t="shared" si="138"/>
        <v>930</v>
      </c>
      <c r="DT37" s="92">
        <v>980154</v>
      </c>
      <c r="DU37" s="92">
        <f t="shared" si="139"/>
        <v>871</v>
      </c>
      <c r="DV37" s="92">
        <v>1292847</v>
      </c>
      <c r="DW37" s="92">
        <f t="shared" si="140"/>
        <v>1368</v>
      </c>
      <c r="DX37" s="92">
        <v>818768</v>
      </c>
      <c r="DY37" s="92">
        <f t="shared" si="141"/>
        <v>662</v>
      </c>
      <c r="DZ37" s="92">
        <v>1442</v>
      </c>
      <c r="EA37" s="92">
        <f t="shared" si="142"/>
        <v>0</v>
      </c>
      <c r="EB37" s="92">
        <v>389064</v>
      </c>
      <c r="EC37" s="92">
        <f t="shared" si="143"/>
        <v>328</v>
      </c>
      <c r="ED37" s="92">
        <v>840884</v>
      </c>
      <c r="EE37" s="92">
        <f t="shared" si="144"/>
        <v>686</v>
      </c>
      <c r="EF37" s="92">
        <v>429932</v>
      </c>
      <c r="EG37" s="92">
        <f t="shared" si="145"/>
        <v>152</v>
      </c>
      <c r="EH37" s="92">
        <v>2738</v>
      </c>
      <c r="EI37" s="92">
        <f t="shared" si="146"/>
        <v>24</v>
      </c>
      <c r="EJ37" s="92">
        <v>984225</v>
      </c>
      <c r="EK37" s="92">
        <f t="shared" si="147"/>
        <v>474</v>
      </c>
      <c r="EL37" s="92">
        <v>3491513</v>
      </c>
      <c r="EM37" s="92">
        <f t="shared" si="148"/>
        <v>317</v>
      </c>
      <c r="EN37" s="92">
        <v>3864474</v>
      </c>
      <c r="EO37" s="92">
        <f t="shared" si="149"/>
        <v>374</v>
      </c>
      <c r="EP37" s="92">
        <v>4216716</v>
      </c>
      <c r="EQ37" s="92">
        <f t="shared" si="150"/>
        <v>370</v>
      </c>
      <c r="ER37" s="92">
        <v>5329265</v>
      </c>
      <c r="ES37" s="92">
        <f t="shared" si="151"/>
        <v>541</v>
      </c>
      <c r="ET37" s="92">
        <v>4367151</v>
      </c>
      <c r="EU37" s="92">
        <f t="shared" si="152"/>
        <v>387</v>
      </c>
      <c r="EV37" s="92">
        <v>4503636</v>
      </c>
      <c r="EW37" s="92">
        <f t="shared" si="153"/>
        <v>421</v>
      </c>
      <c r="EX37" s="92">
        <v>8816125</v>
      </c>
      <c r="EY37" s="92">
        <f t="shared" si="154"/>
        <v>832</v>
      </c>
      <c r="EZ37" s="92">
        <v>8723794</v>
      </c>
      <c r="FA37" s="92">
        <f t="shared" si="155"/>
        <v>1185</v>
      </c>
      <c r="FB37" s="92">
        <v>8675201</v>
      </c>
      <c r="FC37" s="92">
        <f t="shared" si="156"/>
        <v>678</v>
      </c>
      <c r="FD37" s="92">
        <v>8180857</v>
      </c>
      <c r="FE37" s="92">
        <f t="shared" si="157"/>
        <v>736</v>
      </c>
      <c r="FF37" s="92">
        <v>5157737</v>
      </c>
      <c r="FG37" s="92">
        <f t="shared" si="158"/>
        <v>622</v>
      </c>
      <c r="FH37" s="92">
        <v>3355750</v>
      </c>
      <c r="FI37" s="92">
        <f t="shared" si="159"/>
        <v>486</v>
      </c>
      <c r="FJ37" s="92">
        <v>1573946</v>
      </c>
      <c r="FK37" s="92">
        <f t="shared" si="160"/>
        <v>224</v>
      </c>
      <c r="FL37" s="92"/>
      <c r="FM37" s="92"/>
    </row>
    <row r="38" spans="1:169" ht="30" customHeight="1">
      <c r="A38" s="91">
        <v>44189</v>
      </c>
      <c r="B38" s="92">
        <v>20769693</v>
      </c>
      <c r="C38" s="88">
        <f t="shared" si="83"/>
        <v>1926</v>
      </c>
      <c r="D38" s="92">
        <v>2315534</v>
      </c>
      <c r="E38" s="88">
        <f t="shared" si="84"/>
        <v>272</v>
      </c>
      <c r="F38" s="92">
        <v>27661268</v>
      </c>
      <c r="G38" s="88">
        <f t="shared" si="85"/>
        <v>3411</v>
      </c>
      <c r="H38" s="92">
        <v>5754680</v>
      </c>
      <c r="I38" s="88">
        <f t="shared" si="86"/>
        <v>557</v>
      </c>
      <c r="J38" s="92"/>
      <c r="K38" s="92"/>
      <c r="L38" s="92">
        <v>21690690</v>
      </c>
      <c r="M38" s="92">
        <f t="shared" si="87"/>
        <v>1844</v>
      </c>
      <c r="N38" s="92">
        <v>72924608</v>
      </c>
      <c r="O38" s="92">
        <f t="shared" si="88"/>
        <v>10769</v>
      </c>
      <c r="P38" s="92">
        <v>24359</v>
      </c>
      <c r="Q38" s="92">
        <f t="shared" si="89"/>
        <v>12</v>
      </c>
      <c r="R38" s="92">
        <v>4855</v>
      </c>
      <c r="S38" s="92">
        <f t="shared" si="90"/>
        <v>0</v>
      </c>
      <c r="T38" s="92">
        <v>31642824</v>
      </c>
      <c r="U38" s="92">
        <f t="shared" si="91"/>
        <v>6847</v>
      </c>
      <c r="V38" s="92">
        <v>1627109</v>
      </c>
      <c r="W38" s="92">
        <f t="shared" si="92"/>
        <v>262</v>
      </c>
      <c r="X38" s="92">
        <v>1874504</v>
      </c>
      <c r="Y38" s="92">
        <f t="shared" si="93"/>
        <v>198</v>
      </c>
      <c r="Z38" s="92">
        <v>3508172</v>
      </c>
      <c r="AA38" s="88">
        <f t="shared" si="94"/>
        <v>574</v>
      </c>
      <c r="AB38" s="92"/>
      <c r="AC38" s="92"/>
      <c r="AD38" s="92">
        <v>54904557</v>
      </c>
      <c r="AE38" s="92">
        <f t="shared" si="95"/>
        <v>6366</v>
      </c>
      <c r="AF38" s="92">
        <v>9959097</v>
      </c>
      <c r="AG38" s="92">
        <f t="shared" si="96"/>
        <v>1259</v>
      </c>
      <c r="AH38" s="92">
        <v>1548271</v>
      </c>
      <c r="AI38" s="92">
        <f t="shared" si="97"/>
        <v>210</v>
      </c>
      <c r="AJ38" s="92">
        <v>1770826</v>
      </c>
      <c r="AK38" s="92">
        <f t="shared" si="98"/>
        <v>233</v>
      </c>
      <c r="AL38" s="92">
        <v>4854345</v>
      </c>
      <c r="AM38" s="92">
        <f t="shared" si="99"/>
        <v>561</v>
      </c>
      <c r="AN38" s="92">
        <v>5165856</v>
      </c>
      <c r="AO38" s="92">
        <f t="shared" si="100"/>
        <v>866</v>
      </c>
      <c r="AP38" s="92"/>
      <c r="AQ38" s="92"/>
      <c r="AR38" s="92">
        <v>1146162</v>
      </c>
      <c r="AS38" s="92">
        <f t="shared" si="101"/>
        <v>304</v>
      </c>
      <c r="AT38" s="92">
        <v>3149066</v>
      </c>
      <c r="AU38" s="92">
        <f t="shared" si="102"/>
        <v>545</v>
      </c>
      <c r="AV38" s="92"/>
      <c r="AW38" s="92"/>
      <c r="AX38" s="92">
        <v>577653</v>
      </c>
      <c r="AY38" s="92">
        <f t="shared" si="103"/>
        <v>122</v>
      </c>
      <c r="AZ38" s="92">
        <v>2364474</v>
      </c>
      <c r="BA38" s="92">
        <f t="shared" si="104"/>
        <v>149</v>
      </c>
      <c r="BB38" s="92">
        <v>4699359</v>
      </c>
      <c r="BC38" s="92">
        <f t="shared" si="105"/>
        <v>567</v>
      </c>
      <c r="BD38" s="92">
        <v>41777251</v>
      </c>
      <c r="BE38" s="92">
        <f t="shared" si="106"/>
        <v>5791</v>
      </c>
      <c r="BF38" s="92">
        <v>59113522</v>
      </c>
      <c r="BG38" s="92">
        <f t="shared" si="107"/>
        <v>8297</v>
      </c>
      <c r="BH38" s="92">
        <v>436868</v>
      </c>
      <c r="BI38" s="92">
        <f t="shared" si="108"/>
        <v>103</v>
      </c>
      <c r="BJ38" s="92">
        <v>11279578</v>
      </c>
      <c r="BK38" s="92">
        <f t="shared" si="109"/>
        <v>1472</v>
      </c>
      <c r="BL38" s="92">
        <v>1598675</v>
      </c>
      <c r="BM38" s="92">
        <f t="shared" si="110"/>
        <v>397</v>
      </c>
      <c r="BN38" s="92">
        <v>2344831</v>
      </c>
      <c r="BO38" s="92">
        <f t="shared" si="111"/>
        <v>326</v>
      </c>
      <c r="BP38" s="92">
        <v>10715116</v>
      </c>
      <c r="BQ38" s="92">
        <f t="shared" si="112"/>
        <v>1946</v>
      </c>
      <c r="BR38" s="92">
        <v>2627092</v>
      </c>
      <c r="BS38" s="92">
        <f t="shared" si="113"/>
        <v>212</v>
      </c>
      <c r="BT38" s="92">
        <v>13095067</v>
      </c>
      <c r="BU38" s="92">
        <f t="shared" si="114"/>
        <v>1494</v>
      </c>
      <c r="BV38" s="92">
        <v>10276020</v>
      </c>
      <c r="BW38" s="92">
        <f t="shared" si="115"/>
        <v>1313</v>
      </c>
      <c r="BX38" s="92">
        <v>1581695</v>
      </c>
      <c r="BY38" s="92">
        <f t="shared" si="116"/>
        <v>189</v>
      </c>
      <c r="BZ38" s="92">
        <v>19904809</v>
      </c>
      <c r="CA38" s="92">
        <f t="shared" si="117"/>
        <v>0</v>
      </c>
      <c r="CB38" s="92">
        <v>17456098</v>
      </c>
      <c r="CC38" s="92">
        <f t="shared" si="118"/>
        <v>0</v>
      </c>
      <c r="CD38" s="92">
        <v>18113692</v>
      </c>
      <c r="CE38" s="92">
        <f t="shared" si="119"/>
        <v>75</v>
      </c>
      <c r="CF38" s="92">
        <v>14115154</v>
      </c>
      <c r="CG38" s="92">
        <f t="shared" si="120"/>
        <v>977</v>
      </c>
      <c r="CH38" s="92">
        <v>4303554</v>
      </c>
      <c r="CI38" s="92">
        <f t="shared" si="121"/>
        <v>406</v>
      </c>
      <c r="CJ38" s="92">
        <v>4778968</v>
      </c>
      <c r="CK38" s="92">
        <f t="shared" si="122"/>
        <v>459</v>
      </c>
      <c r="CL38" s="92">
        <v>2718882</v>
      </c>
      <c r="CM38" s="92">
        <f t="shared" si="123"/>
        <v>112</v>
      </c>
      <c r="CN38" s="92">
        <v>69563189</v>
      </c>
      <c r="CO38" s="92">
        <f t="shared" si="124"/>
        <v>9204</v>
      </c>
      <c r="CP38" s="92">
        <v>4463282</v>
      </c>
      <c r="CQ38" s="92">
        <f t="shared" si="125"/>
        <v>105</v>
      </c>
      <c r="CR38" s="92">
        <v>5184142</v>
      </c>
      <c r="CS38" s="92">
        <f t="shared" si="126"/>
        <v>175</v>
      </c>
      <c r="CT38" s="92">
        <v>3057875</v>
      </c>
      <c r="CU38" s="92">
        <f t="shared" si="127"/>
        <v>261</v>
      </c>
      <c r="CV38" s="92">
        <v>41591887</v>
      </c>
      <c r="CW38" s="92">
        <f t="shared" si="128"/>
        <v>6613</v>
      </c>
      <c r="CX38" s="92">
        <v>6353945</v>
      </c>
      <c r="CY38" s="92">
        <f t="shared" si="129"/>
        <v>563</v>
      </c>
      <c r="CZ38" s="92">
        <v>6316877</v>
      </c>
      <c r="DA38" s="92">
        <f t="shared" si="130"/>
        <v>745</v>
      </c>
      <c r="DB38" s="92">
        <v>56704496</v>
      </c>
      <c r="DC38" s="92">
        <f t="shared" si="131"/>
        <v>3993</v>
      </c>
      <c r="DD38" s="92">
        <v>2007708</v>
      </c>
      <c r="DE38" s="92">
        <f t="shared" si="132"/>
        <v>499</v>
      </c>
      <c r="DF38" s="92">
        <v>21985943</v>
      </c>
      <c r="DG38" s="92">
        <f t="shared" si="133"/>
        <v>3356</v>
      </c>
      <c r="DH38" s="92">
        <v>32295259</v>
      </c>
      <c r="DI38" s="92">
        <f t="shared" si="134"/>
        <v>20</v>
      </c>
      <c r="DJ38" s="92"/>
      <c r="DK38" s="92"/>
      <c r="DL38" s="92">
        <v>990986</v>
      </c>
      <c r="DM38" s="92">
        <f t="shared" si="135"/>
        <v>272</v>
      </c>
      <c r="DN38" s="92">
        <v>1058159</v>
      </c>
      <c r="DO38" s="92">
        <f t="shared" si="136"/>
        <v>279</v>
      </c>
      <c r="DP38" s="92">
        <v>1191585</v>
      </c>
      <c r="DQ38" s="92">
        <f t="shared" si="137"/>
        <v>763</v>
      </c>
      <c r="DR38" s="92">
        <v>1123519</v>
      </c>
      <c r="DS38" s="92">
        <f t="shared" si="138"/>
        <v>841</v>
      </c>
      <c r="DT38" s="92">
        <v>981050</v>
      </c>
      <c r="DU38" s="92">
        <f t="shared" si="139"/>
        <v>896</v>
      </c>
      <c r="DV38" s="92">
        <v>1294225</v>
      </c>
      <c r="DW38" s="92">
        <f t="shared" si="140"/>
        <v>1378</v>
      </c>
      <c r="DX38" s="92">
        <v>819376</v>
      </c>
      <c r="DY38" s="92">
        <f t="shared" si="141"/>
        <v>608</v>
      </c>
      <c r="DZ38" s="92">
        <v>1442</v>
      </c>
      <c r="EA38" s="92">
        <f t="shared" si="142"/>
        <v>0</v>
      </c>
      <c r="EB38" s="92">
        <v>389377</v>
      </c>
      <c r="EC38" s="92">
        <f t="shared" si="143"/>
        <v>313</v>
      </c>
      <c r="ED38" s="92">
        <v>841579</v>
      </c>
      <c r="EE38" s="92">
        <f t="shared" si="144"/>
        <v>695</v>
      </c>
      <c r="EF38" s="92">
        <v>430078</v>
      </c>
      <c r="EG38" s="92">
        <f t="shared" si="145"/>
        <v>146</v>
      </c>
      <c r="EH38" s="92">
        <v>2763</v>
      </c>
      <c r="EI38" s="92">
        <f t="shared" si="146"/>
        <v>25</v>
      </c>
      <c r="EJ38" s="92">
        <v>984688</v>
      </c>
      <c r="EK38" s="92">
        <f t="shared" si="147"/>
        <v>463</v>
      </c>
      <c r="EL38" s="92">
        <v>3491847</v>
      </c>
      <c r="EM38" s="92">
        <f t="shared" si="148"/>
        <v>334</v>
      </c>
      <c r="EN38" s="92">
        <v>3864852</v>
      </c>
      <c r="EO38" s="92">
        <f t="shared" si="149"/>
        <v>378</v>
      </c>
      <c r="EP38" s="92">
        <v>4217096</v>
      </c>
      <c r="EQ38" s="92">
        <f t="shared" si="150"/>
        <v>380</v>
      </c>
      <c r="ER38" s="92">
        <v>5329805</v>
      </c>
      <c r="ES38" s="92">
        <f t="shared" si="151"/>
        <v>540</v>
      </c>
      <c r="ET38" s="92">
        <v>4367530</v>
      </c>
      <c r="EU38" s="92">
        <f t="shared" si="152"/>
        <v>379</v>
      </c>
      <c r="EV38" s="92">
        <v>4504030</v>
      </c>
      <c r="EW38" s="92">
        <f t="shared" si="153"/>
        <v>394</v>
      </c>
      <c r="EX38" s="92">
        <v>8816968</v>
      </c>
      <c r="EY38" s="92">
        <f t="shared" si="154"/>
        <v>843</v>
      </c>
      <c r="EZ38" s="92">
        <v>8725108</v>
      </c>
      <c r="FA38" s="92">
        <f t="shared" si="155"/>
        <v>1314</v>
      </c>
      <c r="FB38" s="92">
        <v>8675907</v>
      </c>
      <c r="FC38" s="92">
        <f t="shared" si="156"/>
        <v>706</v>
      </c>
      <c r="FD38" s="92">
        <v>8181587</v>
      </c>
      <c r="FE38" s="92">
        <f t="shared" si="157"/>
        <v>730</v>
      </c>
      <c r="FF38" s="92">
        <v>5158369</v>
      </c>
      <c r="FG38" s="92">
        <f t="shared" si="158"/>
        <v>632</v>
      </c>
      <c r="FH38" s="92">
        <v>3356236</v>
      </c>
      <c r="FI38" s="92">
        <f t="shared" si="159"/>
        <v>486</v>
      </c>
      <c r="FJ38" s="92">
        <v>1574172</v>
      </c>
      <c r="FK38" s="92">
        <f t="shared" si="160"/>
        <v>226</v>
      </c>
      <c r="FL38" s="92"/>
      <c r="FM38" s="92"/>
    </row>
    <row r="39" spans="1:169" ht="30" customHeight="1">
      <c r="A39" s="91">
        <v>44190</v>
      </c>
      <c r="B39" s="92">
        <v>20771560</v>
      </c>
      <c r="C39" s="92">
        <f t="shared" si="83"/>
        <v>1867</v>
      </c>
      <c r="D39" s="92">
        <v>2315772</v>
      </c>
      <c r="E39" s="92">
        <f t="shared" si="84"/>
        <v>238</v>
      </c>
      <c r="F39" s="92">
        <v>27664618</v>
      </c>
      <c r="G39" s="92">
        <f t="shared" si="85"/>
        <v>3350</v>
      </c>
      <c r="H39" s="92">
        <v>5755242</v>
      </c>
      <c r="I39" s="92">
        <f t="shared" si="86"/>
        <v>562</v>
      </c>
      <c r="J39" s="92"/>
      <c r="K39" s="92"/>
      <c r="L39" s="92">
        <v>21692533</v>
      </c>
      <c r="M39" s="92">
        <f t="shared" si="87"/>
        <v>1843</v>
      </c>
      <c r="N39" s="92">
        <v>72935372</v>
      </c>
      <c r="O39" s="92">
        <f t="shared" si="88"/>
        <v>10764</v>
      </c>
      <c r="P39" s="92">
        <v>24372</v>
      </c>
      <c r="Q39" s="92">
        <f t="shared" si="89"/>
        <v>13</v>
      </c>
      <c r="R39" s="92">
        <v>4855</v>
      </c>
      <c r="S39" s="92">
        <f t="shared" si="90"/>
        <v>0</v>
      </c>
      <c r="T39" s="92">
        <v>31649794</v>
      </c>
      <c r="U39" s="92">
        <f t="shared" si="91"/>
        <v>6970</v>
      </c>
      <c r="V39" s="92">
        <v>1627366</v>
      </c>
      <c r="W39" s="92">
        <f t="shared" si="92"/>
        <v>257</v>
      </c>
      <c r="X39" s="92">
        <v>1874704</v>
      </c>
      <c r="Y39" s="92">
        <f t="shared" si="93"/>
        <v>200</v>
      </c>
      <c r="Z39" s="92">
        <v>3508745</v>
      </c>
      <c r="AA39" s="92">
        <f t="shared" si="94"/>
        <v>573</v>
      </c>
      <c r="AB39" s="92"/>
      <c r="AC39" s="92"/>
      <c r="AD39" s="92">
        <v>54911242</v>
      </c>
      <c r="AE39" s="92">
        <f t="shared" si="95"/>
        <v>6685</v>
      </c>
      <c r="AF39" s="92">
        <v>9960714</v>
      </c>
      <c r="AG39" s="92">
        <f t="shared" si="96"/>
        <v>1617</v>
      </c>
      <c r="AH39" s="92">
        <v>1548483</v>
      </c>
      <c r="AI39" s="92">
        <f t="shared" si="97"/>
        <v>212</v>
      </c>
      <c r="AJ39" s="92">
        <v>1771061</v>
      </c>
      <c r="AK39" s="92">
        <f t="shared" si="98"/>
        <v>235</v>
      </c>
      <c r="AL39" s="92">
        <v>4854932</v>
      </c>
      <c r="AM39" s="92">
        <f t="shared" si="99"/>
        <v>587</v>
      </c>
      <c r="AN39" s="92">
        <v>5166783</v>
      </c>
      <c r="AO39" s="92">
        <f t="shared" si="100"/>
        <v>927</v>
      </c>
      <c r="AP39" s="92"/>
      <c r="AQ39" s="92"/>
      <c r="AR39" s="92">
        <v>1146466</v>
      </c>
      <c r="AS39" s="92">
        <f t="shared" si="101"/>
        <v>304</v>
      </c>
      <c r="AT39" s="92">
        <v>3149634</v>
      </c>
      <c r="AU39" s="92">
        <f t="shared" si="102"/>
        <v>568</v>
      </c>
      <c r="AV39" s="92"/>
      <c r="AW39" s="92"/>
      <c r="AX39" s="92">
        <v>577795</v>
      </c>
      <c r="AY39" s="92">
        <f t="shared" si="103"/>
        <v>142</v>
      </c>
      <c r="AZ39" s="92">
        <v>2364725</v>
      </c>
      <c r="BA39" s="92">
        <f t="shared" si="104"/>
        <v>251</v>
      </c>
      <c r="BB39" s="92">
        <v>4699920</v>
      </c>
      <c r="BC39" s="92">
        <f t="shared" si="105"/>
        <v>561</v>
      </c>
      <c r="BD39" s="92">
        <v>41783318</v>
      </c>
      <c r="BE39" s="92">
        <f t="shared" si="106"/>
        <v>6067</v>
      </c>
      <c r="BF39" s="92">
        <v>59122320</v>
      </c>
      <c r="BG39" s="92">
        <f t="shared" si="107"/>
        <v>8798</v>
      </c>
      <c r="BH39" s="92">
        <v>436970</v>
      </c>
      <c r="BI39" s="92">
        <f t="shared" si="108"/>
        <v>102</v>
      </c>
      <c r="BJ39" s="92">
        <v>11281068</v>
      </c>
      <c r="BK39" s="92">
        <f t="shared" si="109"/>
        <v>1490</v>
      </c>
      <c r="BL39" s="92">
        <v>1599072</v>
      </c>
      <c r="BM39" s="92">
        <f t="shared" si="110"/>
        <v>397</v>
      </c>
      <c r="BN39" s="92">
        <v>2345294</v>
      </c>
      <c r="BO39" s="92">
        <f t="shared" si="111"/>
        <v>463</v>
      </c>
      <c r="BP39" s="92">
        <v>10717089</v>
      </c>
      <c r="BQ39" s="92">
        <f t="shared" si="112"/>
        <v>1973</v>
      </c>
      <c r="BR39" s="92">
        <v>2627299</v>
      </c>
      <c r="BS39" s="92">
        <f t="shared" si="113"/>
        <v>207</v>
      </c>
      <c r="BT39" s="92">
        <v>13096771</v>
      </c>
      <c r="BU39" s="92">
        <f t="shared" si="114"/>
        <v>1704</v>
      </c>
      <c r="BV39" s="92">
        <v>10277399</v>
      </c>
      <c r="BW39" s="92">
        <f t="shared" si="115"/>
        <v>1379</v>
      </c>
      <c r="BX39" s="92">
        <v>1581894</v>
      </c>
      <c r="BY39" s="92">
        <f t="shared" si="116"/>
        <v>199</v>
      </c>
      <c r="BZ39" s="92">
        <v>19904809</v>
      </c>
      <c r="CA39" s="92">
        <f t="shared" si="117"/>
        <v>0</v>
      </c>
      <c r="CB39" s="92">
        <v>17456099</v>
      </c>
      <c r="CC39" s="92">
        <f t="shared" si="118"/>
        <v>1</v>
      </c>
      <c r="CD39" s="92">
        <v>18113767</v>
      </c>
      <c r="CE39" s="92">
        <f t="shared" si="119"/>
        <v>75</v>
      </c>
      <c r="CF39" s="92">
        <v>14116240</v>
      </c>
      <c r="CG39" s="92">
        <f t="shared" si="120"/>
        <v>1086</v>
      </c>
      <c r="CH39" s="92">
        <v>4303965</v>
      </c>
      <c r="CI39" s="92">
        <f t="shared" si="121"/>
        <v>411</v>
      </c>
      <c r="CJ39" s="92">
        <v>4779421</v>
      </c>
      <c r="CK39" s="92">
        <f t="shared" si="122"/>
        <v>453</v>
      </c>
      <c r="CL39" s="92">
        <v>2719107</v>
      </c>
      <c r="CM39" s="92">
        <f t="shared" si="123"/>
        <v>225</v>
      </c>
      <c r="CN39" s="92">
        <v>69573803</v>
      </c>
      <c r="CO39" s="92">
        <f t="shared" si="124"/>
        <v>10614</v>
      </c>
      <c r="CP39" s="92">
        <v>4463385</v>
      </c>
      <c r="CQ39" s="92">
        <f t="shared" si="125"/>
        <v>103</v>
      </c>
      <c r="CR39" s="92">
        <v>5184319</v>
      </c>
      <c r="CS39" s="92">
        <f t="shared" si="126"/>
        <v>177</v>
      </c>
      <c r="CT39" s="92">
        <v>3058134</v>
      </c>
      <c r="CU39" s="92">
        <f t="shared" si="127"/>
        <v>259</v>
      </c>
      <c r="CV39" s="92">
        <v>41599907</v>
      </c>
      <c r="CW39" s="92">
        <f t="shared" si="128"/>
        <v>8020</v>
      </c>
      <c r="CX39" s="92">
        <v>6354504</v>
      </c>
      <c r="CY39" s="92">
        <f t="shared" si="129"/>
        <v>559</v>
      </c>
      <c r="CZ39" s="92">
        <v>6317621</v>
      </c>
      <c r="DA39" s="92">
        <f t="shared" si="130"/>
        <v>744</v>
      </c>
      <c r="DB39" s="92">
        <v>56708125</v>
      </c>
      <c r="DC39" s="92">
        <f t="shared" si="131"/>
        <v>3629</v>
      </c>
      <c r="DD39" s="92">
        <v>2008188</v>
      </c>
      <c r="DE39" s="92">
        <f t="shared" si="132"/>
        <v>480</v>
      </c>
      <c r="DF39" s="92">
        <v>21988944</v>
      </c>
      <c r="DG39" s="92">
        <f t="shared" si="133"/>
        <v>3001</v>
      </c>
      <c r="DH39" s="92">
        <v>32295279</v>
      </c>
      <c r="DI39" s="92">
        <f t="shared" si="134"/>
        <v>20</v>
      </c>
      <c r="DJ39" s="92"/>
      <c r="DK39" s="92"/>
      <c r="DL39" s="92">
        <v>991217</v>
      </c>
      <c r="DM39" s="92">
        <f t="shared" si="135"/>
        <v>231</v>
      </c>
      <c r="DN39" s="92">
        <v>1058441</v>
      </c>
      <c r="DO39" s="92">
        <f t="shared" si="136"/>
        <v>282</v>
      </c>
      <c r="DP39" s="92">
        <v>1192343</v>
      </c>
      <c r="DQ39" s="92">
        <f t="shared" si="137"/>
        <v>758</v>
      </c>
      <c r="DR39" s="92">
        <v>1124442</v>
      </c>
      <c r="DS39" s="92">
        <f t="shared" si="138"/>
        <v>923</v>
      </c>
      <c r="DT39" s="92">
        <v>981936</v>
      </c>
      <c r="DU39" s="92">
        <f t="shared" si="139"/>
        <v>886</v>
      </c>
      <c r="DV39" s="92">
        <v>1295587</v>
      </c>
      <c r="DW39" s="92">
        <f t="shared" si="140"/>
        <v>1362</v>
      </c>
      <c r="DX39" s="92">
        <v>820034</v>
      </c>
      <c r="DY39" s="92">
        <f t="shared" si="141"/>
        <v>658</v>
      </c>
      <c r="DZ39" s="92">
        <v>1442</v>
      </c>
      <c r="EA39" s="92">
        <f t="shared" si="142"/>
        <v>0</v>
      </c>
      <c r="EB39" s="92">
        <v>389712</v>
      </c>
      <c r="EC39" s="92">
        <f t="shared" si="143"/>
        <v>335</v>
      </c>
      <c r="ED39" s="92">
        <v>842290</v>
      </c>
      <c r="EE39" s="92">
        <f t="shared" si="144"/>
        <v>711</v>
      </c>
      <c r="EF39" s="92">
        <v>430226</v>
      </c>
      <c r="EG39" s="92">
        <f t="shared" si="145"/>
        <v>148</v>
      </c>
      <c r="EH39" s="92">
        <v>2788</v>
      </c>
      <c r="EI39" s="92">
        <f t="shared" si="146"/>
        <v>25</v>
      </c>
      <c r="EJ39" s="92">
        <v>985174</v>
      </c>
      <c r="EK39" s="92">
        <f t="shared" si="147"/>
        <v>486</v>
      </c>
      <c r="EL39" s="92">
        <v>3492185</v>
      </c>
      <c r="EM39" s="92">
        <f t="shared" si="148"/>
        <v>338</v>
      </c>
      <c r="EN39" s="92">
        <v>3865226</v>
      </c>
      <c r="EO39" s="92">
        <f t="shared" si="149"/>
        <v>374</v>
      </c>
      <c r="EP39" s="92">
        <v>4217471</v>
      </c>
      <c r="EQ39" s="92">
        <f t="shared" si="150"/>
        <v>375</v>
      </c>
      <c r="ER39" s="92">
        <v>5330325</v>
      </c>
      <c r="ES39" s="92">
        <f t="shared" si="151"/>
        <v>520</v>
      </c>
      <c r="ET39" s="92">
        <v>4367888</v>
      </c>
      <c r="EU39" s="92">
        <f t="shared" si="152"/>
        <v>358</v>
      </c>
      <c r="EV39" s="92">
        <v>4504435</v>
      </c>
      <c r="EW39" s="92">
        <f t="shared" si="153"/>
        <v>405</v>
      </c>
      <c r="EX39" s="92">
        <v>8817803</v>
      </c>
      <c r="EY39" s="92">
        <f t="shared" si="154"/>
        <v>835</v>
      </c>
      <c r="EZ39" s="92">
        <v>8726309</v>
      </c>
      <c r="FA39" s="92">
        <f t="shared" si="155"/>
        <v>1201</v>
      </c>
      <c r="FB39" s="92">
        <v>8676612</v>
      </c>
      <c r="FC39" s="92">
        <f t="shared" si="156"/>
        <v>705</v>
      </c>
      <c r="FD39" s="92">
        <v>8182332</v>
      </c>
      <c r="FE39" s="92">
        <f t="shared" si="157"/>
        <v>745</v>
      </c>
      <c r="FF39" s="92">
        <v>5158992</v>
      </c>
      <c r="FG39" s="92">
        <f t="shared" si="158"/>
        <v>623</v>
      </c>
      <c r="FH39" s="92">
        <v>3356721</v>
      </c>
      <c r="FI39" s="92">
        <f t="shared" si="159"/>
        <v>485</v>
      </c>
      <c r="FJ39" s="92">
        <v>1574402</v>
      </c>
      <c r="FK39" s="92">
        <f t="shared" si="160"/>
        <v>230</v>
      </c>
      <c r="FL39" s="92"/>
      <c r="FM39" s="92"/>
    </row>
    <row r="40" spans="1:169" ht="30" customHeight="1">
      <c r="A40" s="91">
        <v>44191</v>
      </c>
      <c r="B40" s="92">
        <v>20773400</v>
      </c>
      <c r="C40" s="88">
        <f t="shared" si="83"/>
        <v>1840</v>
      </c>
      <c r="D40" s="92">
        <v>2315986</v>
      </c>
      <c r="E40" s="88">
        <f t="shared" si="84"/>
        <v>214</v>
      </c>
      <c r="F40" s="92">
        <v>27667850</v>
      </c>
      <c r="G40" s="88">
        <f t="shared" si="85"/>
        <v>3232</v>
      </c>
      <c r="H40" s="92">
        <v>5755771</v>
      </c>
      <c r="I40" s="88">
        <f t="shared" si="86"/>
        <v>529</v>
      </c>
      <c r="J40" s="92"/>
      <c r="K40" s="92"/>
      <c r="L40" s="92">
        <v>21694328</v>
      </c>
      <c r="M40" s="92">
        <f t="shared" si="87"/>
        <v>1795</v>
      </c>
      <c r="N40" s="92">
        <v>72946037</v>
      </c>
      <c r="O40" s="92">
        <f t="shared" si="88"/>
        <v>10665</v>
      </c>
      <c r="P40" s="92">
        <v>24385</v>
      </c>
      <c r="Q40" s="92">
        <f t="shared" si="89"/>
        <v>13</v>
      </c>
      <c r="R40" s="92">
        <v>4855</v>
      </c>
      <c r="S40" s="92">
        <f t="shared" si="90"/>
        <v>0</v>
      </c>
      <c r="T40" s="92">
        <v>31656869</v>
      </c>
      <c r="U40" s="92">
        <f t="shared" si="91"/>
        <v>7075</v>
      </c>
      <c r="V40" s="92">
        <v>1627625</v>
      </c>
      <c r="W40" s="92">
        <f t="shared" si="92"/>
        <v>259</v>
      </c>
      <c r="X40" s="92">
        <v>1874906</v>
      </c>
      <c r="Y40" s="92">
        <f t="shared" si="93"/>
        <v>202</v>
      </c>
      <c r="Z40" s="92">
        <v>3509322</v>
      </c>
      <c r="AA40" s="88">
        <f t="shared" si="94"/>
        <v>577</v>
      </c>
      <c r="AB40" s="92"/>
      <c r="AC40" s="92"/>
      <c r="AD40" s="92">
        <v>54918122</v>
      </c>
      <c r="AE40" s="92">
        <f t="shared" si="95"/>
        <v>6880</v>
      </c>
      <c r="AF40" s="92">
        <v>9962298</v>
      </c>
      <c r="AG40" s="92">
        <f t="shared" si="96"/>
        <v>1584</v>
      </c>
      <c r="AH40" s="92">
        <v>1548687</v>
      </c>
      <c r="AI40" s="92">
        <f t="shared" si="97"/>
        <v>204</v>
      </c>
      <c r="AJ40" s="92">
        <v>1771278</v>
      </c>
      <c r="AK40" s="92">
        <f t="shared" si="98"/>
        <v>217</v>
      </c>
      <c r="AL40" s="92">
        <v>4855493</v>
      </c>
      <c r="AM40" s="92">
        <f t="shared" si="99"/>
        <v>561</v>
      </c>
      <c r="AN40" s="92">
        <v>5167704</v>
      </c>
      <c r="AO40" s="92">
        <f t="shared" si="100"/>
        <v>921</v>
      </c>
      <c r="AP40" s="92"/>
      <c r="AQ40" s="92"/>
      <c r="AR40" s="92">
        <v>1146770</v>
      </c>
      <c r="AS40" s="92">
        <f t="shared" si="101"/>
        <v>304</v>
      </c>
      <c r="AT40" s="92">
        <v>3150219</v>
      </c>
      <c r="AU40" s="92">
        <f t="shared" si="102"/>
        <v>585</v>
      </c>
      <c r="AV40" s="92"/>
      <c r="AW40" s="92"/>
      <c r="AX40" s="92">
        <v>577943</v>
      </c>
      <c r="AY40" s="92">
        <f t="shared" si="103"/>
        <v>148</v>
      </c>
      <c r="AZ40" s="92">
        <v>2364922</v>
      </c>
      <c r="BA40" s="92">
        <f t="shared" si="104"/>
        <v>197</v>
      </c>
      <c r="BB40" s="92">
        <v>4700464</v>
      </c>
      <c r="BC40" s="92">
        <f t="shared" si="105"/>
        <v>544</v>
      </c>
      <c r="BD40" s="92">
        <v>41789208</v>
      </c>
      <c r="BE40" s="92">
        <f t="shared" si="106"/>
        <v>5890</v>
      </c>
      <c r="BF40" s="92">
        <v>59131069</v>
      </c>
      <c r="BG40" s="92">
        <f t="shared" si="107"/>
        <v>8749</v>
      </c>
      <c r="BH40" s="92">
        <v>437075</v>
      </c>
      <c r="BI40" s="92">
        <f t="shared" si="108"/>
        <v>105</v>
      </c>
      <c r="BJ40" s="92">
        <v>11282584</v>
      </c>
      <c r="BK40" s="92">
        <f t="shared" si="109"/>
        <v>1516</v>
      </c>
      <c r="BL40" s="92">
        <v>1599471</v>
      </c>
      <c r="BM40" s="92">
        <f t="shared" si="110"/>
        <v>399</v>
      </c>
      <c r="BN40" s="92">
        <v>2345720</v>
      </c>
      <c r="BO40" s="92">
        <f t="shared" si="111"/>
        <v>426</v>
      </c>
      <c r="BP40" s="92">
        <v>10719005</v>
      </c>
      <c r="BQ40" s="92">
        <f t="shared" si="112"/>
        <v>1916</v>
      </c>
      <c r="BR40" s="92">
        <v>2627500</v>
      </c>
      <c r="BS40" s="92">
        <f t="shared" si="113"/>
        <v>201</v>
      </c>
      <c r="BT40" s="92">
        <v>13098542</v>
      </c>
      <c r="BU40" s="92">
        <f t="shared" si="114"/>
        <v>1771</v>
      </c>
      <c r="BV40" s="92">
        <v>10278760</v>
      </c>
      <c r="BW40" s="92">
        <f t="shared" si="115"/>
        <v>1361</v>
      </c>
      <c r="BX40" s="92">
        <v>1582091</v>
      </c>
      <c r="BY40" s="92">
        <f t="shared" si="116"/>
        <v>197</v>
      </c>
      <c r="BZ40" s="92">
        <v>19904809</v>
      </c>
      <c r="CA40" s="92">
        <f t="shared" si="117"/>
        <v>0</v>
      </c>
      <c r="CB40" s="92">
        <v>17456099</v>
      </c>
      <c r="CC40" s="92">
        <f t="shared" si="118"/>
        <v>0</v>
      </c>
      <c r="CD40" s="92">
        <v>18113842</v>
      </c>
      <c r="CE40" s="92">
        <f t="shared" si="119"/>
        <v>75</v>
      </c>
      <c r="CF40" s="92">
        <v>14117267</v>
      </c>
      <c r="CG40" s="92">
        <f t="shared" si="120"/>
        <v>1027</v>
      </c>
      <c r="CH40" s="92">
        <v>4304365</v>
      </c>
      <c r="CI40" s="92">
        <f t="shared" si="121"/>
        <v>400</v>
      </c>
      <c r="CJ40" s="92">
        <v>4779859</v>
      </c>
      <c r="CK40" s="92">
        <f t="shared" si="122"/>
        <v>438</v>
      </c>
      <c r="CL40" s="92">
        <v>2719297</v>
      </c>
      <c r="CM40" s="92">
        <f t="shared" si="123"/>
        <v>190</v>
      </c>
      <c r="CN40" s="92">
        <v>69583047</v>
      </c>
      <c r="CO40" s="92">
        <f t="shared" si="124"/>
        <v>9244</v>
      </c>
      <c r="CP40" s="92">
        <v>4463487</v>
      </c>
      <c r="CQ40" s="92">
        <f t="shared" si="125"/>
        <v>102</v>
      </c>
      <c r="CR40" s="92">
        <v>5184508</v>
      </c>
      <c r="CS40" s="92">
        <f t="shared" si="126"/>
        <v>189</v>
      </c>
      <c r="CT40" s="92">
        <v>3058380</v>
      </c>
      <c r="CU40" s="92">
        <f t="shared" si="127"/>
        <v>246</v>
      </c>
      <c r="CV40" s="92">
        <v>41606556</v>
      </c>
      <c r="CW40" s="92">
        <f t="shared" si="128"/>
        <v>6649</v>
      </c>
      <c r="CX40" s="92">
        <v>6355065</v>
      </c>
      <c r="CY40" s="92">
        <f t="shared" si="129"/>
        <v>561</v>
      </c>
      <c r="CZ40" s="92">
        <v>6318362</v>
      </c>
      <c r="DA40" s="92">
        <f t="shared" si="130"/>
        <v>741</v>
      </c>
      <c r="DB40" s="92">
        <v>56712167</v>
      </c>
      <c r="DC40" s="92">
        <f t="shared" si="131"/>
        <v>4042</v>
      </c>
      <c r="DD40" s="92">
        <v>2008704</v>
      </c>
      <c r="DE40" s="92">
        <f t="shared" si="132"/>
        <v>516</v>
      </c>
      <c r="DF40" s="92">
        <v>21992293</v>
      </c>
      <c r="DG40" s="92">
        <f t="shared" si="133"/>
        <v>3349</v>
      </c>
      <c r="DH40" s="92">
        <v>32295299</v>
      </c>
      <c r="DI40" s="92">
        <f t="shared" si="134"/>
        <v>20</v>
      </c>
      <c r="DJ40" s="92"/>
      <c r="DK40" s="92"/>
      <c r="DL40" s="92">
        <v>991505</v>
      </c>
      <c r="DM40" s="92">
        <f t="shared" si="135"/>
        <v>288</v>
      </c>
      <c r="DN40" s="92">
        <v>1058745</v>
      </c>
      <c r="DO40" s="92">
        <f t="shared" si="136"/>
        <v>304</v>
      </c>
      <c r="DP40" s="92">
        <v>1193109</v>
      </c>
      <c r="DQ40" s="92">
        <f t="shared" si="137"/>
        <v>766</v>
      </c>
      <c r="DR40" s="92">
        <v>1125438</v>
      </c>
      <c r="DS40" s="92">
        <f t="shared" si="138"/>
        <v>996</v>
      </c>
      <c r="DT40" s="92">
        <v>982829</v>
      </c>
      <c r="DU40" s="92">
        <f t="shared" si="139"/>
        <v>893</v>
      </c>
      <c r="DV40" s="92">
        <v>1296957</v>
      </c>
      <c r="DW40" s="92">
        <f t="shared" si="140"/>
        <v>1370</v>
      </c>
      <c r="DX40" s="92">
        <v>820719</v>
      </c>
      <c r="DY40" s="92">
        <f t="shared" si="141"/>
        <v>685</v>
      </c>
      <c r="DZ40" s="92">
        <v>1442</v>
      </c>
      <c r="EA40" s="92">
        <f t="shared" si="142"/>
        <v>0</v>
      </c>
      <c r="EB40" s="92">
        <v>390051</v>
      </c>
      <c r="EC40" s="92">
        <f t="shared" si="143"/>
        <v>339</v>
      </c>
      <c r="ED40" s="92">
        <v>843005</v>
      </c>
      <c r="EE40" s="92">
        <f t="shared" si="144"/>
        <v>715</v>
      </c>
      <c r="EF40" s="92">
        <v>430440</v>
      </c>
      <c r="EG40" s="92">
        <f t="shared" si="145"/>
        <v>214</v>
      </c>
      <c r="EH40" s="92">
        <v>2814</v>
      </c>
      <c r="EI40" s="92">
        <f t="shared" si="146"/>
        <v>26</v>
      </c>
      <c r="EJ40" s="92">
        <v>985660</v>
      </c>
      <c r="EK40" s="92">
        <f t="shared" si="147"/>
        <v>486</v>
      </c>
      <c r="EL40" s="92">
        <v>3492510</v>
      </c>
      <c r="EM40" s="92">
        <f t="shared" si="148"/>
        <v>325</v>
      </c>
      <c r="EN40" s="92">
        <v>3865597</v>
      </c>
      <c r="EO40" s="92">
        <f t="shared" si="149"/>
        <v>371</v>
      </c>
      <c r="EP40" s="92">
        <v>4217847</v>
      </c>
      <c r="EQ40" s="92">
        <f t="shared" si="150"/>
        <v>376</v>
      </c>
      <c r="ER40" s="92">
        <v>5330845</v>
      </c>
      <c r="ES40" s="92">
        <f t="shared" si="151"/>
        <v>520</v>
      </c>
      <c r="ET40" s="92">
        <v>4368257</v>
      </c>
      <c r="EU40" s="92">
        <f t="shared" si="152"/>
        <v>369</v>
      </c>
      <c r="EV40" s="92">
        <v>4504831</v>
      </c>
      <c r="EW40" s="92">
        <f t="shared" si="153"/>
        <v>396</v>
      </c>
      <c r="EX40" s="92">
        <v>8818629</v>
      </c>
      <c r="EY40" s="92">
        <f t="shared" si="154"/>
        <v>826</v>
      </c>
      <c r="EZ40" s="92">
        <v>8727464</v>
      </c>
      <c r="FA40" s="92">
        <f t="shared" si="155"/>
        <v>1155</v>
      </c>
      <c r="FB40" s="92">
        <v>8677309</v>
      </c>
      <c r="FC40" s="92">
        <f t="shared" si="156"/>
        <v>697</v>
      </c>
      <c r="FD40" s="92">
        <v>8183078</v>
      </c>
      <c r="FE40" s="92">
        <f t="shared" si="157"/>
        <v>746</v>
      </c>
      <c r="FF40" s="92">
        <v>5159549</v>
      </c>
      <c r="FG40" s="92">
        <f t="shared" si="158"/>
        <v>557</v>
      </c>
      <c r="FH40" s="92">
        <v>3357205</v>
      </c>
      <c r="FI40" s="92">
        <f t="shared" si="159"/>
        <v>484</v>
      </c>
      <c r="FJ40" s="92">
        <v>1574625</v>
      </c>
      <c r="FK40" s="92">
        <f t="shared" si="160"/>
        <v>223</v>
      </c>
      <c r="FL40" s="92"/>
      <c r="FM40" s="92"/>
    </row>
    <row r="41" spans="1:169" ht="30" customHeight="1">
      <c r="A41" s="91">
        <v>44192</v>
      </c>
      <c r="B41" s="92">
        <v>20775145</v>
      </c>
      <c r="C41" s="92">
        <f t="shared" si="83"/>
        <v>1745</v>
      </c>
      <c r="D41" s="92">
        <v>2316140</v>
      </c>
      <c r="E41" s="92">
        <f t="shared" si="84"/>
        <v>154</v>
      </c>
      <c r="F41" s="92">
        <v>27671040</v>
      </c>
      <c r="G41" s="92">
        <f t="shared" si="85"/>
        <v>3190</v>
      </c>
      <c r="H41" s="92">
        <v>5756299</v>
      </c>
      <c r="I41" s="92">
        <f t="shared" si="86"/>
        <v>528</v>
      </c>
      <c r="J41" s="92"/>
      <c r="K41" s="92"/>
      <c r="L41" s="92">
        <v>21696072</v>
      </c>
      <c r="M41" s="92">
        <f t="shared" si="87"/>
        <v>1744</v>
      </c>
      <c r="N41" s="92">
        <v>72956725</v>
      </c>
      <c r="O41" s="92">
        <f t="shared" si="88"/>
        <v>10688</v>
      </c>
      <c r="P41" s="92">
        <v>24398</v>
      </c>
      <c r="Q41" s="92">
        <f t="shared" si="89"/>
        <v>13</v>
      </c>
      <c r="R41" s="92">
        <v>4855</v>
      </c>
      <c r="S41" s="92">
        <f t="shared" si="90"/>
        <v>0</v>
      </c>
      <c r="T41" s="92">
        <v>31663827</v>
      </c>
      <c r="U41" s="92">
        <f t="shared" si="91"/>
        <v>6958</v>
      </c>
      <c r="V41" s="92">
        <v>1627887</v>
      </c>
      <c r="W41" s="92">
        <f t="shared" si="92"/>
        <v>262</v>
      </c>
      <c r="X41" s="92">
        <v>1875103</v>
      </c>
      <c r="Y41" s="92">
        <f t="shared" si="93"/>
        <v>197</v>
      </c>
      <c r="Z41" s="92">
        <v>3509897</v>
      </c>
      <c r="AA41" s="92">
        <f t="shared" si="94"/>
        <v>575</v>
      </c>
      <c r="AB41" s="92"/>
      <c r="AC41" s="92"/>
      <c r="AD41" s="92">
        <v>54924835</v>
      </c>
      <c r="AE41" s="92">
        <f t="shared" si="95"/>
        <v>6713</v>
      </c>
      <c r="AF41" s="92">
        <v>9963778</v>
      </c>
      <c r="AG41" s="92">
        <f t="shared" si="96"/>
        <v>1480</v>
      </c>
      <c r="AH41" s="92">
        <v>1548892</v>
      </c>
      <c r="AI41" s="92">
        <f t="shared" si="97"/>
        <v>205</v>
      </c>
      <c r="AJ41" s="92">
        <v>1771497</v>
      </c>
      <c r="AK41" s="92">
        <f t="shared" si="98"/>
        <v>219</v>
      </c>
      <c r="AL41" s="92">
        <v>4856056</v>
      </c>
      <c r="AM41" s="92">
        <f t="shared" si="99"/>
        <v>563</v>
      </c>
      <c r="AN41" s="92">
        <v>5168580</v>
      </c>
      <c r="AO41" s="92">
        <f t="shared" si="100"/>
        <v>876</v>
      </c>
      <c r="AP41" s="92"/>
      <c r="AQ41" s="92"/>
      <c r="AR41" s="92">
        <v>1147073</v>
      </c>
      <c r="AS41" s="92">
        <f t="shared" si="101"/>
        <v>303</v>
      </c>
      <c r="AT41" s="92">
        <v>3150763</v>
      </c>
      <c r="AU41" s="92">
        <f t="shared" si="102"/>
        <v>544</v>
      </c>
      <c r="AV41" s="92"/>
      <c r="AW41" s="92"/>
      <c r="AX41" s="92">
        <v>578074</v>
      </c>
      <c r="AY41" s="92">
        <f t="shared" si="103"/>
        <v>131</v>
      </c>
      <c r="AZ41" s="92">
        <v>2365019</v>
      </c>
      <c r="BA41" s="92">
        <f t="shared" si="104"/>
        <v>97</v>
      </c>
      <c r="BB41" s="92">
        <v>4701186</v>
      </c>
      <c r="BC41" s="92">
        <f t="shared" si="105"/>
        <v>722</v>
      </c>
      <c r="BD41" s="92">
        <v>41795073</v>
      </c>
      <c r="BE41" s="92">
        <f t="shared" si="106"/>
        <v>5865</v>
      </c>
      <c r="BF41" s="92">
        <v>59139465</v>
      </c>
      <c r="BG41" s="92">
        <f t="shared" si="107"/>
        <v>8396</v>
      </c>
      <c r="BH41" s="92">
        <v>437179</v>
      </c>
      <c r="BI41" s="92">
        <f t="shared" si="108"/>
        <v>104</v>
      </c>
      <c r="BJ41" s="92">
        <v>11284129</v>
      </c>
      <c r="BK41" s="92">
        <f t="shared" si="109"/>
        <v>1545</v>
      </c>
      <c r="BL41" s="92">
        <v>1599863</v>
      </c>
      <c r="BM41" s="92">
        <f t="shared" si="110"/>
        <v>392</v>
      </c>
      <c r="BN41" s="92">
        <v>2346028</v>
      </c>
      <c r="BO41" s="92">
        <f t="shared" si="111"/>
        <v>308</v>
      </c>
      <c r="BP41" s="92">
        <v>10720808</v>
      </c>
      <c r="BQ41" s="92">
        <f t="shared" si="112"/>
        <v>1803</v>
      </c>
      <c r="BR41" s="92">
        <v>2627703</v>
      </c>
      <c r="BS41" s="92">
        <f t="shared" si="113"/>
        <v>203</v>
      </c>
      <c r="BT41" s="92">
        <v>13100181</v>
      </c>
      <c r="BU41" s="92">
        <f t="shared" si="114"/>
        <v>1639</v>
      </c>
      <c r="BV41" s="92">
        <v>10280118</v>
      </c>
      <c r="BW41" s="92">
        <f t="shared" si="115"/>
        <v>1358</v>
      </c>
      <c r="BX41" s="92">
        <v>1582282</v>
      </c>
      <c r="BY41" s="92">
        <f t="shared" si="116"/>
        <v>191</v>
      </c>
      <c r="BZ41" s="92">
        <v>19904809</v>
      </c>
      <c r="CA41" s="92">
        <f t="shared" si="117"/>
        <v>0</v>
      </c>
      <c r="CB41" s="92">
        <v>17456099</v>
      </c>
      <c r="CC41" s="92">
        <f t="shared" si="118"/>
        <v>0</v>
      </c>
      <c r="CD41" s="92">
        <v>18113916</v>
      </c>
      <c r="CE41" s="92">
        <f t="shared" si="119"/>
        <v>74</v>
      </c>
      <c r="CF41" s="92">
        <v>14118310</v>
      </c>
      <c r="CG41" s="92">
        <f t="shared" si="120"/>
        <v>1043</v>
      </c>
      <c r="CH41" s="92">
        <v>4304776</v>
      </c>
      <c r="CI41" s="92">
        <f t="shared" si="121"/>
        <v>411</v>
      </c>
      <c r="CJ41" s="92">
        <v>4780337</v>
      </c>
      <c r="CK41" s="92">
        <f t="shared" si="122"/>
        <v>478</v>
      </c>
      <c r="CL41" s="92">
        <v>2719452</v>
      </c>
      <c r="CM41" s="92">
        <f t="shared" si="123"/>
        <v>155</v>
      </c>
      <c r="CN41" s="92">
        <v>69592951</v>
      </c>
      <c r="CO41" s="92">
        <f t="shared" si="124"/>
        <v>9904</v>
      </c>
      <c r="CP41" s="92">
        <v>4463588</v>
      </c>
      <c r="CQ41" s="92">
        <f t="shared" si="125"/>
        <v>101</v>
      </c>
      <c r="CR41" s="92">
        <v>5184689</v>
      </c>
      <c r="CS41" s="92">
        <f t="shared" si="126"/>
        <v>181</v>
      </c>
      <c r="CT41" s="92">
        <v>3058626</v>
      </c>
      <c r="CU41" s="92">
        <f t="shared" si="127"/>
        <v>246</v>
      </c>
      <c r="CV41" s="92">
        <v>41613884</v>
      </c>
      <c r="CW41" s="92">
        <f t="shared" si="128"/>
        <v>7328</v>
      </c>
      <c r="CX41" s="92">
        <v>6355624</v>
      </c>
      <c r="CY41" s="92">
        <f t="shared" si="129"/>
        <v>559</v>
      </c>
      <c r="CZ41" s="92">
        <v>6319104</v>
      </c>
      <c r="DA41" s="92">
        <f t="shared" si="130"/>
        <v>742</v>
      </c>
      <c r="DB41" s="92">
        <v>56716026</v>
      </c>
      <c r="DC41" s="92">
        <f t="shared" si="131"/>
        <v>3859</v>
      </c>
      <c r="DD41" s="92">
        <v>2009190</v>
      </c>
      <c r="DE41" s="92">
        <f t="shared" si="132"/>
        <v>486</v>
      </c>
      <c r="DF41" s="92">
        <v>21995517</v>
      </c>
      <c r="DG41" s="92">
        <f t="shared" si="133"/>
        <v>3224</v>
      </c>
      <c r="DH41" s="92">
        <v>32295319</v>
      </c>
      <c r="DI41" s="92">
        <f t="shared" si="134"/>
        <v>20</v>
      </c>
      <c r="DJ41" s="92"/>
      <c r="DK41" s="92"/>
      <c r="DL41" s="92">
        <v>991816</v>
      </c>
      <c r="DM41" s="92">
        <f t="shared" si="135"/>
        <v>311</v>
      </c>
      <c r="DN41" s="92">
        <v>1059029</v>
      </c>
      <c r="DO41" s="92">
        <f t="shared" si="136"/>
        <v>284</v>
      </c>
      <c r="DP41" s="92">
        <v>1193893</v>
      </c>
      <c r="DQ41" s="92">
        <f t="shared" si="137"/>
        <v>784</v>
      </c>
      <c r="DR41" s="92">
        <v>1126403</v>
      </c>
      <c r="DS41" s="92">
        <f t="shared" si="138"/>
        <v>965</v>
      </c>
      <c r="DT41" s="92">
        <v>983713</v>
      </c>
      <c r="DU41" s="92">
        <f t="shared" si="139"/>
        <v>884</v>
      </c>
      <c r="DV41" s="92">
        <v>1298323</v>
      </c>
      <c r="DW41" s="92">
        <f t="shared" si="140"/>
        <v>1366</v>
      </c>
      <c r="DX41" s="92">
        <v>821319</v>
      </c>
      <c r="DY41" s="92">
        <f t="shared" si="141"/>
        <v>600</v>
      </c>
      <c r="DZ41" s="92">
        <v>1442</v>
      </c>
      <c r="EA41" s="92">
        <f t="shared" si="142"/>
        <v>0</v>
      </c>
      <c r="EB41" s="92">
        <v>390374</v>
      </c>
      <c r="EC41" s="92">
        <f t="shared" si="143"/>
        <v>323</v>
      </c>
      <c r="ED41" s="92">
        <v>843707</v>
      </c>
      <c r="EE41" s="92">
        <f t="shared" si="144"/>
        <v>702</v>
      </c>
      <c r="EF41" s="92">
        <v>430654</v>
      </c>
      <c r="EG41" s="92">
        <f t="shared" si="145"/>
        <v>214</v>
      </c>
      <c r="EH41" s="92">
        <v>2839</v>
      </c>
      <c r="EI41" s="92">
        <f t="shared" si="146"/>
        <v>25</v>
      </c>
      <c r="EJ41" s="92">
        <v>986136</v>
      </c>
      <c r="EK41" s="92">
        <f t="shared" si="147"/>
        <v>476</v>
      </c>
      <c r="EL41" s="92">
        <v>3492803</v>
      </c>
      <c r="EM41" s="92">
        <f t="shared" si="148"/>
        <v>293</v>
      </c>
      <c r="EN41" s="92">
        <v>3865954</v>
      </c>
      <c r="EO41" s="92">
        <f t="shared" si="149"/>
        <v>357</v>
      </c>
      <c r="EP41" s="92">
        <v>4218219</v>
      </c>
      <c r="EQ41" s="92">
        <f t="shared" si="150"/>
        <v>372</v>
      </c>
      <c r="ER41" s="92">
        <v>5331358</v>
      </c>
      <c r="ES41" s="92">
        <f t="shared" si="151"/>
        <v>513</v>
      </c>
      <c r="ET41" s="92">
        <v>4368608</v>
      </c>
      <c r="EU41" s="92">
        <f t="shared" si="152"/>
        <v>351</v>
      </c>
      <c r="EV41" s="92">
        <v>4505228</v>
      </c>
      <c r="EW41" s="92">
        <f t="shared" si="153"/>
        <v>397</v>
      </c>
      <c r="EX41" s="92">
        <v>8819454</v>
      </c>
      <c r="EY41" s="92">
        <f t="shared" si="154"/>
        <v>825</v>
      </c>
      <c r="EZ41" s="92">
        <v>8728668</v>
      </c>
      <c r="FA41" s="92">
        <f t="shared" si="155"/>
        <v>1204</v>
      </c>
      <c r="FB41" s="92">
        <v>8678004</v>
      </c>
      <c r="FC41" s="92">
        <f t="shared" si="156"/>
        <v>695</v>
      </c>
      <c r="FD41" s="92">
        <v>8183825</v>
      </c>
      <c r="FE41" s="92">
        <f t="shared" si="157"/>
        <v>747</v>
      </c>
      <c r="FF41" s="92">
        <v>5160089</v>
      </c>
      <c r="FG41" s="92">
        <f t="shared" si="158"/>
        <v>540</v>
      </c>
      <c r="FH41" s="92">
        <v>3357684</v>
      </c>
      <c r="FI41" s="92">
        <f t="shared" si="159"/>
        <v>479</v>
      </c>
      <c r="FJ41" s="92">
        <v>1574836</v>
      </c>
      <c r="FK41" s="92">
        <f t="shared" si="160"/>
        <v>211</v>
      </c>
      <c r="FL41" s="92"/>
      <c r="FM41" s="92"/>
    </row>
    <row r="42" spans="1:169" ht="30" customHeight="1">
      <c r="A42" s="91">
        <v>44193</v>
      </c>
      <c r="B42" s="92">
        <v>20776860</v>
      </c>
      <c r="C42" s="88">
        <f t="shared" si="83"/>
        <v>1715</v>
      </c>
      <c r="D42" s="92">
        <v>2316316</v>
      </c>
      <c r="E42" s="88">
        <f t="shared" si="84"/>
        <v>176</v>
      </c>
      <c r="F42" s="92">
        <v>27674251</v>
      </c>
      <c r="G42" s="88">
        <f t="shared" si="85"/>
        <v>3211</v>
      </c>
      <c r="H42" s="92">
        <v>5756808</v>
      </c>
      <c r="I42" s="88">
        <f t="shared" si="86"/>
        <v>509</v>
      </c>
      <c r="J42" s="92"/>
      <c r="K42" s="92"/>
      <c r="L42" s="92">
        <v>21697842</v>
      </c>
      <c r="M42" s="92">
        <f t="shared" si="87"/>
        <v>1770</v>
      </c>
      <c r="N42" s="92">
        <v>72967425</v>
      </c>
      <c r="O42" s="92">
        <f t="shared" si="88"/>
        <v>10700</v>
      </c>
      <c r="P42" s="92">
        <v>24409</v>
      </c>
      <c r="Q42" s="92">
        <f t="shared" si="89"/>
        <v>11</v>
      </c>
      <c r="R42" s="92">
        <v>4855</v>
      </c>
      <c r="S42" s="92">
        <f t="shared" si="90"/>
        <v>0</v>
      </c>
      <c r="T42" s="92">
        <v>31669231</v>
      </c>
      <c r="U42" s="92">
        <f t="shared" si="91"/>
        <v>5404</v>
      </c>
      <c r="V42" s="92">
        <v>1628124</v>
      </c>
      <c r="W42" s="92">
        <f t="shared" si="92"/>
        <v>237</v>
      </c>
      <c r="X42" s="92">
        <v>1875301</v>
      </c>
      <c r="Y42" s="92">
        <f t="shared" si="93"/>
        <v>198</v>
      </c>
      <c r="Z42" s="92">
        <v>3510469</v>
      </c>
      <c r="AA42" s="88">
        <f t="shared" si="94"/>
        <v>572</v>
      </c>
      <c r="AB42" s="92"/>
      <c r="AC42" s="92"/>
      <c r="AD42" s="92">
        <v>54930529</v>
      </c>
      <c r="AE42" s="92">
        <f t="shared" si="95"/>
        <v>5694</v>
      </c>
      <c r="AF42" s="92">
        <v>9964893</v>
      </c>
      <c r="AG42" s="92">
        <f t="shared" si="96"/>
        <v>1115</v>
      </c>
      <c r="AH42" s="92">
        <v>1549097</v>
      </c>
      <c r="AI42" s="92">
        <f t="shared" si="97"/>
        <v>205</v>
      </c>
      <c r="AJ42" s="92">
        <v>1771691</v>
      </c>
      <c r="AK42" s="92">
        <f t="shared" si="98"/>
        <v>194</v>
      </c>
      <c r="AL42" s="92">
        <v>4856593</v>
      </c>
      <c r="AM42" s="92">
        <f t="shared" si="99"/>
        <v>537</v>
      </c>
      <c r="AN42" s="92">
        <v>5169433</v>
      </c>
      <c r="AO42" s="92">
        <f t="shared" si="100"/>
        <v>853</v>
      </c>
      <c r="AP42" s="92"/>
      <c r="AQ42" s="92"/>
      <c r="AR42" s="92">
        <v>1147376</v>
      </c>
      <c r="AS42" s="92">
        <f t="shared" si="101"/>
        <v>303</v>
      </c>
      <c r="AT42" s="92">
        <v>3151269</v>
      </c>
      <c r="AU42" s="92">
        <f t="shared" si="102"/>
        <v>506</v>
      </c>
      <c r="AV42" s="92"/>
      <c r="AW42" s="92"/>
      <c r="AX42" s="92">
        <v>578138</v>
      </c>
      <c r="AY42" s="92">
        <f t="shared" si="103"/>
        <v>64</v>
      </c>
      <c r="AZ42" s="92">
        <v>2365247</v>
      </c>
      <c r="BA42" s="92">
        <f t="shared" si="104"/>
        <v>228</v>
      </c>
      <c r="BB42" s="92">
        <v>4701890</v>
      </c>
      <c r="BC42" s="92">
        <f t="shared" si="105"/>
        <v>704</v>
      </c>
      <c r="BD42" s="92">
        <v>41800830</v>
      </c>
      <c r="BE42" s="92">
        <f t="shared" si="106"/>
        <v>5757</v>
      </c>
      <c r="BF42" s="92">
        <v>59147654</v>
      </c>
      <c r="BG42" s="92">
        <f t="shared" si="107"/>
        <v>8189</v>
      </c>
      <c r="BH42" s="92">
        <v>437278</v>
      </c>
      <c r="BI42" s="92">
        <f t="shared" si="108"/>
        <v>99</v>
      </c>
      <c r="BJ42" s="92">
        <v>11285608</v>
      </c>
      <c r="BK42" s="92">
        <f t="shared" si="109"/>
        <v>1479</v>
      </c>
      <c r="BL42" s="92">
        <v>1600257</v>
      </c>
      <c r="BM42" s="92">
        <f t="shared" si="110"/>
        <v>394</v>
      </c>
      <c r="BN42" s="92">
        <v>2346212</v>
      </c>
      <c r="BO42" s="92">
        <f t="shared" si="111"/>
        <v>184</v>
      </c>
      <c r="BP42" s="92">
        <v>10722629</v>
      </c>
      <c r="BQ42" s="92">
        <f t="shared" si="112"/>
        <v>1821</v>
      </c>
      <c r="BR42" s="92">
        <v>2627911</v>
      </c>
      <c r="BS42" s="92">
        <f t="shared" si="113"/>
        <v>208</v>
      </c>
      <c r="BT42" s="92">
        <v>13101759</v>
      </c>
      <c r="BU42" s="92">
        <f t="shared" si="114"/>
        <v>1578</v>
      </c>
      <c r="BV42" s="92">
        <v>10281453</v>
      </c>
      <c r="BW42" s="92">
        <f t="shared" si="115"/>
        <v>1335</v>
      </c>
      <c r="BX42" s="92">
        <v>1582479</v>
      </c>
      <c r="BY42" s="92">
        <f t="shared" si="116"/>
        <v>197</v>
      </c>
      <c r="BZ42" s="92">
        <v>19904809</v>
      </c>
      <c r="CA42" s="92">
        <f t="shared" si="117"/>
        <v>0</v>
      </c>
      <c r="CB42" s="92">
        <v>17456099</v>
      </c>
      <c r="CC42" s="92">
        <f t="shared" si="118"/>
        <v>0</v>
      </c>
      <c r="CD42" s="92">
        <v>18113991</v>
      </c>
      <c r="CE42" s="92">
        <f t="shared" si="119"/>
        <v>75</v>
      </c>
      <c r="CF42" s="92">
        <v>14119321</v>
      </c>
      <c r="CG42" s="92">
        <f t="shared" si="120"/>
        <v>1011</v>
      </c>
      <c r="CH42" s="92">
        <v>4305202</v>
      </c>
      <c r="CI42" s="92">
        <f t="shared" si="121"/>
        <v>426</v>
      </c>
      <c r="CJ42" s="92">
        <v>4780813</v>
      </c>
      <c r="CK42" s="92">
        <f t="shared" si="122"/>
        <v>476</v>
      </c>
      <c r="CL42" s="92">
        <v>2719563</v>
      </c>
      <c r="CM42" s="92">
        <f t="shared" si="123"/>
        <v>111</v>
      </c>
      <c r="CN42" s="92">
        <v>69602822</v>
      </c>
      <c r="CO42" s="92">
        <f t="shared" si="124"/>
        <v>9871</v>
      </c>
      <c r="CP42" s="92">
        <v>4463685</v>
      </c>
      <c r="CQ42" s="92">
        <f t="shared" si="125"/>
        <v>97</v>
      </c>
      <c r="CR42" s="92">
        <v>5184857</v>
      </c>
      <c r="CS42" s="92">
        <f t="shared" si="126"/>
        <v>168</v>
      </c>
      <c r="CT42" s="92">
        <v>3058874</v>
      </c>
      <c r="CU42" s="92">
        <f t="shared" si="127"/>
        <v>248</v>
      </c>
      <c r="CV42" s="92">
        <v>41621233</v>
      </c>
      <c r="CW42" s="92">
        <f t="shared" si="128"/>
        <v>7349</v>
      </c>
      <c r="CX42" s="92">
        <v>6356184</v>
      </c>
      <c r="CY42" s="92">
        <f t="shared" si="129"/>
        <v>560</v>
      </c>
      <c r="CZ42" s="92">
        <v>6319851</v>
      </c>
      <c r="DA42" s="92">
        <f t="shared" si="130"/>
        <v>747</v>
      </c>
      <c r="DB42" s="92">
        <v>56720130</v>
      </c>
      <c r="DC42" s="92">
        <f t="shared" si="131"/>
        <v>4104</v>
      </c>
      <c r="DD42" s="92">
        <v>2009672</v>
      </c>
      <c r="DE42" s="92">
        <f t="shared" si="132"/>
        <v>482</v>
      </c>
      <c r="DF42" s="92">
        <v>21998989</v>
      </c>
      <c r="DG42" s="92">
        <f t="shared" si="133"/>
        <v>3472</v>
      </c>
      <c r="DH42" s="92">
        <v>32295339</v>
      </c>
      <c r="DI42" s="92">
        <f t="shared" si="134"/>
        <v>20</v>
      </c>
      <c r="DJ42" s="92"/>
      <c r="DK42" s="92"/>
      <c r="DL42" s="92">
        <v>992073</v>
      </c>
      <c r="DM42" s="92">
        <f t="shared" si="135"/>
        <v>257</v>
      </c>
      <c r="DN42" s="92">
        <v>1059305</v>
      </c>
      <c r="DO42" s="92">
        <f t="shared" si="136"/>
        <v>276</v>
      </c>
      <c r="DP42" s="92">
        <v>1194636</v>
      </c>
      <c r="DQ42" s="92">
        <f t="shared" si="137"/>
        <v>743</v>
      </c>
      <c r="DR42" s="92">
        <v>1127282</v>
      </c>
      <c r="DS42" s="92">
        <f t="shared" si="138"/>
        <v>879</v>
      </c>
      <c r="DT42" s="92">
        <v>984177</v>
      </c>
      <c r="DU42" s="92">
        <f t="shared" si="139"/>
        <v>464</v>
      </c>
      <c r="DV42" s="92">
        <v>1299665</v>
      </c>
      <c r="DW42" s="92">
        <f t="shared" si="140"/>
        <v>1342</v>
      </c>
      <c r="DX42" s="92">
        <v>821899</v>
      </c>
      <c r="DY42" s="92">
        <f t="shared" si="141"/>
        <v>580</v>
      </c>
      <c r="DZ42" s="92">
        <v>1442</v>
      </c>
      <c r="EA42" s="92">
        <f t="shared" si="142"/>
        <v>0</v>
      </c>
      <c r="EB42" s="92">
        <v>390701</v>
      </c>
      <c r="EC42" s="92">
        <f t="shared" si="143"/>
        <v>327</v>
      </c>
      <c r="ED42" s="92">
        <v>844400</v>
      </c>
      <c r="EE42" s="92">
        <f t="shared" si="144"/>
        <v>693</v>
      </c>
      <c r="EF42" s="92">
        <v>430840</v>
      </c>
      <c r="EG42" s="92">
        <f t="shared" si="145"/>
        <v>186</v>
      </c>
      <c r="EH42" s="92">
        <v>2869</v>
      </c>
      <c r="EI42" s="92">
        <f t="shared" si="146"/>
        <v>30</v>
      </c>
      <c r="EJ42" s="92">
        <v>986611</v>
      </c>
      <c r="EK42" s="92">
        <f t="shared" si="147"/>
        <v>475</v>
      </c>
      <c r="EL42" s="92">
        <v>3493121</v>
      </c>
      <c r="EM42" s="92">
        <f t="shared" si="148"/>
        <v>318</v>
      </c>
      <c r="EN42" s="92">
        <v>3866323</v>
      </c>
      <c r="EO42" s="92">
        <f t="shared" si="149"/>
        <v>369</v>
      </c>
      <c r="EP42" s="92">
        <v>4218601</v>
      </c>
      <c r="EQ42" s="92">
        <f t="shared" si="150"/>
        <v>382</v>
      </c>
      <c r="ER42" s="92">
        <v>5331861</v>
      </c>
      <c r="ES42" s="92">
        <f t="shared" si="151"/>
        <v>503</v>
      </c>
      <c r="ET42" s="92">
        <v>4368942</v>
      </c>
      <c r="EU42" s="92">
        <f t="shared" si="152"/>
        <v>334</v>
      </c>
      <c r="EV42" s="92">
        <v>4505615</v>
      </c>
      <c r="EW42" s="92">
        <f t="shared" si="153"/>
        <v>387</v>
      </c>
      <c r="EX42" s="92">
        <v>8820291</v>
      </c>
      <c r="EY42" s="92">
        <f t="shared" si="154"/>
        <v>837</v>
      </c>
      <c r="EZ42" s="92">
        <v>8730092</v>
      </c>
      <c r="FA42" s="92">
        <f t="shared" si="155"/>
        <v>1424</v>
      </c>
      <c r="FB42" s="92">
        <v>8678682</v>
      </c>
      <c r="FC42" s="92">
        <f t="shared" si="156"/>
        <v>678</v>
      </c>
      <c r="FD42" s="92">
        <v>8184570</v>
      </c>
      <c r="FE42" s="92">
        <f t="shared" si="157"/>
        <v>745</v>
      </c>
      <c r="FF42" s="92">
        <v>5160622</v>
      </c>
      <c r="FG42" s="92">
        <f t="shared" si="158"/>
        <v>533</v>
      </c>
      <c r="FH42" s="92">
        <v>3358164</v>
      </c>
      <c r="FI42" s="92">
        <f t="shared" si="159"/>
        <v>480</v>
      </c>
      <c r="FJ42" s="92">
        <v>1575038</v>
      </c>
      <c r="FK42" s="92">
        <f t="shared" si="160"/>
        <v>202</v>
      </c>
      <c r="FL42" s="92"/>
      <c r="FM42" s="92"/>
    </row>
    <row r="43" spans="1:169" ht="30" customHeight="1">
      <c r="A43" s="91">
        <v>44194</v>
      </c>
      <c r="B43" s="92">
        <v>20778747</v>
      </c>
      <c r="C43" s="92">
        <f t="shared" si="83"/>
        <v>1887</v>
      </c>
      <c r="D43" s="92">
        <v>2316551</v>
      </c>
      <c r="E43" s="92">
        <f t="shared" si="84"/>
        <v>235</v>
      </c>
      <c r="F43" s="92">
        <v>27677602</v>
      </c>
      <c r="G43" s="92">
        <f t="shared" si="85"/>
        <v>3351</v>
      </c>
      <c r="H43" s="92">
        <v>5757314</v>
      </c>
      <c r="I43" s="92">
        <f t="shared" si="86"/>
        <v>506</v>
      </c>
      <c r="J43" s="92"/>
      <c r="K43" s="92"/>
      <c r="L43" s="92">
        <v>21699654</v>
      </c>
      <c r="M43" s="92">
        <f t="shared" si="87"/>
        <v>1812</v>
      </c>
      <c r="N43" s="92">
        <v>72975996</v>
      </c>
      <c r="O43" s="92">
        <f t="shared" si="88"/>
        <v>8571</v>
      </c>
      <c r="P43" s="92">
        <v>24412</v>
      </c>
      <c r="Q43" s="92">
        <f t="shared" si="89"/>
        <v>3</v>
      </c>
      <c r="R43" s="92">
        <v>4855</v>
      </c>
      <c r="S43" s="92">
        <f t="shared" si="90"/>
        <v>0</v>
      </c>
      <c r="T43" s="92">
        <v>31672861</v>
      </c>
      <c r="U43" s="92">
        <f t="shared" si="91"/>
        <v>3630</v>
      </c>
      <c r="V43" s="92">
        <v>1628361</v>
      </c>
      <c r="W43" s="92">
        <f t="shared" si="92"/>
        <v>237</v>
      </c>
      <c r="X43" s="92">
        <v>1875497</v>
      </c>
      <c r="Y43" s="92">
        <f t="shared" si="93"/>
        <v>196</v>
      </c>
      <c r="Z43" s="92">
        <v>3511042</v>
      </c>
      <c r="AA43" s="92">
        <f t="shared" si="94"/>
        <v>573</v>
      </c>
      <c r="AB43" s="92"/>
      <c r="AC43" s="92"/>
      <c r="AD43" s="92">
        <v>54936623</v>
      </c>
      <c r="AE43" s="92">
        <f t="shared" si="95"/>
        <v>6094</v>
      </c>
      <c r="AF43" s="92">
        <v>9965910</v>
      </c>
      <c r="AG43" s="92">
        <f t="shared" si="96"/>
        <v>1017</v>
      </c>
      <c r="AH43" s="92">
        <v>1549315</v>
      </c>
      <c r="AI43" s="92">
        <f t="shared" si="97"/>
        <v>218</v>
      </c>
      <c r="AJ43" s="92">
        <v>1771876</v>
      </c>
      <c r="AK43" s="92">
        <f t="shared" si="98"/>
        <v>185</v>
      </c>
      <c r="AL43" s="92">
        <v>4857140</v>
      </c>
      <c r="AM43" s="92">
        <f t="shared" si="99"/>
        <v>547</v>
      </c>
      <c r="AN43" s="92">
        <v>5170217</v>
      </c>
      <c r="AO43" s="92">
        <f t="shared" si="100"/>
        <v>784</v>
      </c>
      <c r="AP43" s="92"/>
      <c r="AQ43" s="92"/>
      <c r="AR43" s="92">
        <v>1147680</v>
      </c>
      <c r="AS43" s="92">
        <f t="shared" si="101"/>
        <v>304</v>
      </c>
      <c r="AT43" s="92">
        <v>3151775</v>
      </c>
      <c r="AU43" s="92">
        <f t="shared" si="102"/>
        <v>506</v>
      </c>
      <c r="AV43" s="92"/>
      <c r="AW43" s="92"/>
      <c r="AX43" s="92">
        <v>578271</v>
      </c>
      <c r="AY43" s="92">
        <f t="shared" si="103"/>
        <v>133</v>
      </c>
      <c r="AZ43" s="92">
        <v>2365280</v>
      </c>
      <c r="BA43" s="92">
        <f t="shared" si="104"/>
        <v>33</v>
      </c>
      <c r="BB43" s="92">
        <v>4702597</v>
      </c>
      <c r="BC43" s="92">
        <f t="shared" si="105"/>
        <v>707</v>
      </c>
      <c r="BD43" s="92">
        <v>41806474</v>
      </c>
      <c r="BE43" s="92">
        <f t="shared" si="106"/>
        <v>5644</v>
      </c>
      <c r="BF43" s="92">
        <v>59155504</v>
      </c>
      <c r="BG43" s="92">
        <f t="shared" si="107"/>
        <v>7850</v>
      </c>
      <c r="BH43" s="92">
        <v>437378</v>
      </c>
      <c r="BI43" s="92">
        <f t="shared" si="108"/>
        <v>100</v>
      </c>
      <c r="BJ43" s="92">
        <v>11286885</v>
      </c>
      <c r="BK43" s="92">
        <f t="shared" si="109"/>
        <v>1277</v>
      </c>
      <c r="BL43" s="92">
        <v>1600652</v>
      </c>
      <c r="BM43" s="92">
        <f t="shared" si="110"/>
        <v>395</v>
      </c>
      <c r="BN43" s="92">
        <v>2346301</v>
      </c>
      <c r="BO43" s="92">
        <f t="shared" si="111"/>
        <v>89</v>
      </c>
      <c r="BP43" s="92">
        <v>10724435</v>
      </c>
      <c r="BQ43" s="92">
        <f t="shared" si="112"/>
        <v>1806</v>
      </c>
      <c r="BR43" s="92">
        <v>2628121</v>
      </c>
      <c r="BS43" s="92">
        <f t="shared" si="113"/>
        <v>210</v>
      </c>
      <c r="BT43" s="92">
        <v>13103350</v>
      </c>
      <c r="BU43" s="92">
        <f t="shared" si="114"/>
        <v>1591</v>
      </c>
      <c r="BV43" s="92">
        <v>10282822</v>
      </c>
      <c r="BW43" s="92">
        <f t="shared" si="115"/>
        <v>1369</v>
      </c>
      <c r="BX43" s="92">
        <v>1582653</v>
      </c>
      <c r="BY43" s="92">
        <f t="shared" si="116"/>
        <v>174</v>
      </c>
      <c r="BZ43" s="92">
        <v>19904809</v>
      </c>
      <c r="CA43" s="92">
        <f t="shared" si="117"/>
        <v>0</v>
      </c>
      <c r="CB43" s="92">
        <v>17456099</v>
      </c>
      <c r="CC43" s="92">
        <f t="shared" si="118"/>
        <v>0</v>
      </c>
      <c r="CD43" s="92">
        <v>18114066</v>
      </c>
      <c r="CE43" s="92">
        <f t="shared" si="119"/>
        <v>75</v>
      </c>
      <c r="CF43" s="92">
        <v>14120354</v>
      </c>
      <c r="CG43" s="92">
        <f t="shared" si="120"/>
        <v>1033</v>
      </c>
      <c r="CH43" s="92">
        <v>4305612</v>
      </c>
      <c r="CI43" s="92">
        <f t="shared" si="121"/>
        <v>410</v>
      </c>
      <c r="CJ43" s="92">
        <v>4781314</v>
      </c>
      <c r="CK43" s="92">
        <f t="shared" si="122"/>
        <v>501</v>
      </c>
      <c r="CL43" s="92">
        <v>2719686</v>
      </c>
      <c r="CM43" s="92">
        <f t="shared" si="123"/>
        <v>123</v>
      </c>
      <c r="CN43" s="92">
        <v>69612416</v>
      </c>
      <c r="CO43" s="92">
        <f t="shared" si="124"/>
        <v>9594</v>
      </c>
      <c r="CP43" s="92">
        <v>4463786</v>
      </c>
      <c r="CQ43" s="92">
        <f t="shared" si="125"/>
        <v>101</v>
      </c>
      <c r="CR43" s="92">
        <v>5185022</v>
      </c>
      <c r="CS43" s="92">
        <f t="shared" si="126"/>
        <v>165</v>
      </c>
      <c r="CT43" s="92">
        <v>3059086</v>
      </c>
      <c r="CU43" s="92">
        <f t="shared" si="127"/>
        <v>212</v>
      </c>
      <c r="CV43" s="92">
        <v>41628348</v>
      </c>
      <c r="CW43" s="92">
        <f t="shared" si="128"/>
        <v>7115</v>
      </c>
      <c r="CX43" s="92">
        <v>6356740</v>
      </c>
      <c r="CY43" s="92">
        <f t="shared" si="129"/>
        <v>556</v>
      </c>
      <c r="CZ43" s="92">
        <v>6320599</v>
      </c>
      <c r="DA43" s="92">
        <f t="shared" si="130"/>
        <v>748</v>
      </c>
      <c r="DB43" s="92">
        <v>56724255</v>
      </c>
      <c r="DC43" s="92">
        <f t="shared" si="131"/>
        <v>4125</v>
      </c>
      <c r="DD43" s="92">
        <v>2010147</v>
      </c>
      <c r="DE43" s="92">
        <f t="shared" si="132"/>
        <v>475</v>
      </c>
      <c r="DF43" s="92">
        <v>22002492</v>
      </c>
      <c r="DG43" s="92">
        <f t="shared" si="133"/>
        <v>3503</v>
      </c>
      <c r="DH43" s="92">
        <v>32295358</v>
      </c>
      <c r="DI43" s="92">
        <f t="shared" si="134"/>
        <v>19</v>
      </c>
      <c r="DJ43" s="92"/>
      <c r="DK43" s="92"/>
      <c r="DL43" s="92">
        <v>992319</v>
      </c>
      <c r="DM43" s="92">
        <f t="shared" si="135"/>
        <v>246</v>
      </c>
      <c r="DN43" s="92">
        <v>1059557</v>
      </c>
      <c r="DO43" s="92">
        <f t="shared" si="136"/>
        <v>252</v>
      </c>
      <c r="DP43" s="92">
        <v>1195366</v>
      </c>
      <c r="DQ43" s="92">
        <f t="shared" si="137"/>
        <v>730</v>
      </c>
      <c r="DR43" s="92">
        <v>1128149</v>
      </c>
      <c r="DS43" s="92">
        <f t="shared" si="138"/>
        <v>867</v>
      </c>
      <c r="DT43" s="92">
        <v>985180</v>
      </c>
      <c r="DU43" s="92">
        <f t="shared" si="139"/>
        <v>1003</v>
      </c>
      <c r="DV43" s="92">
        <v>1301018</v>
      </c>
      <c r="DW43" s="92">
        <f t="shared" si="140"/>
        <v>1353</v>
      </c>
      <c r="DX43" s="92">
        <v>822463</v>
      </c>
      <c r="DY43" s="92">
        <f t="shared" si="141"/>
        <v>564</v>
      </c>
      <c r="DZ43" s="92">
        <v>1442</v>
      </c>
      <c r="EA43" s="92">
        <f t="shared" si="142"/>
        <v>0</v>
      </c>
      <c r="EB43" s="92">
        <v>391036</v>
      </c>
      <c r="EC43" s="92">
        <f t="shared" si="143"/>
        <v>335</v>
      </c>
      <c r="ED43" s="92">
        <v>845096</v>
      </c>
      <c r="EE43" s="92">
        <f t="shared" si="144"/>
        <v>696</v>
      </c>
      <c r="EF43" s="92">
        <v>431048</v>
      </c>
      <c r="EG43" s="92">
        <f t="shared" si="145"/>
        <v>208</v>
      </c>
      <c r="EH43" s="92">
        <v>2870</v>
      </c>
      <c r="EI43" s="92">
        <f t="shared" si="146"/>
        <v>1</v>
      </c>
      <c r="EJ43" s="92">
        <v>987076</v>
      </c>
      <c r="EK43" s="92">
        <f t="shared" si="147"/>
        <v>465</v>
      </c>
      <c r="EL43" s="92">
        <v>3493451</v>
      </c>
      <c r="EM43" s="92">
        <f t="shared" si="148"/>
        <v>330</v>
      </c>
      <c r="EN43" s="92">
        <v>3866702</v>
      </c>
      <c r="EO43" s="92">
        <f t="shared" si="149"/>
        <v>379</v>
      </c>
      <c r="EP43" s="92">
        <v>4219006</v>
      </c>
      <c r="EQ43" s="92">
        <f t="shared" si="150"/>
        <v>405</v>
      </c>
      <c r="ER43" s="92">
        <v>5332421</v>
      </c>
      <c r="ES43" s="92">
        <f t="shared" si="151"/>
        <v>560</v>
      </c>
      <c r="ET43" s="92">
        <v>4369317</v>
      </c>
      <c r="EU43" s="92">
        <f t="shared" si="152"/>
        <v>375</v>
      </c>
      <c r="EV43" s="92">
        <v>4506028</v>
      </c>
      <c r="EW43" s="92">
        <f t="shared" si="153"/>
        <v>413</v>
      </c>
      <c r="EX43" s="92">
        <v>8821130</v>
      </c>
      <c r="EY43" s="92">
        <f t="shared" si="154"/>
        <v>839</v>
      </c>
      <c r="EZ43" s="92">
        <v>8731424</v>
      </c>
      <c r="FA43" s="92">
        <f t="shared" si="155"/>
        <v>1332</v>
      </c>
      <c r="FB43" s="92">
        <v>8679376</v>
      </c>
      <c r="FC43" s="92">
        <f t="shared" si="156"/>
        <v>694</v>
      </c>
      <c r="FD43" s="92">
        <v>8185320</v>
      </c>
      <c r="FE43" s="92">
        <f t="shared" si="157"/>
        <v>750</v>
      </c>
      <c r="FF43" s="92">
        <v>5161250</v>
      </c>
      <c r="FG43" s="92">
        <f t="shared" si="158"/>
        <v>628</v>
      </c>
      <c r="FH43" s="92">
        <v>3358657</v>
      </c>
      <c r="FI43" s="92">
        <f t="shared" si="159"/>
        <v>493</v>
      </c>
      <c r="FJ43" s="92">
        <v>1575258</v>
      </c>
      <c r="FK43" s="92">
        <f t="shared" si="160"/>
        <v>220</v>
      </c>
      <c r="FL43" s="92"/>
      <c r="FM43" s="92"/>
    </row>
    <row r="44" spans="1:169" ht="30" customHeight="1">
      <c r="A44" s="91">
        <v>44195</v>
      </c>
      <c r="B44" s="92">
        <v>20780626</v>
      </c>
      <c r="C44" s="88">
        <f t="shared" si="83"/>
        <v>1879</v>
      </c>
      <c r="D44" s="92">
        <v>2316782</v>
      </c>
      <c r="E44" s="88">
        <f t="shared" si="84"/>
        <v>231</v>
      </c>
      <c r="F44" s="92">
        <v>27681009</v>
      </c>
      <c r="G44" s="88">
        <f t="shared" si="85"/>
        <v>3407</v>
      </c>
      <c r="H44" s="92">
        <v>5757824</v>
      </c>
      <c r="I44" s="88">
        <f t="shared" si="86"/>
        <v>510</v>
      </c>
      <c r="J44" s="92"/>
      <c r="K44" s="92"/>
      <c r="L44" s="92">
        <v>21701452</v>
      </c>
      <c r="M44" s="92">
        <f t="shared" si="87"/>
        <v>1798</v>
      </c>
      <c r="N44" s="92">
        <v>72984743</v>
      </c>
      <c r="O44" s="92">
        <f t="shared" si="88"/>
        <v>8747</v>
      </c>
      <c r="P44" s="92">
        <v>24412</v>
      </c>
      <c r="Q44" s="92">
        <f t="shared" si="89"/>
        <v>0</v>
      </c>
      <c r="R44" s="92">
        <v>4855</v>
      </c>
      <c r="S44" s="92">
        <f t="shared" si="90"/>
        <v>0</v>
      </c>
      <c r="T44" s="92">
        <v>31676431</v>
      </c>
      <c r="U44" s="92">
        <f t="shared" si="91"/>
        <v>3570</v>
      </c>
      <c r="V44" s="92">
        <v>1628619</v>
      </c>
      <c r="W44" s="92">
        <f>V44-V43</f>
        <v>258</v>
      </c>
      <c r="X44" s="92">
        <v>1875692</v>
      </c>
      <c r="Y44" s="92">
        <f t="shared" si="93"/>
        <v>195</v>
      </c>
      <c r="Z44" s="92">
        <v>3511615</v>
      </c>
      <c r="AA44" s="88">
        <f t="shared" si="94"/>
        <v>573</v>
      </c>
      <c r="AB44" s="92"/>
      <c r="AC44" s="92"/>
      <c r="AD44" s="92">
        <v>54942346</v>
      </c>
      <c r="AE44" s="92">
        <f t="shared" si="95"/>
        <v>5723</v>
      </c>
      <c r="AF44" s="92">
        <v>9966860</v>
      </c>
      <c r="AG44" s="92">
        <f t="shared" si="96"/>
        <v>950</v>
      </c>
      <c r="AH44" s="92">
        <v>1549539</v>
      </c>
      <c r="AI44" s="92">
        <f t="shared" si="97"/>
        <v>224</v>
      </c>
      <c r="AJ44" s="92">
        <v>1772063</v>
      </c>
      <c r="AK44" s="92">
        <f t="shared" si="98"/>
        <v>187</v>
      </c>
      <c r="AL44" s="92">
        <v>4857681</v>
      </c>
      <c r="AM44" s="92">
        <f t="shared" si="99"/>
        <v>541</v>
      </c>
      <c r="AN44" s="92">
        <v>5171040</v>
      </c>
      <c r="AO44" s="92">
        <f t="shared" si="100"/>
        <v>823</v>
      </c>
      <c r="AP44" s="92"/>
      <c r="AQ44" s="92"/>
      <c r="AR44" s="92">
        <v>1147984</v>
      </c>
      <c r="AS44" s="92">
        <f t="shared" si="101"/>
        <v>304</v>
      </c>
      <c r="AT44" s="92">
        <v>3152248</v>
      </c>
      <c r="AU44" s="92">
        <f t="shared" si="102"/>
        <v>473</v>
      </c>
      <c r="AV44" s="92"/>
      <c r="AW44" s="92"/>
      <c r="AX44" s="92">
        <v>578403</v>
      </c>
      <c r="AY44" s="92">
        <f t="shared" si="103"/>
        <v>132</v>
      </c>
      <c r="AZ44" s="92">
        <v>2365308</v>
      </c>
      <c r="BA44" s="92">
        <f>AZ44-AZ43</f>
        <v>28</v>
      </c>
      <c r="BB44" s="92">
        <v>4703294</v>
      </c>
      <c r="BC44" s="92">
        <f t="shared" si="105"/>
        <v>697</v>
      </c>
      <c r="BD44" s="92">
        <v>41812128</v>
      </c>
      <c r="BE44" s="92">
        <f t="shared" si="106"/>
        <v>5654</v>
      </c>
      <c r="BF44" s="92">
        <v>59163240</v>
      </c>
      <c r="BG44" s="92">
        <f t="shared" si="107"/>
        <v>7736</v>
      </c>
      <c r="BH44" s="92">
        <v>437476</v>
      </c>
      <c r="BI44" s="92">
        <f t="shared" si="108"/>
        <v>98</v>
      </c>
      <c r="BJ44" s="92">
        <v>11288054</v>
      </c>
      <c r="BK44" s="92">
        <f t="shared" si="109"/>
        <v>1169</v>
      </c>
      <c r="BL44" s="92">
        <v>1601049</v>
      </c>
      <c r="BM44" s="92">
        <f t="shared" si="110"/>
        <v>397</v>
      </c>
      <c r="BN44" s="92">
        <v>2346403</v>
      </c>
      <c r="BO44" s="92">
        <f t="shared" si="111"/>
        <v>102</v>
      </c>
      <c r="BP44" s="92">
        <v>10726216</v>
      </c>
      <c r="BQ44" s="92">
        <f t="shared" si="112"/>
        <v>1781</v>
      </c>
      <c r="BR44" s="92">
        <v>2628335</v>
      </c>
      <c r="BS44" s="92">
        <f t="shared" si="113"/>
        <v>214</v>
      </c>
      <c r="BT44" s="92">
        <v>13104925</v>
      </c>
      <c r="BU44" s="92">
        <f t="shared" si="114"/>
        <v>1575</v>
      </c>
      <c r="BV44" s="92">
        <v>10284143</v>
      </c>
      <c r="BW44" s="92">
        <f t="shared" si="115"/>
        <v>1321</v>
      </c>
      <c r="BX44" s="92">
        <v>1582824</v>
      </c>
      <c r="BY44" s="92">
        <f t="shared" si="116"/>
        <v>171</v>
      </c>
      <c r="BZ44" s="92">
        <v>19904809</v>
      </c>
      <c r="CA44" s="92">
        <f t="shared" si="117"/>
        <v>0</v>
      </c>
      <c r="CB44" s="92">
        <v>17456099</v>
      </c>
      <c r="CC44" s="92">
        <f t="shared" si="118"/>
        <v>0</v>
      </c>
      <c r="CD44" s="92">
        <v>18114140</v>
      </c>
      <c r="CE44" s="92">
        <f t="shared" si="119"/>
        <v>74</v>
      </c>
      <c r="CF44" s="92">
        <v>14121406</v>
      </c>
      <c r="CG44" s="92">
        <f t="shared" si="120"/>
        <v>1052</v>
      </c>
      <c r="CH44" s="92">
        <v>4306048</v>
      </c>
      <c r="CI44" s="92">
        <f t="shared" si="121"/>
        <v>436</v>
      </c>
      <c r="CJ44" s="92">
        <v>4781819</v>
      </c>
      <c r="CK44" s="92">
        <f t="shared" si="122"/>
        <v>505</v>
      </c>
      <c r="CL44" s="92">
        <v>2719799</v>
      </c>
      <c r="CM44" s="92">
        <f t="shared" si="123"/>
        <v>113</v>
      </c>
      <c r="CN44" s="92">
        <v>69622672</v>
      </c>
      <c r="CO44" s="92">
        <f t="shared" si="124"/>
        <v>10256</v>
      </c>
      <c r="CP44" s="92">
        <v>4463885</v>
      </c>
      <c r="CQ44" s="92">
        <f t="shared" si="125"/>
        <v>99</v>
      </c>
      <c r="CR44" s="92">
        <v>5185184</v>
      </c>
      <c r="CS44" s="92">
        <f>CR44-CR43</f>
        <v>162</v>
      </c>
      <c r="CT44" s="92">
        <v>3059335</v>
      </c>
      <c r="CU44" s="92">
        <f t="shared" si="127"/>
        <v>249</v>
      </c>
      <c r="CV44" s="92">
        <v>41636091</v>
      </c>
      <c r="CW44" s="92">
        <f t="shared" si="128"/>
        <v>7743</v>
      </c>
      <c r="CX44" s="92">
        <v>6357298</v>
      </c>
      <c r="CY44" s="92">
        <f t="shared" si="129"/>
        <v>558</v>
      </c>
      <c r="CZ44" s="92">
        <v>6321349</v>
      </c>
      <c r="DA44" s="92">
        <f>CZ44-CZ43</f>
        <v>750</v>
      </c>
      <c r="DB44" s="92">
        <v>56728370</v>
      </c>
      <c r="DC44" s="92">
        <f t="shared" si="131"/>
        <v>4115</v>
      </c>
      <c r="DD44" s="92">
        <v>2010606</v>
      </c>
      <c r="DE44" s="92">
        <f t="shared" si="132"/>
        <v>459</v>
      </c>
      <c r="DF44" s="92">
        <v>22006033</v>
      </c>
      <c r="DG44" s="92">
        <f t="shared" si="133"/>
        <v>3541</v>
      </c>
      <c r="DH44" s="92">
        <v>32295378</v>
      </c>
      <c r="DI44" s="92">
        <f t="shared" si="134"/>
        <v>20</v>
      </c>
      <c r="DJ44" s="92"/>
      <c r="DK44" s="92"/>
      <c r="DL44" s="92">
        <v>992515</v>
      </c>
      <c r="DM44" s="92">
        <f t="shared" si="135"/>
        <v>196</v>
      </c>
      <c r="DN44" s="92">
        <v>1059746</v>
      </c>
      <c r="DO44" s="92">
        <f t="shared" si="136"/>
        <v>189</v>
      </c>
      <c r="DP44" s="92">
        <v>1196057</v>
      </c>
      <c r="DQ44" s="92">
        <f t="shared" si="137"/>
        <v>691</v>
      </c>
      <c r="DR44" s="92">
        <v>1128987</v>
      </c>
      <c r="DS44" s="92">
        <f t="shared" si="138"/>
        <v>838</v>
      </c>
      <c r="DT44" s="92">
        <v>986188</v>
      </c>
      <c r="DU44" s="92">
        <f t="shared" si="139"/>
        <v>1008</v>
      </c>
      <c r="DV44" s="92">
        <v>1302369</v>
      </c>
      <c r="DW44" s="92">
        <f t="shared" si="140"/>
        <v>1351</v>
      </c>
      <c r="DX44" s="92">
        <v>823014</v>
      </c>
      <c r="DY44" s="92">
        <f t="shared" si="141"/>
        <v>551</v>
      </c>
      <c r="DZ44" s="92">
        <v>1442</v>
      </c>
      <c r="EA44" s="92">
        <f t="shared" si="142"/>
        <v>0</v>
      </c>
      <c r="EB44" s="92">
        <v>391364</v>
      </c>
      <c r="EC44" s="92">
        <f t="shared" si="143"/>
        <v>328</v>
      </c>
      <c r="ED44" s="92">
        <v>845792</v>
      </c>
      <c r="EE44" s="92">
        <f t="shared" si="144"/>
        <v>696</v>
      </c>
      <c r="EF44" s="92">
        <v>431221</v>
      </c>
      <c r="EG44" s="92">
        <f t="shared" si="145"/>
        <v>173</v>
      </c>
      <c r="EH44" s="92">
        <v>2870</v>
      </c>
      <c r="EI44" s="92">
        <f t="shared" si="146"/>
        <v>0</v>
      </c>
      <c r="EJ44" s="92">
        <v>987545</v>
      </c>
      <c r="EK44" s="92">
        <f t="shared" si="147"/>
        <v>469</v>
      </c>
      <c r="EL44" s="92">
        <v>3493779</v>
      </c>
      <c r="EM44" s="92">
        <f t="shared" si="148"/>
        <v>328</v>
      </c>
      <c r="EN44" s="92">
        <v>3867077</v>
      </c>
      <c r="EO44" s="92">
        <f t="shared" si="149"/>
        <v>375</v>
      </c>
      <c r="EP44" s="92">
        <v>4219398</v>
      </c>
      <c r="EQ44" s="92">
        <f t="shared" si="150"/>
        <v>392</v>
      </c>
      <c r="ER44" s="92">
        <v>5332988</v>
      </c>
      <c r="ES44" s="92">
        <f t="shared" si="151"/>
        <v>567</v>
      </c>
      <c r="ET44" s="92">
        <v>4369673</v>
      </c>
      <c r="EU44" s="92">
        <f t="shared" si="152"/>
        <v>356</v>
      </c>
      <c r="EV44" s="92">
        <v>4506439</v>
      </c>
      <c r="EW44" s="92">
        <f t="shared" si="153"/>
        <v>411</v>
      </c>
      <c r="EX44" s="92">
        <v>8821978</v>
      </c>
      <c r="EY44" s="92">
        <f t="shared" si="154"/>
        <v>848</v>
      </c>
      <c r="EZ44" s="92">
        <v>8732737</v>
      </c>
      <c r="FA44" s="92">
        <f t="shared" si="155"/>
        <v>1313</v>
      </c>
      <c r="FB44" s="92">
        <v>8680066</v>
      </c>
      <c r="FC44" s="92">
        <f t="shared" si="156"/>
        <v>690</v>
      </c>
      <c r="FD44" s="92">
        <v>8186075</v>
      </c>
      <c r="FE44" s="92">
        <f t="shared" si="157"/>
        <v>755</v>
      </c>
      <c r="FF44" s="92">
        <v>5161883</v>
      </c>
      <c r="FG44" s="92">
        <f>FF44-FF43</f>
        <v>633</v>
      </c>
      <c r="FH44" s="92">
        <v>3359157</v>
      </c>
      <c r="FI44" s="92">
        <f t="shared" si="159"/>
        <v>500</v>
      </c>
      <c r="FJ44" s="92">
        <v>1575481</v>
      </c>
      <c r="FK44" s="92">
        <f t="shared" si="160"/>
        <v>223</v>
      </c>
      <c r="FL44" s="92"/>
      <c r="FM44" s="92"/>
    </row>
    <row r="45" spans="1:169" ht="30" customHeight="1">
      <c r="A45" s="91">
        <v>44196</v>
      </c>
      <c r="B45" s="92">
        <v>20782612</v>
      </c>
      <c r="C45" s="88">
        <f t="shared" si="83"/>
        <v>1986</v>
      </c>
      <c r="D45" s="92">
        <v>2317042</v>
      </c>
      <c r="E45" s="88">
        <f t="shared" si="84"/>
        <v>260</v>
      </c>
      <c r="F45" s="92">
        <v>27684404</v>
      </c>
      <c r="G45" s="88">
        <f t="shared" si="85"/>
        <v>3395</v>
      </c>
      <c r="H45" s="92">
        <v>5758327</v>
      </c>
      <c r="I45" s="88">
        <f t="shared" si="86"/>
        <v>503</v>
      </c>
      <c r="J45" s="92"/>
      <c r="K45" s="92"/>
      <c r="L45" s="92">
        <v>21703208</v>
      </c>
      <c r="M45" s="92">
        <f t="shared" si="87"/>
        <v>1756</v>
      </c>
      <c r="N45" s="92">
        <v>72994839</v>
      </c>
      <c r="O45" s="92">
        <f t="shared" si="88"/>
        <v>10096</v>
      </c>
      <c r="P45" s="92">
        <v>24415</v>
      </c>
      <c r="Q45" s="92">
        <f t="shared" si="89"/>
        <v>3</v>
      </c>
      <c r="R45" s="92">
        <v>4855</v>
      </c>
      <c r="S45" s="92">
        <f t="shared" si="90"/>
        <v>0</v>
      </c>
      <c r="T45" s="92">
        <v>31682035</v>
      </c>
      <c r="U45" s="92">
        <f t="shared" si="91"/>
        <v>5604</v>
      </c>
      <c r="V45" s="92">
        <v>1628910</v>
      </c>
      <c r="W45" s="92">
        <f>V45-V44</f>
        <v>291</v>
      </c>
      <c r="X45" s="92">
        <v>1875884</v>
      </c>
      <c r="Y45" s="92">
        <f t="shared" si="93"/>
        <v>192</v>
      </c>
      <c r="Z45" s="92">
        <v>3512201</v>
      </c>
      <c r="AA45" s="88">
        <f t="shared" si="94"/>
        <v>586</v>
      </c>
      <c r="AB45" s="92"/>
      <c r="AC45" s="92"/>
      <c r="AD45" s="92">
        <v>54948107</v>
      </c>
      <c r="AE45" s="92">
        <f t="shared" si="95"/>
        <v>5761</v>
      </c>
      <c r="AF45" s="92">
        <v>9967856</v>
      </c>
      <c r="AG45" s="92">
        <f t="shared" si="96"/>
        <v>996</v>
      </c>
      <c r="AH45" s="92">
        <v>1549755</v>
      </c>
      <c r="AI45" s="92">
        <f t="shared" si="97"/>
        <v>216</v>
      </c>
      <c r="AJ45" s="92">
        <v>1772251</v>
      </c>
      <c r="AK45" s="92">
        <f t="shared" si="98"/>
        <v>188</v>
      </c>
      <c r="AL45" s="92">
        <v>4858214</v>
      </c>
      <c r="AM45" s="92">
        <f t="shared" si="99"/>
        <v>533</v>
      </c>
      <c r="AN45" s="92">
        <v>5171881</v>
      </c>
      <c r="AO45" s="92">
        <f t="shared" si="100"/>
        <v>841</v>
      </c>
      <c r="AP45" s="92"/>
      <c r="AQ45" s="92"/>
      <c r="AR45" s="92">
        <v>1148288</v>
      </c>
      <c r="AS45" s="92">
        <f t="shared" si="101"/>
        <v>304</v>
      </c>
      <c r="AT45" s="92">
        <v>3152744</v>
      </c>
      <c r="AU45" s="92">
        <f t="shared" si="102"/>
        <v>496</v>
      </c>
      <c r="AV45" s="92"/>
      <c r="AW45" s="92"/>
      <c r="AX45" s="92">
        <v>578516</v>
      </c>
      <c r="AY45" s="92">
        <f t="shared" si="103"/>
        <v>113</v>
      </c>
      <c r="AZ45" s="92">
        <v>2365385</v>
      </c>
      <c r="BA45" s="92">
        <f>AZ45-AZ44</f>
        <v>77</v>
      </c>
      <c r="BB45" s="92">
        <v>4704053</v>
      </c>
      <c r="BC45" s="92">
        <f t="shared" si="105"/>
        <v>759</v>
      </c>
      <c r="BD45" s="92">
        <v>41817833</v>
      </c>
      <c r="BE45" s="92">
        <f t="shared" si="106"/>
        <v>5705</v>
      </c>
      <c r="BF45" s="92">
        <v>59171200</v>
      </c>
      <c r="BG45" s="92">
        <f t="shared" si="107"/>
        <v>7960</v>
      </c>
      <c r="BH45" s="92">
        <v>437576</v>
      </c>
      <c r="BI45" s="92">
        <f t="shared" si="108"/>
        <v>100</v>
      </c>
      <c r="BJ45" s="92">
        <v>11289227</v>
      </c>
      <c r="BK45" s="92">
        <f t="shared" si="109"/>
        <v>1173</v>
      </c>
      <c r="BL45" s="92">
        <v>1601450</v>
      </c>
      <c r="BM45" s="92">
        <f t="shared" si="110"/>
        <v>401</v>
      </c>
      <c r="BN45" s="92">
        <v>2346561</v>
      </c>
      <c r="BO45" s="92">
        <f t="shared" si="111"/>
        <v>158</v>
      </c>
      <c r="BP45" s="92">
        <v>10728076</v>
      </c>
      <c r="BQ45" s="92">
        <f t="shared" si="112"/>
        <v>1860</v>
      </c>
      <c r="BR45" s="92">
        <v>2628546</v>
      </c>
      <c r="BS45" s="92">
        <f t="shared" si="113"/>
        <v>211</v>
      </c>
      <c r="BT45" s="92">
        <v>13106572</v>
      </c>
      <c r="BU45" s="92">
        <f t="shared" si="114"/>
        <v>1647</v>
      </c>
      <c r="BV45" s="92">
        <v>10285536</v>
      </c>
      <c r="BW45" s="92">
        <f t="shared" si="115"/>
        <v>1393</v>
      </c>
      <c r="BX45" s="92">
        <v>1583001</v>
      </c>
      <c r="BY45" s="92">
        <f t="shared" si="116"/>
        <v>177</v>
      </c>
      <c r="BZ45" s="92">
        <v>19904809</v>
      </c>
      <c r="CA45" s="92">
        <f t="shared" si="117"/>
        <v>0</v>
      </c>
      <c r="CB45" s="92">
        <v>17456099</v>
      </c>
      <c r="CC45" s="92">
        <f t="shared" si="118"/>
        <v>0</v>
      </c>
      <c r="CD45" s="92">
        <v>18114215</v>
      </c>
      <c r="CE45" s="92">
        <f t="shared" si="119"/>
        <v>75</v>
      </c>
      <c r="CF45" s="92">
        <v>14122436</v>
      </c>
      <c r="CG45" s="92">
        <f t="shared" si="120"/>
        <v>1030</v>
      </c>
      <c r="CH45" s="92">
        <v>4306498</v>
      </c>
      <c r="CI45" s="92">
        <f t="shared" si="121"/>
        <v>450</v>
      </c>
      <c r="CJ45" s="92">
        <v>4782296</v>
      </c>
      <c r="CK45" s="92">
        <f t="shared" si="122"/>
        <v>477</v>
      </c>
      <c r="CL45" s="92">
        <v>2719904</v>
      </c>
      <c r="CM45" s="92">
        <f t="shared" si="123"/>
        <v>105</v>
      </c>
      <c r="CN45" s="92">
        <v>69630251</v>
      </c>
      <c r="CO45" s="92">
        <f t="shared" si="124"/>
        <v>7579</v>
      </c>
      <c r="CP45" s="92">
        <v>4463982</v>
      </c>
      <c r="CQ45" s="92">
        <f t="shared" si="125"/>
        <v>97</v>
      </c>
      <c r="CR45" s="92">
        <v>5185349</v>
      </c>
      <c r="CS45" s="92">
        <f>CR45-CR44</f>
        <v>165</v>
      </c>
      <c r="CT45" s="92">
        <v>3059578</v>
      </c>
      <c r="CU45" s="92">
        <f t="shared" si="127"/>
        <v>243</v>
      </c>
      <c r="CV45" s="92">
        <v>41641158</v>
      </c>
      <c r="CW45" s="92">
        <f t="shared" si="128"/>
        <v>5067</v>
      </c>
      <c r="CX45" s="92">
        <v>6357855</v>
      </c>
      <c r="CY45" s="92">
        <f t="shared" si="129"/>
        <v>557</v>
      </c>
      <c r="CZ45" s="92">
        <v>6322095</v>
      </c>
      <c r="DA45" s="92">
        <f>CZ45-CZ44</f>
        <v>746</v>
      </c>
      <c r="DB45" s="92">
        <v>56732274</v>
      </c>
      <c r="DC45" s="92">
        <f t="shared" si="131"/>
        <v>3904</v>
      </c>
      <c r="DD45" s="92">
        <v>2011090</v>
      </c>
      <c r="DE45" s="92">
        <f t="shared" si="132"/>
        <v>484</v>
      </c>
      <c r="DF45" s="92">
        <v>22009322</v>
      </c>
      <c r="DG45" s="92">
        <f t="shared" si="133"/>
        <v>3289</v>
      </c>
      <c r="DH45" s="92">
        <v>32295398</v>
      </c>
      <c r="DI45" s="92">
        <f t="shared" si="134"/>
        <v>20</v>
      </c>
      <c r="DJ45" s="92"/>
      <c r="DK45" s="92"/>
      <c r="DL45" s="92">
        <v>992716</v>
      </c>
      <c r="DM45" s="92">
        <f t="shared" si="135"/>
        <v>201</v>
      </c>
      <c r="DN45" s="92">
        <v>1059924</v>
      </c>
      <c r="DO45" s="92">
        <f t="shared" si="136"/>
        <v>178</v>
      </c>
      <c r="DP45" s="92">
        <v>1196736</v>
      </c>
      <c r="DQ45" s="92">
        <f t="shared" si="137"/>
        <v>679</v>
      </c>
      <c r="DR45" s="92">
        <v>1129784</v>
      </c>
      <c r="DS45" s="92">
        <f t="shared" si="138"/>
        <v>797</v>
      </c>
      <c r="DT45" s="92">
        <v>987150</v>
      </c>
      <c r="DU45" s="92">
        <f t="shared" si="139"/>
        <v>962</v>
      </c>
      <c r="DV45" s="92">
        <v>1303689</v>
      </c>
      <c r="DW45" s="92">
        <f t="shared" si="140"/>
        <v>1320</v>
      </c>
      <c r="DX45" s="92">
        <v>823592</v>
      </c>
      <c r="DY45" s="92">
        <f t="shared" si="141"/>
        <v>578</v>
      </c>
      <c r="DZ45" s="92">
        <v>1442</v>
      </c>
      <c r="EA45" s="92">
        <f t="shared" si="142"/>
        <v>0</v>
      </c>
      <c r="EB45" s="92">
        <v>391690</v>
      </c>
      <c r="EC45" s="92">
        <f t="shared" si="143"/>
        <v>326</v>
      </c>
      <c r="ED45" s="92">
        <v>846483</v>
      </c>
      <c r="EE45" s="92">
        <f t="shared" si="144"/>
        <v>691</v>
      </c>
      <c r="EF45" s="92">
        <v>431379</v>
      </c>
      <c r="EG45" s="92">
        <f t="shared" si="145"/>
        <v>158</v>
      </c>
      <c r="EH45" s="92">
        <v>2884</v>
      </c>
      <c r="EI45" s="92">
        <f t="shared" si="146"/>
        <v>14</v>
      </c>
      <c r="EJ45" s="92">
        <v>987976</v>
      </c>
      <c r="EK45" s="92">
        <f t="shared" si="147"/>
        <v>431</v>
      </c>
      <c r="EL45" s="92">
        <v>3494108</v>
      </c>
      <c r="EM45" s="92">
        <f t="shared" si="148"/>
        <v>329</v>
      </c>
      <c r="EN45" s="92">
        <v>3867427</v>
      </c>
      <c r="EO45" s="92">
        <f t="shared" si="149"/>
        <v>350</v>
      </c>
      <c r="EP45" s="92">
        <v>4219771</v>
      </c>
      <c r="EQ45" s="92">
        <f t="shared" si="150"/>
        <v>373</v>
      </c>
      <c r="ER45" s="92">
        <v>5333583</v>
      </c>
      <c r="ES45" s="92">
        <f t="shared" si="151"/>
        <v>595</v>
      </c>
      <c r="ET45" s="92">
        <v>4370046</v>
      </c>
      <c r="EU45" s="92">
        <f t="shared" si="152"/>
        <v>373</v>
      </c>
      <c r="EV45" s="92">
        <v>4506875</v>
      </c>
      <c r="EW45" s="92">
        <f t="shared" si="153"/>
        <v>436</v>
      </c>
      <c r="EX45" s="92">
        <v>8822826</v>
      </c>
      <c r="EY45" s="92">
        <f t="shared" si="154"/>
        <v>848</v>
      </c>
      <c r="EZ45" s="92">
        <v>8733998</v>
      </c>
      <c r="FA45" s="92">
        <f t="shared" si="155"/>
        <v>1261</v>
      </c>
      <c r="FB45" s="92">
        <v>8680769</v>
      </c>
      <c r="FC45" s="92">
        <f t="shared" si="156"/>
        <v>703</v>
      </c>
      <c r="FD45" s="92">
        <v>8186824</v>
      </c>
      <c r="FE45" s="92">
        <f t="shared" si="157"/>
        <v>749</v>
      </c>
      <c r="FF45" s="92">
        <v>5162520</v>
      </c>
      <c r="FG45" s="92">
        <f>FF45-FF44</f>
        <v>637</v>
      </c>
      <c r="FH45" s="92">
        <v>3359658</v>
      </c>
      <c r="FI45" s="92">
        <f t="shared" si="159"/>
        <v>501</v>
      </c>
      <c r="FJ45" s="92">
        <v>1575712</v>
      </c>
      <c r="FK45" s="92">
        <f t="shared" si="160"/>
        <v>231</v>
      </c>
      <c r="FL45" s="92"/>
      <c r="FM45" s="92"/>
    </row>
    <row r="47" spans="1:169">
      <c r="C47" s="95">
        <f>SUM(C15:C46)</f>
        <v>60776</v>
      </c>
      <c r="E47" s="95">
        <f>SUM(E15:E46)</f>
        <v>7108</v>
      </c>
      <c r="G47" s="95">
        <f>SUM(G15:G46)</f>
        <v>103522</v>
      </c>
      <c r="I47" s="95">
        <f>SUM(I15:I46)</f>
        <v>16121</v>
      </c>
      <c r="M47" s="95">
        <f>SUM(M15:M46)</f>
        <v>56668</v>
      </c>
      <c r="O47" s="95">
        <f>SUM(O15:O46)</f>
        <v>295577</v>
      </c>
      <c r="Q47" s="95">
        <f>SUM(Q15:Q46)</f>
        <v>325</v>
      </c>
      <c r="S47" s="95">
        <f>SUM(S15:S46)</f>
        <v>1</v>
      </c>
      <c r="U47" s="95">
        <f>SUM(U15:U46)</f>
        <v>143926</v>
      </c>
      <c r="W47" s="95">
        <f>SUM(W15:W46)</f>
        <v>7976</v>
      </c>
      <c r="Y47" s="95">
        <f>SUM(Y15:Y46)</f>
        <v>6363</v>
      </c>
      <c r="AA47" s="95">
        <f>SUM(AA15:AA46)</f>
        <v>17936</v>
      </c>
      <c r="AE47" s="95">
        <f>SUM(AE15:AE46)</f>
        <v>191551</v>
      </c>
      <c r="AG47" s="95">
        <f>SUM(AG15:AG46)</f>
        <v>37859</v>
      </c>
      <c r="AI47" s="95">
        <f>SUM(AI15:AI46)</f>
        <v>6324</v>
      </c>
      <c r="AK47" s="95">
        <f>SUM(AK15:AK46)</f>
        <v>6277</v>
      </c>
      <c r="AM47" s="95">
        <f>SUM(AM15:AM46)</f>
        <v>16945</v>
      </c>
      <c r="AO47" s="95">
        <f>SUM(AO15:AO46)</f>
        <v>25607</v>
      </c>
      <c r="AS47" s="95">
        <f>SUM(AS15:AS46)</f>
        <v>12382</v>
      </c>
      <c r="AU47" s="95">
        <f>SUM(AU15:AU46)</f>
        <v>15652</v>
      </c>
      <c r="AY47" s="95">
        <f>SUM(AY15:AY46)</f>
        <v>5114</v>
      </c>
      <c r="BA47" s="95">
        <f>SUM(BA15:BA46)</f>
        <v>2792</v>
      </c>
      <c r="BC47" s="95">
        <f>SUM(BC15:BC46)</f>
        <v>20909</v>
      </c>
      <c r="BE47" s="95">
        <f>SUM(BE15:BE46)</f>
        <v>178306</v>
      </c>
      <c r="BG47" s="95">
        <f>SUM(BG15:BG46)</f>
        <v>258582</v>
      </c>
      <c r="BI47" s="95">
        <f>SUM(BI15:BI46)</f>
        <v>3533</v>
      </c>
      <c r="BK47" s="95">
        <f>SUM(BK15:BK46)</f>
        <v>49597</v>
      </c>
      <c r="BM47" s="95">
        <f>SUM(BM15:BM46)</f>
        <v>12412</v>
      </c>
      <c r="BO47" s="95">
        <f>SUM(BO15:BO46)</f>
        <v>6719</v>
      </c>
      <c r="BQ47" s="95">
        <f>SUM(BQ15:BQ46)</f>
        <v>55343</v>
      </c>
      <c r="BS47" s="95">
        <f>SUM(BS15:BS46)</f>
        <v>6614</v>
      </c>
      <c r="BU47" s="95">
        <f>SUM(BU15:BU46)</f>
        <v>49044</v>
      </c>
      <c r="BW47" s="95">
        <f>SUM(BW15:BW46)</f>
        <v>43095</v>
      </c>
      <c r="BY47" s="95">
        <f>SUM(BY15:BY46)</f>
        <v>5859</v>
      </c>
      <c r="CA47" s="95">
        <f>SUM(CA15:CA46)</f>
        <v>1154</v>
      </c>
      <c r="CC47" s="95">
        <f>SUM(CC15:CC46)</f>
        <v>3621</v>
      </c>
      <c r="CE47" s="95">
        <f>SUM(CE15:CE46)</f>
        <v>12662</v>
      </c>
      <c r="CG47" s="95">
        <f>SUM(CG15:CG46)</f>
        <v>30729</v>
      </c>
      <c r="CI47" s="95">
        <f>SUM(CI15:CI46)</f>
        <v>13383</v>
      </c>
      <c r="CK47" s="95">
        <f>SUM(CK15:CK46)</f>
        <v>13474</v>
      </c>
      <c r="CM47" s="95">
        <f>SUM(CM15:CM46)</f>
        <v>3916</v>
      </c>
      <c r="CO47" s="95">
        <f>SUM(CO15:CO46)</f>
        <v>260235</v>
      </c>
      <c r="CQ47" s="95">
        <f>SUM(CQ15:CQ46)</f>
        <v>6443</v>
      </c>
      <c r="CS47" s="95">
        <f>SUM(CS15:CS46)</f>
        <v>5240</v>
      </c>
      <c r="CU47" s="95">
        <f>SUM(CU15:CU46)</f>
        <v>7641</v>
      </c>
      <c r="CW47" s="95">
        <f>SUM(CW15:CW46)</f>
        <v>178604</v>
      </c>
      <c r="CY47" s="95">
        <f>SUM(CY15:CY46)</f>
        <v>17425</v>
      </c>
      <c r="DA47" s="95">
        <f>SUM(DA15:DA46)</f>
        <v>23099</v>
      </c>
      <c r="DC47" s="95">
        <f>SUM(DC15:DC46)</f>
        <v>132371</v>
      </c>
      <c r="DE47" s="95">
        <f>SUM(DE15:DE46)</f>
        <v>15221</v>
      </c>
      <c r="DG47" s="95">
        <f>SUM(DG15:DG46)</f>
        <v>104974</v>
      </c>
      <c r="DI47" s="95">
        <f>SUM(DI15:DI46)</f>
        <v>8276</v>
      </c>
      <c r="DM47" s="95">
        <f>SUM(DM15:DM46)</f>
        <v>6976</v>
      </c>
      <c r="DO47" s="95">
        <f>SUM(DO15:DO46)</f>
        <v>7846</v>
      </c>
      <c r="DQ47" s="95">
        <f>SUM(DQ15:DQ46)</f>
        <v>21412</v>
      </c>
      <c r="DS47" s="96">
        <f>SUM(DS15:DS21,DS23:DS45)</f>
        <v>25105</v>
      </c>
      <c r="DU47" s="95">
        <f>SUM(DU15:DU46)</f>
        <v>29499</v>
      </c>
      <c r="DW47" s="96">
        <f>SUM(DW15:DW20,DW22:DW45)</f>
        <v>40813</v>
      </c>
      <c r="DY47" s="95">
        <f>SUM(DY15:DY46)</f>
        <v>17883</v>
      </c>
      <c r="EA47" s="95">
        <f>SUM(EA15:EA46)</f>
        <v>0</v>
      </c>
      <c r="EC47" s="95">
        <f>SUM(EC15:EC46)</f>
        <v>10129</v>
      </c>
      <c r="EE47" s="96">
        <f>SUM(EE15:EE35,EE37:EE45)</f>
        <v>20945</v>
      </c>
      <c r="EG47" s="95">
        <f>SUM(EG15:EG46)</f>
        <v>5151</v>
      </c>
      <c r="EI47" s="95">
        <f>SUM(EI15:EI46)</f>
        <v>286</v>
      </c>
      <c r="EK47" s="95">
        <f>SUM(EK15:EK46)</f>
        <v>13997</v>
      </c>
      <c r="EM47" s="95">
        <f>SUM(EM15:EM46)</f>
        <v>10373</v>
      </c>
      <c r="EO47" s="95">
        <f>SUM(EO15:EO46)</f>
        <v>11629</v>
      </c>
      <c r="EQ47" s="95">
        <f>SUM(EQ15:EQ46)</f>
        <v>12826</v>
      </c>
      <c r="ES47" s="95">
        <f>SUM(ES15:ES46)</f>
        <v>16747</v>
      </c>
      <c r="EU47" s="95">
        <f>SUM(EU15:EU46)</f>
        <v>11934</v>
      </c>
      <c r="EW47" s="95">
        <f>SUM(EW15:EW46)</f>
        <v>12916</v>
      </c>
      <c r="EY47" s="95">
        <f>SUM(EY15:EY46)</f>
        <v>26327</v>
      </c>
      <c r="FA47" s="95">
        <f>SUM(FA15:FA46)</f>
        <v>41645</v>
      </c>
      <c r="FC47" s="95">
        <f>SUM(FC15:FC46)</f>
        <v>21525</v>
      </c>
      <c r="FE47" s="95">
        <f>SUM(FE15:FE46)</f>
        <v>23264</v>
      </c>
      <c r="FG47" s="95">
        <f>SUM(FG15:FG46)</f>
        <v>19642</v>
      </c>
      <c r="FI47" s="95">
        <f>SUM(FI15:FI46)</f>
        <v>15241</v>
      </c>
      <c r="FK47" s="95">
        <f>SUM(FK15:FK46)</f>
        <v>7115</v>
      </c>
    </row>
  </sheetData>
  <mergeCells count="663">
    <mergeCell ref="AP1:AQ1"/>
    <mergeCell ref="BV1:BW1"/>
    <mergeCell ref="BF1:BG1"/>
    <mergeCell ref="P3:Q3"/>
    <mergeCell ref="AP3:AQ3"/>
    <mergeCell ref="BV3:BW3"/>
    <mergeCell ref="AX3:AY3"/>
    <mergeCell ref="AZ3:BA3"/>
    <mergeCell ref="BB3:BC3"/>
    <mergeCell ref="AD1:AE1"/>
    <mergeCell ref="AF1:AG1"/>
    <mergeCell ref="AH1:AI1"/>
    <mergeCell ref="AJ1:AK1"/>
    <mergeCell ref="AL1:AM1"/>
    <mergeCell ref="AN1:AO1"/>
    <mergeCell ref="R1:S1"/>
    <mergeCell ref="T1:U1"/>
    <mergeCell ref="V1:W1"/>
    <mergeCell ref="X1:Y1"/>
    <mergeCell ref="BD2:BE2"/>
    <mergeCell ref="AR1:AS1"/>
    <mergeCell ref="AT1:AU1"/>
    <mergeCell ref="AV1:AW1"/>
    <mergeCell ref="AX1:AY1"/>
    <mergeCell ref="P2:Q2"/>
    <mergeCell ref="AP2:AQ2"/>
    <mergeCell ref="BV2:BW2"/>
    <mergeCell ref="CH2:CI2"/>
    <mergeCell ref="P5:Q5"/>
    <mergeCell ref="BV5:BW5"/>
    <mergeCell ref="CH5:CI5"/>
    <mergeCell ref="CN5:CO5"/>
    <mergeCell ref="CH4:CI4"/>
    <mergeCell ref="AX4:AY4"/>
    <mergeCell ref="AZ4:BA4"/>
    <mergeCell ref="BB4:BC4"/>
    <mergeCell ref="BH4:BI4"/>
    <mergeCell ref="P4:Q4"/>
    <mergeCell ref="AP4:AQ4"/>
    <mergeCell ref="BV4:BW4"/>
    <mergeCell ref="R2:S2"/>
    <mergeCell ref="T2:U2"/>
    <mergeCell ref="V2:W2"/>
    <mergeCell ref="X2:Y2"/>
    <mergeCell ref="BB2:BC2"/>
    <mergeCell ref="BZ2:CA2"/>
    <mergeCell ref="CB2:CC2"/>
    <mergeCell ref="CD2:CE2"/>
    <mergeCell ref="AZ1:BA1"/>
    <mergeCell ref="BB1:BC1"/>
    <mergeCell ref="BD1:BE1"/>
    <mergeCell ref="AR2:AS2"/>
    <mergeCell ref="AT2:AU2"/>
    <mergeCell ref="AV2:AW2"/>
    <mergeCell ref="AX2:AY2"/>
    <mergeCell ref="AZ2:BA2"/>
    <mergeCell ref="BX2:BY2"/>
    <mergeCell ref="BX1:BY1"/>
    <mergeCell ref="BT2:BU2"/>
    <mergeCell ref="BZ1:CA1"/>
    <mergeCell ref="CB1:CC1"/>
    <mergeCell ref="BH1:BI1"/>
    <mergeCell ref="BJ1:BK1"/>
    <mergeCell ref="BL1:BM1"/>
    <mergeCell ref="BN1:BO1"/>
    <mergeCell ref="BP1:BQ1"/>
    <mergeCell ref="BR1:BS1"/>
    <mergeCell ref="BT1:BU1"/>
    <mergeCell ref="B1:C1"/>
    <mergeCell ref="D1:E1"/>
    <mergeCell ref="F1:G1"/>
    <mergeCell ref="H1:I1"/>
    <mergeCell ref="J1:K1"/>
    <mergeCell ref="L1:M1"/>
    <mergeCell ref="N1:O1"/>
    <mergeCell ref="Z1:AA1"/>
    <mergeCell ref="AB1:AC1"/>
    <mergeCell ref="P1:Q1"/>
    <mergeCell ref="CD1:CE1"/>
    <mergeCell ref="CF1:CG1"/>
    <mergeCell ref="CJ1:CK1"/>
    <mergeCell ref="CL1:CM1"/>
    <mergeCell ref="CP1:CQ1"/>
    <mergeCell ref="CR1:CS1"/>
    <mergeCell ref="DH1:DI1"/>
    <mergeCell ref="DJ1:DK1"/>
    <mergeCell ref="DX1:DY1"/>
    <mergeCell ref="DN1:DO1"/>
    <mergeCell ref="DP1:DQ1"/>
    <mergeCell ref="DR1:DS1"/>
    <mergeCell ref="DT1:DU1"/>
    <mergeCell ref="DV1:DW1"/>
    <mergeCell ref="CV1:CW1"/>
    <mergeCell ref="CX1:CY1"/>
    <mergeCell ref="CZ1:DA1"/>
    <mergeCell ref="DB1:DC1"/>
    <mergeCell ref="DD1:DE1"/>
    <mergeCell ref="DF1:DG1"/>
    <mergeCell ref="DL1:DM1"/>
    <mergeCell ref="CH1:CI1"/>
    <mergeCell ref="CN1:CO1"/>
    <mergeCell ref="CT1:CU1"/>
    <mergeCell ref="DZ1:EA1"/>
    <mergeCell ref="EB1:EC1"/>
    <mergeCell ref="ED1:EE1"/>
    <mergeCell ref="EF1:EG1"/>
    <mergeCell ref="EH1:EI1"/>
    <mergeCell ref="EJ1:EK1"/>
    <mergeCell ref="EL1:EM1"/>
    <mergeCell ref="EN1:EO1"/>
    <mergeCell ref="EP1:EQ1"/>
    <mergeCell ref="ER1:ES1"/>
    <mergeCell ref="ET1:EU1"/>
    <mergeCell ref="EV1:EW1"/>
    <mergeCell ref="EX1:EY1"/>
    <mergeCell ref="EZ1:FA1"/>
    <mergeCell ref="FB1:FC1"/>
    <mergeCell ref="FD1:FE1"/>
    <mergeCell ref="FF1:FG1"/>
    <mergeCell ref="FH1:FI1"/>
    <mergeCell ref="FJ1:FK1"/>
    <mergeCell ref="FL1:FM1"/>
    <mergeCell ref="B2:C2"/>
    <mergeCell ref="D2:E2"/>
    <mergeCell ref="F2:G2"/>
    <mergeCell ref="H2:I2"/>
    <mergeCell ref="J2:K2"/>
    <mergeCell ref="L2:M2"/>
    <mergeCell ref="N2:O2"/>
    <mergeCell ref="Z2:AA2"/>
    <mergeCell ref="AB2:AC2"/>
    <mergeCell ref="AD2:AE2"/>
    <mergeCell ref="AF2:AG2"/>
    <mergeCell ref="AH2:AI2"/>
    <mergeCell ref="AJ2:AK2"/>
    <mergeCell ref="AL2:AM2"/>
    <mergeCell ref="AN2:AO2"/>
    <mergeCell ref="BF2:BG2"/>
    <mergeCell ref="BH2:BI2"/>
    <mergeCell ref="BJ2:BK2"/>
    <mergeCell ref="BL2:BM2"/>
    <mergeCell ref="BN2:BO2"/>
    <mergeCell ref="BP2:BQ2"/>
    <mergeCell ref="BR2:BS2"/>
    <mergeCell ref="CF2:CG2"/>
    <mergeCell ref="CJ2:CK2"/>
    <mergeCell ref="CL2:CM2"/>
    <mergeCell ref="CP2:CQ2"/>
    <mergeCell ref="CR2:CS2"/>
    <mergeCell ref="DH2:DI2"/>
    <mergeCell ref="DJ2:DK2"/>
    <mergeCell ref="DX2:DY2"/>
    <mergeCell ref="DN2:DO2"/>
    <mergeCell ref="DP2:DQ2"/>
    <mergeCell ref="DR2:DS2"/>
    <mergeCell ref="DT2:DU2"/>
    <mergeCell ref="DV2:DW2"/>
    <mergeCell ref="DF2:DG2"/>
    <mergeCell ref="CV2:CW2"/>
    <mergeCell ref="CX2:CY2"/>
    <mergeCell ref="CZ2:DA2"/>
    <mergeCell ref="DB2:DC2"/>
    <mergeCell ref="DD2:DE2"/>
    <mergeCell ref="CN2:CO2"/>
    <mergeCell ref="CT2:CU2"/>
    <mergeCell ref="DL2:DM2"/>
    <mergeCell ref="DZ2:EA2"/>
    <mergeCell ref="EB2:EC2"/>
    <mergeCell ref="ED2:EE2"/>
    <mergeCell ref="EF2:EG2"/>
    <mergeCell ref="EH2:EI2"/>
    <mergeCell ref="EJ2:EK2"/>
    <mergeCell ref="EL2:EM2"/>
    <mergeCell ref="EN2:EO2"/>
    <mergeCell ref="EP2:EQ2"/>
    <mergeCell ref="ER2:ES2"/>
    <mergeCell ref="ET2:EU2"/>
    <mergeCell ref="EV2:EW2"/>
    <mergeCell ref="EX2:EY2"/>
    <mergeCell ref="EZ2:FA2"/>
    <mergeCell ref="FB2:FC2"/>
    <mergeCell ref="FD2:FE2"/>
    <mergeCell ref="FF2:FG2"/>
    <mergeCell ref="FH2:FI2"/>
    <mergeCell ref="FJ2:FK2"/>
    <mergeCell ref="FL2:FM2"/>
    <mergeCell ref="B3:C3"/>
    <mergeCell ref="D3:E3"/>
    <mergeCell ref="F3:G3"/>
    <mergeCell ref="H3:I3"/>
    <mergeCell ref="J3:K3"/>
    <mergeCell ref="L3:M3"/>
    <mergeCell ref="N3:O3"/>
    <mergeCell ref="R3:S3"/>
    <mergeCell ref="T3:U3"/>
    <mergeCell ref="V3:W3"/>
    <mergeCell ref="X3:Y3"/>
    <mergeCell ref="Z3:AA3"/>
    <mergeCell ref="AB3:AC3"/>
    <mergeCell ref="AD3:AE3"/>
    <mergeCell ref="AF3:AG3"/>
    <mergeCell ref="AH3:AI3"/>
    <mergeCell ref="AJ3:AK3"/>
    <mergeCell ref="AL3:AM3"/>
    <mergeCell ref="AN3:AO3"/>
    <mergeCell ref="AR3:AS3"/>
    <mergeCell ref="AT3:AU3"/>
    <mergeCell ref="AV3:AW3"/>
    <mergeCell ref="BD3:BE3"/>
    <mergeCell ref="BF3:BG3"/>
    <mergeCell ref="BH3:BI3"/>
    <mergeCell ref="BJ3:BK3"/>
    <mergeCell ref="BL3:BM3"/>
    <mergeCell ref="BN3:BO3"/>
    <mergeCell ref="BP3:BQ3"/>
    <mergeCell ref="BR3:BS3"/>
    <mergeCell ref="BT3:BU3"/>
    <mergeCell ref="BX3:BY3"/>
    <mergeCell ref="BZ3:CA3"/>
    <mergeCell ref="CB3:CC3"/>
    <mergeCell ref="CD3:CE3"/>
    <mergeCell ref="CJ3:CK3"/>
    <mergeCell ref="CL3:CM3"/>
    <mergeCell ref="CP3:CQ3"/>
    <mergeCell ref="CR3:CS3"/>
    <mergeCell ref="CV3:CW3"/>
    <mergeCell ref="CH3:CI3"/>
    <mergeCell ref="CN3:CO3"/>
    <mergeCell ref="CT3:CU3"/>
    <mergeCell ref="CX3:CY3"/>
    <mergeCell ref="CZ3:DA3"/>
    <mergeCell ref="DB3:DC3"/>
    <mergeCell ref="DD3:DE3"/>
    <mergeCell ref="DF3:DG3"/>
    <mergeCell ref="DH3:DI3"/>
    <mergeCell ref="DJ3:DK3"/>
    <mergeCell ref="DN3:DO3"/>
    <mergeCell ref="DP3:DQ3"/>
    <mergeCell ref="DL3:DM3"/>
    <mergeCell ref="DR3:DS3"/>
    <mergeCell ref="DT3:DU3"/>
    <mergeCell ref="DV3:DW3"/>
    <mergeCell ref="DX3:DY3"/>
    <mergeCell ref="DZ3:EA3"/>
    <mergeCell ref="EB3:EC3"/>
    <mergeCell ref="ED3:EE3"/>
    <mergeCell ref="EF3:EG3"/>
    <mergeCell ref="EH3:EI3"/>
    <mergeCell ref="EJ3:EK3"/>
    <mergeCell ref="EL3:EM3"/>
    <mergeCell ref="EN3:EO3"/>
    <mergeCell ref="EP3:EQ3"/>
    <mergeCell ref="ER3:ES3"/>
    <mergeCell ref="ET3:EU3"/>
    <mergeCell ref="EV3:EW3"/>
    <mergeCell ref="EX3:EY3"/>
    <mergeCell ref="EZ3:FA3"/>
    <mergeCell ref="FB3:FC3"/>
    <mergeCell ref="FD3:FE3"/>
    <mergeCell ref="FF3:FG3"/>
    <mergeCell ref="FH3:FI3"/>
    <mergeCell ref="FJ3:FK3"/>
    <mergeCell ref="FL3:FM3"/>
    <mergeCell ref="B4:C4"/>
    <mergeCell ref="D4:E4"/>
    <mergeCell ref="H4:I4"/>
    <mergeCell ref="J4:K4"/>
    <mergeCell ref="N4:O4"/>
    <mergeCell ref="R4:S4"/>
    <mergeCell ref="V4:W4"/>
    <mergeCell ref="X4:Y4"/>
    <mergeCell ref="Z4:AA4"/>
    <mergeCell ref="AB4:AC4"/>
    <mergeCell ref="AF4:AG4"/>
    <mergeCell ref="AH4:AI4"/>
    <mergeCell ref="AJ4:AK4"/>
    <mergeCell ref="AL4:AM4"/>
    <mergeCell ref="AN4:AO4"/>
    <mergeCell ref="AR4:AS4"/>
    <mergeCell ref="AT4:AU4"/>
    <mergeCell ref="AV4:AW4"/>
    <mergeCell ref="BJ4:BK4"/>
    <mergeCell ref="BL4:BM4"/>
    <mergeCell ref="BN4:BO4"/>
    <mergeCell ref="BP4:BQ4"/>
    <mergeCell ref="BR4:BS4"/>
    <mergeCell ref="BT4:BU4"/>
    <mergeCell ref="BX4:BY4"/>
    <mergeCell ref="BZ4:CA4"/>
    <mergeCell ref="CB4:CC4"/>
    <mergeCell ref="CD4:CE4"/>
    <mergeCell ref="CF4:CG4"/>
    <mergeCell ref="CJ4:CK4"/>
    <mergeCell ref="CL4:CM4"/>
    <mergeCell ref="CP4:CQ4"/>
    <mergeCell ref="CR4:CS4"/>
    <mergeCell ref="CV4:CW4"/>
    <mergeCell ref="CX4:CY4"/>
    <mergeCell ref="CZ4:DA4"/>
    <mergeCell ref="CT4:CU4"/>
    <mergeCell ref="DD4:DE4"/>
    <mergeCell ref="DF4:DG4"/>
    <mergeCell ref="DH4:DI4"/>
    <mergeCell ref="DJ4:DK4"/>
    <mergeCell ref="DN4:DO4"/>
    <mergeCell ref="DP4:DQ4"/>
    <mergeCell ref="DR4:DS4"/>
    <mergeCell ref="DT4:DU4"/>
    <mergeCell ref="DV4:DW4"/>
    <mergeCell ref="DL4:DM4"/>
    <mergeCell ref="DX4:DY4"/>
    <mergeCell ref="DZ4:EA4"/>
    <mergeCell ref="EB4:EC4"/>
    <mergeCell ref="ED4:EE4"/>
    <mergeCell ref="EF4:EG4"/>
    <mergeCell ref="EH4:EI4"/>
    <mergeCell ref="EJ4:EK4"/>
    <mergeCell ref="EL4:EM4"/>
    <mergeCell ref="EN4:EO4"/>
    <mergeCell ref="EP4:EQ4"/>
    <mergeCell ref="ER4:ES4"/>
    <mergeCell ref="ET4:EU4"/>
    <mergeCell ref="EV4:EW4"/>
    <mergeCell ref="EX4:EY4"/>
    <mergeCell ref="EZ4:FA4"/>
    <mergeCell ref="FB4:FC4"/>
    <mergeCell ref="FD4:FE4"/>
    <mergeCell ref="FF4:FG4"/>
    <mergeCell ref="FH4:FI4"/>
    <mergeCell ref="FJ4:FK4"/>
    <mergeCell ref="FL4:FM4"/>
    <mergeCell ref="B5:C5"/>
    <mergeCell ref="D5:E5"/>
    <mergeCell ref="F5:G5"/>
    <mergeCell ref="H5:I5"/>
    <mergeCell ref="J5:K5"/>
    <mergeCell ref="L5:M5"/>
    <mergeCell ref="N5:O5"/>
    <mergeCell ref="R5:S5"/>
    <mergeCell ref="T5:U5"/>
    <mergeCell ref="V5:W5"/>
    <mergeCell ref="X5:Y5"/>
    <mergeCell ref="Z5:AA5"/>
    <mergeCell ref="AB5:AC5"/>
    <mergeCell ref="AD5:AE5"/>
    <mergeCell ref="AF5:AG5"/>
    <mergeCell ref="AH5:AI5"/>
    <mergeCell ref="AJ5:AK5"/>
    <mergeCell ref="AL5:AM5"/>
    <mergeCell ref="AN5:AO5"/>
    <mergeCell ref="AP5:AQ5"/>
    <mergeCell ref="AR5:AS5"/>
    <mergeCell ref="AT5:AU5"/>
    <mergeCell ref="AV5:AW5"/>
    <mergeCell ref="AX5:AY5"/>
    <mergeCell ref="AZ5:BA5"/>
    <mergeCell ref="BB5:BC5"/>
    <mergeCell ref="BD5:BE5"/>
    <mergeCell ref="BF5:BG5"/>
    <mergeCell ref="BH5:BI5"/>
    <mergeCell ref="BJ5:BK5"/>
    <mergeCell ref="BL5:BM5"/>
    <mergeCell ref="BN5:BO5"/>
    <mergeCell ref="BP5:BQ5"/>
    <mergeCell ref="BR5:BS5"/>
    <mergeCell ref="BT5:BU5"/>
    <mergeCell ref="BX5:BY5"/>
    <mergeCell ref="BZ5:CA5"/>
    <mergeCell ref="CB5:CC5"/>
    <mergeCell ref="CD5:CE5"/>
    <mergeCell ref="CF5:CG5"/>
    <mergeCell ref="CJ5:CK5"/>
    <mergeCell ref="CL5:CM5"/>
    <mergeCell ref="CP5:CQ5"/>
    <mergeCell ref="CR5:CS5"/>
    <mergeCell ref="CV5:CW5"/>
    <mergeCell ref="CX5:CY5"/>
    <mergeCell ref="CZ5:DA5"/>
    <mergeCell ref="DB5:DC5"/>
    <mergeCell ref="CT5:CU5"/>
    <mergeCell ref="DD5:DE5"/>
    <mergeCell ref="DF5:DG5"/>
    <mergeCell ref="DH5:DI5"/>
    <mergeCell ref="DJ5:DK5"/>
    <mergeCell ref="DN5:DO5"/>
    <mergeCell ref="DP5:DQ5"/>
    <mergeCell ref="DR5:DS5"/>
    <mergeCell ref="DT5:DU5"/>
    <mergeCell ref="DV5:DW5"/>
    <mergeCell ref="DL5:DM5"/>
    <mergeCell ref="DX5:DY5"/>
    <mergeCell ref="DZ5:EA5"/>
    <mergeCell ref="EB5:EC5"/>
    <mergeCell ref="ED5:EE5"/>
    <mergeCell ref="EF5:EG5"/>
    <mergeCell ref="EH5:EI5"/>
    <mergeCell ref="EJ5:EK5"/>
    <mergeCell ref="EL5:EM5"/>
    <mergeCell ref="EN5:EO5"/>
    <mergeCell ref="EP5:EQ5"/>
    <mergeCell ref="ER5:ES5"/>
    <mergeCell ref="ET5:EU5"/>
    <mergeCell ref="EV5:EW5"/>
    <mergeCell ref="EX5:EY5"/>
    <mergeCell ref="EZ5:FA5"/>
    <mergeCell ref="FB5:FC5"/>
    <mergeCell ref="FD5:FE5"/>
    <mergeCell ref="FF5:FG5"/>
    <mergeCell ref="FH5:FI5"/>
    <mergeCell ref="FJ5:FK5"/>
    <mergeCell ref="FL5:FM5"/>
    <mergeCell ref="B6:C6"/>
    <mergeCell ref="D6:E6"/>
    <mergeCell ref="F6:G6"/>
    <mergeCell ref="H6:I6"/>
    <mergeCell ref="J6:K6"/>
    <mergeCell ref="L6:M6"/>
    <mergeCell ref="N6:O6"/>
    <mergeCell ref="P6:Q6"/>
    <mergeCell ref="R6:S6"/>
    <mergeCell ref="T6:U6"/>
    <mergeCell ref="V6:W6"/>
    <mergeCell ref="X6:Y6"/>
    <mergeCell ref="Z6:AA6"/>
    <mergeCell ref="AB6:AC6"/>
    <mergeCell ref="AD6:AE6"/>
    <mergeCell ref="AF6:AG6"/>
    <mergeCell ref="AH6:AI6"/>
    <mergeCell ref="AJ6:AK6"/>
    <mergeCell ref="AL6:AM6"/>
    <mergeCell ref="AN6:AO6"/>
    <mergeCell ref="AP6:AQ6"/>
    <mergeCell ref="AR6:AS6"/>
    <mergeCell ref="AT6:AU6"/>
    <mergeCell ref="AV6:AW6"/>
    <mergeCell ref="AX6:AY6"/>
    <mergeCell ref="AZ6:BA6"/>
    <mergeCell ref="BB6:BC6"/>
    <mergeCell ref="BD6:BE6"/>
    <mergeCell ref="BF6:BG6"/>
    <mergeCell ref="BH6:BI6"/>
    <mergeCell ref="BJ6:BK6"/>
    <mergeCell ref="BL6:BM6"/>
    <mergeCell ref="BN6:BO6"/>
    <mergeCell ref="BP6:BQ6"/>
    <mergeCell ref="BR6:BS6"/>
    <mergeCell ref="BT6:BU6"/>
    <mergeCell ref="BV6:BW6"/>
    <mergeCell ref="BX6:BY6"/>
    <mergeCell ref="BZ6:CA6"/>
    <mergeCell ref="CB6:CC6"/>
    <mergeCell ref="CD6:CE6"/>
    <mergeCell ref="CF6:CG6"/>
    <mergeCell ref="CH6:CI6"/>
    <mergeCell ref="CJ6:CK6"/>
    <mergeCell ref="CL6:CM6"/>
    <mergeCell ref="CN6:CO6"/>
    <mergeCell ref="CP6:CQ6"/>
    <mergeCell ref="CR6:CS6"/>
    <mergeCell ref="CT6:CU6"/>
    <mergeCell ref="CV6:CW6"/>
    <mergeCell ref="CX6:CY6"/>
    <mergeCell ref="CZ6:DA6"/>
    <mergeCell ref="DB6:DC6"/>
    <mergeCell ref="DD6:DE6"/>
    <mergeCell ref="DF6:DG6"/>
    <mergeCell ref="DH6:DI6"/>
    <mergeCell ref="DJ6:DK6"/>
    <mergeCell ref="DL6:DM6"/>
    <mergeCell ref="DN6:DO6"/>
    <mergeCell ref="DP6:DQ6"/>
    <mergeCell ref="DR6:DS6"/>
    <mergeCell ref="DT6:DU6"/>
    <mergeCell ref="DV6:DW6"/>
    <mergeCell ref="DX6:DY6"/>
    <mergeCell ref="DZ6:EA6"/>
    <mergeCell ref="EB6:EC6"/>
    <mergeCell ref="ED6:EE6"/>
    <mergeCell ref="EF6:EG6"/>
    <mergeCell ref="EH6:EI6"/>
    <mergeCell ref="EJ6:EK6"/>
    <mergeCell ref="EL6:EM6"/>
    <mergeCell ref="EN6:EO6"/>
    <mergeCell ref="EP6:EQ6"/>
    <mergeCell ref="ER6:ES6"/>
    <mergeCell ref="ET6:EU6"/>
    <mergeCell ref="EV6:EW6"/>
    <mergeCell ref="EX6:EY6"/>
    <mergeCell ref="EZ6:FA6"/>
    <mergeCell ref="FB6:FC6"/>
    <mergeCell ref="FD6:FE6"/>
    <mergeCell ref="FF6:FG6"/>
    <mergeCell ref="FH6:FI6"/>
    <mergeCell ref="FJ6:FK6"/>
    <mergeCell ref="FL6:FM6"/>
    <mergeCell ref="B7:C7"/>
    <mergeCell ref="D7:E7"/>
    <mergeCell ref="F7:G7"/>
    <mergeCell ref="H7:I7"/>
    <mergeCell ref="J7:K7"/>
    <mergeCell ref="L7:M7"/>
    <mergeCell ref="N7:O7"/>
    <mergeCell ref="P7:Q7"/>
    <mergeCell ref="R7:S7"/>
    <mergeCell ref="T7:U7"/>
    <mergeCell ref="V7:W7"/>
    <mergeCell ref="X7:Y7"/>
    <mergeCell ref="Z7:AA7"/>
    <mergeCell ref="AB7:AC7"/>
    <mergeCell ref="AD7:AE7"/>
    <mergeCell ref="AF7:AG7"/>
    <mergeCell ref="AH7:AI7"/>
    <mergeCell ref="AJ7:AK7"/>
    <mergeCell ref="AL7:AM7"/>
    <mergeCell ref="AN7:AO7"/>
    <mergeCell ref="AP7:AQ7"/>
    <mergeCell ref="AR7:AS7"/>
    <mergeCell ref="AT7:AU7"/>
    <mergeCell ref="AV7:AW7"/>
    <mergeCell ref="AX7:AY7"/>
    <mergeCell ref="AZ7:BA7"/>
    <mergeCell ref="BB7:BC7"/>
    <mergeCell ref="BD7:BE7"/>
    <mergeCell ref="BF7:BG7"/>
    <mergeCell ref="BH7:BI7"/>
    <mergeCell ref="BJ7:BK7"/>
    <mergeCell ref="BL7:BM7"/>
    <mergeCell ref="BN7:BO7"/>
    <mergeCell ref="BP7:BQ7"/>
    <mergeCell ref="BR7:BS7"/>
    <mergeCell ref="BT7:BU7"/>
    <mergeCell ref="BV7:BW7"/>
    <mergeCell ref="BX7:BY7"/>
    <mergeCell ref="BZ7:CA7"/>
    <mergeCell ref="CB7:CC7"/>
    <mergeCell ref="CD7:CE7"/>
    <mergeCell ref="CF7:CG7"/>
    <mergeCell ref="CH7:CI7"/>
    <mergeCell ref="CJ7:CK7"/>
    <mergeCell ref="CL7:CM7"/>
    <mergeCell ref="CN7:CO7"/>
    <mergeCell ref="CP7:CQ7"/>
    <mergeCell ref="CR7:CS7"/>
    <mergeCell ref="CT7:CU7"/>
    <mergeCell ref="CV7:CW7"/>
    <mergeCell ref="CX7:CY7"/>
    <mergeCell ref="CZ7:DA7"/>
    <mergeCell ref="DB7:DC7"/>
    <mergeCell ref="DD7:DE7"/>
    <mergeCell ref="DF7:DG7"/>
    <mergeCell ref="DH7:DI7"/>
    <mergeCell ref="DJ7:DK7"/>
    <mergeCell ref="DL7:DM7"/>
    <mergeCell ref="DN7:DO7"/>
    <mergeCell ref="DP7:DQ7"/>
    <mergeCell ref="DR7:DS7"/>
    <mergeCell ref="DT7:DU7"/>
    <mergeCell ref="DV7:DW7"/>
    <mergeCell ref="DX7:DY7"/>
    <mergeCell ref="DZ7:EA7"/>
    <mergeCell ref="EB7:EC7"/>
    <mergeCell ref="ED7:EE7"/>
    <mergeCell ref="EF7:EG7"/>
    <mergeCell ref="EH7:EI7"/>
    <mergeCell ref="EJ7:EK7"/>
    <mergeCell ref="EL7:EM7"/>
    <mergeCell ref="EN7:EO7"/>
    <mergeCell ref="EP7:EQ7"/>
    <mergeCell ref="ER7:ES7"/>
    <mergeCell ref="ET7:EU7"/>
    <mergeCell ref="EV7:EW7"/>
    <mergeCell ref="EX7:EY7"/>
    <mergeCell ref="EZ7:FA7"/>
    <mergeCell ref="FB7:FC7"/>
    <mergeCell ref="FD7:FE7"/>
    <mergeCell ref="FF7:FG7"/>
    <mergeCell ref="FH7:FI7"/>
    <mergeCell ref="FJ7:FK7"/>
    <mergeCell ref="FL7:FM7"/>
    <mergeCell ref="B8:C8"/>
    <mergeCell ref="D8:E8"/>
    <mergeCell ref="F8:G8"/>
    <mergeCell ref="H8:I8"/>
    <mergeCell ref="J8:K8"/>
    <mergeCell ref="L8:M8"/>
    <mergeCell ref="N8:O8"/>
    <mergeCell ref="P8:Q8"/>
    <mergeCell ref="R8:S8"/>
    <mergeCell ref="T8:U8"/>
    <mergeCell ref="V8:W8"/>
    <mergeCell ref="X8:Y8"/>
    <mergeCell ref="Z8:AA8"/>
    <mergeCell ref="AB8:AC8"/>
    <mergeCell ref="AD8:AE8"/>
    <mergeCell ref="AF8:AG8"/>
    <mergeCell ref="AH8:AI8"/>
    <mergeCell ref="AJ8:AK8"/>
    <mergeCell ref="AL8:AM8"/>
    <mergeCell ref="AN8:AO8"/>
    <mergeCell ref="AP8:AQ8"/>
    <mergeCell ref="AR8:AS8"/>
    <mergeCell ref="AT8:AU8"/>
    <mergeCell ref="AV8:AW8"/>
    <mergeCell ref="AX8:AY8"/>
    <mergeCell ref="AZ8:BA8"/>
    <mergeCell ref="BB8:BC8"/>
    <mergeCell ref="BD8:BE8"/>
    <mergeCell ref="BF8:BG8"/>
    <mergeCell ref="BH8:BI8"/>
    <mergeCell ref="BJ8:BK8"/>
    <mergeCell ref="BL8:BM8"/>
    <mergeCell ref="BN8:BO8"/>
    <mergeCell ref="BP8:BQ8"/>
    <mergeCell ref="BR8:BS8"/>
    <mergeCell ref="BT8:BU8"/>
    <mergeCell ref="BV8:BW8"/>
    <mergeCell ref="BX8:BY8"/>
    <mergeCell ref="BZ8:CA8"/>
    <mergeCell ref="CB8:CC8"/>
    <mergeCell ref="CD8:CE8"/>
    <mergeCell ref="CF8:CG8"/>
    <mergeCell ref="CH8:CI8"/>
    <mergeCell ref="CJ8:CK8"/>
    <mergeCell ref="CL8:CM8"/>
    <mergeCell ref="CN8:CO8"/>
    <mergeCell ref="CP8:CQ8"/>
    <mergeCell ref="CR8:CS8"/>
    <mergeCell ref="CT8:CU8"/>
    <mergeCell ref="CV8:CW8"/>
    <mergeCell ref="CX8:CY8"/>
    <mergeCell ref="CZ8:DA8"/>
    <mergeCell ref="DB8:DC8"/>
    <mergeCell ref="DD8:DE8"/>
    <mergeCell ref="DF8:DG8"/>
    <mergeCell ref="DH8:DI8"/>
    <mergeCell ref="DJ8:DK8"/>
    <mergeCell ref="DL8:DM8"/>
    <mergeCell ref="DN8:DO8"/>
    <mergeCell ref="DP8:DQ8"/>
    <mergeCell ref="DR8:DS8"/>
    <mergeCell ref="DT8:DU8"/>
    <mergeCell ref="DV8:DW8"/>
    <mergeCell ref="DX8:DY8"/>
    <mergeCell ref="DZ8:EA8"/>
    <mergeCell ref="EB8:EC8"/>
    <mergeCell ref="ED8:EE8"/>
    <mergeCell ref="EF8:EG8"/>
    <mergeCell ref="EH8:EI8"/>
    <mergeCell ref="EJ8:EK8"/>
    <mergeCell ref="EL8:EM8"/>
    <mergeCell ref="EN8:EO8"/>
    <mergeCell ref="EP8:EQ8"/>
    <mergeCell ref="ER8:ES8"/>
    <mergeCell ref="ET8:EU8"/>
    <mergeCell ref="EV8:EW8"/>
    <mergeCell ref="EX8:EY8"/>
    <mergeCell ref="EZ8:FA8"/>
    <mergeCell ref="FB8:FC8"/>
    <mergeCell ref="FD8:FE8"/>
    <mergeCell ref="FF8:FG8"/>
    <mergeCell ref="FH8:FI8"/>
    <mergeCell ref="FJ8:FK8"/>
    <mergeCell ref="FL8:FM8"/>
  </mergeCells>
  <phoneticPr fontId="30"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88"/>
  <sheetViews>
    <sheetView topLeftCell="A2" zoomScale="55" zoomScaleNormal="55" workbookViewId="0">
      <pane xSplit="2" ySplit="3" topLeftCell="C5" activePane="bottomRight" state="frozen"/>
      <selection pane="topRight" activeCell="C2" sqref="C2"/>
      <selection pane="bottomLeft" activeCell="A5" sqref="A5"/>
      <selection pane="bottomRight" activeCell="G22" sqref="G22"/>
    </sheetView>
  </sheetViews>
  <sheetFormatPr defaultRowHeight="31.5"/>
  <cols>
    <col min="1" max="1" width="25.7109375" style="9" customWidth="1"/>
    <col min="2" max="2" width="2.42578125" customWidth="1"/>
    <col min="3" max="4" width="25.7109375" customWidth="1"/>
    <col min="5" max="20" width="25.7109375" style="54" customWidth="1"/>
    <col min="21" max="21" width="5.7109375" style="54" customWidth="1"/>
    <col min="22" max="39" width="25.7109375" style="54" customWidth="1"/>
    <col min="40" max="40" width="5.7109375" style="54" customWidth="1"/>
    <col min="41" max="58" width="25.7109375" style="54" customWidth="1"/>
    <col min="59" max="59" width="5.7109375" style="54" customWidth="1"/>
    <col min="60" max="96" width="25.7109375" style="54" customWidth="1"/>
    <col min="97" max="101" width="25.7109375" customWidth="1"/>
  </cols>
  <sheetData>
    <row r="1" spans="1:97" s="12" customFormat="1" ht="49.5" customHeight="1">
      <c r="A1" s="110"/>
      <c r="B1" s="110"/>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row>
    <row r="2" spans="1:97" s="58" customFormat="1" ht="113.25" customHeight="1">
      <c r="A2" s="57"/>
      <c r="B2" s="69"/>
      <c r="C2" s="277" t="s">
        <v>348</v>
      </c>
      <c r="D2" s="277"/>
      <c r="E2" s="277" t="s">
        <v>349</v>
      </c>
      <c r="F2" s="277"/>
      <c r="G2" s="277" t="s">
        <v>350</v>
      </c>
      <c r="H2" s="277"/>
      <c r="I2" s="277" t="s">
        <v>351</v>
      </c>
      <c r="J2" s="277"/>
      <c r="K2" s="277" t="s">
        <v>352</v>
      </c>
      <c r="L2" s="277"/>
      <c r="M2" s="277" t="s">
        <v>353</v>
      </c>
      <c r="N2" s="277"/>
      <c r="O2" s="277" t="s">
        <v>354</v>
      </c>
      <c r="P2" s="277"/>
      <c r="Q2" s="277" t="s">
        <v>355</v>
      </c>
      <c r="R2" s="277"/>
      <c r="S2" s="277" t="s">
        <v>356</v>
      </c>
      <c r="T2" s="277"/>
      <c r="V2" s="277" t="s">
        <v>357</v>
      </c>
      <c r="W2" s="277"/>
      <c r="X2" s="277" t="s">
        <v>358</v>
      </c>
      <c r="Y2" s="277"/>
      <c r="Z2" s="277" t="s">
        <v>359</v>
      </c>
      <c r="AA2" s="277"/>
      <c r="AB2" s="277" t="s">
        <v>360</v>
      </c>
      <c r="AC2" s="277"/>
      <c r="AD2" s="277" t="s">
        <v>361</v>
      </c>
      <c r="AE2" s="277"/>
      <c r="AF2" s="277" t="s">
        <v>362</v>
      </c>
      <c r="AG2" s="277"/>
      <c r="AH2" s="277" t="s">
        <v>363</v>
      </c>
      <c r="AI2" s="277"/>
      <c r="AJ2" s="277" t="s">
        <v>364</v>
      </c>
      <c r="AK2" s="277"/>
      <c r="AL2" s="277" t="s">
        <v>365</v>
      </c>
      <c r="AM2" s="277"/>
      <c r="AO2" s="277" t="s">
        <v>366</v>
      </c>
      <c r="AP2" s="277"/>
      <c r="AQ2" s="277" t="s">
        <v>367</v>
      </c>
      <c r="AR2" s="277"/>
      <c r="AS2" s="277" t="s">
        <v>368</v>
      </c>
      <c r="AT2" s="277"/>
      <c r="AU2" s="277" t="s">
        <v>369</v>
      </c>
      <c r="AV2" s="277"/>
      <c r="AW2" s="277" t="s">
        <v>370</v>
      </c>
      <c r="AX2" s="277"/>
      <c r="AY2" s="277" t="s">
        <v>371</v>
      </c>
      <c r="AZ2" s="277"/>
      <c r="BA2" s="277" t="s">
        <v>372</v>
      </c>
      <c r="BB2" s="277"/>
      <c r="BC2" s="277" t="s">
        <v>373</v>
      </c>
      <c r="BD2" s="277"/>
      <c r="BE2" s="277" t="s">
        <v>374</v>
      </c>
      <c r="BF2" s="277"/>
      <c r="BH2" s="277" t="s">
        <v>104</v>
      </c>
      <c r="BI2" s="277"/>
      <c r="BJ2" s="277" t="s">
        <v>375</v>
      </c>
      <c r="BK2" s="277"/>
      <c r="BL2" s="277" t="s">
        <v>376</v>
      </c>
      <c r="BM2" s="277"/>
      <c r="BN2" s="277" t="s">
        <v>377</v>
      </c>
      <c r="BO2" s="277"/>
      <c r="BP2" s="277" t="s">
        <v>378</v>
      </c>
      <c r="BQ2" s="277"/>
      <c r="BR2" s="277" t="s">
        <v>379</v>
      </c>
      <c r="BS2" s="277"/>
      <c r="BT2" s="277" t="s">
        <v>380</v>
      </c>
      <c r="BU2" s="277"/>
      <c r="BV2" s="277" t="s">
        <v>381</v>
      </c>
      <c r="BW2" s="277"/>
      <c r="BX2" s="277" t="s">
        <v>382</v>
      </c>
      <c r="BY2" s="277"/>
      <c r="BZ2" s="277" t="s">
        <v>383</v>
      </c>
      <c r="CA2" s="277"/>
      <c r="CB2" s="277" t="s">
        <v>384</v>
      </c>
      <c r="CC2" s="277"/>
      <c r="CD2" s="277" t="s">
        <v>385</v>
      </c>
      <c r="CE2" s="277"/>
      <c r="CF2" s="277" t="s">
        <v>386</v>
      </c>
      <c r="CG2" s="277"/>
      <c r="CH2" s="277" t="s">
        <v>387</v>
      </c>
      <c r="CI2" s="277"/>
      <c r="CJ2" s="277" t="s">
        <v>388</v>
      </c>
      <c r="CK2" s="277"/>
      <c r="CL2" s="277" t="s">
        <v>389</v>
      </c>
      <c r="CM2" s="277"/>
      <c r="CN2" s="277" t="s">
        <v>390</v>
      </c>
      <c r="CO2" s="277"/>
      <c r="CP2" s="277" t="s">
        <v>391</v>
      </c>
      <c r="CQ2" s="277"/>
      <c r="CR2" s="277" t="s">
        <v>392</v>
      </c>
      <c r="CS2" s="277"/>
    </row>
    <row r="3" spans="1:97" s="56" customFormat="1" ht="49.5" customHeight="1">
      <c r="A3" s="116"/>
      <c r="B3" s="70"/>
      <c r="C3" s="276"/>
      <c r="D3" s="276"/>
      <c r="E3" s="279" t="s">
        <v>111</v>
      </c>
      <c r="F3" s="279"/>
      <c r="G3" s="276"/>
      <c r="H3" s="276"/>
      <c r="I3" s="280" t="s">
        <v>113</v>
      </c>
      <c r="J3" s="280"/>
      <c r="K3" s="276"/>
      <c r="L3" s="276"/>
      <c r="M3" s="276"/>
      <c r="N3" s="276"/>
      <c r="O3" s="276"/>
      <c r="P3" s="276"/>
      <c r="Q3" s="278" t="s">
        <v>114</v>
      </c>
      <c r="R3" s="278"/>
      <c r="S3" s="276"/>
      <c r="T3" s="276"/>
      <c r="U3" s="55"/>
      <c r="V3" s="278" t="s">
        <v>109</v>
      </c>
      <c r="W3" s="278"/>
      <c r="X3" s="276"/>
      <c r="Y3" s="276"/>
      <c r="Z3" s="276"/>
      <c r="AA3" s="276"/>
      <c r="AB3" s="276"/>
      <c r="AC3" s="276"/>
      <c r="AD3" s="276"/>
      <c r="AE3" s="276"/>
      <c r="AF3" s="276"/>
      <c r="AG3" s="276"/>
      <c r="AH3" s="276"/>
      <c r="AI3" s="276"/>
      <c r="AJ3" s="276"/>
      <c r="AK3" s="276"/>
      <c r="AL3" s="276"/>
      <c r="AM3" s="276"/>
      <c r="AN3" s="55"/>
      <c r="AO3" s="279" t="s">
        <v>112</v>
      </c>
      <c r="AP3" s="279"/>
      <c r="AQ3" s="276"/>
      <c r="AR3" s="276"/>
      <c r="AS3" s="276"/>
      <c r="AT3" s="276"/>
      <c r="AU3" s="276"/>
      <c r="AV3" s="276"/>
      <c r="AW3" s="276"/>
      <c r="AX3" s="276"/>
      <c r="AY3" s="276"/>
      <c r="AZ3" s="276"/>
      <c r="BA3" s="276"/>
      <c r="BB3" s="276"/>
      <c r="BC3" s="276"/>
      <c r="BD3" s="276"/>
      <c r="BE3" s="276"/>
      <c r="BF3" s="276"/>
      <c r="BG3" s="55"/>
      <c r="BH3" s="279" t="s">
        <v>110</v>
      </c>
      <c r="BI3" s="279"/>
      <c r="BJ3" s="276"/>
      <c r="BK3" s="276"/>
      <c r="BL3" s="276"/>
      <c r="BM3" s="276"/>
      <c r="BN3" s="276"/>
      <c r="BO3" s="276"/>
      <c r="BP3" s="276"/>
      <c r="BQ3" s="276"/>
      <c r="BR3" s="276"/>
      <c r="BS3" s="276"/>
      <c r="BT3" s="276"/>
      <c r="BU3" s="276"/>
      <c r="BV3" s="276"/>
      <c r="BW3" s="276"/>
      <c r="BX3" s="276"/>
      <c r="BY3" s="276"/>
      <c r="BZ3" s="276"/>
      <c r="CA3" s="276"/>
      <c r="CB3" s="276"/>
      <c r="CC3" s="276"/>
      <c r="CD3" s="276"/>
      <c r="CE3" s="276"/>
      <c r="CF3" s="276"/>
      <c r="CG3" s="276"/>
      <c r="CH3" s="276"/>
      <c r="CI3" s="276"/>
      <c r="CJ3" s="276"/>
      <c r="CK3" s="276"/>
      <c r="CL3" s="276"/>
      <c r="CM3" s="276"/>
      <c r="CN3" s="276"/>
      <c r="CO3" s="276"/>
      <c r="CP3" s="276"/>
      <c r="CQ3" s="276"/>
      <c r="CR3" s="276"/>
      <c r="CS3" s="276"/>
    </row>
    <row r="4" spans="1:97" s="59" customFormat="1" ht="50.1" customHeight="1">
      <c r="A4" s="60" t="s">
        <v>99</v>
      </c>
      <c r="B4" s="72"/>
      <c r="C4" s="60" t="s">
        <v>115</v>
      </c>
      <c r="D4" s="60" t="s">
        <v>393</v>
      </c>
      <c r="E4" s="60" t="s">
        <v>115</v>
      </c>
      <c r="F4" s="60" t="s">
        <v>393</v>
      </c>
      <c r="G4" s="60" t="s">
        <v>115</v>
      </c>
      <c r="H4" s="60" t="s">
        <v>393</v>
      </c>
      <c r="I4" s="60" t="s">
        <v>115</v>
      </c>
      <c r="J4" s="60" t="s">
        <v>393</v>
      </c>
      <c r="K4" s="60" t="s">
        <v>115</v>
      </c>
      <c r="L4" s="60" t="s">
        <v>393</v>
      </c>
      <c r="M4" s="60" t="s">
        <v>115</v>
      </c>
      <c r="N4" s="60" t="s">
        <v>393</v>
      </c>
      <c r="O4" s="60" t="s">
        <v>115</v>
      </c>
      <c r="P4" s="60" t="s">
        <v>393</v>
      </c>
      <c r="Q4" s="60" t="s">
        <v>115</v>
      </c>
      <c r="R4" s="60" t="s">
        <v>393</v>
      </c>
      <c r="S4" s="60" t="s">
        <v>115</v>
      </c>
      <c r="T4" s="60" t="s">
        <v>393</v>
      </c>
      <c r="V4" s="60" t="s">
        <v>115</v>
      </c>
      <c r="W4" s="60" t="s">
        <v>393</v>
      </c>
      <c r="X4" s="60" t="s">
        <v>115</v>
      </c>
      <c r="Y4" s="60" t="s">
        <v>393</v>
      </c>
      <c r="Z4" s="60" t="s">
        <v>115</v>
      </c>
      <c r="AA4" s="60" t="s">
        <v>393</v>
      </c>
      <c r="AB4" s="60" t="s">
        <v>115</v>
      </c>
      <c r="AC4" s="60" t="s">
        <v>393</v>
      </c>
      <c r="AD4" s="60" t="s">
        <v>115</v>
      </c>
      <c r="AE4" s="60" t="s">
        <v>393</v>
      </c>
      <c r="AF4" s="60" t="s">
        <v>115</v>
      </c>
      <c r="AG4" s="60" t="s">
        <v>393</v>
      </c>
      <c r="AH4" s="60" t="s">
        <v>115</v>
      </c>
      <c r="AI4" s="60" t="s">
        <v>393</v>
      </c>
      <c r="AJ4" s="60" t="s">
        <v>115</v>
      </c>
      <c r="AK4" s="60" t="s">
        <v>393</v>
      </c>
      <c r="AL4" s="60" t="s">
        <v>115</v>
      </c>
      <c r="AM4" s="60" t="s">
        <v>393</v>
      </c>
      <c r="AO4" s="60" t="s">
        <v>115</v>
      </c>
      <c r="AP4" s="60" t="s">
        <v>393</v>
      </c>
      <c r="AQ4" s="60" t="s">
        <v>115</v>
      </c>
      <c r="AR4" s="60" t="s">
        <v>393</v>
      </c>
      <c r="AS4" s="60" t="s">
        <v>115</v>
      </c>
      <c r="AT4" s="60" t="s">
        <v>393</v>
      </c>
      <c r="AU4" s="60" t="s">
        <v>115</v>
      </c>
      <c r="AV4" s="60" t="s">
        <v>393</v>
      </c>
      <c r="AW4" s="60" t="s">
        <v>115</v>
      </c>
      <c r="AX4" s="60" t="s">
        <v>393</v>
      </c>
      <c r="AY4" s="60" t="s">
        <v>115</v>
      </c>
      <c r="AZ4" s="60" t="s">
        <v>393</v>
      </c>
      <c r="BA4" s="60" t="s">
        <v>115</v>
      </c>
      <c r="BB4" s="60" t="s">
        <v>393</v>
      </c>
      <c r="BC4" s="60" t="s">
        <v>115</v>
      </c>
      <c r="BD4" s="60" t="s">
        <v>393</v>
      </c>
      <c r="BE4" s="60" t="s">
        <v>115</v>
      </c>
      <c r="BF4" s="60" t="s">
        <v>393</v>
      </c>
      <c r="BH4" s="60" t="s">
        <v>115</v>
      </c>
      <c r="BI4" s="60" t="s">
        <v>393</v>
      </c>
      <c r="BJ4" s="60" t="s">
        <v>115</v>
      </c>
      <c r="BK4" s="60" t="s">
        <v>393</v>
      </c>
      <c r="BL4" s="60" t="s">
        <v>115</v>
      </c>
      <c r="BM4" s="60" t="s">
        <v>393</v>
      </c>
      <c r="BN4" s="60" t="s">
        <v>115</v>
      </c>
      <c r="BO4" s="60" t="s">
        <v>393</v>
      </c>
      <c r="BP4" s="60" t="s">
        <v>115</v>
      </c>
      <c r="BQ4" s="60" t="s">
        <v>393</v>
      </c>
      <c r="BR4" s="60" t="s">
        <v>115</v>
      </c>
      <c r="BS4" s="60" t="s">
        <v>393</v>
      </c>
      <c r="BT4" s="60" t="s">
        <v>115</v>
      </c>
      <c r="BU4" s="60" t="s">
        <v>393</v>
      </c>
      <c r="BV4" s="60" t="s">
        <v>115</v>
      </c>
      <c r="BW4" s="60" t="s">
        <v>393</v>
      </c>
      <c r="BX4" s="60" t="s">
        <v>115</v>
      </c>
      <c r="BY4" s="60" t="s">
        <v>393</v>
      </c>
      <c r="BZ4" s="60" t="s">
        <v>115</v>
      </c>
      <c r="CA4" s="60" t="s">
        <v>393</v>
      </c>
      <c r="CB4" s="60" t="s">
        <v>115</v>
      </c>
      <c r="CC4" s="60" t="s">
        <v>393</v>
      </c>
      <c r="CD4" s="60" t="s">
        <v>115</v>
      </c>
      <c r="CE4" s="60" t="s">
        <v>393</v>
      </c>
      <c r="CF4" s="60" t="s">
        <v>115</v>
      </c>
      <c r="CG4" s="60" t="s">
        <v>393</v>
      </c>
      <c r="CH4" s="60" t="s">
        <v>115</v>
      </c>
      <c r="CI4" s="60" t="s">
        <v>393</v>
      </c>
      <c r="CJ4" s="60" t="s">
        <v>115</v>
      </c>
      <c r="CK4" s="60" t="s">
        <v>393</v>
      </c>
      <c r="CL4" s="60" t="s">
        <v>115</v>
      </c>
      <c r="CM4" s="60" t="s">
        <v>393</v>
      </c>
      <c r="CN4" s="60" t="s">
        <v>115</v>
      </c>
      <c r="CO4" s="60" t="s">
        <v>393</v>
      </c>
      <c r="CP4" s="60" t="s">
        <v>115</v>
      </c>
      <c r="CQ4" s="60" t="s">
        <v>393</v>
      </c>
      <c r="CR4" s="60" t="s">
        <v>115</v>
      </c>
      <c r="CS4" s="60" t="s">
        <v>393</v>
      </c>
    </row>
    <row r="5" spans="1:97" s="27" customFormat="1" ht="39.950000000000003" customHeight="1">
      <c r="A5" s="61"/>
      <c r="B5" s="73"/>
      <c r="C5" s="26"/>
      <c r="D5" s="26"/>
      <c r="E5" s="26"/>
      <c r="F5" s="26"/>
      <c r="G5" s="26"/>
      <c r="H5" s="26"/>
      <c r="I5" s="26"/>
      <c r="J5" s="26"/>
      <c r="K5" s="26"/>
      <c r="L5" s="26"/>
      <c r="M5" s="26"/>
      <c r="N5" s="26"/>
      <c r="O5" s="26"/>
      <c r="P5" s="26"/>
      <c r="Q5" s="26"/>
      <c r="R5" s="26"/>
      <c r="S5" s="26"/>
      <c r="T5" s="26"/>
      <c r="V5" s="26"/>
      <c r="W5" s="26"/>
      <c r="X5" s="64"/>
      <c r="Y5" s="26"/>
      <c r="Z5" s="26"/>
      <c r="AA5" s="26"/>
      <c r="AB5" s="26"/>
      <c r="AC5" s="26"/>
      <c r="AD5" s="26"/>
      <c r="AE5" s="26"/>
      <c r="AF5" s="26"/>
      <c r="AG5" s="26"/>
      <c r="AH5" s="26"/>
      <c r="AI5" s="26"/>
      <c r="AJ5" s="26"/>
      <c r="AK5" s="26"/>
      <c r="AL5" s="65"/>
      <c r="AM5" s="26"/>
      <c r="AO5" s="26"/>
      <c r="AP5" s="26"/>
      <c r="AQ5" s="26"/>
      <c r="AR5" s="26"/>
      <c r="AS5" s="26"/>
      <c r="AT5" s="26"/>
      <c r="AU5" s="26"/>
      <c r="AV5" s="26"/>
      <c r="AW5" s="26"/>
      <c r="AX5" s="26"/>
      <c r="AY5" s="26"/>
      <c r="AZ5" s="26"/>
      <c r="BA5" s="26"/>
      <c r="BB5" s="26"/>
      <c r="BC5" s="26"/>
      <c r="BD5" s="26"/>
      <c r="BE5" s="26"/>
      <c r="BF5" s="26"/>
      <c r="BH5" s="26"/>
      <c r="BI5" s="26"/>
      <c r="BJ5" s="26"/>
      <c r="BK5" s="26"/>
      <c r="BL5" s="26"/>
      <c r="BM5" s="26"/>
      <c r="BN5" s="26"/>
      <c r="BO5" s="26"/>
      <c r="BP5" s="26"/>
      <c r="BQ5" s="26"/>
      <c r="BR5" s="26"/>
      <c r="BS5" s="26"/>
      <c r="BT5" s="26"/>
      <c r="BU5" s="26"/>
      <c r="BV5" s="26"/>
      <c r="BW5" s="26"/>
      <c r="BX5" s="26"/>
      <c r="BY5" s="26"/>
      <c r="BZ5" s="26"/>
      <c r="CA5" s="26"/>
      <c r="CB5" s="26"/>
      <c r="CC5" s="26"/>
      <c r="CD5" s="26"/>
      <c r="CE5" s="26"/>
      <c r="CF5" s="26"/>
      <c r="CG5" s="26"/>
      <c r="CH5" s="26"/>
      <c r="CI5" s="26"/>
      <c r="CJ5" s="26"/>
      <c r="CK5" s="26"/>
      <c r="CL5" s="26"/>
      <c r="CM5" s="26"/>
      <c r="CN5" s="26"/>
      <c r="CO5" s="26"/>
      <c r="CP5" s="26"/>
      <c r="CQ5" s="26"/>
      <c r="CR5" s="26"/>
      <c r="CS5" s="26"/>
    </row>
    <row r="6" spans="1:97" s="62" customFormat="1" ht="39.950000000000003" customHeight="1">
      <c r="A6" s="61"/>
      <c r="C6" s="26"/>
      <c r="D6" s="26"/>
      <c r="E6" s="26"/>
      <c r="F6" s="26"/>
      <c r="G6" s="26"/>
      <c r="H6" s="26"/>
      <c r="I6" s="26"/>
      <c r="J6" s="26"/>
      <c r="K6" s="26"/>
      <c r="L6" s="26"/>
      <c r="M6" s="26"/>
      <c r="N6" s="26"/>
      <c r="O6" s="26"/>
      <c r="P6" s="26"/>
      <c r="Q6" s="26"/>
      <c r="R6" s="26"/>
      <c r="S6" s="26"/>
      <c r="T6" s="26"/>
      <c r="V6" s="26"/>
      <c r="W6" s="26"/>
      <c r="X6" s="64"/>
      <c r="Y6" s="26"/>
      <c r="Z6" s="26"/>
      <c r="AA6" s="26"/>
      <c r="AB6" s="26"/>
      <c r="AC6" s="26"/>
      <c r="AD6" s="26"/>
      <c r="AE6" s="26"/>
      <c r="AF6" s="26"/>
      <c r="AG6" s="26"/>
      <c r="AH6" s="26"/>
      <c r="AI6" s="26"/>
      <c r="AJ6" s="26"/>
      <c r="AK6" s="26"/>
      <c r="AL6" s="64"/>
      <c r="AM6" s="26"/>
      <c r="AO6" s="26"/>
      <c r="AP6" s="26"/>
      <c r="AQ6" s="26"/>
      <c r="AR6" s="26"/>
      <c r="AS6" s="26"/>
      <c r="AT6" s="26"/>
      <c r="AU6" s="26"/>
      <c r="AV6" s="26"/>
      <c r="AW6" s="26"/>
      <c r="AX6" s="26"/>
      <c r="AY6" s="26"/>
      <c r="AZ6" s="26"/>
      <c r="BA6" s="26"/>
      <c r="BB6" s="26"/>
      <c r="BC6" s="26"/>
      <c r="BD6" s="26"/>
      <c r="BE6" s="26"/>
      <c r="BF6" s="26"/>
      <c r="BH6" s="26"/>
      <c r="BI6" s="26"/>
      <c r="BJ6" s="26"/>
      <c r="BK6" s="26"/>
      <c r="BL6" s="26"/>
      <c r="BM6" s="26"/>
      <c r="BN6" s="26"/>
      <c r="BO6" s="26"/>
      <c r="BP6" s="26"/>
      <c r="BQ6" s="26"/>
      <c r="BR6" s="26"/>
      <c r="BS6" s="26"/>
      <c r="BT6" s="26"/>
      <c r="BU6" s="26"/>
      <c r="BV6" s="26"/>
      <c r="BW6" s="26"/>
      <c r="BX6" s="26"/>
      <c r="BY6" s="26"/>
      <c r="BZ6" s="26"/>
      <c r="CA6" s="26"/>
      <c r="CB6" s="26"/>
      <c r="CC6" s="26"/>
      <c r="CD6" s="26"/>
      <c r="CE6" s="26"/>
      <c r="CF6" s="26"/>
      <c r="CG6" s="26"/>
      <c r="CH6" s="26"/>
      <c r="CI6" s="26"/>
      <c r="CJ6" s="26"/>
      <c r="CK6" s="26"/>
      <c r="CL6" s="26"/>
      <c r="CM6" s="26"/>
      <c r="CN6" s="26"/>
      <c r="CO6" s="26"/>
      <c r="CP6" s="26"/>
      <c r="CQ6" s="26"/>
      <c r="CR6" s="26"/>
      <c r="CS6" s="26"/>
    </row>
    <row r="7" spans="1:97" s="62" customFormat="1" ht="39.950000000000003" customHeight="1">
      <c r="A7" s="61"/>
      <c r="C7" s="26"/>
      <c r="D7" s="26"/>
      <c r="E7" s="26"/>
      <c r="F7" s="26"/>
      <c r="G7" s="26"/>
      <c r="H7" s="26"/>
      <c r="I7" s="26"/>
      <c r="J7" s="26"/>
      <c r="K7" s="26"/>
      <c r="L7" s="71"/>
      <c r="M7" s="26"/>
      <c r="N7" s="26"/>
      <c r="O7" s="26"/>
      <c r="P7" s="26"/>
      <c r="Q7" s="26"/>
      <c r="R7" s="26"/>
      <c r="S7" s="26"/>
      <c r="T7" s="26"/>
      <c r="V7" s="26"/>
      <c r="W7" s="26"/>
      <c r="X7" s="64"/>
      <c r="Y7" s="26"/>
      <c r="Z7" s="26"/>
      <c r="AA7" s="26"/>
      <c r="AB7" s="26"/>
      <c r="AC7" s="26"/>
      <c r="AD7" s="26"/>
      <c r="AE7" s="26"/>
      <c r="AF7" s="26"/>
      <c r="AG7" s="26"/>
      <c r="AH7" s="26"/>
      <c r="AI7" s="26"/>
      <c r="AJ7" s="26"/>
      <c r="AK7" s="26"/>
      <c r="AL7" s="64"/>
      <c r="AM7" s="26"/>
      <c r="AO7" s="26"/>
      <c r="AP7" s="26"/>
      <c r="AQ7" s="26"/>
      <c r="AR7" s="26"/>
      <c r="AS7" s="26"/>
      <c r="AT7" s="26"/>
      <c r="AU7" s="26"/>
      <c r="AV7" s="26"/>
      <c r="AW7" s="26"/>
      <c r="AX7" s="26"/>
      <c r="AY7" s="26"/>
      <c r="AZ7" s="26"/>
      <c r="BA7" s="26"/>
      <c r="BB7" s="26"/>
      <c r="BC7" s="26"/>
      <c r="BD7" s="26"/>
      <c r="BE7" s="26"/>
      <c r="BF7" s="26"/>
      <c r="BH7" s="26"/>
      <c r="BI7" s="26"/>
      <c r="BJ7" s="26"/>
      <c r="BK7" s="26"/>
      <c r="BL7" s="26"/>
      <c r="BM7" s="26"/>
      <c r="BN7" s="26"/>
      <c r="BO7" s="26"/>
      <c r="BP7" s="26"/>
      <c r="BQ7" s="26"/>
      <c r="BR7" s="26"/>
      <c r="BS7" s="26"/>
      <c r="BT7" s="26"/>
      <c r="BU7" s="26"/>
      <c r="BV7" s="26"/>
      <c r="BW7" s="26"/>
      <c r="BX7" s="26"/>
      <c r="BY7" s="26"/>
      <c r="BZ7" s="26"/>
      <c r="CA7" s="26"/>
      <c r="CB7" s="26"/>
      <c r="CC7" s="26"/>
      <c r="CD7" s="26"/>
      <c r="CE7" s="26"/>
      <c r="CF7" s="26"/>
      <c r="CG7" s="26"/>
      <c r="CH7" s="26"/>
      <c r="CI7" s="26"/>
      <c r="CJ7" s="26"/>
      <c r="CK7" s="26"/>
      <c r="CL7" s="26"/>
      <c r="CM7" s="26"/>
      <c r="CN7" s="26"/>
      <c r="CO7" s="26"/>
      <c r="CP7" s="26"/>
      <c r="CQ7" s="26"/>
      <c r="CR7" s="26"/>
      <c r="CS7" s="26"/>
    </row>
    <row r="8" spans="1:97" s="63" customFormat="1" ht="39.950000000000003" customHeight="1">
      <c r="A8" s="61"/>
      <c r="C8" s="67"/>
      <c r="D8" s="26"/>
      <c r="E8" s="67"/>
      <c r="F8" s="26"/>
      <c r="G8" s="67"/>
      <c r="H8" s="26"/>
      <c r="I8" s="67"/>
      <c r="J8" s="26"/>
      <c r="K8" s="67"/>
      <c r="L8" s="26"/>
      <c r="M8" s="67"/>
      <c r="N8" s="26"/>
      <c r="O8" s="26"/>
      <c r="P8" s="26"/>
      <c r="Q8" s="67"/>
      <c r="R8" s="26"/>
      <c r="S8" s="67"/>
      <c r="T8" s="26"/>
      <c r="V8" s="26"/>
      <c r="W8" s="26"/>
      <c r="X8" s="66"/>
      <c r="Y8" s="26"/>
      <c r="Z8" s="67"/>
      <c r="AA8" s="26"/>
      <c r="AB8" s="67"/>
      <c r="AC8" s="26"/>
      <c r="AD8" s="67"/>
      <c r="AE8" s="26"/>
      <c r="AF8" s="26"/>
      <c r="AG8" s="26"/>
      <c r="AH8" s="67"/>
      <c r="AI8" s="26"/>
      <c r="AJ8" s="67"/>
      <c r="AK8" s="26"/>
      <c r="AL8" s="66"/>
      <c r="AM8" s="26"/>
      <c r="AO8" s="67"/>
      <c r="AP8" s="26"/>
      <c r="AQ8" s="67"/>
      <c r="AR8" s="26"/>
      <c r="AS8" s="67"/>
      <c r="AT8" s="26"/>
      <c r="AU8" s="67"/>
      <c r="AV8" s="26"/>
      <c r="AW8" s="67"/>
      <c r="AX8" s="26"/>
      <c r="AY8" s="67"/>
      <c r="AZ8" s="26"/>
      <c r="BA8" s="67"/>
      <c r="BB8" s="26"/>
      <c r="BC8" s="67"/>
      <c r="BD8" s="26"/>
      <c r="BE8" s="67"/>
      <c r="BF8" s="26"/>
      <c r="BH8" s="67"/>
      <c r="BI8" s="26"/>
      <c r="BJ8" s="67"/>
      <c r="BK8" s="26"/>
      <c r="BL8" s="67"/>
      <c r="BM8" s="26"/>
      <c r="BN8" s="67"/>
      <c r="BO8" s="26"/>
      <c r="BP8" s="67"/>
      <c r="BQ8" s="26"/>
      <c r="BR8" s="67"/>
      <c r="BS8" s="26"/>
      <c r="BT8" s="26"/>
      <c r="BU8" s="26"/>
      <c r="BV8" s="67"/>
      <c r="BW8" s="26"/>
      <c r="BX8" s="67"/>
      <c r="BY8" s="26"/>
      <c r="BZ8" s="67"/>
      <c r="CA8" s="26"/>
      <c r="CB8" s="67"/>
      <c r="CC8" s="26"/>
      <c r="CD8" s="67"/>
      <c r="CE8" s="26"/>
      <c r="CF8" s="67"/>
      <c r="CG8" s="26"/>
      <c r="CH8" s="67"/>
      <c r="CI8" s="26"/>
      <c r="CJ8" s="67"/>
      <c r="CK8" s="26"/>
      <c r="CL8" s="67"/>
      <c r="CM8" s="26"/>
      <c r="CN8" s="67"/>
      <c r="CO8" s="26"/>
      <c r="CP8" s="67"/>
      <c r="CQ8" s="26"/>
      <c r="CR8" s="67"/>
      <c r="CS8" s="67"/>
    </row>
    <row r="9" spans="1:97" s="63" customFormat="1" ht="39.950000000000003" customHeight="1">
      <c r="A9" s="61"/>
      <c r="C9" s="67"/>
      <c r="D9" s="26"/>
      <c r="E9" s="67"/>
      <c r="F9" s="26"/>
      <c r="G9" s="67"/>
      <c r="H9" s="26"/>
      <c r="I9" s="67"/>
      <c r="J9" s="26"/>
      <c r="K9" s="67"/>
      <c r="L9" s="26"/>
      <c r="M9" s="67"/>
      <c r="N9" s="26"/>
      <c r="O9" s="67"/>
      <c r="P9" s="26"/>
      <c r="Q9" s="67"/>
      <c r="R9" s="26"/>
      <c r="S9" s="67"/>
      <c r="T9" s="26"/>
      <c r="V9" s="67"/>
      <c r="W9" s="26"/>
      <c r="X9" s="66"/>
      <c r="Y9" s="26"/>
      <c r="Z9" s="67"/>
      <c r="AA9" s="26"/>
      <c r="AB9" s="67"/>
      <c r="AC9" s="26"/>
      <c r="AD9" s="67"/>
      <c r="AE9" s="26"/>
      <c r="AF9" s="26"/>
      <c r="AG9" s="26"/>
      <c r="AH9" s="67"/>
      <c r="AI9" s="26"/>
      <c r="AJ9" s="67"/>
      <c r="AK9" s="26"/>
      <c r="AL9" s="66"/>
      <c r="AM9" s="26"/>
      <c r="AO9" s="67"/>
      <c r="AP9" s="26"/>
      <c r="AQ9" s="67"/>
      <c r="AR9" s="26"/>
      <c r="AS9" s="67"/>
      <c r="AT9" s="26"/>
      <c r="AU9" s="67"/>
      <c r="AV9" s="26"/>
      <c r="AW9" s="67"/>
      <c r="AX9" s="26"/>
      <c r="AY9" s="67"/>
      <c r="AZ9" s="26"/>
      <c r="BA9" s="67"/>
      <c r="BB9" s="26"/>
      <c r="BC9" s="67"/>
      <c r="BD9" s="26"/>
      <c r="BE9" s="67"/>
      <c r="BF9" s="26"/>
      <c r="BH9" s="67"/>
      <c r="BI9" s="26"/>
      <c r="BJ9" s="67"/>
      <c r="BK9" s="26"/>
      <c r="BL9" s="67"/>
      <c r="BM9" s="26"/>
      <c r="BN9" s="67"/>
      <c r="BO9" s="26"/>
      <c r="BP9" s="67"/>
      <c r="BQ9" s="26"/>
      <c r="BR9" s="67"/>
      <c r="BS9" s="26"/>
      <c r="BT9" s="26"/>
      <c r="BU9" s="26"/>
      <c r="BV9" s="67"/>
      <c r="BW9" s="26"/>
      <c r="BX9" s="67"/>
      <c r="BY9" s="26"/>
      <c r="BZ9" s="67"/>
      <c r="CA9" s="26"/>
      <c r="CB9" s="67"/>
      <c r="CC9" s="26"/>
      <c r="CD9" s="67"/>
      <c r="CE9" s="26"/>
      <c r="CF9" s="67"/>
      <c r="CG9" s="26"/>
      <c r="CH9" s="67"/>
      <c r="CI9" s="26"/>
      <c r="CJ9" s="67"/>
      <c r="CK9" s="26"/>
      <c r="CL9" s="67"/>
      <c r="CM9" s="26"/>
      <c r="CN9" s="67"/>
      <c r="CO9" s="26"/>
      <c r="CP9" s="67"/>
      <c r="CQ9" s="26"/>
      <c r="CR9" s="67"/>
      <c r="CS9" s="67"/>
    </row>
    <row r="10" spans="1:97" s="63" customFormat="1" ht="39.950000000000003" customHeight="1">
      <c r="A10" s="61"/>
      <c r="C10" s="67"/>
      <c r="D10" s="26"/>
      <c r="E10" s="67"/>
      <c r="F10" s="26"/>
      <c r="G10" s="67"/>
      <c r="H10" s="26"/>
      <c r="I10" s="67"/>
      <c r="J10" s="26"/>
      <c r="K10" s="67"/>
      <c r="L10" s="26"/>
      <c r="M10" s="67"/>
      <c r="N10" s="26"/>
      <c r="O10" s="67"/>
      <c r="P10" s="26"/>
      <c r="Q10" s="67"/>
      <c r="R10" s="26"/>
      <c r="S10" s="67"/>
      <c r="T10" s="26"/>
      <c r="V10" s="67"/>
      <c r="W10" s="26"/>
      <c r="X10" s="66"/>
      <c r="Y10" s="26"/>
      <c r="Z10" s="67"/>
      <c r="AA10" s="26"/>
      <c r="AB10" s="67"/>
      <c r="AC10" s="26"/>
      <c r="AD10" s="67"/>
      <c r="AE10" s="26"/>
      <c r="AF10" s="26"/>
      <c r="AG10" s="26"/>
      <c r="AH10" s="67"/>
      <c r="AI10" s="26"/>
      <c r="AJ10" s="67"/>
      <c r="AK10" s="26"/>
      <c r="AL10" s="66"/>
      <c r="AM10" s="26"/>
      <c r="AO10" s="67"/>
      <c r="AP10" s="26"/>
      <c r="AQ10" s="67"/>
      <c r="AR10" s="26"/>
      <c r="AS10" s="67"/>
      <c r="AT10" s="26"/>
      <c r="AU10" s="67"/>
      <c r="AV10" s="26"/>
      <c r="AW10" s="67"/>
      <c r="AX10" s="26"/>
      <c r="AY10" s="67"/>
      <c r="AZ10" s="26"/>
      <c r="BA10" s="67"/>
      <c r="BB10" s="26"/>
      <c r="BC10" s="67"/>
      <c r="BD10" s="26"/>
      <c r="BE10" s="67"/>
      <c r="BF10" s="26"/>
      <c r="BH10" s="67"/>
      <c r="BI10" s="26"/>
      <c r="BJ10" s="67"/>
      <c r="BK10" s="26"/>
      <c r="BL10" s="67"/>
      <c r="BM10" s="26"/>
      <c r="BN10" s="67"/>
      <c r="BO10" s="26"/>
      <c r="BP10" s="67"/>
      <c r="BQ10" s="26"/>
      <c r="BR10" s="67"/>
      <c r="BS10" s="26"/>
      <c r="BT10" s="26"/>
      <c r="BU10" s="26"/>
      <c r="BV10" s="67"/>
      <c r="BW10" s="26"/>
      <c r="BX10" s="67"/>
      <c r="BY10" s="26"/>
      <c r="BZ10" s="67"/>
      <c r="CA10" s="26"/>
      <c r="CB10" s="67"/>
      <c r="CC10" s="26"/>
      <c r="CD10" s="67"/>
      <c r="CE10" s="26"/>
      <c r="CF10" s="67"/>
      <c r="CG10" s="26"/>
      <c r="CH10" s="67"/>
      <c r="CI10" s="26"/>
      <c r="CJ10" s="67"/>
      <c r="CK10" s="26"/>
      <c r="CL10" s="67"/>
      <c r="CM10" s="26"/>
      <c r="CN10" s="67"/>
      <c r="CO10" s="26"/>
      <c r="CP10" s="67"/>
      <c r="CQ10" s="26"/>
      <c r="CR10" s="67"/>
      <c r="CS10" s="67"/>
    </row>
    <row r="11" spans="1:97" s="63" customFormat="1" ht="39.950000000000003" customHeight="1">
      <c r="A11" s="61"/>
      <c r="C11" s="67"/>
      <c r="D11" s="26"/>
      <c r="E11" s="67"/>
      <c r="F11" s="26"/>
      <c r="G11" s="67"/>
      <c r="H11" s="26"/>
      <c r="I11" s="67"/>
      <c r="J11" s="26"/>
      <c r="K11" s="67"/>
      <c r="L11" s="26"/>
      <c r="M11" s="67"/>
      <c r="N11" s="26"/>
      <c r="O11" s="67"/>
      <c r="P11" s="26"/>
      <c r="Q11" s="67"/>
      <c r="R11" s="26"/>
      <c r="S11" s="67"/>
      <c r="T11" s="26"/>
      <c r="V11" s="67"/>
      <c r="W11" s="26"/>
      <c r="X11" s="66"/>
      <c r="Y11" s="26"/>
      <c r="Z11" s="67"/>
      <c r="AA11" s="26"/>
      <c r="AB11" s="67"/>
      <c r="AC11" s="26"/>
      <c r="AD11" s="67"/>
      <c r="AE11" s="26"/>
      <c r="AF11" s="26"/>
      <c r="AG11" s="26"/>
      <c r="AH11" s="67"/>
      <c r="AI11" s="26"/>
      <c r="AJ11" s="67"/>
      <c r="AK11" s="26"/>
      <c r="AL11" s="66"/>
      <c r="AM11" s="26"/>
      <c r="AO11" s="67"/>
      <c r="AP11" s="26"/>
      <c r="AQ11" s="67"/>
      <c r="AR11" s="26"/>
      <c r="AS11" s="67"/>
      <c r="AT11" s="26"/>
      <c r="AU11" s="67"/>
      <c r="AV11" s="26"/>
      <c r="AW11" s="67"/>
      <c r="AX11" s="26"/>
      <c r="AY11" s="67"/>
      <c r="AZ11" s="26"/>
      <c r="BA11" s="67"/>
      <c r="BB11" s="26"/>
      <c r="BC11" s="67"/>
      <c r="BD11" s="26"/>
      <c r="BE11" s="67"/>
      <c r="BF11" s="26"/>
      <c r="BH11" s="67"/>
      <c r="BI11" s="26"/>
      <c r="BJ11" s="67"/>
      <c r="BK11" s="26"/>
      <c r="BL11" s="67"/>
      <c r="BM11" s="26"/>
      <c r="BN11" s="67"/>
      <c r="BO11" s="26"/>
      <c r="BP11" s="67"/>
      <c r="BQ11" s="26"/>
      <c r="BR11" s="67"/>
      <c r="BS11" s="26"/>
      <c r="BT11" s="26"/>
      <c r="BU11" s="26"/>
      <c r="BV11" s="67"/>
      <c r="BW11" s="26"/>
      <c r="BX11" s="67"/>
      <c r="BY11" s="26"/>
      <c r="BZ11" s="67"/>
      <c r="CA11" s="26"/>
      <c r="CB11" s="67"/>
      <c r="CC11" s="26"/>
      <c r="CD11" s="67"/>
      <c r="CE11" s="26"/>
      <c r="CF11" s="67"/>
      <c r="CG11" s="26"/>
      <c r="CH11" s="67"/>
      <c r="CI11" s="26"/>
      <c r="CJ11" s="67"/>
      <c r="CK11" s="26"/>
      <c r="CL11" s="67"/>
      <c r="CM11" s="26"/>
      <c r="CN11" s="67"/>
      <c r="CO11" s="26"/>
      <c r="CP11" s="67"/>
      <c r="CQ11" s="26"/>
      <c r="CR11" s="67"/>
      <c r="CS11" s="67"/>
    </row>
    <row r="12" spans="1:97" s="63" customFormat="1" ht="39.950000000000003" customHeight="1">
      <c r="A12" s="61"/>
      <c r="C12" s="67"/>
      <c r="D12" s="67"/>
      <c r="E12" s="67"/>
      <c r="F12" s="67"/>
      <c r="G12" s="67"/>
      <c r="H12" s="67"/>
      <c r="I12" s="67"/>
      <c r="J12" s="67"/>
      <c r="K12" s="67"/>
      <c r="L12" s="67"/>
      <c r="M12" s="67"/>
      <c r="N12" s="67"/>
      <c r="O12" s="67"/>
      <c r="P12" s="67"/>
      <c r="Q12" s="67"/>
      <c r="R12" s="67"/>
      <c r="S12" s="67"/>
      <c r="T12" s="67"/>
      <c r="V12" s="67"/>
      <c r="W12" s="67"/>
      <c r="X12" s="67"/>
      <c r="Y12" s="67"/>
      <c r="Z12" s="67"/>
      <c r="AA12" s="67"/>
      <c r="AB12" s="67"/>
      <c r="AC12" s="67"/>
      <c r="AD12" s="67"/>
      <c r="AE12" s="67"/>
      <c r="AF12" s="67"/>
      <c r="AG12" s="67"/>
      <c r="AH12" s="67"/>
      <c r="AI12" s="67"/>
      <c r="AJ12" s="67"/>
      <c r="AK12" s="67"/>
      <c r="AL12" s="67"/>
      <c r="AM12" s="67"/>
      <c r="AO12" s="67"/>
      <c r="AP12" s="67"/>
      <c r="AQ12" s="67"/>
      <c r="AR12" s="67"/>
      <c r="AS12" s="67"/>
      <c r="AT12" s="67"/>
      <c r="AU12" s="67"/>
      <c r="AV12" s="67"/>
      <c r="AW12" s="67"/>
      <c r="AX12" s="67"/>
      <c r="AY12" s="67"/>
      <c r="AZ12" s="67"/>
      <c r="BA12" s="67"/>
      <c r="BB12" s="67"/>
      <c r="BC12" s="67"/>
      <c r="BD12" s="67"/>
      <c r="BE12" s="67"/>
      <c r="BF12" s="67"/>
      <c r="BH12" s="67"/>
      <c r="BI12" s="67"/>
      <c r="BJ12" s="67"/>
      <c r="BK12" s="67"/>
      <c r="BL12" s="67"/>
      <c r="BM12" s="67"/>
      <c r="BN12" s="67"/>
      <c r="BO12" s="67"/>
      <c r="BP12" s="67"/>
      <c r="BQ12" s="67"/>
      <c r="BR12" s="67"/>
      <c r="BS12" s="67"/>
      <c r="BT12" s="67"/>
      <c r="BU12" s="67"/>
      <c r="BV12" s="67"/>
      <c r="BW12" s="67"/>
      <c r="BX12" s="67"/>
      <c r="BY12" s="67"/>
      <c r="BZ12" s="67"/>
      <c r="CA12" s="67"/>
      <c r="CB12" s="67"/>
      <c r="CC12" s="67"/>
      <c r="CD12" s="67"/>
      <c r="CE12" s="67"/>
      <c r="CF12" s="67"/>
      <c r="CG12" s="67"/>
      <c r="CH12" s="67"/>
      <c r="CI12" s="67"/>
      <c r="CJ12" s="67"/>
      <c r="CK12" s="67"/>
      <c r="CL12" s="67"/>
      <c r="CM12" s="67"/>
      <c r="CN12" s="67"/>
      <c r="CO12" s="67"/>
      <c r="CP12" s="67"/>
      <c r="CQ12" s="67"/>
      <c r="CR12" s="67"/>
      <c r="CS12" s="67"/>
    </row>
    <row r="13" spans="1:97" s="63" customFormat="1" ht="39.950000000000003" customHeight="1">
      <c r="A13" s="61"/>
      <c r="C13" s="67"/>
      <c r="D13" s="67"/>
      <c r="E13" s="67"/>
      <c r="F13" s="67"/>
      <c r="G13" s="67"/>
      <c r="H13" s="67"/>
      <c r="I13" s="67"/>
      <c r="J13" s="67"/>
      <c r="K13" s="67"/>
      <c r="L13" s="67"/>
      <c r="M13" s="67"/>
      <c r="N13" s="67"/>
      <c r="O13" s="67"/>
      <c r="P13" s="67"/>
      <c r="Q13" s="67"/>
      <c r="R13" s="67"/>
      <c r="S13" s="67"/>
      <c r="T13" s="67"/>
      <c r="V13" s="67"/>
      <c r="W13" s="67"/>
      <c r="X13" s="67"/>
      <c r="Y13" s="67"/>
      <c r="Z13" s="67"/>
      <c r="AA13" s="67"/>
      <c r="AB13" s="67"/>
      <c r="AC13" s="67"/>
      <c r="AD13" s="67"/>
      <c r="AE13" s="67"/>
      <c r="AF13" s="67"/>
      <c r="AG13" s="67"/>
      <c r="AH13" s="67"/>
      <c r="AI13" s="67"/>
      <c r="AJ13" s="67"/>
      <c r="AK13" s="67"/>
      <c r="AL13" s="67"/>
      <c r="AM13" s="67"/>
      <c r="AO13" s="67"/>
      <c r="AP13" s="67"/>
      <c r="AQ13" s="67"/>
      <c r="AR13" s="67"/>
      <c r="AS13" s="67"/>
      <c r="AT13" s="67"/>
      <c r="AU13" s="67"/>
      <c r="AV13" s="67"/>
      <c r="AW13" s="67"/>
      <c r="AX13" s="67"/>
      <c r="AY13" s="67"/>
      <c r="AZ13" s="67"/>
      <c r="BA13" s="67"/>
      <c r="BB13" s="67"/>
      <c r="BC13" s="67"/>
      <c r="BD13" s="67"/>
      <c r="BE13" s="67"/>
      <c r="BF13" s="67"/>
      <c r="BH13" s="67"/>
      <c r="BI13" s="67"/>
      <c r="BJ13" s="67"/>
      <c r="BK13" s="67"/>
      <c r="BL13" s="67"/>
      <c r="BM13" s="67"/>
      <c r="BN13" s="67"/>
      <c r="BO13" s="67"/>
      <c r="BP13" s="67"/>
      <c r="BQ13" s="67"/>
      <c r="BR13" s="67"/>
      <c r="BS13" s="67"/>
      <c r="BT13" s="67"/>
      <c r="BU13" s="67"/>
      <c r="BV13" s="67"/>
      <c r="BW13" s="67"/>
      <c r="BX13" s="67"/>
      <c r="BY13" s="67"/>
      <c r="BZ13" s="67"/>
      <c r="CA13" s="67"/>
      <c r="CB13" s="67"/>
      <c r="CC13" s="67"/>
      <c r="CD13" s="67"/>
      <c r="CE13" s="67"/>
      <c r="CF13" s="67"/>
      <c r="CG13" s="67"/>
      <c r="CH13" s="67"/>
      <c r="CI13" s="67"/>
      <c r="CJ13" s="67"/>
      <c r="CK13" s="67"/>
      <c r="CL13" s="67"/>
      <c r="CM13" s="67"/>
      <c r="CN13" s="67"/>
      <c r="CO13" s="67"/>
      <c r="CP13" s="67"/>
      <c r="CQ13" s="67"/>
      <c r="CR13" s="67"/>
      <c r="CS13" s="67"/>
    </row>
    <row r="14" spans="1:97" s="63" customFormat="1" ht="39.950000000000003" customHeight="1">
      <c r="A14" s="61"/>
      <c r="C14" s="67"/>
      <c r="D14" s="67"/>
      <c r="E14" s="67"/>
      <c r="F14" s="67"/>
      <c r="G14" s="67"/>
      <c r="H14" s="67"/>
      <c r="I14" s="67"/>
      <c r="J14" s="67"/>
      <c r="K14" s="67"/>
      <c r="L14" s="67"/>
      <c r="M14" s="67"/>
      <c r="N14" s="67"/>
      <c r="O14" s="67"/>
      <c r="P14" s="67"/>
      <c r="Q14" s="67"/>
      <c r="R14" s="67"/>
      <c r="S14" s="67"/>
      <c r="T14" s="67"/>
      <c r="V14" s="67"/>
      <c r="W14" s="67"/>
      <c r="X14" s="67"/>
      <c r="Y14" s="67"/>
      <c r="Z14" s="67"/>
      <c r="AA14" s="67"/>
      <c r="AB14" s="67"/>
      <c r="AC14" s="67"/>
      <c r="AD14" s="67"/>
      <c r="AE14" s="67"/>
      <c r="AF14" s="67"/>
      <c r="AG14" s="67"/>
      <c r="AH14" s="67"/>
      <c r="AI14" s="67"/>
      <c r="AJ14" s="67"/>
      <c r="AK14" s="67"/>
      <c r="AL14" s="67"/>
      <c r="AM14" s="67"/>
      <c r="AO14" s="67"/>
      <c r="AP14" s="67"/>
      <c r="AQ14" s="67"/>
      <c r="AR14" s="67"/>
      <c r="AS14" s="67"/>
      <c r="AT14" s="67"/>
      <c r="AU14" s="67"/>
      <c r="AV14" s="67"/>
      <c r="AW14" s="67"/>
      <c r="AX14" s="67"/>
      <c r="AY14" s="67"/>
      <c r="AZ14" s="67"/>
      <c r="BA14" s="67"/>
      <c r="BB14" s="67"/>
      <c r="BC14" s="67"/>
      <c r="BD14" s="67"/>
      <c r="BE14" s="67"/>
      <c r="BF14" s="67"/>
      <c r="BH14" s="67"/>
      <c r="BI14" s="67"/>
      <c r="BJ14" s="67"/>
      <c r="BK14" s="67"/>
      <c r="BL14" s="67"/>
      <c r="BM14" s="67"/>
      <c r="BN14" s="67"/>
      <c r="BO14" s="67"/>
      <c r="BP14" s="67"/>
      <c r="BQ14" s="67"/>
      <c r="BR14" s="67"/>
      <c r="BS14" s="67"/>
      <c r="BT14" s="67"/>
      <c r="BU14" s="67"/>
      <c r="BV14" s="67"/>
      <c r="BW14" s="67"/>
      <c r="BX14" s="67"/>
      <c r="BY14" s="67"/>
      <c r="BZ14" s="67"/>
      <c r="CA14" s="67"/>
      <c r="CB14" s="67"/>
      <c r="CC14" s="67"/>
      <c r="CD14" s="67"/>
      <c r="CE14" s="67"/>
      <c r="CF14" s="67"/>
      <c r="CG14" s="67"/>
      <c r="CH14" s="67"/>
      <c r="CI14" s="67"/>
      <c r="CJ14" s="67"/>
      <c r="CK14" s="67"/>
      <c r="CL14" s="67"/>
      <c r="CM14" s="67"/>
      <c r="CN14" s="67"/>
      <c r="CO14" s="67"/>
      <c r="CP14" s="67"/>
      <c r="CQ14" s="67"/>
      <c r="CR14" s="67"/>
      <c r="CS14" s="67"/>
    </row>
    <row r="15" spans="1:97" s="63" customFormat="1" ht="39.950000000000003" customHeight="1">
      <c r="A15" s="61"/>
      <c r="C15" s="67"/>
      <c r="D15" s="67"/>
      <c r="E15" s="67"/>
      <c r="F15" s="67"/>
      <c r="G15" s="67"/>
      <c r="H15" s="67"/>
      <c r="I15" s="67"/>
      <c r="J15" s="67"/>
      <c r="K15" s="67"/>
      <c r="L15" s="67"/>
      <c r="M15" s="67"/>
      <c r="N15" s="67"/>
      <c r="O15" s="67"/>
      <c r="P15" s="67"/>
      <c r="Q15" s="67"/>
      <c r="R15" s="67"/>
      <c r="S15" s="67"/>
      <c r="T15" s="67"/>
      <c r="V15" s="67"/>
      <c r="W15" s="67"/>
      <c r="X15" s="67"/>
      <c r="Y15" s="67"/>
      <c r="Z15" s="67"/>
      <c r="AA15" s="67"/>
      <c r="AB15" s="67"/>
      <c r="AC15" s="67"/>
      <c r="AD15" s="67"/>
      <c r="AE15" s="67"/>
      <c r="AF15" s="67"/>
      <c r="AG15" s="67"/>
      <c r="AH15" s="67"/>
      <c r="AI15" s="67"/>
      <c r="AJ15" s="67"/>
      <c r="AK15" s="67"/>
      <c r="AL15" s="67"/>
      <c r="AM15" s="67"/>
      <c r="AO15" s="67"/>
      <c r="AP15" s="67"/>
      <c r="AQ15" s="67"/>
      <c r="AR15" s="67"/>
      <c r="AS15" s="67"/>
      <c r="AT15" s="67"/>
      <c r="AU15" s="67"/>
      <c r="AV15" s="67"/>
      <c r="AW15" s="67"/>
      <c r="AX15" s="67"/>
      <c r="AY15" s="67"/>
      <c r="AZ15" s="67"/>
      <c r="BA15" s="67"/>
      <c r="BB15" s="67"/>
      <c r="BC15" s="67"/>
      <c r="BD15" s="67"/>
      <c r="BE15" s="67"/>
      <c r="BF15" s="67"/>
      <c r="BH15" s="67"/>
      <c r="BI15" s="67"/>
      <c r="BJ15" s="67"/>
      <c r="BK15" s="67"/>
      <c r="BL15" s="67"/>
      <c r="BM15" s="67"/>
      <c r="BN15" s="67"/>
      <c r="BO15" s="67"/>
      <c r="BP15" s="67"/>
      <c r="BQ15" s="67"/>
      <c r="BR15" s="67"/>
      <c r="BS15" s="67"/>
      <c r="BT15" s="67"/>
      <c r="BU15" s="67"/>
      <c r="BV15" s="67"/>
      <c r="BW15" s="67"/>
      <c r="BX15" s="67"/>
      <c r="BY15" s="67"/>
      <c r="BZ15" s="67"/>
      <c r="CA15" s="67"/>
      <c r="CB15" s="67"/>
      <c r="CC15" s="67"/>
      <c r="CD15" s="67"/>
      <c r="CE15" s="67"/>
      <c r="CF15" s="67"/>
      <c r="CG15" s="67"/>
      <c r="CH15" s="67"/>
      <c r="CI15" s="67"/>
      <c r="CJ15" s="67"/>
      <c r="CK15" s="67"/>
      <c r="CL15" s="67"/>
      <c r="CM15" s="67"/>
      <c r="CN15" s="67"/>
      <c r="CO15" s="67"/>
      <c r="CP15" s="67"/>
      <c r="CQ15" s="67"/>
      <c r="CR15" s="67"/>
      <c r="CS15" s="67"/>
    </row>
    <row r="16" spans="1:97" s="63" customFormat="1" ht="39.950000000000003" customHeight="1">
      <c r="A16" s="61"/>
      <c r="C16" s="67"/>
      <c r="D16" s="67"/>
      <c r="E16" s="67"/>
      <c r="F16" s="67"/>
      <c r="G16" s="67"/>
      <c r="H16" s="67"/>
      <c r="I16" s="67"/>
      <c r="J16" s="67"/>
      <c r="K16" s="67"/>
      <c r="L16" s="67"/>
      <c r="M16" s="67"/>
      <c r="N16" s="67"/>
      <c r="O16" s="67"/>
      <c r="P16" s="67"/>
      <c r="Q16" s="67"/>
      <c r="R16" s="67"/>
      <c r="S16" s="67"/>
      <c r="T16" s="67"/>
      <c r="V16" s="67"/>
      <c r="W16" s="67"/>
      <c r="X16" s="67"/>
      <c r="Y16" s="67"/>
      <c r="Z16" s="67"/>
      <c r="AA16" s="67"/>
      <c r="AB16" s="67"/>
      <c r="AC16" s="67"/>
      <c r="AD16" s="67"/>
      <c r="AE16" s="67"/>
      <c r="AF16" s="67"/>
      <c r="AG16" s="67"/>
      <c r="AH16" s="67"/>
      <c r="AI16" s="67"/>
      <c r="AJ16" s="67"/>
      <c r="AK16" s="67"/>
      <c r="AL16" s="67"/>
      <c r="AM16" s="67"/>
      <c r="AO16" s="67"/>
      <c r="AP16" s="67"/>
      <c r="AQ16" s="67"/>
      <c r="AR16" s="67"/>
      <c r="AS16" s="67"/>
      <c r="AT16" s="67"/>
      <c r="AU16" s="67"/>
      <c r="AV16" s="67"/>
      <c r="AW16" s="67"/>
      <c r="AX16" s="67"/>
      <c r="AY16" s="67"/>
      <c r="AZ16" s="67"/>
      <c r="BA16" s="67"/>
      <c r="BB16" s="67"/>
      <c r="BC16" s="67"/>
      <c r="BD16" s="67"/>
      <c r="BE16" s="67"/>
      <c r="BF16" s="67"/>
      <c r="BH16" s="67"/>
      <c r="BI16" s="67"/>
      <c r="BJ16" s="67"/>
      <c r="BK16" s="67"/>
      <c r="BL16" s="67"/>
      <c r="BM16" s="67"/>
      <c r="BN16" s="67"/>
      <c r="BO16" s="67"/>
      <c r="BP16" s="67"/>
      <c r="BQ16" s="67"/>
      <c r="BR16" s="67"/>
      <c r="BS16" s="67"/>
      <c r="BT16" s="67"/>
      <c r="BU16" s="67"/>
      <c r="BV16" s="67"/>
      <c r="BW16" s="67"/>
      <c r="BX16" s="67"/>
      <c r="BY16" s="67"/>
      <c r="BZ16" s="67"/>
      <c r="CA16" s="67"/>
      <c r="CB16" s="67"/>
      <c r="CC16" s="67"/>
      <c r="CD16" s="67"/>
      <c r="CE16" s="67"/>
      <c r="CF16" s="67"/>
      <c r="CG16" s="67"/>
      <c r="CH16" s="67"/>
      <c r="CI16" s="67"/>
      <c r="CJ16" s="67"/>
      <c r="CK16" s="67"/>
      <c r="CL16" s="67"/>
      <c r="CM16" s="67"/>
      <c r="CN16" s="67"/>
      <c r="CO16" s="67"/>
      <c r="CP16" s="67"/>
      <c r="CQ16" s="67"/>
      <c r="CR16" s="67"/>
      <c r="CS16" s="67"/>
    </row>
    <row r="17" spans="1:97" s="63" customFormat="1" ht="39.950000000000003" customHeight="1">
      <c r="A17" s="61"/>
      <c r="C17" s="67"/>
      <c r="D17" s="67"/>
      <c r="E17" s="67"/>
      <c r="F17" s="67"/>
      <c r="G17" s="67"/>
      <c r="H17" s="67"/>
      <c r="I17" s="67"/>
      <c r="J17" s="67"/>
      <c r="K17" s="67"/>
      <c r="L17" s="67"/>
      <c r="M17" s="67"/>
      <c r="N17" s="67"/>
      <c r="O17" s="67"/>
      <c r="P17" s="67"/>
      <c r="Q17" s="67"/>
      <c r="R17" s="67"/>
      <c r="S17" s="67"/>
      <c r="T17" s="67"/>
      <c r="V17" s="67"/>
      <c r="W17" s="67"/>
      <c r="X17" s="67"/>
      <c r="Y17" s="67"/>
      <c r="Z17" s="67"/>
      <c r="AA17" s="67"/>
      <c r="AB17" s="67"/>
      <c r="AC17" s="67"/>
      <c r="AD17" s="67"/>
      <c r="AE17" s="67"/>
      <c r="AF17" s="67"/>
      <c r="AG17" s="67"/>
      <c r="AH17" s="67"/>
      <c r="AI17" s="67"/>
      <c r="AJ17" s="67"/>
      <c r="AK17" s="67"/>
      <c r="AL17" s="67"/>
      <c r="AM17" s="67"/>
      <c r="AO17" s="67"/>
      <c r="AP17" s="67"/>
      <c r="AQ17" s="67"/>
      <c r="AR17" s="67"/>
      <c r="AS17" s="67"/>
      <c r="AT17" s="67"/>
      <c r="AU17" s="67"/>
      <c r="AV17" s="67"/>
      <c r="AW17" s="67"/>
      <c r="AX17" s="67"/>
      <c r="AY17" s="67"/>
      <c r="AZ17" s="67"/>
      <c r="BA17" s="67"/>
      <c r="BB17" s="67"/>
      <c r="BC17" s="67"/>
      <c r="BD17" s="67"/>
      <c r="BE17" s="67"/>
      <c r="BF17" s="67"/>
      <c r="BH17" s="67"/>
      <c r="BI17" s="67"/>
      <c r="BJ17" s="67"/>
      <c r="BK17" s="67"/>
      <c r="BL17" s="67"/>
      <c r="BM17" s="67"/>
      <c r="BN17" s="67"/>
      <c r="BO17" s="67"/>
      <c r="BP17" s="67"/>
      <c r="BQ17" s="67"/>
      <c r="BR17" s="67"/>
      <c r="BS17" s="67"/>
      <c r="BT17" s="67"/>
      <c r="BU17" s="67"/>
      <c r="BV17" s="67"/>
      <c r="BW17" s="67"/>
      <c r="BX17" s="67"/>
      <c r="BY17" s="67"/>
      <c r="BZ17" s="67"/>
      <c r="CA17" s="67"/>
      <c r="CB17" s="67"/>
      <c r="CC17" s="67"/>
      <c r="CD17" s="67"/>
      <c r="CE17" s="67"/>
      <c r="CF17" s="67"/>
      <c r="CG17" s="67"/>
      <c r="CH17" s="67"/>
      <c r="CI17" s="67"/>
      <c r="CJ17" s="67"/>
      <c r="CK17" s="67"/>
      <c r="CL17" s="67"/>
      <c r="CM17" s="67"/>
      <c r="CN17" s="67"/>
      <c r="CO17" s="67"/>
      <c r="CP17" s="67"/>
      <c r="CQ17" s="67"/>
      <c r="CR17" s="67"/>
      <c r="CS17" s="67"/>
    </row>
    <row r="18" spans="1:97" s="63" customFormat="1" ht="39.950000000000003" customHeight="1">
      <c r="A18" s="61"/>
      <c r="C18" s="67"/>
      <c r="D18" s="67"/>
      <c r="E18" s="67"/>
      <c r="F18" s="67"/>
      <c r="G18" s="67"/>
      <c r="H18" s="67"/>
      <c r="I18" s="67"/>
      <c r="J18" s="67"/>
      <c r="K18" s="67"/>
      <c r="L18" s="67"/>
      <c r="M18" s="67"/>
      <c r="N18" s="67"/>
      <c r="O18" s="67"/>
      <c r="P18" s="67"/>
      <c r="Q18" s="67"/>
      <c r="R18" s="67"/>
      <c r="S18" s="67"/>
      <c r="T18" s="67"/>
      <c r="V18" s="67"/>
      <c r="W18" s="67"/>
      <c r="X18" s="67"/>
      <c r="Y18" s="67"/>
      <c r="Z18" s="67"/>
      <c r="AA18" s="67"/>
      <c r="AB18" s="67"/>
      <c r="AC18" s="67"/>
      <c r="AD18" s="67"/>
      <c r="AE18" s="67"/>
      <c r="AF18" s="67"/>
      <c r="AG18" s="67"/>
      <c r="AH18" s="67"/>
      <c r="AI18" s="67"/>
      <c r="AJ18" s="67"/>
      <c r="AK18" s="67"/>
      <c r="AL18" s="67"/>
      <c r="AM18" s="67"/>
      <c r="AO18" s="67"/>
      <c r="AP18" s="67"/>
      <c r="AQ18" s="67"/>
      <c r="AR18" s="67"/>
      <c r="AS18" s="67"/>
      <c r="AT18" s="67"/>
      <c r="AU18" s="67"/>
      <c r="AV18" s="67"/>
      <c r="AW18" s="67"/>
      <c r="AX18" s="67"/>
      <c r="AY18" s="67"/>
      <c r="AZ18" s="67"/>
      <c r="BA18" s="67"/>
      <c r="BB18" s="67"/>
      <c r="BC18" s="67"/>
      <c r="BD18" s="67"/>
      <c r="BE18" s="67"/>
      <c r="BF18" s="67"/>
      <c r="BH18" s="67"/>
      <c r="BI18" s="67"/>
      <c r="BJ18" s="67"/>
      <c r="BK18" s="67"/>
      <c r="BL18" s="67"/>
      <c r="BM18" s="67"/>
      <c r="BN18" s="67"/>
      <c r="BO18" s="67"/>
      <c r="BP18" s="67"/>
      <c r="BQ18" s="67"/>
      <c r="BR18" s="67"/>
      <c r="BS18" s="67"/>
      <c r="BT18" s="67"/>
      <c r="BU18" s="67"/>
      <c r="BV18" s="67"/>
      <c r="BW18" s="67"/>
      <c r="BX18" s="67"/>
      <c r="BY18" s="67"/>
      <c r="BZ18" s="67"/>
      <c r="CA18" s="67"/>
      <c r="CB18" s="67"/>
      <c r="CC18" s="67"/>
      <c r="CD18" s="67"/>
      <c r="CE18" s="67"/>
      <c r="CF18" s="67"/>
      <c r="CG18" s="67"/>
      <c r="CH18" s="67"/>
      <c r="CI18" s="67"/>
      <c r="CJ18" s="67"/>
      <c r="CK18" s="67"/>
      <c r="CL18" s="67"/>
      <c r="CM18" s="67"/>
      <c r="CN18" s="67"/>
      <c r="CO18" s="67"/>
      <c r="CP18" s="67"/>
      <c r="CQ18" s="67"/>
      <c r="CR18" s="67"/>
      <c r="CS18" s="67"/>
    </row>
    <row r="19" spans="1:97" s="63" customFormat="1" ht="39.950000000000003" customHeight="1">
      <c r="A19" s="61"/>
      <c r="C19" s="67"/>
      <c r="D19" s="67"/>
      <c r="E19" s="67"/>
      <c r="F19" s="67"/>
      <c r="G19" s="67"/>
      <c r="H19" s="67"/>
      <c r="I19" s="67"/>
      <c r="J19" s="67"/>
      <c r="K19" s="67"/>
      <c r="L19" s="67"/>
      <c r="M19" s="67"/>
      <c r="N19" s="67"/>
      <c r="O19" s="67"/>
      <c r="P19" s="67"/>
      <c r="Q19" s="67"/>
      <c r="R19" s="67"/>
      <c r="S19" s="67"/>
      <c r="T19" s="67"/>
      <c r="V19" s="67"/>
      <c r="W19" s="67"/>
      <c r="X19" s="67"/>
      <c r="Y19" s="67"/>
      <c r="Z19" s="67"/>
      <c r="AA19" s="67"/>
      <c r="AB19" s="67"/>
      <c r="AC19" s="67"/>
      <c r="AD19" s="67"/>
      <c r="AE19" s="67"/>
      <c r="AF19" s="67"/>
      <c r="AG19" s="67"/>
      <c r="AH19" s="67"/>
      <c r="AI19" s="67"/>
      <c r="AJ19" s="67"/>
      <c r="AK19" s="67"/>
      <c r="AL19" s="67"/>
      <c r="AM19" s="67"/>
      <c r="AO19" s="67"/>
      <c r="AP19" s="67"/>
      <c r="AQ19" s="67"/>
      <c r="AR19" s="67"/>
      <c r="AS19" s="67"/>
      <c r="AT19" s="67"/>
      <c r="AU19" s="67"/>
      <c r="AV19" s="67"/>
      <c r="AW19" s="67"/>
      <c r="AX19" s="67"/>
      <c r="AY19" s="67"/>
      <c r="AZ19" s="67"/>
      <c r="BA19" s="67"/>
      <c r="BB19" s="67"/>
      <c r="BC19" s="67"/>
      <c r="BD19" s="67"/>
      <c r="BE19" s="67"/>
      <c r="BF19" s="67"/>
      <c r="BH19" s="67"/>
      <c r="BI19" s="67"/>
      <c r="BJ19" s="67"/>
      <c r="BK19" s="67"/>
      <c r="BL19" s="67"/>
      <c r="BM19" s="67"/>
      <c r="BN19" s="67"/>
      <c r="BO19" s="67"/>
      <c r="BP19" s="67"/>
      <c r="BQ19" s="67"/>
      <c r="BR19" s="67"/>
      <c r="BS19" s="67"/>
      <c r="BT19" s="67"/>
      <c r="BU19" s="67"/>
      <c r="BV19" s="67"/>
      <c r="BW19" s="67"/>
      <c r="BX19" s="67"/>
      <c r="BY19" s="67"/>
      <c r="BZ19" s="67"/>
      <c r="CA19" s="67"/>
      <c r="CB19" s="67"/>
      <c r="CC19" s="67"/>
      <c r="CD19" s="67"/>
      <c r="CE19" s="67"/>
      <c r="CF19" s="67"/>
      <c r="CG19" s="67"/>
      <c r="CH19" s="67"/>
      <c r="CI19" s="67"/>
      <c r="CJ19" s="67"/>
      <c r="CK19" s="67"/>
      <c r="CL19" s="67"/>
      <c r="CM19" s="67"/>
      <c r="CN19" s="67"/>
      <c r="CO19" s="67"/>
      <c r="CP19" s="67"/>
      <c r="CQ19" s="67"/>
      <c r="CR19" s="67"/>
      <c r="CS19" s="67"/>
    </row>
    <row r="20" spans="1:97" s="63" customFormat="1" ht="39.950000000000003" customHeight="1">
      <c r="A20" s="61"/>
      <c r="C20" s="67"/>
      <c r="D20" s="67"/>
      <c r="E20" s="67"/>
      <c r="F20" s="67"/>
      <c r="G20" s="67"/>
      <c r="H20" s="67"/>
      <c r="I20" s="67"/>
      <c r="J20" s="67"/>
      <c r="K20" s="67"/>
      <c r="L20" s="67"/>
      <c r="M20" s="67"/>
      <c r="N20" s="67"/>
      <c r="O20" s="67"/>
      <c r="P20" s="67"/>
      <c r="Q20" s="67"/>
      <c r="R20" s="67"/>
      <c r="S20" s="67"/>
      <c r="T20" s="67"/>
      <c r="V20" s="67"/>
      <c r="W20" s="67"/>
      <c r="X20" s="67"/>
      <c r="Y20" s="67"/>
      <c r="Z20" s="67"/>
      <c r="AA20" s="67"/>
      <c r="AB20" s="67"/>
      <c r="AC20" s="67"/>
      <c r="AD20" s="67"/>
      <c r="AE20" s="67"/>
      <c r="AF20" s="67"/>
      <c r="AG20" s="67"/>
      <c r="AH20" s="67"/>
      <c r="AI20" s="67"/>
      <c r="AJ20" s="67"/>
      <c r="AK20" s="67"/>
      <c r="AL20" s="67"/>
      <c r="AM20" s="67"/>
      <c r="AO20" s="67"/>
      <c r="AP20" s="67"/>
      <c r="AQ20" s="67"/>
      <c r="AR20" s="67"/>
      <c r="AS20" s="67"/>
      <c r="AT20" s="67"/>
      <c r="AU20" s="67"/>
      <c r="AV20" s="67"/>
      <c r="AW20" s="67"/>
      <c r="AX20" s="67"/>
      <c r="AY20" s="67"/>
      <c r="AZ20" s="67"/>
      <c r="BA20" s="67"/>
      <c r="BB20" s="67"/>
      <c r="BC20" s="67"/>
      <c r="BD20" s="67"/>
      <c r="BE20" s="67"/>
      <c r="BF20" s="67"/>
      <c r="BH20" s="67"/>
      <c r="BI20" s="67"/>
      <c r="BJ20" s="67"/>
      <c r="BK20" s="67"/>
      <c r="BL20" s="67"/>
      <c r="BM20" s="67"/>
      <c r="BN20" s="67"/>
      <c r="BO20" s="67"/>
      <c r="BP20" s="67"/>
      <c r="BQ20" s="67"/>
      <c r="BR20" s="67"/>
      <c r="BS20" s="67"/>
      <c r="BT20" s="67"/>
      <c r="BU20" s="67"/>
      <c r="BV20" s="67"/>
      <c r="BW20" s="67"/>
      <c r="BX20" s="67"/>
      <c r="BY20" s="67"/>
      <c r="BZ20" s="67"/>
      <c r="CA20" s="67"/>
      <c r="CB20" s="67"/>
      <c r="CC20" s="67"/>
      <c r="CD20" s="67"/>
      <c r="CE20" s="67"/>
      <c r="CF20" s="67"/>
      <c r="CG20" s="67"/>
      <c r="CH20" s="67"/>
      <c r="CI20" s="67"/>
      <c r="CJ20" s="67"/>
      <c r="CK20" s="67"/>
      <c r="CL20" s="67"/>
      <c r="CM20" s="67"/>
      <c r="CN20" s="67"/>
      <c r="CO20" s="67"/>
      <c r="CP20" s="67"/>
      <c r="CQ20" s="67"/>
      <c r="CR20" s="67"/>
      <c r="CS20" s="67"/>
    </row>
    <row r="21" spans="1:97" s="63" customFormat="1" ht="39.950000000000003" customHeight="1">
      <c r="A21" s="61"/>
      <c r="C21" s="67"/>
      <c r="D21" s="67"/>
      <c r="E21" s="67"/>
      <c r="F21" s="67"/>
      <c r="G21" s="67"/>
      <c r="H21" s="67"/>
      <c r="I21" s="67"/>
      <c r="J21" s="67"/>
      <c r="K21" s="67"/>
      <c r="L21" s="67"/>
      <c r="M21" s="67"/>
      <c r="N21" s="67"/>
      <c r="O21" s="67"/>
      <c r="P21" s="67"/>
      <c r="Q21" s="67"/>
      <c r="R21" s="67"/>
      <c r="S21" s="67"/>
      <c r="T21" s="67"/>
      <c r="V21" s="67"/>
      <c r="W21" s="67"/>
      <c r="X21" s="67"/>
      <c r="Y21" s="67"/>
      <c r="Z21" s="67"/>
      <c r="AA21" s="67"/>
      <c r="AB21" s="67"/>
      <c r="AC21" s="67"/>
      <c r="AD21" s="67"/>
      <c r="AE21" s="67"/>
      <c r="AF21" s="67"/>
      <c r="AG21" s="67"/>
      <c r="AH21" s="67"/>
      <c r="AI21" s="67"/>
      <c r="AJ21" s="67"/>
      <c r="AK21" s="67"/>
      <c r="AL21" s="67"/>
      <c r="AM21" s="67"/>
      <c r="AO21" s="67"/>
      <c r="AP21" s="67"/>
      <c r="AQ21" s="67"/>
      <c r="AR21" s="67"/>
      <c r="AS21" s="67"/>
      <c r="AT21" s="67"/>
      <c r="AU21" s="67"/>
      <c r="AV21" s="67"/>
      <c r="AW21" s="67"/>
      <c r="AX21" s="67"/>
      <c r="AY21" s="67"/>
      <c r="AZ21" s="67"/>
      <c r="BA21" s="67"/>
      <c r="BB21" s="67"/>
      <c r="BC21" s="67"/>
      <c r="BD21" s="67"/>
      <c r="BE21" s="67"/>
      <c r="BF21" s="67"/>
      <c r="BH21" s="67"/>
      <c r="BI21" s="67"/>
      <c r="BJ21" s="67"/>
      <c r="BK21" s="67"/>
      <c r="BL21" s="67"/>
      <c r="BM21" s="67"/>
      <c r="BN21" s="67"/>
      <c r="BO21" s="67"/>
      <c r="BP21" s="67"/>
      <c r="BQ21" s="67"/>
      <c r="BR21" s="67"/>
      <c r="BS21" s="67"/>
      <c r="BT21" s="67"/>
      <c r="BU21" s="67"/>
      <c r="BV21" s="67"/>
      <c r="BW21" s="67"/>
      <c r="BX21" s="67"/>
      <c r="BY21" s="67"/>
      <c r="BZ21" s="67"/>
      <c r="CA21" s="67"/>
      <c r="CB21" s="67"/>
      <c r="CC21" s="67"/>
      <c r="CD21" s="67"/>
      <c r="CE21" s="67"/>
      <c r="CF21" s="67"/>
      <c r="CG21" s="67"/>
      <c r="CH21" s="67"/>
      <c r="CI21" s="67"/>
      <c r="CJ21" s="67"/>
      <c r="CK21" s="67"/>
      <c r="CL21" s="67"/>
      <c r="CM21" s="67"/>
      <c r="CN21" s="67"/>
      <c r="CO21" s="67"/>
      <c r="CP21" s="67"/>
      <c r="CQ21" s="67"/>
      <c r="CR21" s="67"/>
      <c r="CS21" s="67"/>
    </row>
    <row r="22" spans="1:97" s="63" customFormat="1" ht="39.950000000000003" customHeight="1">
      <c r="A22" s="61"/>
      <c r="C22" s="67"/>
      <c r="D22" s="67"/>
      <c r="E22" s="67"/>
      <c r="F22" s="67"/>
      <c r="G22" s="67"/>
      <c r="H22" s="67"/>
      <c r="I22" s="67"/>
      <c r="J22" s="67"/>
      <c r="K22" s="67"/>
      <c r="L22" s="67"/>
      <c r="M22" s="67"/>
      <c r="N22" s="67"/>
      <c r="O22" s="67"/>
      <c r="P22" s="67"/>
      <c r="Q22" s="67"/>
      <c r="R22" s="67"/>
      <c r="S22" s="67"/>
      <c r="T22" s="67"/>
      <c r="V22" s="67"/>
      <c r="W22" s="67"/>
      <c r="X22" s="67"/>
      <c r="Y22" s="67"/>
      <c r="Z22" s="67"/>
      <c r="AA22" s="67"/>
      <c r="AB22" s="67"/>
      <c r="AC22" s="67"/>
      <c r="AD22" s="67"/>
      <c r="AE22" s="67"/>
      <c r="AF22" s="67"/>
      <c r="AG22" s="67"/>
      <c r="AH22" s="67"/>
      <c r="AI22" s="67"/>
      <c r="AJ22" s="67"/>
      <c r="AK22" s="67"/>
      <c r="AL22" s="67"/>
      <c r="AM22" s="67"/>
      <c r="AO22" s="67"/>
      <c r="AP22" s="67"/>
      <c r="AQ22" s="67"/>
      <c r="AR22" s="67"/>
      <c r="AS22" s="67"/>
      <c r="AT22" s="67"/>
      <c r="AU22" s="67"/>
      <c r="AV22" s="67"/>
      <c r="AW22" s="67"/>
      <c r="AX22" s="67"/>
      <c r="AY22" s="67"/>
      <c r="AZ22" s="67"/>
      <c r="BA22" s="67"/>
      <c r="BB22" s="67"/>
      <c r="BC22" s="67"/>
      <c r="BD22" s="67"/>
      <c r="BE22" s="67"/>
      <c r="BF22" s="67"/>
      <c r="BH22" s="67"/>
      <c r="BI22" s="67"/>
      <c r="BJ22" s="67"/>
      <c r="BK22" s="67"/>
      <c r="BL22" s="67"/>
      <c r="BM22" s="67"/>
      <c r="BN22" s="67"/>
      <c r="BO22" s="67"/>
      <c r="BP22" s="67"/>
      <c r="BQ22" s="67"/>
      <c r="BR22" s="67"/>
      <c r="BS22" s="67"/>
      <c r="BT22" s="67"/>
      <c r="BU22" s="67"/>
      <c r="BV22" s="67"/>
      <c r="BW22" s="67"/>
      <c r="BX22" s="67"/>
      <c r="BY22" s="67"/>
      <c r="BZ22" s="67"/>
      <c r="CA22" s="67"/>
      <c r="CB22" s="67"/>
      <c r="CC22" s="67"/>
      <c r="CD22" s="67"/>
      <c r="CE22" s="67"/>
      <c r="CF22" s="67"/>
      <c r="CG22" s="67"/>
      <c r="CH22" s="67"/>
      <c r="CI22" s="67"/>
      <c r="CJ22" s="67"/>
      <c r="CK22" s="67"/>
      <c r="CL22" s="67"/>
      <c r="CM22" s="67"/>
      <c r="CN22" s="67"/>
      <c r="CO22" s="67"/>
      <c r="CP22" s="67"/>
      <c r="CQ22" s="67"/>
      <c r="CR22" s="67"/>
      <c r="CS22" s="67"/>
    </row>
    <row r="23" spans="1:97" s="63" customFormat="1" ht="39.950000000000003" customHeight="1">
      <c r="A23" s="61"/>
      <c r="C23" s="67"/>
      <c r="D23" s="67"/>
      <c r="E23" s="67"/>
      <c r="F23" s="67"/>
      <c r="G23" s="67"/>
      <c r="H23" s="67"/>
      <c r="I23" s="67"/>
      <c r="J23" s="67"/>
      <c r="K23" s="67"/>
      <c r="L23" s="67"/>
      <c r="M23" s="67"/>
      <c r="N23" s="67"/>
      <c r="O23" s="67"/>
      <c r="P23" s="67"/>
      <c r="Q23" s="67"/>
      <c r="R23" s="67"/>
      <c r="S23" s="67"/>
      <c r="T23" s="67"/>
      <c r="V23" s="67"/>
      <c r="W23" s="67"/>
      <c r="X23" s="67"/>
      <c r="Y23" s="67"/>
      <c r="Z23" s="67"/>
      <c r="AA23" s="67"/>
      <c r="AB23" s="67"/>
      <c r="AC23" s="67"/>
      <c r="AD23" s="67"/>
      <c r="AE23" s="67"/>
      <c r="AF23" s="67"/>
      <c r="AG23" s="67"/>
      <c r="AH23" s="67"/>
      <c r="AI23" s="67"/>
      <c r="AJ23" s="67"/>
      <c r="AK23" s="67"/>
      <c r="AL23" s="67"/>
      <c r="AM23" s="67"/>
      <c r="AO23" s="67"/>
      <c r="AP23" s="67"/>
      <c r="AQ23" s="67"/>
      <c r="AR23" s="67"/>
      <c r="AS23" s="67"/>
      <c r="AT23" s="67"/>
      <c r="AU23" s="67"/>
      <c r="AV23" s="67"/>
      <c r="AW23" s="67"/>
      <c r="AX23" s="67"/>
      <c r="AY23" s="67"/>
      <c r="AZ23" s="67"/>
      <c r="BA23" s="67"/>
      <c r="BB23" s="67"/>
      <c r="BC23" s="67"/>
      <c r="BD23" s="67"/>
      <c r="BE23" s="67"/>
      <c r="BF23" s="67"/>
      <c r="BH23" s="67"/>
      <c r="BI23" s="67"/>
      <c r="BJ23" s="67"/>
      <c r="BK23" s="67"/>
      <c r="BL23" s="67"/>
      <c r="BM23" s="67"/>
      <c r="BN23" s="67"/>
      <c r="BO23" s="67"/>
      <c r="BP23" s="67"/>
      <c r="BQ23" s="67"/>
      <c r="BR23" s="67"/>
      <c r="BS23" s="67"/>
      <c r="BT23" s="67"/>
      <c r="BU23" s="67"/>
      <c r="BV23" s="67"/>
      <c r="BW23" s="67"/>
      <c r="BX23" s="67"/>
      <c r="BY23" s="67"/>
      <c r="BZ23" s="67"/>
      <c r="CA23" s="67"/>
      <c r="CB23" s="67"/>
      <c r="CC23" s="67"/>
      <c r="CD23" s="67"/>
      <c r="CE23" s="67"/>
      <c r="CF23" s="67"/>
      <c r="CG23" s="67"/>
      <c r="CH23" s="67"/>
      <c r="CI23" s="67"/>
      <c r="CJ23" s="67"/>
      <c r="CK23" s="67"/>
      <c r="CL23" s="67"/>
      <c r="CM23" s="67"/>
      <c r="CN23" s="67"/>
      <c r="CO23" s="67"/>
      <c r="CP23" s="67"/>
      <c r="CQ23" s="67"/>
      <c r="CR23" s="67"/>
      <c r="CS23" s="67"/>
    </row>
    <row r="24" spans="1:97" s="63" customFormat="1" ht="39.950000000000003" customHeight="1">
      <c r="A24" s="61"/>
      <c r="C24" s="67"/>
      <c r="D24" s="67"/>
      <c r="E24" s="67"/>
      <c r="F24" s="67"/>
      <c r="G24" s="67"/>
      <c r="H24" s="67"/>
      <c r="I24" s="67"/>
      <c r="J24" s="67"/>
      <c r="K24" s="67"/>
      <c r="L24" s="67"/>
      <c r="M24" s="67"/>
      <c r="N24" s="67"/>
      <c r="O24" s="67"/>
      <c r="P24" s="67"/>
      <c r="Q24" s="67"/>
      <c r="R24" s="67"/>
      <c r="S24" s="67"/>
      <c r="T24" s="67"/>
      <c r="V24" s="67"/>
      <c r="W24" s="67"/>
      <c r="X24" s="67"/>
      <c r="Y24" s="67"/>
      <c r="Z24" s="67"/>
      <c r="AA24" s="67"/>
      <c r="AB24" s="67"/>
      <c r="AC24" s="67"/>
      <c r="AD24" s="67"/>
      <c r="AE24" s="67"/>
      <c r="AF24" s="67"/>
      <c r="AG24" s="67"/>
      <c r="AH24" s="67"/>
      <c r="AI24" s="67"/>
      <c r="AJ24" s="67"/>
      <c r="AK24" s="67"/>
      <c r="AL24" s="67"/>
      <c r="AM24" s="67"/>
      <c r="AO24" s="67"/>
      <c r="AP24" s="67"/>
      <c r="AQ24" s="67"/>
      <c r="AR24" s="67"/>
      <c r="AS24" s="67"/>
      <c r="AT24" s="67"/>
      <c r="AU24" s="67"/>
      <c r="AV24" s="67"/>
      <c r="AW24" s="67"/>
      <c r="AX24" s="67"/>
      <c r="AY24" s="67"/>
      <c r="AZ24" s="67"/>
      <c r="BA24" s="67"/>
      <c r="BB24" s="67"/>
      <c r="BC24" s="67"/>
      <c r="BD24" s="67"/>
      <c r="BE24" s="67"/>
      <c r="BF24" s="67"/>
      <c r="BH24" s="67"/>
      <c r="BI24" s="67"/>
      <c r="BJ24" s="67"/>
      <c r="BK24" s="67"/>
      <c r="BL24" s="67"/>
      <c r="BM24" s="67"/>
      <c r="BN24" s="67"/>
      <c r="BO24" s="67"/>
      <c r="BP24" s="67"/>
      <c r="BQ24" s="67"/>
      <c r="BR24" s="67"/>
      <c r="BS24" s="67"/>
      <c r="BT24" s="67"/>
      <c r="BU24" s="67"/>
      <c r="BV24" s="67"/>
      <c r="BW24" s="67"/>
      <c r="BX24" s="67"/>
      <c r="BY24" s="67"/>
      <c r="BZ24" s="67"/>
      <c r="CA24" s="67"/>
      <c r="CB24" s="67"/>
      <c r="CC24" s="67"/>
      <c r="CD24" s="67"/>
      <c r="CE24" s="67"/>
      <c r="CF24" s="67"/>
      <c r="CG24" s="67"/>
      <c r="CH24" s="67"/>
      <c r="CI24" s="67"/>
      <c r="CJ24" s="67"/>
      <c r="CK24" s="67"/>
      <c r="CL24" s="67"/>
      <c r="CM24" s="67"/>
      <c r="CN24" s="67"/>
      <c r="CO24" s="67"/>
      <c r="CP24" s="67"/>
      <c r="CQ24" s="67"/>
      <c r="CR24" s="67"/>
      <c r="CS24" s="67"/>
    </row>
    <row r="25" spans="1:97" s="52" customFormat="1" ht="39.950000000000003" customHeight="1">
      <c r="A25" s="61"/>
      <c r="C25" s="68"/>
      <c r="D25" s="68"/>
      <c r="E25" s="68"/>
      <c r="F25" s="68"/>
      <c r="G25" s="68"/>
      <c r="H25" s="68"/>
      <c r="I25" s="68"/>
      <c r="J25" s="68"/>
      <c r="K25" s="68"/>
      <c r="L25" s="68"/>
      <c r="M25" s="68"/>
      <c r="N25" s="68"/>
      <c r="O25" s="68"/>
      <c r="P25" s="68"/>
      <c r="Q25" s="68"/>
      <c r="R25" s="68"/>
      <c r="S25" s="68"/>
      <c r="T25" s="68"/>
      <c r="V25" s="67"/>
      <c r="W25" s="68"/>
      <c r="X25" s="68"/>
      <c r="Y25" s="68"/>
      <c r="Z25" s="68"/>
      <c r="AA25" s="68"/>
      <c r="AB25" s="68"/>
      <c r="AC25" s="68"/>
      <c r="AD25" s="68"/>
      <c r="AE25" s="68"/>
      <c r="AF25" s="68"/>
      <c r="AG25" s="68"/>
      <c r="AH25" s="68"/>
      <c r="AI25" s="68"/>
      <c r="AJ25" s="68"/>
      <c r="AK25" s="68"/>
      <c r="AL25" s="68"/>
      <c r="AM25" s="68"/>
      <c r="AO25" s="68"/>
      <c r="AP25" s="68"/>
      <c r="AQ25" s="68"/>
      <c r="AR25" s="68"/>
      <c r="AS25" s="68"/>
      <c r="AT25" s="68"/>
      <c r="AU25" s="68"/>
      <c r="AV25" s="68"/>
      <c r="AW25" s="68"/>
      <c r="AX25" s="68"/>
      <c r="AY25" s="68"/>
      <c r="AZ25" s="68"/>
      <c r="BA25" s="68"/>
      <c r="BB25" s="68"/>
      <c r="BC25" s="68"/>
      <c r="BD25" s="68"/>
      <c r="BE25" s="68"/>
      <c r="BF25" s="68"/>
      <c r="BH25" s="68"/>
      <c r="BI25" s="68"/>
      <c r="BJ25" s="68"/>
      <c r="BK25" s="68"/>
      <c r="BL25" s="68"/>
      <c r="BM25" s="68"/>
      <c r="BN25" s="68"/>
      <c r="BO25" s="68"/>
      <c r="BP25" s="68"/>
      <c r="BQ25" s="68"/>
      <c r="BR25" s="68"/>
      <c r="BS25" s="68"/>
      <c r="BT25" s="68"/>
      <c r="BU25" s="68"/>
      <c r="BV25" s="68"/>
      <c r="BW25" s="68"/>
      <c r="BX25" s="68"/>
      <c r="BY25" s="68"/>
      <c r="BZ25" s="68"/>
      <c r="CA25" s="68"/>
      <c r="CB25" s="68"/>
      <c r="CC25" s="68"/>
      <c r="CD25" s="68"/>
      <c r="CE25" s="68"/>
      <c r="CF25" s="68"/>
      <c r="CG25" s="68"/>
      <c r="CH25" s="68"/>
      <c r="CI25" s="68"/>
      <c r="CJ25" s="68"/>
      <c r="CK25" s="68"/>
      <c r="CL25" s="68"/>
      <c r="CM25" s="68"/>
      <c r="CN25" s="68"/>
      <c r="CO25" s="68"/>
      <c r="CP25" s="68"/>
      <c r="CQ25" s="68"/>
      <c r="CR25" s="68"/>
      <c r="CS25" s="68"/>
    </row>
    <row r="26" spans="1:97" s="43" customFormat="1" ht="39.950000000000003" customHeight="1">
      <c r="A26" s="42"/>
      <c r="E26" s="52"/>
      <c r="F26" s="52"/>
      <c r="G26" s="52"/>
      <c r="H26" s="52"/>
      <c r="I26" s="52"/>
      <c r="J26" s="52"/>
      <c r="K26" s="52"/>
      <c r="L26" s="52"/>
      <c r="M26" s="52"/>
      <c r="N26" s="52"/>
      <c r="O26" s="52"/>
      <c r="P26" s="52"/>
      <c r="Q26" s="52"/>
      <c r="R26" s="52"/>
      <c r="S26" s="52"/>
      <c r="T26" s="52"/>
      <c r="U26" s="52"/>
      <c r="V26" s="52"/>
      <c r="W26" s="52"/>
      <c r="X26" s="52"/>
      <c r="Y26" s="52"/>
      <c r="Z26" s="52"/>
      <c r="AA26" s="52"/>
      <c r="AB26" s="52"/>
      <c r="AC26" s="52"/>
      <c r="AD26" s="52"/>
      <c r="AE26" s="52"/>
      <c r="AF26" s="52"/>
      <c r="AG26" s="52"/>
      <c r="AH26" s="52"/>
      <c r="AI26" s="52"/>
      <c r="AJ26" s="52"/>
      <c r="AK26" s="52"/>
      <c r="AL26" s="52"/>
      <c r="AM26" s="52"/>
      <c r="AN26" s="52"/>
      <c r="AO26" s="52"/>
      <c r="AP26" s="52"/>
      <c r="AQ26" s="52"/>
      <c r="AR26" s="52"/>
      <c r="AS26" s="52"/>
      <c r="AT26" s="52"/>
      <c r="AU26" s="52"/>
      <c r="AV26" s="52"/>
      <c r="AW26" s="52"/>
      <c r="AX26" s="52"/>
      <c r="AY26" s="52"/>
      <c r="AZ26" s="52"/>
      <c r="BA26" s="52"/>
      <c r="BB26" s="52"/>
      <c r="BC26" s="52"/>
      <c r="BD26" s="52"/>
      <c r="BE26" s="52"/>
      <c r="BF26" s="52"/>
      <c r="BG26" s="52"/>
      <c r="BH26" s="52"/>
      <c r="BI26" s="52"/>
      <c r="BJ26" s="52"/>
      <c r="BK26" s="52"/>
      <c r="BL26" s="52"/>
      <c r="BM26" s="52"/>
      <c r="BN26" s="52"/>
      <c r="BO26" s="52"/>
      <c r="BP26" s="52"/>
      <c r="BQ26" s="52"/>
      <c r="BR26" s="52"/>
      <c r="BS26" s="52"/>
      <c r="BT26" s="52"/>
      <c r="BU26" s="52"/>
      <c r="BV26" s="52"/>
      <c r="BW26" s="52"/>
      <c r="BX26" s="52"/>
      <c r="BY26" s="52"/>
      <c r="BZ26" s="52"/>
      <c r="CA26" s="52"/>
      <c r="CB26" s="52"/>
      <c r="CC26" s="52"/>
      <c r="CD26" s="52"/>
      <c r="CE26" s="52"/>
      <c r="CF26" s="52"/>
      <c r="CG26" s="52"/>
      <c r="CH26" s="52"/>
      <c r="CI26" s="52"/>
      <c r="CJ26" s="52"/>
      <c r="CK26" s="52"/>
      <c r="CL26" s="52"/>
      <c r="CM26" s="52"/>
      <c r="CN26" s="52"/>
      <c r="CO26" s="52"/>
      <c r="CP26" s="52"/>
      <c r="CQ26" s="52"/>
      <c r="CR26" s="52"/>
    </row>
    <row r="27" spans="1:97" s="43" customFormat="1" ht="39.950000000000003" customHeight="1">
      <c r="A27" s="42"/>
      <c r="E27" s="52"/>
      <c r="F27" s="52"/>
      <c r="G27" s="52"/>
      <c r="H27" s="52"/>
      <c r="I27" s="52"/>
      <c r="J27" s="52"/>
      <c r="K27" s="52"/>
      <c r="L27" s="52"/>
      <c r="M27" s="52"/>
      <c r="N27" s="52"/>
      <c r="O27" s="52"/>
      <c r="P27" s="52"/>
      <c r="Q27" s="52"/>
      <c r="R27" s="52"/>
      <c r="S27" s="52"/>
      <c r="T27" s="52"/>
      <c r="U27" s="52"/>
      <c r="V27" s="52"/>
      <c r="W27" s="52"/>
      <c r="X27" s="52"/>
      <c r="Y27" s="52"/>
      <c r="Z27" s="52"/>
      <c r="AA27" s="52"/>
      <c r="AB27" s="52"/>
      <c r="AC27" s="52"/>
      <c r="AD27" s="52"/>
      <c r="AE27" s="52"/>
      <c r="AF27" s="52"/>
      <c r="AG27" s="52"/>
      <c r="AH27" s="52"/>
      <c r="AI27" s="52"/>
      <c r="AJ27" s="52"/>
      <c r="AK27" s="52"/>
      <c r="AL27" s="52"/>
      <c r="AM27" s="52"/>
      <c r="AN27" s="52"/>
      <c r="AO27" s="52"/>
      <c r="AP27" s="52"/>
      <c r="AQ27" s="52"/>
      <c r="AR27" s="52"/>
      <c r="AS27" s="52"/>
      <c r="AT27" s="52"/>
      <c r="AU27" s="52"/>
      <c r="AV27" s="52"/>
      <c r="AW27" s="52"/>
      <c r="AX27" s="52"/>
      <c r="AY27" s="52"/>
      <c r="AZ27" s="52"/>
      <c r="BA27" s="52"/>
      <c r="BB27" s="52"/>
      <c r="BC27" s="52"/>
      <c r="BD27" s="52"/>
      <c r="BE27" s="52"/>
      <c r="BF27" s="52"/>
      <c r="BG27" s="52"/>
      <c r="BH27" s="52"/>
      <c r="BI27" s="52"/>
      <c r="BJ27" s="52"/>
      <c r="BK27" s="52"/>
      <c r="BL27" s="52"/>
      <c r="BM27" s="52"/>
      <c r="BN27" s="52"/>
      <c r="BO27" s="52"/>
      <c r="BP27" s="52"/>
      <c r="BQ27" s="52"/>
      <c r="BR27" s="52"/>
      <c r="BS27" s="52"/>
      <c r="BT27" s="52"/>
      <c r="BU27" s="52"/>
      <c r="BV27" s="52"/>
      <c r="BW27" s="52"/>
      <c r="BX27" s="52"/>
      <c r="BY27" s="52"/>
      <c r="BZ27" s="52"/>
      <c r="CA27" s="52"/>
      <c r="CB27" s="52"/>
      <c r="CC27" s="52"/>
      <c r="CD27" s="52"/>
      <c r="CE27" s="52"/>
      <c r="CF27" s="52"/>
      <c r="CG27" s="52"/>
      <c r="CH27" s="52"/>
      <c r="CI27" s="52"/>
      <c r="CJ27" s="52"/>
      <c r="CK27" s="52"/>
      <c r="CL27" s="52"/>
      <c r="CM27" s="52"/>
      <c r="CN27" s="52"/>
      <c r="CO27" s="52"/>
      <c r="CP27" s="52"/>
      <c r="CQ27" s="52"/>
      <c r="CR27" s="52"/>
    </row>
    <row r="28" spans="1:97" s="43" customFormat="1" ht="39.950000000000003" customHeight="1">
      <c r="A28" s="42"/>
      <c r="E28" s="52"/>
      <c r="F28" s="52"/>
      <c r="G28" s="52"/>
      <c r="H28" s="52"/>
      <c r="I28" s="52"/>
      <c r="J28" s="52"/>
      <c r="K28" s="52"/>
      <c r="L28" s="52"/>
      <c r="M28" s="52"/>
      <c r="N28" s="52"/>
      <c r="O28" s="52"/>
      <c r="P28" s="52"/>
      <c r="Q28" s="52"/>
      <c r="R28" s="52"/>
      <c r="S28" s="52"/>
      <c r="T28" s="52"/>
      <c r="U28" s="52"/>
      <c r="V28" s="52"/>
      <c r="W28" s="52"/>
      <c r="X28" s="52"/>
      <c r="Y28" s="52"/>
      <c r="Z28" s="52"/>
      <c r="AA28" s="52"/>
      <c r="AB28" s="52"/>
      <c r="AC28" s="52"/>
      <c r="AD28" s="52"/>
      <c r="AE28" s="52"/>
      <c r="AF28" s="52"/>
      <c r="AG28" s="52"/>
      <c r="AH28" s="52"/>
      <c r="AI28" s="52"/>
      <c r="AJ28" s="52"/>
      <c r="AK28" s="52"/>
      <c r="AL28" s="52"/>
      <c r="AM28" s="52"/>
      <c r="AN28" s="52"/>
      <c r="AO28" s="52"/>
      <c r="AP28" s="52"/>
      <c r="AQ28" s="52"/>
      <c r="AR28" s="52"/>
      <c r="AS28" s="52"/>
      <c r="AT28" s="52"/>
      <c r="AU28" s="52"/>
      <c r="AV28" s="52"/>
      <c r="AW28" s="52"/>
      <c r="AX28" s="52"/>
      <c r="AY28" s="52"/>
      <c r="AZ28" s="52"/>
      <c r="BA28" s="52"/>
      <c r="BB28" s="52"/>
      <c r="BC28" s="52"/>
      <c r="BD28" s="52"/>
      <c r="BE28" s="52"/>
      <c r="BF28" s="52"/>
      <c r="BG28" s="52"/>
      <c r="BH28" s="52"/>
      <c r="BI28" s="52"/>
      <c r="BJ28" s="52"/>
      <c r="BK28" s="52"/>
      <c r="BL28" s="52"/>
      <c r="BM28" s="52"/>
      <c r="BN28" s="52"/>
      <c r="BO28" s="52"/>
      <c r="BP28" s="52"/>
      <c r="BQ28" s="52"/>
      <c r="BR28" s="52"/>
      <c r="BS28" s="52"/>
      <c r="BT28" s="52"/>
      <c r="BU28" s="52"/>
      <c r="BV28" s="52"/>
      <c r="BW28" s="52"/>
      <c r="BX28" s="52"/>
      <c r="BY28" s="52"/>
      <c r="BZ28" s="52"/>
      <c r="CA28" s="52"/>
      <c r="CB28" s="52"/>
      <c r="CC28" s="52"/>
      <c r="CD28" s="52"/>
      <c r="CE28" s="52"/>
      <c r="CF28" s="52"/>
      <c r="CG28" s="52"/>
      <c r="CH28" s="52"/>
      <c r="CI28" s="52"/>
      <c r="CJ28" s="52"/>
      <c r="CK28" s="52"/>
      <c r="CL28" s="52"/>
      <c r="CM28" s="52"/>
      <c r="CN28" s="52"/>
      <c r="CO28" s="52"/>
      <c r="CP28" s="52"/>
      <c r="CQ28" s="52"/>
      <c r="CR28" s="52"/>
    </row>
    <row r="29" spans="1:97" s="43" customFormat="1" ht="39.950000000000003" customHeight="1">
      <c r="A29" s="42"/>
      <c r="E29" s="52"/>
      <c r="F29" s="52"/>
      <c r="G29" s="52"/>
      <c r="H29" s="52"/>
      <c r="I29" s="52"/>
      <c r="J29" s="52"/>
      <c r="K29" s="52"/>
      <c r="L29" s="52"/>
      <c r="M29" s="52"/>
      <c r="N29" s="52"/>
      <c r="O29" s="52"/>
      <c r="P29" s="52"/>
      <c r="Q29" s="52"/>
      <c r="R29" s="52"/>
      <c r="S29" s="52"/>
      <c r="T29" s="52"/>
      <c r="U29" s="52"/>
      <c r="V29" s="52"/>
      <c r="W29" s="52"/>
      <c r="X29" s="52"/>
      <c r="Y29" s="52"/>
      <c r="Z29" s="52"/>
      <c r="AA29" s="52"/>
      <c r="AB29" s="52"/>
      <c r="AC29" s="52"/>
      <c r="AD29" s="52"/>
      <c r="AE29" s="52"/>
      <c r="AF29" s="52"/>
      <c r="AG29" s="52"/>
      <c r="AH29" s="52"/>
      <c r="AI29" s="52"/>
      <c r="AJ29" s="52"/>
      <c r="AK29" s="52"/>
      <c r="AL29" s="52"/>
      <c r="AM29" s="52"/>
      <c r="AN29" s="52"/>
      <c r="AO29" s="52"/>
      <c r="AP29" s="52"/>
      <c r="AQ29" s="52"/>
      <c r="AR29" s="52"/>
      <c r="AS29" s="52"/>
      <c r="AT29" s="52"/>
      <c r="AU29" s="52"/>
      <c r="AV29" s="52"/>
      <c r="AW29" s="52"/>
      <c r="AX29" s="52"/>
      <c r="AY29" s="52"/>
      <c r="AZ29" s="52"/>
      <c r="BA29" s="52"/>
      <c r="BB29" s="52"/>
      <c r="BC29" s="52"/>
      <c r="BD29" s="52"/>
      <c r="BE29" s="52"/>
      <c r="BF29" s="52"/>
      <c r="BG29" s="52"/>
      <c r="BH29" s="52"/>
      <c r="BI29" s="52"/>
      <c r="BJ29" s="52"/>
      <c r="BK29" s="52"/>
      <c r="BL29" s="52"/>
      <c r="BM29" s="52"/>
      <c r="BN29" s="52"/>
      <c r="BO29" s="52"/>
      <c r="BP29" s="52"/>
      <c r="BQ29" s="52"/>
      <c r="BR29" s="52"/>
      <c r="BS29" s="52"/>
      <c r="BT29" s="52"/>
      <c r="BU29" s="52"/>
      <c r="BV29" s="52"/>
      <c r="BW29" s="52"/>
      <c r="BX29" s="52"/>
      <c r="BY29" s="52"/>
      <c r="BZ29" s="52"/>
      <c r="CA29" s="52"/>
      <c r="CB29" s="52"/>
      <c r="CC29" s="52"/>
      <c r="CD29" s="52"/>
      <c r="CE29" s="52"/>
      <c r="CF29" s="52"/>
      <c r="CG29" s="52"/>
      <c r="CH29" s="52"/>
      <c r="CI29" s="52"/>
      <c r="CJ29" s="52"/>
      <c r="CK29" s="52"/>
      <c r="CL29" s="52"/>
      <c r="CM29" s="52"/>
      <c r="CN29" s="52"/>
      <c r="CO29" s="52"/>
      <c r="CP29" s="52"/>
      <c r="CQ29" s="52"/>
      <c r="CR29" s="52"/>
    </row>
    <row r="30" spans="1:97" s="43" customFormat="1" ht="39.950000000000003" customHeight="1">
      <c r="A30" s="42"/>
      <c r="E30" s="52"/>
      <c r="F30" s="52"/>
      <c r="G30" s="52"/>
      <c r="H30" s="52"/>
      <c r="I30" s="52"/>
      <c r="J30" s="52"/>
      <c r="K30" s="52"/>
      <c r="L30" s="52"/>
      <c r="M30" s="52"/>
      <c r="N30" s="52"/>
      <c r="O30" s="52"/>
      <c r="P30" s="52"/>
      <c r="Q30" s="52"/>
      <c r="R30" s="52"/>
      <c r="S30" s="52"/>
      <c r="T30" s="52"/>
      <c r="U30" s="52"/>
      <c r="V30" s="52"/>
      <c r="W30" s="52"/>
      <c r="X30" s="52"/>
      <c r="Y30" s="52"/>
      <c r="Z30" s="52"/>
      <c r="AA30" s="52"/>
      <c r="AB30" s="52"/>
      <c r="AC30" s="52"/>
      <c r="AD30" s="52"/>
      <c r="AE30" s="52"/>
      <c r="AF30" s="52"/>
      <c r="AG30" s="52"/>
      <c r="AH30" s="52"/>
      <c r="AI30" s="52"/>
      <c r="AJ30" s="52"/>
      <c r="AK30" s="52"/>
      <c r="AL30" s="52"/>
      <c r="AM30" s="52"/>
      <c r="AN30" s="52"/>
      <c r="AO30" s="52"/>
      <c r="AP30" s="52"/>
      <c r="AQ30" s="52"/>
      <c r="AR30" s="52"/>
      <c r="AS30" s="52"/>
      <c r="AT30" s="52"/>
      <c r="AU30" s="52"/>
      <c r="AV30" s="52"/>
      <c r="AW30" s="52"/>
      <c r="AX30" s="52"/>
      <c r="AY30" s="52"/>
      <c r="AZ30" s="52"/>
      <c r="BA30" s="52"/>
      <c r="BB30" s="52"/>
      <c r="BC30" s="52"/>
      <c r="BD30" s="52"/>
      <c r="BE30" s="52"/>
      <c r="BF30" s="52"/>
      <c r="BG30" s="52"/>
      <c r="BH30" s="52"/>
      <c r="BI30" s="52"/>
      <c r="BJ30" s="52"/>
      <c r="BK30" s="52"/>
      <c r="BL30" s="52"/>
      <c r="BM30" s="52"/>
      <c r="BN30" s="52"/>
      <c r="BO30" s="52"/>
      <c r="BP30" s="52"/>
      <c r="BQ30" s="52"/>
      <c r="BR30" s="52"/>
      <c r="BS30" s="52"/>
      <c r="BT30" s="52"/>
      <c r="BU30" s="52"/>
      <c r="BV30" s="52"/>
      <c r="BW30" s="52"/>
      <c r="BX30" s="52"/>
      <c r="BY30" s="52"/>
      <c r="BZ30" s="52"/>
      <c r="CA30" s="52"/>
      <c r="CB30" s="52"/>
      <c r="CC30" s="52"/>
      <c r="CD30" s="52"/>
      <c r="CE30" s="52"/>
      <c r="CF30" s="52"/>
      <c r="CG30" s="52"/>
      <c r="CH30" s="52"/>
      <c r="CI30" s="52"/>
      <c r="CJ30" s="52"/>
      <c r="CK30" s="52"/>
      <c r="CL30" s="52"/>
      <c r="CM30" s="52"/>
      <c r="CN30" s="52"/>
      <c r="CO30" s="52"/>
      <c r="CP30" s="52"/>
      <c r="CQ30" s="52"/>
      <c r="CR30" s="52"/>
    </row>
    <row r="31" spans="1:97" s="43" customFormat="1" ht="39.950000000000003" customHeight="1">
      <c r="A31" s="42"/>
      <c r="E31" s="52"/>
      <c r="F31" s="52"/>
      <c r="G31" s="52"/>
      <c r="H31" s="52"/>
      <c r="I31" s="52"/>
      <c r="J31" s="52"/>
      <c r="K31" s="52"/>
      <c r="L31" s="52"/>
      <c r="M31" s="52"/>
      <c r="N31" s="52"/>
      <c r="O31" s="52"/>
      <c r="P31" s="52"/>
      <c r="Q31" s="52"/>
      <c r="R31" s="52"/>
      <c r="S31" s="52"/>
      <c r="T31" s="52"/>
      <c r="U31" s="52"/>
      <c r="V31" s="52"/>
      <c r="W31" s="52"/>
      <c r="X31" s="52"/>
      <c r="Y31" s="52"/>
      <c r="Z31" s="52"/>
      <c r="AA31" s="52"/>
      <c r="AB31" s="52"/>
      <c r="AC31" s="52"/>
      <c r="AD31" s="52"/>
      <c r="AE31" s="52"/>
      <c r="AF31" s="52"/>
      <c r="AG31" s="52"/>
      <c r="AH31" s="52"/>
      <c r="AI31" s="52"/>
      <c r="AJ31" s="52"/>
      <c r="AK31" s="52"/>
      <c r="AL31" s="52"/>
      <c r="AM31" s="52"/>
      <c r="AN31" s="52"/>
      <c r="AO31" s="52"/>
      <c r="AP31" s="52"/>
      <c r="AQ31" s="52"/>
      <c r="AR31" s="52"/>
      <c r="AS31" s="52"/>
      <c r="AT31" s="52"/>
      <c r="AU31" s="52"/>
      <c r="AV31" s="52"/>
      <c r="AW31" s="52"/>
      <c r="AX31" s="52"/>
      <c r="AY31" s="52"/>
      <c r="AZ31" s="52"/>
      <c r="BA31" s="52"/>
      <c r="BB31" s="52"/>
      <c r="BC31" s="52"/>
      <c r="BD31" s="52"/>
      <c r="BE31" s="52"/>
      <c r="BF31" s="52"/>
      <c r="BG31" s="52"/>
      <c r="BH31" s="52"/>
      <c r="BI31" s="52"/>
      <c r="BJ31" s="52"/>
      <c r="BK31" s="52"/>
      <c r="BL31" s="52"/>
      <c r="BM31" s="52"/>
      <c r="BN31" s="52"/>
      <c r="BO31" s="52"/>
      <c r="BP31" s="52"/>
      <c r="BQ31" s="52"/>
      <c r="BR31" s="52"/>
      <c r="BS31" s="52"/>
      <c r="BT31" s="52"/>
      <c r="BU31" s="52"/>
      <c r="BV31" s="52"/>
      <c r="BW31" s="52"/>
      <c r="BX31" s="52"/>
      <c r="BY31" s="52"/>
      <c r="BZ31" s="52"/>
      <c r="CA31" s="52"/>
      <c r="CB31" s="52"/>
      <c r="CC31" s="52"/>
      <c r="CD31" s="52"/>
      <c r="CE31" s="52"/>
      <c r="CF31" s="52"/>
      <c r="CG31" s="52"/>
      <c r="CH31" s="52"/>
      <c r="CI31" s="52"/>
      <c r="CJ31" s="52"/>
      <c r="CK31" s="52"/>
      <c r="CL31" s="52"/>
      <c r="CM31" s="52"/>
      <c r="CN31" s="52"/>
      <c r="CO31" s="52"/>
      <c r="CP31" s="52"/>
      <c r="CQ31" s="52"/>
      <c r="CR31" s="52"/>
    </row>
    <row r="32" spans="1:97" s="43" customFormat="1" ht="39.950000000000003" customHeight="1">
      <c r="A32" s="42"/>
      <c r="E32" s="52"/>
      <c r="F32" s="52"/>
      <c r="G32" s="52"/>
      <c r="H32" s="52"/>
      <c r="I32" s="52"/>
      <c r="J32" s="52"/>
      <c r="K32" s="52"/>
      <c r="L32" s="52"/>
      <c r="M32" s="52"/>
      <c r="N32" s="52"/>
      <c r="O32" s="52"/>
      <c r="P32" s="52"/>
      <c r="Q32" s="52"/>
      <c r="R32" s="52"/>
      <c r="S32" s="52"/>
      <c r="T32" s="52"/>
      <c r="U32" s="52"/>
      <c r="V32" s="52"/>
      <c r="W32" s="52"/>
      <c r="X32" s="52"/>
      <c r="Y32" s="52"/>
      <c r="Z32" s="52"/>
      <c r="AA32" s="52"/>
      <c r="AB32" s="52"/>
      <c r="AC32" s="52"/>
      <c r="AD32" s="52"/>
      <c r="AE32" s="52"/>
      <c r="AF32" s="52"/>
      <c r="AG32" s="52"/>
      <c r="AH32" s="52"/>
      <c r="AI32" s="52"/>
      <c r="AJ32" s="52"/>
      <c r="AK32" s="52"/>
      <c r="AL32" s="52"/>
      <c r="AM32" s="52"/>
      <c r="AN32" s="52"/>
      <c r="AO32" s="52"/>
      <c r="AP32" s="52"/>
      <c r="AQ32" s="52"/>
      <c r="AR32" s="52"/>
      <c r="AS32" s="52"/>
      <c r="AT32" s="52"/>
      <c r="AU32" s="52"/>
      <c r="AV32" s="52"/>
      <c r="AW32" s="52"/>
      <c r="AX32" s="52"/>
      <c r="AY32" s="52"/>
      <c r="AZ32" s="52"/>
      <c r="BA32" s="52"/>
      <c r="BB32" s="52"/>
      <c r="BC32" s="52"/>
      <c r="BD32" s="52"/>
      <c r="BE32" s="52"/>
      <c r="BF32" s="52"/>
      <c r="BG32" s="52"/>
      <c r="BH32" s="52"/>
      <c r="BI32" s="52"/>
      <c r="BJ32" s="52"/>
      <c r="BK32" s="52"/>
      <c r="BL32" s="52"/>
      <c r="BM32" s="52"/>
      <c r="BN32" s="52"/>
      <c r="BO32" s="52"/>
      <c r="BP32" s="52"/>
      <c r="BQ32" s="52"/>
      <c r="BR32" s="52"/>
      <c r="BS32" s="52"/>
      <c r="BT32" s="52"/>
      <c r="BU32" s="52"/>
      <c r="BV32" s="52"/>
      <c r="BW32" s="52"/>
      <c r="BX32" s="52"/>
      <c r="BY32" s="52"/>
      <c r="BZ32" s="52"/>
      <c r="CA32" s="52"/>
      <c r="CB32" s="52"/>
      <c r="CC32" s="52"/>
      <c r="CD32" s="52"/>
      <c r="CE32" s="52"/>
      <c r="CF32" s="52"/>
      <c r="CG32" s="52"/>
      <c r="CH32" s="52"/>
      <c r="CI32" s="52"/>
      <c r="CJ32" s="52"/>
      <c r="CK32" s="52"/>
      <c r="CL32" s="52"/>
      <c r="CM32" s="52"/>
      <c r="CN32" s="52"/>
      <c r="CO32" s="52"/>
      <c r="CP32" s="52"/>
      <c r="CQ32" s="52"/>
      <c r="CR32" s="52"/>
    </row>
    <row r="33" spans="1:96" s="43" customFormat="1" ht="39.950000000000003" customHeight="1">
      <c r="A33" s="42"/>
      <c r="E33" s="52"/>
      <c r="F33" s="52"/>
      <c r="G33" s="52"/>
      <c r="H33" s="52"/>
      <c r="I33" s="52"/>
      <c r="J33" s="52"/>
      <c r="K33" s="52"/>
      <c r="L33" s="52"/>
      <c r="M33" s="52"/>
      <c r="N33" s="52"/>
      <c r="O33" s="52"/>
      <c r="P33" s="52"/>
      <c r="Q33" s="52"/>
      <c r="R33" s="52"/>
      <c r="S33" s="52"/>
      <c r="T33" s="52"/>
      <c r="U33" s="52"/>
      <c r="V33" s="52"/>
      <c r="W33" s="52"/>
      <c r="X33" s="52"/>
      <c r="Y33" s="52"/>
      <c r="Z33" s="52"/>
      <c r="AA33" s="52"/>
      <c r="AB33" s="52"/>
      <c r="AC33" s="52"/>
      <c r="AD33" s="52"/>
      <c r="AE33" s="52"/>
      <c r="AF33" s="52"/>
      <c r="AG33" s="52"/>
      <c r="AH33" s="52"/>
      <c r="AI33" s="52"/>
      <c r="AJ33" s="52"/>
      <c r="AK33" s="52"/>
      <c r="AL33" s="52"/>
      <c r="AM33" s="52"/>
      <c r="AN33" s="52"/>
      <c r="AO33" s="52"/>
      <c r="AP33" s="52"/>
      <c r="AQ33" s="52"/>
      <c r="AR33" s="52"/>
      <c r="AS33" s="52"/>
      <c r="AT33" s="52"/>
      <c r="AU33" s="52"/>
      <c r="AV33" s="52"/>
      <c r="AW33" s="52"/>
      <c r="AX33" s="52"/>
      <c r="AY33" s="52"/>
      <c r="AZ33" s="52"/>
      <c r="BA33" s="52"/>
      <c r="BB33" s="52"/>
      <c r="BC33" s="52"/>
      <c r="BD33" s="52"/>
      <c r="BE33" s="52"/>
      <c r="BF33" s="52"/>
      <c r="BG33" s="52"/>
      <c r="BH33" s="52"/>
      <c r="BI33" s="52"/>
      <c r="BJ33" s="52"/>
      <c r="BK33" s="52"/>
      <c r="BL33" s="52"/>
      <c r="BM33" s="52"/>
      <c r="BN33" s="52"/>
      <c r="BO33" s="52"/>
      <c r="BP33" s="52"/>
      <c r="BQ33" s="52"/>
      <c r="BR33" s="52"/>
      <c r="BS33" s="52"/>
      <c r="BT33" s="52"/>
      <c r="BU33" s="52"/>
      <c r="BV33" s="52"/>
      <c r="BW33" s="52"/>
      <c r="BX33" s="52"/>
      <c r="BY33" s="52"/>
      <c r="BZ33" s="52"/>
      <c r="CA33" s="52"/>
      <c r="CB33" s="52"/>
      <c r="CC33" s="52"/>
      <c r="CD33" s="52"/>
      <c r="CE33" s="52"/>
      <c r="CF33" s="52"/>
      <c r="CG33" s="52"/>
      <c r="CH33" s="52"/>
      <c r="CI33" s="52"/>
      <c r="CJ33" s="52"/>
      <c r="CK33" s="52"/>
      <c r="CL33" s="52"/>
      <c r="CM33" s="52"/>
      <c r="CN33" s="52"/>
      <c r="CO33" s="52"/>
      <c r="CP33" s="52"/>
      <c r="CQ33" s="52"/>
      <c r="CR33" s="52"/>
    </row>
    <row r="34" spans="1:96" s="43" customFormat="1" ht="39.950000000000003" customHeight="1">
      <c r="A34" s="42"/>
      <c r="E34" s="52"/>
      <c r="F34" s="52"/>
      <c r="G34" s="52"/>
      <c r="H34" s="52"/>
      <c r="I34" s="52"/>
      <c r="J34" s="52"/>
      <c r="K34" s="52"/>
      <c r="L34" s="52"/>
      <c r="M34" s="52"/>
      <c r="N34" s="52"/>
      <c r="O34" s="52"/>
      <c r="P34" s="52"/>
      <c r="Q34" s="52"/>
      <c r="R34" s="52"/>
      <c r="S34" s="52"/>
      <c r="T34" s="52"/>
      <c r="U34" s="52"/>
      <c r="V34" s="52"/>
      <c r="W34" s="52"/>
      <c r="X34" s="52"/>
      <c r="Y34" s="52"/>
      <c r="Z34" s="52"/>
      <c r="AA34" s="52"/>
      <c r="AB34" s="52"/>
      <c r="AC34" s="52"/>
      <c r="AD34" s="52"/>
      <c r="AE34" s="52"/>
      <c r="AF34" s="52"/>
      <c r="AG34" s="52"/>
      <c r="AH34" s="52"/>
      <c r="AI34" s="52"/>
      <c r="AJ34" s="52"/>
      <c r="AK34" s="52"/>
      <c r="AL34" s="52"/>
      <c r="AM34" s="52"/>
      <c r="AN34" s="52"/>
      <c r="AO34" s="52"/>
      <c r="AP34" s="52"/>
      <c r="AQ34" s="52"/>
      <c r="AR34" s="52"/>
      <c r="AS34" s="52"/>
      <c r="AT34" s="52"/>
      <c r="AU34" s="52"/>
      <c r="AV34" s="52"/>
      <c r="AW34" s="52"/>
      <c r="AX34" s="52"/>
      <c r="AY34" s="52"/>
      <c r="AZ34" s="52"/>
      <c r="BA34" s="52"/>
      <c r="BB34" s="52"/>
      <c r="BC34" s="52"/>
      <c r="BD34" s="52"/>
      <c r="BE34" s="52"/>
      <c r="BF34" s="52"/>
      <c r="BG34" s="52"/>
      <c r="BH34" s="52"/>
      <c r="BI34" s="52"/>
      <c r="BJ34" s="52"/>
      <c r="BK34" s="52"/>
      <c r="BL34" s="52"/>
      <c r="BM34" s="52"/>
      <c r="BN34" s="52"/>
      <c r="BO34" s="52"/>
      <c r="BP34" s="52"/>
      <c r="BQ34" s="52"/>
      <c r="BR34" s="52"/>
      <c r="BS34" s="52"/>
      <c r="BT34" s="52"/>
      <c r="BU34" s="52"/>
      <c r="BV34" s="52"/>
      <c r="BW34" s="52"/>
      <c r="BX34" s="52"/>
      <c r="BY34" s="52"/>
      <c r="BZ34" s="52"/>
      <c r="CA34" s="52"/>
      <c r="CB34" s="52"/>
      <c r="CC34" s="52"/>
      <c r="CD34" s="52"/>
      <c r="CE34" s="52"/>
      <c r="CF34" s="52"/>
      <c r="CG34" s="52"/>
      <c r="CH34" s="52"/>
      <c r="CI34" s="52"/>
      <c r="CJ34" s="52"/>
      <c r="CK34" s="52"/>
      <c r="CL34" s="52"/>
      <c r="CM34" s="52"/>
      <c r="CN34" s="52"/>
      <c r="CO34" s="52"/>
      <c r="CP34" s="52"/>
      <c r="CQ34" s="52"/>
      <c r="CR34" s="52"/>
    </row>
    <row r="35" spans="1:96" s="43" customFormat="1" ht="39.950000000000003" customHeight="1">
      <c r="A35" s="42"/>
      <c r="E35" s="52"/>
      <c r="F35" s="52"/>
      <c r="G35" s="52"/>
      <c r="H35" s="52"/>
      <c r="I35" s="52"/>
      <c r="J35" s="52"/>
      <c r="K35" s="52"/>
      <c r="L35" s="52"/>
      <c r="M35" s="52"/>
      <c r="N35" s="52"/>
      <c r="O35" s="52"/>
      <c r="P35" s="52"/>
      <c r="Q35" s="52"/>
      <c r="R35" s="52"/>
      <c r="S35" s="52"/>
      <c r="T35" s="52"/>
      <c r="U35" s="52"/>
      <c r="V35" s="52"/>
      <c r="W35" s="52"/>
      <c r="X35" s="52"/>
      <c r="Y35" s="52"/>
      <c r="Z35" s="52"/>
      <c r="AA35" s="52"/>
      <c r="AB35" s="52"/>
      <c r="AC35" s="52"/>
      <c r="AD35" s="52"/>
      <c r="AE35" s="52"/>
      <c r="AF35" s="52"/>
      <c r="AG35" s="52"/>
      <c r="AH35" s="52"/>
      <c r="AI35" s="52"/>
      <c r="AJ35" s="52"/>
      <c r="AK35" s="52"/>
      <c r="AL35" s="52"/>
      <c r="AM35" s="52"/>
      <c r="AN35" s="52"/>
      <c r="AO35" s="52"/>
      <c r="AP35" s="52"/>
      <c r="AQ35" s="52"/>
      <c r="AR35" s="52"/>
      <c r="AS35" s="52"/>
      <c r="AT35" s="52"/>
      <c r="AU35" s="52"/>
      <c r="AV35" s="52"/>
      <c r="AW35" s="52"/>
      <c r="AX35" s="52"/>
      <c r="AY35" s="52"/>
      <c r="AZ35" s="52"/>
      <c r="BA35" s="52"/>
      <c r="BB35" s="52"/>
      <c r="BC35" s="52"/>
      <c r="BD35" s="52"/>
      <c r="BE35" s="52"/>
      <c r="BF35" s="52"/>
      <c r="BG35" s="52"/>
      <c r="BH35" s="52"/>
      <c r="BI35" s="52"/>
      <c r="BJ35" s="52"/>
      <c r="BK35" s="52"/>
      <c r="BL35" s="52"/>
      <c r="BM35" s="52"/>
      <c r="BN35" s="52"/>
      <c r="BO35" s="52"/>
      <c r="BP35" s="52"/>
      <c r="BQ35" s="52"/>
      <c r="BR35" s="52"/>
      <c r="BS35" s="52"/>
      <c r="BT35" s="52"/>
      <c r="BU35" s="52"/>
      <c r="BV35" s="52"/>
      <c r="BW35" s="52"/>
      <c r="BX35" s="52"/>
      <c r="BY35" s="52"/>
      <c r="BZ35" s="52"/>
      <c r="CA35" s="52"/>
      <c r="CB35" s="52"/>
      <c r="CC35" s="52"/>
      <c r="CD35" s="52"/>
      <c r="CE35" s="52"/>
      <c r="CF35" s="52"/>
      <c r="CG35" s="52"/>
      <c r="CH35" s="52"/>
      <c r="CI35" s="52"/>
      <c r="CJ35" s="52"/>
      <c r="CK35" s="52"/>
      <c r="CL35" s="52"/>
      <c r="CM35" s="52"/>
      <c r="CN35" s="52"/>
      <c r="CO35" s="52"/>
      <c r="CP35" s="52"/>
      <c r="CQ35" s="52"/>
      <c r="CR35" s="52"/>
    </row>
    <row r="36" spans="1:96" s="43" customFormat="1" ht="39.950000000000003" customHeight="1">
      <c r="A36" s="42"/>
      <c r="E36" s="52"/>
      <c r="F36" s="52"/>
      <c r="G36" s="52"/>
      <c r="H36" s="52"/>
      <c r="I36" s="52"/>
      <c r="J36" s="52"/>
      <c r="K36" s="52"/>
      <c r="L36" s="52"/>
      <c r="M36" s="52"/>
      <c r="N36" s="52"/>
      <c r="O36" s="52"/>
      <c r="P36" s="52"/>
      <c r="Q36" s="52"/>
      <c r="R36" s="52"/>
      <c r="S36" s="52"/>
      <c r="T36" s="52"/>
      <c r="U36" s="52"/>
      <c r="V36" s="52"/>
      <c r="W36" s="52"/>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2"/>
      <c r="AV36" s="52"/>
      <c r="AW36" s="52"/>
      <c r="AX36" s="52"/>
      <c r="AY36" s="52"/>
      <c r="AZ36" s="52"/>
      <c r="BA36" s="52"/>
      <c r="BB36" s="52"/>
      <c r="BC36" s="52"/>
      <c r="BD36" s="52"/>
      <c r="BE36" s="52"/>
      <c r="BF36" s="52"/>
      <c r="BG36" s="52"/>
      <c r="BH36" s="52"/>
      <c r="BI36" s="52"/>
      <c r="BJ36" s="52"/>
      <c r="BK36" s="52"/>
      <c r="BL36" s="52"/>
      <c r="BM36" s="52"/>
      <c r="BN36" s="52"/>
      <c r="BO36" s="52"/>
      <c r="BP36" s="52"/>
      <c r="BQ36" s="52"/>
      <c r="BR36" s="52"/>
      <c r="BS36" s="52"/>
      <c r="BT36" s="52"/>
      <c r="BU36" s="52"/>
      <c r="BV36" s="52"/>
      <c r="BW36" s="52"/>
      <c r="BX36" s="52"/>
      <c r="BY36" s="52"/>
      <c r="BZ36" s="52"/>
      <c r="CA36" s="52"/>
      <c r="CB36" s="52"/>
      <c r="CC36" s="52"/>
      <c r="CD36" s="52"/>
      <c r="CE36" s="52"/>
      <c r="CF36" s="52"/>
      <c r="CG36" s="52"/>
      <c r="CH36" s="52"/>
      <c r="CI36" s="52"/>
      <c r="CJ36" s="52"/>
      <c r="CK36" s="52"/>
      <c r="CL36" s="52"/>
      <c r="CM36" s="52"/>
      <c r="CN36" s="52"/>
      <c r="CO36" s="52"/>
      <c r="CP36" s="52"/>
      <c r="CQ36" s="52"/>
      <c r="CR36" s="52"/>
    </row>
    <row r="37" spans="1:96" s="45" customFormat="1" ht="39.950000000000003" customHeight="1">
      <c r="A37" s="44"/>
      <c r="E37" s="53"/>
      <c r="F37" s="53"/>
      <c r="G37" s="53"/>
      <c r="H37" s="53"/>
      <c r="I37" s="53"/>
      <c r="J37" s="53"/>
      <c r="K37" s="53"/>
      <c r="L37" s="53"/>
      <c r="M37" s="53"/>
      <c r="N37" s="53"/>
      <c r="O37" s="53"/>
      <c r="P37" s="53"/>
      <c r="Q37" s="53"/>
      <c r="R37" s="53"/>
      <c r="S37" s="53"/>
      <c r="T37" s="53"/>
      <c r="U37" s="53"/>
      <c r="V37" s="52"/>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c r="BK37" s="53"/>
      <c r="BL37" s="53"/>
      <c r="BM37" s="53"/>
      <c r="BN37" s="53"/>
      <c r="BO37" s="53"/>
      <c r="BP37" s="53"/>
      <c r="BQ37" s="53"/>
      <c r="BR37" s="53"/>
      <c r="BS37" s="53"/>
      <c r="BT37" s="53"/>
      <c r="BU37" s="53"/>
      <c r="BV37" s="53"/>
      <c r="BW37" s="53"/>
      <c r="BX37" s="53"/>
      <c r="BY37" s="53"/>
      <c r="BZ37" s="53"/>
      <c r="CA37" s="53"/>
      <c r="CB37" s="53"/>
      <c r="CC37" s="53"/>
      <c r="CD37" s="53"/>
      <c r="CE37" s="53"/>
      <c r="CF37" s="53"/>
      <c r="CG37" s="53"/>
      <c r="CH37" s="53"/>
      <c r="CI37" s="53"/>
      <c r="CJ37" s="53"/>
      <c r="CK37" s="53"/>
      <c r="CL37" s="53"/>
      <c r="CM37" s="53"/>
      <c r="CN37" s="53"/>
      <c r="CO37" s="53"/>
      <c r="CP37" s="53"/>
      <c r="CQ37" s="53"/>
      <c r="CR37" s="53"/>
    </row>
    <row r="38" spans="1:96" s="47" customFormat="1" ht="39.950000000000003" customHeight="1">
      <c r="A38" s="46"/>
      <c r="E38" s="52"/>
      <c r="F38" s="52"/>
      <c r="G38" s="52"/>
      <c r="H38" s="52"/>
      <c r="I38" s="52"/>
      <c r="J38" s="52"/>
      <c r="K38" s="52"/>
      <c r="L38" s="52"/>
      <c r="M38" s="52"/>
      <c r="N38" s="52"/>
      <c r="O38" s="52"/>
      <c r="P38" s="52"/>
      <c r="Q38" s="52"/>
      <c r="R38" s="52"/>
      <c r="S38" s="52"/>
      <c r="T38" s="52"/>
      <c r="U38" s="52"/>
      <c r="V38" s="53"/>
      <c r="W38" s="52"/>
      <c r="X38" s="52"/>
      <c r="Y38" s="52"/>
      <c r="Z38" s="52"/>
      <c r="AA38" s="52"/>
      <c r="AB38" s="52"/>
      <c r="AC38" s="52"/>
      <c r="AD38" s="52"/>
      <c r="AE38" s="52"/>
      <c r="AF38" s="52"/>
      <c r="AG38" s="52"/>
      <c r="AH38" s="52"/>
      <c r="AI38" s="52"/>
      <c r="AJ38" s="52"/>
      <c r="AK38" s="52"/>
      <c r="AL38" s="52"/>
      <c r="AM38" s="52"/>
      <c r="AN38" s="52"/>
      <c r="AO38" s="52"/>
      <c r="AP38" s="52"/>
      <c r="AQ38" s="52"/>
      <c r="AR38" s="52"/>
      <c r="AS38" s="52"/>
      <c r="AT38" s="52"/>
      <c r="AU38" s="52"/>
      <c r="AV38" s="52"/>
      <c r="AW38" s="52"/>
      <c r="AX38" s="52"/>
      <c r="AY38" s="52"/>
      <c r="AZ38" s="52"/>
      <c r="BA38" s="52"/>
      <c r="BB38" s="52"/>
      <c r="BC38" s="52"/>
      <c r="BD38" s="52"/>
      <c r="BE38" s="52"/>
      <c r="BF38" s="52"/>
      <c r="BG38" s="52"/>
      <c r="BH38" s="52"/>
      <c r="BI38" s="52"/>
      <c r="BJ38" s="52"/>
      <c r="BK38" s="52"/>
      <c r="BL38" s="52"/>
      <c r="BM38" s="52"/>
      <c r="BN38" s="52"/>
      <c r="BO38" s="52"/>
      <c r="BP38" s="52"/>
      <c r="BQ38" s="52"/>
      <c r="BR38" s="52"/>
      <c r="BS38" s="52"/>
      <c r="BT38" s="52"/>
      <c r="BU38" s="52"/>
      <c r="BV38" s="52"/>
      <c r="BW38" s="52"/>
      <c r="BX38" s="52"/>
      <c r="BY38" s="52"/>
      <c r="BZ38" s="52"/>
      <c r="CA38" s="52"/>
      <c r="CB38" s="52"/>
      <c r="CC38" s="52"/>
      <c r="CD38" s="52"/>
      <c r="CE38" s="52"/>
      <c r="CF38" s="52"/>
      <c r="CG38" s="52"/>
      <c r="CH38" s="52"/>
      <c r="CI38" s="52"/>
      <c r="CJ38" s="52"/>
      <c r="CK38" s="52"/>
      <c r="CL38" s="52"/>
      <c r="CM38" s="52"/>
      <c r="CN38" s="52"/>
      <c r="CO38" s="52"/>
      <c r="CP38" s="52"/>
      <c r="CQ38" s="52"/>
      <c r="CR38" s="52"/>
    </row>
    <row r="39" spans="1:96" s="47" customFormat="1" ht="39.950000000000003" customHeight="1">
      <c r="A39" s="46"/>
      <c r="E39" s="52"/>
      <c r="F39" s="52"/>
      <c r="G39" s="52"/>
      <c r="H39" s="52"/>
      <c r="I39" s="52"/>
      <c r="J39" s="52"/>
      <c r="K39" s="52"/>
      <c r="L39" s="52"/>
      <c r="M39" s="52"/>
      <c r="N39" s="52"/>
      <c r="O39" s="52"/>
      <c r="P39" s="52"/>
      <c r="Q39" s="52"/>
      <c r="R39" s="52"/>
      <c r="S39" s="52"/>
      <c r="T39" s="52"/>
      <c r="U39" s="52"/>
      <c r="V39" s="52"/>
      <c r="W39" s="52"/>
      <c r="X39" s="52"/>
      <c r="Y39" s="52"/>
      <c r="Z39" s="52"/>
      <c r="AA39" s="52"/>
      <c r="AB39" s="52"/>
      <c r="AC39" s="52"/>
      <c r="AD39" s="52"/>
      <c r="AE39" s="52"/>
      <c r="AF39" s="52"/>
      <c r="AG39" s="52"/>
      <c r="AH39" s="52"/>
      <c r="AI39" s="52"/>
      <c r="AJ39" s="52"/>
      <c r="AK39" s="52"/>
      <c r="AL39" s="52"/>
      <c r="AM39" s="52"/>
      <c r="AN39" s="52"/>
      <c r="AO39" s="52"/>
      <c r="AP39" s="52"/>
      <c r="AQ39" s="52"/>
      <c r="AR39" s="52"/>
      <c r="AS39" s="52"/>
      <c r="AT39" s="52"/>
      <c r="AU39" s="52"/>
      <c r="AV39" s="52"/>
      <c r="AW39" s="52"/>
      <c r="AX39" s="52"/>
      <c r="AY39" s="52"/>
      <c r="AZ39" s="52"/>
      <c r="BA39" s="52"/>
      <c r="BB39" s="52"/>
      <c r="BC39" s="52"/>
      <c r="BD39" s="52"/>
      <c r="BE39" s="52"/>
      <c r="BF39" s="52"/>
      <c r="BG39" s="52"/>
      <c r="BH39" s="52"/>
      <c r="BI39" s="52"/>
      <c r="BJ39" s="52"/>
      <c r="BK39" s="52"/>
      <c r="BL39" s="52"/>
      <c r="BM39" s="52"/>
      <c r="BN39" s="52"/>
      <c r="BO39" s="52"/>
      <c r="BP39" s="52"/>
      <c r="BQ39" s="52"/>
      <c r="BR39" s="52"/>
      <c r="BS39" s="52"/>
      <c r="BT39" s="52"/>
      <c r="BU39" s="52"/>
      <c r="BV39" s="52"/>
      <c r="BW39" s="52"/>
      <c r="BX39" s="52"/>
      <c r="BY39" s="52"/>
      <c r="BZ39" s="52"/>
      <c r="CA39" s="52"/>
      <c r="CB39" s="52"/>
      <c r="CC39" s="52"/>
      <c r="CD39" s="52"/>
      <c r="CE39" s="52"/>
      <c r="CF39" s="52"/>
      <c r="CG39" s="52"/>
      <c r="CH39" s="52"/>
      <c r="CI39" s="52"/>
      <c r="CJ39" s="52"/>
      <c r="CK39" s="52"/>
      <c r="CL39" s="52"/>
      <c r="CM39" s="52"/>
      <c r="CN39" s="52"/>
      <c r="CO39" s="52"/>
      <c r="CP39" s="52"/>
      <c r="CQ39" s="52"/>
      <c r="CR39" s="52"/>
    </row>
    <row r="40" spans="1:96" ht="39.950000000000003" customHeight="1">
      <c r="A40" s="11"/>
      <c r="V40" s="52"/>
    </row>
    <row r="41" spans="1:96">
      <c r="A41" s="11"/>
    </row>
    <row r="42" spans="1:96">
      <c r="A42" s="11"/>
    </row>
    <row r="43" spans="1:96">
      <c r="A43" s="11"/>
    </row>
    <row r="44" spans="1:96">
      <c r="A44" s="11"/>
    </row>
    <row r="45" spans="1:96">
      <c r="A45" s="11"/>
    </row>
    <row r="46" spans="1:96">
      <c r="A46" s="11"/>
    </row>
    <row r="47" spans="1:96">
      <c r="A47" s="11"/>
    </row>
    <row r="48" spans="1:96">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sheetData>
  <mergeCells count="92">
    <mergeCell ref="M3:N3"/>
    <mergeCell ref="V3:W3"/>
    <mergeCell ref="V2:W2"/>
    <mergeCell ref="BH3:BI3"/>
    <mergeCell ref="E3:F3"/>
    <mergeCell ref="AO3:AP3"/>
    <mergeCell ref="AO2:AP2"/>
    <mergeCell ref="Q3:R3"/>
    <mergeCell ref="I3:J3"/>
    <mergeCell ref="I2:J2"/>
    <mergeCell ref="G2:H2"/>
    <mergeCell ref="S2:T2"/>
    <mergeCell ref="X2:Y2"/>
    <mergeCell ref="Z2:AA2"/>
    <mergeCell ref="AB2:AC2"/>
    <mergeCell ref="AD2:AE2"/>
    <mergeCell ref="C2:D2"/>
    <mergeCell ref="K2:L2"/>
    <mergeCell ref="M2:N2"/>
    <mergeCell ref="O2:P2"/>
    <mergeCell ref="Q2:R2"/>
    <mergeCell ref="AF2:AG2"/>
    <mergeCell ref="AH2:AI2"/>
    <mergeCell ref="AL2:AM2"/>
    <mergeCell ref="AJ2:AK2"/>
    <mergeCell ref="AQ2:AR2"/>
    <mergeCell ref="AS2:AT2"/>
    <mergeCell ref="AU2:AV2"/>
    <mergeCell ref="AW2:AX2"/>
    <mergeCell ref="AY2:AZ2"/>
    <mergeCell ref="BA2:BB2"/>
    <mergeCell ref="BC2:BD2"/>
    <mergeCell ref="BE2:BF2"/>
    <mergeCell ref="BH2:BI2"/>
    <mergeCell ref="BJ2:BK2"/>
    <mergeCell ref="BL2:BM2"/>
    <mergeCell ref="BN2:BO2"/>
    <mergeCell ref="BP2:BQ2"/>
    <mergeCell ref="BR2:BS2"/>
    <mergeCell ref="BT2:BU2"/>
    <mergeCell ref="BV2:BW2"/>
    <mergeCell ref="BX2:BY2"/>
    <mergeCell ref="BZ2:CA2"/>
    <mergeCell ref="CB2:CC2"/>
    <mergeCell ref="CD2:CE2"/>
    <mergeCell ref="CF2:CG2"/>
    <mergeCell ref="CH2:CI2"/>
    <mergeCell ref="CJ2:CK2"/>
    <mergeCell ref="CL2:CM2"/>
    <mergeCell ref="CN2:CO2"/>
    <mergeCell ref="CP2:CQ2"/>
    <mergeCell ref="CR2:CS2"/>
    <mergeCell ref="C3:D3"/>
    <mergeCell ref="G3:H3"/>
    <mergeCell ref="K3:L3"/>
    <mergeCell ref="O3:P3"/>
    <mergeCell ref="S3:T3"/>
    <mergeCell ref="X3:Y3"/>
    <mergeCell ref="Z3:AA3"/>
    <mergeCell ref="AB3:AC3"/>
    <mergeCell ref="AD3:AE3"/>
    <mergeCell ref="AF3:AG3"/>
    <mergeCell ref="AH3:AI3"/>
    <mergeCell ref="AJ3:AK3"/>
    <mergeCell ref="AL3:AM3"/>
    <mergeCell ref="AQ3:AR3"/>
    <mergeCell ref="AS3:AT3"/>
    <mergeCell ref="BJ3:BK3"/>
    <mergeCell ref="BL3:BM3"/>
    <mergeCell ref="BN3:BO3"/>
    <mergeCell ref="BP3:BQ3"/>
    <mergeCell ref="AU3:AV3"/>
    <mergeCell ref="AW3:AX3"/>
    <mergeCell ref="AY3:AZ3"/>
    <mergeCell ref="BA3:BB3"/>
    <mergeCell ref="BC3:BD3"/>
    <mergeCell ref="CL3:CM3"/>
    <mergeCell ref="CN3:CO3"/>
    <mergeCell ref="CP3:CQ3"/>
    <mergeCell ref="CR3:CS3"/>
    <mergeCell ref="E2:F2"/>
    <mergeCell ref="CB3:CC3"/>
    <mergeCell ref="CD3:CE3"/>
    <mergeCell ref="CF3:CG3"/>
    <mergeCell ref="CH3:CI3"/>
    <mergeCell ref="CJ3:CK3"/>
    <mergeCell ref="BR3:BS3"/>
    <mergeCell ref="BT3:BU3"/>
    <mergeCell ref="BV3:BW3"/>
    <mergeCell ref="BX3:BY3"/>
    <mergeCell ref="BZ3:CA3"/>
    <mergeCell ref="BE3:BF3"/>
  </mergeCells>
  <phoneticPr fontId="3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3</vt:i4>
      </vt:variant>
    </vt:vector>
  </HeadingPairs>
  <TitlesOfParts>
    <vt:vector size="13" baseType="lpstr">
      <vt:lpstr>TOTAL</vt:lpstr>
      <vt:lpstr>Combine</vt:lpstr>
      <vt:lpstr>Occ</vt:lpstr>
      <vt:lpstr>Total - FSH</vt:lpstr>
      <vt:lpstr>Total - FSP</vt:lpstr>
      <vt:lpstr>Athens Daily - EL</vt:lpstr>
      <vt:lpstr>Athens Daily - Water</vt:lpstr>
      <vt:lpstr>Athens Daily - Gas</vt:lpstr>
      <vt:lpstr>Submetering EL</vt:lpstr>
      <vt:lpstr>Submetering Water</vt:lpstr>
      <vt:lpstr>'Athens Daily - EL'!Print_Area</vt:lpstr>
      <vt:lpstr>'Athens Daily - Gas'!Print_Area</vt:lpstr>
      <vt:lpstr>'Athens Daily - Water'!Print_Area</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 Chan</dc:creator>
  <cp:keywords/>
  <dc:description/>
  <cp:lastModifiedBy>Alex Chan</cp:lastModifiedBy>
  <cp:revision/>
  <cp:lastPrinted>2021-09-04T10:22:58Z</cp:lastPrinted>
  <dcterms:created xsi:type="dcterms:W3CDTF">2020-09-18T06:41:53Z</dcterms:created>
  <dcterms:modified xsi:type="dcterms:W3CDTF">2021-10-10T02:19:45Z</dcterms:modified>
  <cp:category/>
  <cp:contentStatus/>
</cp:coreProperties>
</file>