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1-January 2023\"/>
    </mc:Choice>
  </mc:AlternateContent>
  <xr:revisionPtr revIDLastSave="0" documentId="13_ncr:1_{DB0941AD-91DF-4206-BA05-B46DD7CE0B3F}" xr6:coauthVersionLast="36" xr6:coauthVersionMax="36" xr10:uidLastSave="{00000000-0000-0000-0000-000000000000}"/>
  <bookViews>
    <workbookView xWindow="0" yWindow="0" windowWidth="28800" windowHeight="12435" tabRatio="433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L6" i="31" l="1"/>
  <c r="L7" i="31"/>
  <c r="L8" i="31"/>
  <c r="L5" i="31"/>
  <c r="I6" i="31"/>
  <c r="I7" i="31"/>
  <c r="I8" i="31"/>
  <c r="I5" i="31"/>
  <c r="G6" i="31"/>
  <c r="G7" i="31"/>
  <c r="G8" i="31"/>
  <c r="G5" i="31"/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<sst xmlns="http://schemas.openxmlformats.org/spreadsheetml/2006/main" count="67" uniqueCount="32">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</sst>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0</v>
      </c>
      <c r="F6" s="10">
        <v>2.9000000000000001E-2</v>
      </c>
      <c r="G6" s="1">
        <f>'February 2023'!J9</f>
        <v>0</v>
      </c>
      <c r="H6" s="10">
        <v>0.112</v>
      </c>
      <c r="I6" s="1">
        <f>'February 2023'!G9*1000</f>
        <v>0</v>
      </c>
      <c r="J6" s="10">
        <v>3.61E-2</v>
      </c>
      <c r="K6" s="1">
        <f>'February 2023'!I9</f>
        <v>0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0</v>
      </c>
      <c r="F7" s="10">
        <v>2.9000000000000001E-2</v>
      </c>
      <c r="G7" s="1">
        <v>0</v>
      </c>
      <c r="H7" s="10">
        <v>0.112</v>
      </c>
      <c r="I7" s="1">
        <f>'February 2023'!G10*1000</f>
        <v>0</v>
      </c>
      <c r="J7" s="10">
        <v>3.61E-2</v>
      </c>
      <c r="K7" s="1">
        <f>'February 2023'!I10</f>
        <v>0</v>
      </c>
      <c r="L7" s="10">
        <v>0.75</v>
      </c>
      <c r="M7" s="10">
        <f>'February 2023'!L10</f>
        <v>0</v>
      </c>
      <c r="N7" s="10">
        <v>0.56299999999999994</v>
      </c>
      <c r="O7" s="14">
        <f>'February 2023'!D10</f>
        <v>0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0</v>
      </c>
      <c r="F8" s="10">
        <v>2.9000000000000001E-2</v>
      </c>
      <c r="G8" s="1">
        <f>'February 2023'!J11</f>
        <v>0</v>
      </c>
      <c r="H8" s="10">
        <v>0.112</v>
      </c>
      <c r="I8" s="1">
        <f>'February 2023'!G11*1000</f>
        <v>0</v>
      </c>
      <c r="J8" s="10">
        <v>3.61E-2</v>
      </c>
      <c r="K8" s="1">
        <f>'February 2023'!I11</f>
        <v>0</v>
      </c>
      <c r="L8" s="10">
        <v>0.75</v>
      </c>
      <c r="M8" s="10">
        <f>'February 2023'!L11</f>
        <v>0</v>
      </c>
      <c r="N8" s="10">
        <v>0.56299999999999994</v>
      </c>
      <c r="O8" s="14">
        <f>'February 2023'!D11</f>
        <v>0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0</v>
      </c>
      <c r="F9" s="10">
        <v>2.9000000000000001E-2</v>
      </c>
      <c r="G9" s="1">
        <f>'February 2023'!J12</f>
        <v>0</v>
      </c>
      <c r="H9" s="10">
        <v>0.112</v>
      </c>
      <c r="I9" s="1">
        <f>'February 2023'!G12*1000</f>
        <v>0</v>
      </c>
      <c r="J9" s="10">
        <v>3.61E-2</v>
      </c>
      <c r="K9" s="1">
        <f>'February 2023'!I12</f>
        <v>0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0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0</v>
      </c>
      <c r="F10" s="10">
        <v>2.9000000000000001E-2</v>
      </c>
      <c r="G10" s="1">
        <f>'February 2023'!J13</f>
        <v>0</v>
      </c>
      <c r="H10" s="10">
        <v>0.112</v>
      </c>
      <c r="I10" s="1">
        <f>'February 2023'!G13*1000</f>
        <v>0</v>
      </c>
      <c r="J10" s="10">
        <v>3.61E-2</v>
      </c>
      <c r="K10" s="1">
        <f>'February 2023'!I13</f>
        <v>0</v>
      </c>
      <c r="L10" s="10">
        <v>0.75</v>
      </c>
      <c r="M10" s="10">
        <f>'February 2023'!L13</f>
        <v>0</v>
      </c>
      <c r="N10" s="10">
        <v>0.56299999999999994</v>
      </c>
      <c r="O10" s="14">
        <f>'February 2023'!D13</f>
        <v>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0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0</v>
      </c>
      <c r="J11" s="10">
        <v>3.61E-2</v>
      </c>
      <c r="K11" s="1">
        <f>'February 2023'!I14</f>
        <v>0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0</v>
      </c>
      <c r="F12" s="10">
        <v>2.9000000000000001E-2</v>
      </c>
      <c r="G12" s="1">
        <f>'February 2023'!J15</f>
        <v>0</v>
      </c>
      <c r="H12" s="10">
        <v>0.112</v>
      </c>
      <c r="I12" s="1">
        <f>'February 2023'!G15*1000</f>
        <v>0</v>
      </c>
      <c r="J12" s="10">
        <v>3.61E-2</v>
      </c>
      <c r="K12" s="1">
        <f>'February 2023'!I15</f>
        <v>0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0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0</v>
      </c>
      <c r="F13" s="10">
        <v>2.9000000000000001E-2</v>
      </c>
      <c r="G13" s="1">
        <f>'February 2023'!J16</f>
        <v>0</v>
      </c>
      <c r="H13" s="10">
        <v>0.112</v>
      </c>
      <c r="I13" s="1">
        <f>'February 2023'!G16*1000</f>
        <v>0</v>
      </c>
      <c r="J13" s="10">
        <v>3.61E-2</v>
      </c>
      <c r="K13" s="1">
        <f>'February 2023'!I16</f>
        <v>0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0</v>
      </c>
      <c r="F14" s="10">
        <v>2.9000000000000001E-2</v>
      </c>
      <c r="G14" s="1">
        <f>'February 2023'!J17</f>
        <v>0</v>
      </c>
      <c r="H14" s="10">
        <v>0.112</v>
      </c>
      <c r="I14" s="1">
        <f>'February 2023'!G17*1000</f>
        <v>0</v>
      </c>
      <c r="J14" s="10">
        <v>3.61E-2</v>
      </c>
      <c r="K14" s="1">
        <f>'February 2023'!I17</f>
        <v>0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0</v>
      </c>
      <c r="J15" s="10">
        <v>3.61E-2</v>
      </c>
      <c r="K15" s="1">
        <f>'February 2023'!I18</f>
        <v>0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workbookViewId="0">
      <selection activeCell="K10" sqref="K1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1" t="s">
        <v>18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5" x14ac:dyDescent="0.2">
      <c r="B3" s="42" t="s">
        <v>16</v>
      </c>
      <c r="C3" s="44" t="s">
        <v>17</v>
      </c>
      <c r="D3" s="27"/>
      <c r="E3" s="31" t="s">
        <v>24</v>
      </c>
      <c r="F3" s="31" t="s">
        <v>25</v>
      </c>
      <c r="G3" s="31" t="s">
        <v>26</v>
      </c>
      <c r="H3" s="31" t="s">
        <v>27</v>
      </c>
      <c r="I3" s="31" t="s">
        <v>28</v>
      </c>
      <c r="J3" s="29"/>
      <c r="K3" s="31" t="s">
        <v>29</v>
      </c>
      <c r="L3" s="32" t="s">
        <v>28</v>
      </c>
    </row>
    <row r="4" spans="1:14" ht="15" x14ac:dyDescent="0.2">
      <c r="B4" s="43"/>
      <c r="C4" s="45"/>
      <c r="D4" s="28" t="s">
        <v>30</v>
      </c>
      <c r="E4" s="33"/>
      <c r="F4" s="33"/>
      <c r="G4" s="33"/>
      <c r="H4" s="33"/>
      <c r="I4" s="33"/>
      <c r="J4" s="30" t="s">
        <v>31</v>
      </c>
      <c r="K4" s="33"/>
      <c r="L4" s="34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8" si="0">F7-F6</f>
        <v>34</v>
      </c>
      <c r="H6" s="4">
        <v>759614</v>
      </c>
      <c r="I6" s="3">
        <f t="shared" ref="I6:I8" si="1">H7-H6</f>
        <v>436</v>
      </c>
      <c r="J6" s="3">
        <v>2970</v>
      </c>
      <c r="K6" s="4">
        <v>367167</v>
      </c>
      <c r="L6" s="9">
        <f t="shared" ref="L6:L8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/>
      <c r="E9" s="4"/>
      <c r="F9" s="12">
        <v>231618</v>
      </c>
      <c r="G9" s="8"/>
      <c r="H9" s="23">
        <v>760725</v>
      </c>
      <c r="I9" s="3"/>
      <c r="J9" s="3"/>
      <c r="K9" s="4">
        <v>367248</v>
      </c>
      <c r="L9" s="9"/>
      <c r="N9" s="1"/>
    </row>
    <row r="10" spans="1:14" x14ac:dyDescent="0.2">
      <c r="B10" s="2">
        <v>6</v>
      </c>
      <c r="C10" s="11">
        <v>44963</v>
      </c>
      <c r="D10" s="7"/>
      <c r="E10" s="7"/>
      <c r="F10" s="35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44964</v>
      </c>
      <c r="D11" s="7"/>
      <c r="E11" s="7"/>
      <c r="F11" s="35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44965</v>
      </c>
      <c r="D12" s="7"/>
      <c r="E12" s="4"/>
      <c r="F12" s="35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44966</v>
      </c>
      <c r="D13" s="7"/>
      <c r="E13" s="7"/>
      <c r="F13" s="36"/>
      <c r="G13" s="8"/>
      <c r="H13" s="23"/>
      <c r="I13" s="3"/>
      <c r="J13" s="3"/>
      <c r="K13" s="4"/>
      <c r="L13" s="9"/>
      <c r="N13" s="1"/>
    </row>
    <row r="14" spans="1:14" x14ac:dyDescent="0.2">
      <c r="B14" s="2">
        <v>10</v>
      </c>
      <c r="C14" s="11">
        <v>44967</v>
      </c>
      <c r="D14" s="7"/>
      <c r="E14" s="7"/>
      <c r="F14" s="35"/>
      <c r="G14" s="8"/>
      <c r="H14" s="16"/>
      <c r="I14" s="3"/>
      <c r="J14" s="3"/>
      <c r="K14" s="21"/>
      <c r="L14" s="9"/>
      <c r="N14" s="1"/>
    </row>
    <row r="15" spans="1:14" x14ac:dyDescent="0.2">
      <c r="B15" s="2">
        <v>11</v>
      </c>
      <c r="C15" s="11">
        <v>44968</v>
      </c>
      <c r="D15" s="7"/>
      <c r="E15" s="12"/>
      <c r="F15" s="22"/>
      <c r="G15" s="8"/>
      <c r="H15" s="23"/>
      <c r="I15" s="3"/>
      <c r="J15" s="3"/>
      <c r="K15" s="22"/>
      <c r="L15" s="9"/>
      <c r="N15" s="1"/>
    </row>
    <row r="16" spans="1:14" ht="13.5" customHeight="1" x14ac:dyDescent="0.2">
      <c r="B16" s="2">
        <v>12</v>
      </c>
      <c r="C16" s="11">
        <v>44969</v>
      </c>
      <c r="D16" s="7"/>
      <c r="E16" s="12"/>
      <c r="F16" s="22"/>
      <c r="G16" s="8"/>
      <c r="H16" s="23"/>
      <c r="I16" s="3"/>
      <c r="J16" s="3"/>
      <c r="K16" s="22"/>
      <c r="L16" s="9"/>
      <c r="N16" s="1"/>
    </row>
    <row r="17" spans="1:14" x14ac:dyDescent="0.2">
      <c r="B17" s="2">
        <v>13</v>
      </c>
      <c r="C17" s="11">
        <v>44970</v>
      </c>
      <c r="D17" s="7"/>
      <c r="E17" s="12"/>
      <c r="F17" s="21"/>
      <c r="G17" s="8"/>
      <c r="H17" s="7"/>
      <c r="I17" s="3"/>
      <c r="J17" s="3"/>
      <c r="K17" s="22"/>
      <c r="L17" s="9"/>
      <c r="N17" s="1"/>
    </row>
    <row r="18" spans="1:14" ht="13.5" customHeight="1" x14ac:dyDescent="0.2">
      <c r="B18" s="2">
        <v>14</v>
      </c>
      <c r="C18" s="11">
        <v>44971</v>
      </c>
      <c r="D18" s="7"/>
      <c r="E18" s="23"/>
      <c r="F18" s="22"/>
      <c r="G18" s="8"/>
      <c r="H18" s="7"/>
      <c r="I18" s="3"/>
      <c r="J18" s="3"/>
      <c r="K18" s="22"/>
      <c r="L18" s="9"/>
      <c r="N18" s="1"/>
    </row>
    <row r="19" spans="1:14" x14ac:dyDescent="0.2">
      <c r="B19" s="2">
        <v>15</v>
      </c>
      <c r="C19" s="11">
        <v>44972</v>
      </c>
      <c r="D19" s="16"/>
      <c r="E19" s="23"/>
      <c r="F19" s="4"/>
      <c r="G19" s="8"/>
      <c r="H19" s="7"/>
      <c r="I19" s="3"/>
      <c r="J19" s="26"/>
      <c r="K19" s="22"/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26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20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20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20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20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7"/>
      <c r="F36" s="38"/>
      <c r="G36" s="37"/>
      <c r="H36" s="39"/>
      <c r="I36" s="37"/>
      <c r="J36" s="40"/>
      <c r="K36" s="22"/>
      <c r="L36" s="37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2023-02-05T06:50:58Z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