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S335" i="4"/>
  <c r="R335" i="4"/>
  <c r="O335" i="4"/>
  <c r="L335" i="4"/>
  <c r="M335" i="4" s="1"/>
  <c r="J335" i="4"/>
  <c r="K335" i="4" s="1"/>
  <c r="S334" i="4"/>
  <c r="R334" i="4"/>
  <c r="O334" i="4"/>
  <c r="L334" i="4"/>
  <c r="M334" i="4" s="1"/>
  <c r="J334" i="4"/>
  <c r="K334" i="4" s="1"/>
  <c r="S333" i="4"/>
  <c r="R333" i="4"/>
  <c r="P333" i="4"/>
  <c r="P335" i="4" s="1"/>
  <c r="O333" i="4"/>
  <c r="L333" i="4"/>
  <c r="M333" i="4" s="1"/>
  <c r="J333" i="4"/>
  <c r="K333" i="4" s="1"/>
  <c r="S332" i="4"/>
  <c r="R332" i="4"/>
  <c r="O332" i="4"/>
  <c r="L332" i="4"/>
  <c r="M332" i="4" s="1"/>
  <c r="J332" i="4"/>
  <c r="K332" i="4" s="1"/>
  <c r="S331" i="4"/>
  <c r="R331" i="4"/>
  <c r="P331" i="4"/>
  <c r="O331" i="4"/>
  <c r="L331" i="4"/>
  <c r="M331" i="4" s="1"/>
  <c r="J331" i="4"/>
  <c r="K331" i="4" s="1"/>
  <c r="S330" i="4"/>
  <c r="R330" i="4"/>
  <c r="O330" i="4"/>
  <c r="L330" i="4"/>
  <c r="M330" i="4" s="1"/>
  <c r="J330" i="4"/>
  <c r="K330" i="4" s="1"/>
  <c r="S329" i="4"/>
  <c r="R329" i="4"/>
  <c r="O329" i="4"/>
  <c r="L329" i="4"/>
  <c r="M329" i="4" s="1"/>
  <c r="J329" i="4"/>
  <c r="K329" i="4" s="1"/>
  <c r="S328" i="4"/>
  <c r="R328" i="4"/>
  <c r="O328" i="4"/>
  <c r="L328" i="4"/>
  <c r="M328" i="4" s="1"/>
  <c r="J328" i="4"/>
  <c r="K328" i="4" s="1"/>
  <c r="S327" i="4"/>
  <c r="R327" i="4"/>
  <c r="O327" i="4"/>
  <c r="L327" i="4"/>
  <c r="M327" i="4" s="1"/>
  <c r="J327" i="4"/>
  <c r="K327" i="4" s="1"/>
  <c r="S326" i="4"/>
  <c r="R326" i="4"/>
  <c r="O326" i="4"/>
  <c r="L326" i="4"/>
  <c r="M326" i="4" s="1"/>
  <c r="J326" i="4"/>
  <c r="K326" i="4" s="1"/>
  <c r="S325" i="4"/>
  <c r="R325" i="4"/>
  <c r="O325" i="4"/>
  <c r="L325" i="4"/>
  <c r="M325" i="4" s="1"/>
  <c r="K325" i="4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L277" i="4"/>
  <c r="M277" i="4" s="1"/>
  <c r="K277" i="4"/>
  <c r="E276" i="1"/>
  <c r="S276" i="4"/>
  <c r="R276" i="4"/>
  <c r="O276" i="4"/>
  <c r="L276" i="4"/>
  <c r="E275" i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F360" i="1" s="1"/>
  <c r="E308" i="1"/>
  <c r="E322" i="1"/>
  <c r="E327" i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<sst xmlns="http://schemas.openxmlformats.org/spreadsheetml/2006/main" count="608" uniqueCount="78">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</sst>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97" workbookViewId="0">
      <selection activeCell="R306" sqref="R306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0.85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0.85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0.85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0.85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0.85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0.85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48508.380000000405</v>
      </c>
      <c r="F312" s="153">
        <v>0.85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23258.519999999742</v>
      </c>
      <c r="F313" s="153">
        <v>0.85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-6550705.4400000004</v>
      </c>
      <c r="F314" s="153">
        <v>0.85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>
        <v>0.85</v>
      </c>
      <c r="G315" s="4" t="str">
        <f>'Gas Water'!M317</f>
        <v/>
      </c>
      <c r="H315" s="153">
        <v>3.85</v>
      </c>
      <c r="I315" s="2" t="str">
        <f>'Gas Water'!L317</f>
        <v/>
      </c>
      <c r="J315" s="153">
        <v>13.9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>
        <v>0.85</v>
      </c>
      <c r="G316" s="4" t="str">
        <f>'Gas Water'!M318</f>
        <v/>
      </c>
      <c r="H316" s="153">
        <v>3.85</v>
      </c>
      <c r="I316" s="2" t="str">
        <f>'Gas Water'!L318</f>
        <v/>
      </c>
      <c r="J316" s="153">
        <v>13.9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>
        <v>0.85</v>
      </c>
      <c r="G317" s="4" t="str">
        <f>'Gas Water'!M319</f>
        <v/>
      </c>
      <c r="H317" s="153">
        <v>3.85</v>
      </c>
      <c r="I317" s="2" t="str">
        <f>'Gas Water'!L319</f>
        <v/>
      </c>
      <c r="J317" s="153">
        <v>13.9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>
        <v>0.85</v>
      </c>
      <c r="G318" s="4" t="str">
        <f>'Gas Water'!M320</f>
        <v/>
      </c>
      <c r="H318" s="153">
        <v>3.85</v>
      </c>
      <c r="I318" s="2" t="str">
        <f>'Gas Water'!L320</f>
        <v/>
      </c>
      <c r="J318" s="153">
        <v>13.9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>
        <v>0.85</v>
      </c>
      <c r="G319" s="4" t="str">
        <f>'Gas Water'!M321</f>
        <v/>
      </c>
      <c r="H319" s="153">
        <v>3.85</v>
      </c>
      <c r="I319" s="2" t="str">
        <f>'Gas Water'!L321</f>
        <v/>
      </c>
      <c r="J319" s="153">
        <v>13.9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>
        <v>0.85</v>
      </c>
      <c r="G320" s="4" t="str">
        <f>'Gas Water'!M322</f>
        <v/>
      </c>
      <c r="H320" s="153">
        <v>3.85</v>
      </c>
      <c r="I320" s="2" t="str">
        <f>'Gas Water'!L322</f>
        <v/>
      </c>
      <c r="J320" s="153">
        <v>13.9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>
        <v>0.85</v>
      </c>
      <c r="G321" s="4" t="str">
        <f>'Gas Water'!M323</f>
        <v/>
      </c>
      <c r="H321" s="153">
        <v>3.85</v>
      </c>
      <c r="I321" s="2" t="str">
        <f>'Gas Water'!L323</f>
        <v/>
      </c>
      <c r="J321" s="153">
        <v>13.9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>
        <v>0.85</v>
      </c>
      <c r="G322" s="4" t="str">
        <f>'Gas Water'!M324</f>
        <v/>
      </c>
      <c r="H322" s="153">
        <v>3.85</v>
      </c>
      <c r="I322" s="2" t="str">
        <f>'Gas Water'!L324</f>
        <v/>
      </c>
      <c r="J322" s="153">
        <v>13.9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>
        <v>0.85</v>
      </c>
      <c r="G323" s="4" t="str">
        <f>'Gas Water'!M325</f>
        <v/>
      </c>
      <c r="H323" s="153">
        <v>3.85</v>
      </c>
      <c r="I323" s="2" t="str">
        <f>'Gas Water'!L325</f>
        <v/>
      </c>
      <c r="J323" s="153">
        <v>13.9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>
        <v>0.85</v>
      </c>
      <c r="G324" s="4" t="str">
        <f>'Gas Water'!M326</f>
        <v/>
      </c>
      <c r="H324" s="153">
        <v>3.85</v>
      </c>
      <c r="I324" s="2" t="str">
        <f>'Gas Water'!L326</f>
        <v/>
      </c>
      <c r="J324" s="153">
        <v>13.9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>
        <v>0.85</v>
      </c>
      <c r="G325" s="4" t="str">
        <f>'Gas Water'!M327</f>
        <v/>
      </c>
      <c r="H325" s="153">
        <v>3.85</v>
      </c>
      <c r="I325" s="2" t="str">
        <f>'Gas Water'!L327</f>
        <v/>
      </c>
      <c r="J325" s="153">
        <v>13.9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>
        <v>0.85</v>
      </c>
      <c r="G326" s="4" t="str">
        <f>'Gas Water'!M328</f>
        <v/>
      </c>
      <c r="H326" s="153">
        <v>3.85</v>
      </c>
      <c r="I326" s="2" t="str">
        <f>'Gas Water'!L328</f>
        <v/>
      </c>
      <c r="J326" s="153">
        <v>13.9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>
        <v>0.85</v>
      </c>
      <c r="G327" s="4" t="str">
        <f>'Gas Water'!M329</f>
        <v/>
      </c>
      <c r="H327" s="153">
        <v>3.85</v>
      </c>
      <c r="I327" s="2" t="str">
        <f>'Gas Water'!L329</f>
        <v/>
      </c>
      <c r="J327" s="153">
        <v>13.9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>
        <v>0.85</v>
      </c>
      <c r="G328" s="4" t="str">
        <f>'Gas Water'!M330</f>
        <v/>
      </c>
      <c r="H328" s="153">
        <v>3.85</v>
      </c>
      <c r="I328" s="2" t="str">
        <f>'Gas Water'!L330</f>
        <v/>
      </c>
      <c r="J328" s="153">
        <v>13.9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>
        <v>0.85</v>
      </c>
      <c r="G329" s="4" t="str">
        <f>'Gas Water'!M331</f>
        <v/>
      </c>
      <c r="H329" s="153">
        <v>3.85</v>
      </c>
      <c r="I329" s="2" t="str">
        <f>'Gas Water'!L331</f>
        <v/>
      </c>
      <c r="J329" s="153">
        <v>13.9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>
        <v>0.85</v>
      </c>
      <c r="G330" s="4" t="str">
        <f>'Gas Water'!M332</f>
        <v/>
      </c>
      <c r="H330" s="153">
        <v>3.85</v>
      </c>
      <c r="I330" s="2" t="str">
        <f>'Gas Water'!L332</f>
        <v/>
      </c>
      <c r="J330" s="153">
        <v>13.9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>
        <v>0.85</v>
      </c>
      <c r="G331" s="4" t="str">
        <f>'Gas Water'!M333</f>
        <v/>
      </c>
      <c r="H331" s="153">
        <v>3.85</v>
      </c>
      <c r="I331" s="2" t="str">
        <f>'Gas Water'!L333</f>
        <v/>
      </c>
      <c r="J331" s="153">
        <v>13.9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>
        <v>0.85</v>
      </c>
      <c r="G332" s="4" t="str">
        <f>'Gas Water'!M334</f>
        <v/>
      </c>
      <c r="H332" s="153">
        <v>3.85</v>
      </c>
      <c r="I332" s="2" t="str">
        <f>'Gas Water'!L334</f>
        <v/>
      </c>
      <c r="J332" s="153">
        <v>13.9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>
        <v>0.85</v>
      </c>
      <c r="G333" s="4" t="str">
        <f>'Gas Water'!M335</f>
        <v/>
      </c>
      <c r="H333" s="153">
        <v>3.85</v>
      </c>
      <c r="I333" s="2" t="str">
        <f>'Gas Water'!L335</f>
        <v/>
      </c>
      <c r="J333" s="153">
        <v>13.9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>
        <v>0.85</v>
      </c>
      <c r="G334" s="4" t="str">
        <f>'Gas Water'!M336</f>
        <v/>
      </c>
      <c r="H334" s="153">
        <v>3.85</v>
      </c>
      <c r="I334" s="2" t="str">
        <f>'Gas Water'!L336</f>
        <v/>
      </c>
      <c r="J334" s="153">
        <v>13.9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>
        <v>0.85</v>
      </c>
      <c r="G335" s="4" t="str">
        <f>'Gas Water'!M337</f>
        <v/>
      </c>
      <c r="H335" s="153">
        <v>3.85</v>
      </c>
      <c r="I335" s="2" t="str">
        <f>'Gas Water'!L337</f>
        <v/>
      </c>
      <c r="J335" s="153">
        <v>13.9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77" workbookViewId="0">
      <selection activeCell="G317" sqref="G317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1561</v>
      </c>
      <c r="O331" s="32">
        <f>SUM(M309:M338)</f>
        <v>13475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>
        <f>AVERAGE(L309:L338)</f>
        <v>195.125</v>
      </c>
      <c r="O334" s="32">
        <f>AVERAGE(M309:M338)</f>
        <v>1684.375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557818</v>
      </c>
      <c r="J371" s="40">
        <f t="shared" si="30"/>
        <v>57811</v>
      </c>
      <c r="K371" s="40">
        <f t="shared" si="30"/>
        <v>52981</v>
      </c>
      <c r="L371" s="40">
        <f t="shared" si="30"/>
        <v>59007</v>
      </c>
      <c r="M371" s="40">
        <f t="shared" si="30"/>
        <v>668610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01" workbookViewId="0">
      <selection activeCell="Y314" sqref="Y314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1576.6780000000001</v>
      </c>
      <c r="F313" s="58">
        <v>54.335000000000001</v>
      </c>
      <c r="G313" s="59"/>
      <c r="H313" s="59">
        <v>4140</v>
      </c>
      <c r="I313" s="59">
        <f t="shared" si="41"/>
        <v>48508.380000000405</v>
      </c>
      <c r="J313" s="59">
        <f t="shared" si="41"/>
        <v>1374.480000000003</v>
      </c>
      <c r="K313" s="60">
        <f t="shared" si="39"/>
        <v>2.83348980114362E-2</v>
      </c>
      <c r="L313" s="59">
        <f t="shared" si="36"/>
        <v>1374.480000000003</v>
      </c>
      <c r="M313" s="60">
        <f t="shared" si="40"/>
        <v>2.83348980114362E-2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1582.296</v>
      </c>
      <c r="F314" s="58">
        <v>54.503999999999998</v>
      </c>
      <c r="G314" s="59"/>
      <c r="H314" s="59">
        <v>4140</v>
      </c>
      <c r="I314" s="59">
        <f t="shared" si="41"/>
        <v>23258.519999999742</v>
      </c>
      <c r="J314" s="59">
        <f t="shared" si="41"/>
        <v>699.65999999998735</v>
      </c>
      <c r="K314" s="60">
        <f t="shared" si="39"/>
        <v>3.0081879672481101E-2</v>
      </c>
      <c r="L314" s="59">
        <f t="shared" si="36"/>
        <v>699.65999999998735</v>
      </c>
      <c r="M314" s="60">
        <f t="shared" si="40"/>
        <v>3.0081879672481101E-2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/>
      <c r="F315" s="58"/>
      <c r="G315" s="59"/>
      <c r="H315" s="59">
        <v>4140</v>
      </c>
      <c r="I315" s="59">
        <f t="shared" si="41"/>
        <v>-6550705.4400000004</v>
      </c>
      <c r="J315" s="59" t="str">
        <f t="shared" si="41"/>
        <v/>
      </c>
      <c r="K315" s="60" t="str">
        <f t="shared" si="39"/>
        <v/>
      </c>
      <c r="L315" s="59" t="str">
        <f t="shared" si="36"/>
        <v/>
      </c>
      <c r="M315" s="60" t="str">
        <f t="shared" si="40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ref="I316:I336" si="42">IF(D316="","",+(E316-E315)*4140)</f>
        <v/>
      </c>
      <c r="J316" s="59" t="str">
        <f t="shared" ref="J316:J325" si="43">IF(E316="","",+(F316-F315)*4140)</f>
        <v/>
      </c>
      <c r="K316" s="60" t="str">
        <f t="shared" si="39"/>
        <v/>
      </c>
      <c r="L316" s="59" t="str">
        <f t="shared" si="36"/>
        <v/>
      </c>
      <c r="M316" s="60" t="str">
        <f t="shared" si="40"/>
        <v/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2"/>
        <v/>
      </c>
      <c r="J317" s="59" t="str">
        <f t="shared" si="43"/>
        <v/>
      </c>
      <c r="K317" s="60" t="str">
        <f t="shared" si="39"/>
        <v/>
      </c>
      <c r="L317" s="59" t="str">
        <f t="shared" si="36"/>
        <v/>
      </c>
      <c r="M317" s="60" t="str">
        <f t="shared" si="40"/>
        <v/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2"/>
        <v/>
      </c>
      <c r="J318" s="59" t="str">
        <f t="shared" si="43"/>
        <v/>
      </c>
      <c r="K318" s="60" t="str">
        <f t="shared" si="39"/>
        <v/>
      </c>
      <c r="L318" s="59" t="str">
        <f t="shared" si="36"/>
        <v/>
      </c>
      <c r="M318" s="60" t="str">
        <f t="shared" si="40"/>
        <v/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2"/>
        <v/>
      </c>
      <c r="J319" s="59" t="str">
        <f t="shared" si="43"/>
        <v/>
      </c>
      <c r="K319" s="60" t="str">
        <f t="shared" si="39"/>
        <v/>
      </c>
      <c r="L319" s="59" t="str">
        <f t="shared" si="36"/>
        <v/>
      </c>
      <c r="M319" s="60" t="str">
        <f t="shared" si="40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2"/>
        <v/>
      </c>
      <c r="J320" s="59" t="str">
        <f t="shared" si="43"/>
        <v/>
      </c>
      <c r="K320" s="60" t="str">
        <f t="shared" si="39"/>
        <v/>
      </c>
      <c r="L320" s="59" t="str">
        <f t="shared" si="36"/>
        <v/>
      </c>
      <c r="M320" s="60" t="str">
        <f t="shared" si="40"/>
        <v/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2"/>
        <v/>
      </c>
      <c r="J321" s="59" t="str">
        <f t="shared" si="43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43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43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3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si="42"/>
        <v/>
      </c>
      <c r="J325" s="59" t="str">
        <f t="shared" si="43"/>
        <v/>
      </c>
      <c r="K325" s="60" t="str">
        <f t="shared" si="39"/>
        <v/>
      </c>
      <c r="L325" s="59" t="str">
        <f t="shared" ref="L325:L368" si="46">IF(F325="","",+(F325-F324)*4140)</f>
        <v/>
      </c>
      <c r="M325" s="60" t="str">
        <f t="shared" si="40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2"/>
        <v/>
      </c>
      <c r="J326" s="59" t="str">
        <f t="shared" ref="I326:J368" si="47">IF(E326="","",+(E326-E325)*4140)</f>
        <v/>
      </c>
      <c r="K326" s="60" t="str">
        <f t="shared" si="39"/>
        <v/>
      </c>
      <c r="L326" s="59" t="str">
        <f t="shared" si="46"/>
        <v/>
      </c>
      <c r="M326" s="60" t="str">
        <f t="shared" si="40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2"/>
        <v/>
      </c>
      <c r="J327" s="59" t="str">
        <f t="shared" si="47"/>
        <v/>
      </c>
      <c r="K327" s="60" t="str">
        <f t="shared" si="39"/>
        <v/>
      </c>
      <c r="L327" s="59" t="str">
        <f t="shared" si="46"/>
        <v/>
      </c>
      <c r="M327" s="60" t="str">
        <f t="shared" si="40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2"/>
        <v/>
      </c>
      <c r="J328" s="59" t="str">
        <f t="shared" si="47"/>
        <v/>
      </c>
      <c r="K328" s="60" t="str">
        <f t="shared" si="39"/>
        <v/>
      </c>
      <c r="L328" s="59" t="str">
        <f t="shared" si="46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-7.6353930435836103E-4</v>
      </c>
      <c r="Q328" s="70">
        <f>IF(L308="",0,+SUM(L308:L337)/SUM(I308:I337))</f>
        <v>-7.6353930435836103E-4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2"/>
        <v/>
      </c>
      <c r="J329" s="59" t="str">
        <f t="shared" si="47"/>
        <v/>
      </c>
      <c r="K329" s="60" t="str">
        <f t="shared" si="39"/>
        <v/>
      </c>
      <c r="L329" s="59" t="str">
        <f t="shared" si="46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2"/>
        <v/>
      </c>
      <c r="J330" s="59" t="str">
        <f t="shared" si="47"/>
        <v/>
      </c>
      <c r="K330" s="60" t="str">
        <f t="shared" si="39"/>
        <v/>
      </c>
      <c r="L330" s="59" t="str">
        <f t="shared" si="46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2"/>
        <v/>
      </c>
      <c r="J331" s="59" t="str">
        <f t="shared" si="47"/>
        <v/>
      </c>
      <c r="K331" s="60" t="str">
        <f t="shared" si="39"/>
        <v/>
      </c>
      <c r="L331" s="59" t="str">
        <f t="shared" si="46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2"/>
        <v/>
      </c>
      <c r="J332" s="59" t="str">
        <f t="shared" si="47"/>
        <v/>
      </c>
      <c r="K332" s="60" t="str">
        <f t="shared" si="39"/>
        <v/>
      </c>
      <c r="L332" s="59" t="str">
        <f t="shared" si="46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2"/>
        <v/>
      </c>
      <c r="J333" s="59" t="str">
        <f t="shared" si="47"/>
        <v/>
      </c>
      <c r="K333" s="60" t="str">
        <f t="shared" ref="K333:K337" si="49">IF(J333="","",+(J333/I333))</f>
        <v/>
      </c>
      <c r="L333" s="59" t="str">
        <f t="shared" si="46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2"/>
        <v/>
      </c>
      <c r="J334" s="59" t="str">
        <f t="shared" si="47"/>
        <v/>
      </c>
      <c r="K334" s="60" t="str">
        <f t="shared" si="49"/>
        <v/>
      </c>
      <c r="L334" s="59" t="str">
        <f t="shared" si="46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2"/>
        <v/>
      </c>
      <c r="J335" s="59" t="str">
        <f t="shared" si="47"/>
        <v/>
      </c>
      <c r="K335" s="60" t="str">
        <f t="shared" si="49"/>
        <v/>
      </c>
      <c r="L335" s="59" t="str">
        <f t="shared" si="46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2"/>
        <v/>
      </c>
      <c r="J336" s="59" t="str">
        <f t="shared" si="47"/>
        <v/>
      </c>
      <c r="K336" s="60" t="str">
        <f t="shared" si="49"/>
        <v/>
      </c>
      <c r="L336" s="59" t="str">
        <f t="shared" si="46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7"/>
        <v/>
      </c>
      <c r="J337" s="90" t="str">
        <f t="shared" si="47"/>
        <v/>
      </c>
      <c r="K337" s="60" t="str">
        <f t="shared" si="49"/>
        <v/>
      </c>
      <c r="L337" s="90" t="str">
        <f t="shared" si="46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7"/>
        <v/>
      </c>
      <c r="J338" s="59" t="str">
        <f t="shared" si="47"/>
        <v/>
      </c>
      <c r="K338" s="60" t="str">
        <f t="shared" ref="K338:K368" si="51">IF(J338="","",+(J338/I338))</f>
        <v/>
      </c>
      <c r="L338" s="59" t="str">
        <f t="shared" si="46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7"/>
        <v/>
      </c>
      <c r="J339" s="59" t="str">
        <f t="shared" si="47"/>
        <v/>
      </c>
      <c r="K339" s="60" t="str">
        <f t="shared" si="51"/>
        <v/>
      </c>
      <c r="L339" s="59" t="str">
        <f t="shared" si="46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7"/>
        <v/>
      </c>
      <c r="J340" s="59" t="str">
        <f t="shared" si="47"/>
        <v/>
      </c>
      <c r="K340" s="60" t="str">
        <f t="shared" si="51"/>
        <v/>
      </c>
      <c r="L340" s="59" t="str">
        <f t="shared" si="46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7"/>
        <v/>
      </c>
      <c r="J341" s="59" t="str">
        <f t="shared" si="47"/>
        <v/>
      </c>
      <c r="K341" s="60" t="str">
        <f t="shared" si="51"/>
        <v/>
      </c>
      <c r="L341" s="59" t="str">
        <f t="shared" si="46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7"/>
        <v/>
      </c>
      <c r="J342" s="59" t="str">
        <f t="shared" si="47"/>
        <v/>
      </c>
      <c r="K342" s="60" t="str">
        <f t="shared" si="51"/>
        <v/>
      </c>
      <c r="L342" s="59" t="str">
        <f t="shared" si="46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7"/>
        <v/>
      </c>
      <c r="J343" s="59" t="str">
        <f t="shared" si="47"/>
        <v/>
      </c>
      <c r="K343" s="60" t="str">
        <f t="shared" si="51"/>
        <v/>
      </c>
      <c r="L343" s="59" t="str">
        <f t="shared" si="46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7"/>
        <v/>
      </c>
      <c r="J344" s="59" t="str">
        <f t="shared" si="47"/>
        <v/>
      </c>
      <c r="K344" s="60" t="str">
        <f t="shared" si="51"/>
        <v/>
      </c>
      <c r="L344" s="59" t="str">
        <f t="shared" si="46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7"/>
        <v/>
      </c>
      <c r="J345" s="59" t="str">
        <f t="shared" si="47"/>
        <v/>
      </c>
      <c r="K345" s="60" t="str">
        <f t="shared" si="51"/>
        <v/>
      </c>
      <c r="L345" s="59" t="str">
        <f t="shared" si="46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7"/>
        <v/>
      </c>
      <c r="J346" s="59" t="str">
        <f t="shared" si="47"/>
        <v/>
      </c>
      <c r="K346" s="60" t="str">
        <f t="shared" si="51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7"/>
        <v/>
      </c>
      <c r="J347" s="59" t="str">
        <f t="shared" si="47"/>
        <v/>
      </c>
      <c r="K347" s="60" t="str">
        <f t="shared" si="51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7"/>
        <v/>
      </c>
      <c r="J348" s="59" t="str">
        <f t="shared" si="47"/>
        <v/>
      </c>
      <c r="K348" s="60" t="str">
        <f t="shared" si="51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7"/>
        <v/>
      </c>
      <c r="J349" s="59" t="str">
        <f t="shared" si="47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7"/>
        <v/>
      </c>
      <c r="J350" s="59" t="str">
        <f t="shared" si="47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7"/>
        <v/>
      </c>
      <c r="J351" s="59" t="str">
        <f t="shared" si="47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7"/>
        <v/>
      </c>
      <c r="J352" s="59" t="str">
        <f t="shared" si="47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7"/>
        <v/>
      </c>
      <c r="J353" s="59" t="str">
        <f t="shared" si="47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7"/>
        <v/>
      </c>
      <c r="J354" s="59" t="str">
        <f t="shared" si="47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7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7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7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7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7"/>
        <v/>
      </c>
      <c r="J359" s="59" t="str">
        <f t="shared" si="47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7"/>
        <v/>
      </c>
      <c r="J360" s="59" t="str">
        <f t="shared" si="47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7"/>
        <v/>
      </c>
      <c r="J361" s="59" t="str">
        <f t="shared" si="47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7"/>
        <v/>
      </c>
      <c r="J362" s="59" t="str">
        <f t="shared" si="47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7"/>
        <v/>
      </c>
      <c r="J363" s="59" t="str">
        <f t="shared" si="47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7"/>
        <v/>
      </c>
      <c r="J364" s="59" t="str">
        <f t="shared" si="47"/>
        <v/>
      </c>
      <c r="K364" s="60" t="str">
        <f t="shared" si="51"/>
        <v/>
      </c>
      <c r="L364" s="59" t="str">
        <f t="shared" si="46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7"/>
        <v/>
      </c>
      <c r="J365" s="59" t="str">
        <f t="shared" si="47"/>
        <v/>
      </c>
      <c r="K365" s="60" t="str">
        <f t="shared" si="51"/>
        <v/>
      </c>
      <c r="L365" s="59" t="str">
        <f t="shared" si="46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7"/>
        <v/>
      </c>
      <c r="K366" s="60" t="str">
        <f t="shared" si="51"/>
        <v/>
      </c>
      <c r="L366" s="59" t="str">
        <f t="shared" si="46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7"/>
        <v/>
      </c>
      <c r="J367" s="59" t="str">
        <f t="shared" si="47"/>
        <v/>
      </c>
      <c r="K367" s="60" t="str">
        <f t="shared" si="51"/>
        <v/>
      </c>
      <c r="L367" s="59" t="str">
        <f t="shared" si="46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7"/>
        <v/>
      </c>
      <c r="J368" s="90" t="str">
        <f t="shared" si="47"/>
        <v/>
      </c>
      <c r="K368" s="91" t="str">
        <f t="shared" si="51"/>
        <v/>
      </c>
      <c r="L368" s="90" t="str">
        <f t="shared" si="46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1588616.879999999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2021-11-10T07:32:07Z</dcterms:modified>
  <cp:category/>
  <cp:contentStatus/>
</cp:coreProperties>
</file>