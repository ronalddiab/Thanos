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2"/>
  <workbookPr filterPrivacy="1" defaultThemeVersion="124226"/>
  <xr:revisionPtr revIDLastSave="0" documentId="13_ncr:1_{D34C850E-F4E7-4EC7-B27F-10C81E9021D1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Monthly Budget " sheetId="9" r:id="rId2"/>
    <sheet name="Kwh Reading" sheetId="1" r:id="rId3"/>
    <sheet name="Kwh Consumption" sheetId="2" r:id="rId4"/>
    <sheet name="Kwh area wise " sheetId="4" r:id="rId5"/>
    <sheet name=" Kwh area wise $ " sheetId="3" r:id="rId6"/>
    <sheet name="Water Reading" sheetId="7" r:id="rId7"/>
    <sheet name="Water consumption" sheetId="8" r:id="rId8"/>
  </sheets>
  <definedNames>
    <definedName name="_xlnm.Print_Area" localSheetId="2">'Kwh Reading'!$A$1:$S$31</definedName>
  </definedNames>
  <calcPr calcId="191029" concurrentCalc="0"/>
</workbook>
</file>

<file path=xl/calcChain.xml><?xml version="1.0" encoding="utf-8"?>
<calcChain xmlns="http://schemas.openxmlformats.org/spreadsheetml/2006/main">
  <c r="B18" i="8" l="1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L19" i="2"/>
  <c r="L20" i="2"/>
  <c r="L21" i="2"/>
  <c r="L22" i="2"/>
  <c r="L23" i="2"/>
  <c r="C18" i="8"/>
  <c r="D18" i="8"/>
  <c r="C19" i="8"/>
  <c r="D19" i="8"/>
  <c r="C20" i="8"/>
  <c r="D20" i="8"/>
  <c r="C21" i="8"/>
  <c r="D21" i="8"/>
  <c r="C22" i="8"/>
  <c r="D22" i="8"/>
  <c r="D13" i="2"/>
  <c r="D14" i="2"/>
  <c r="D15" i="2"/>
  <c r="D16" i="2"/>
  <c r="D17" i="2"/>
  <c r="S5" i="8"/>
  <c r="S6" i="8"/>
  <c r="S7" i="8"/>
  <c r="S8" i="8"/>
  <c r="S9" i="8"/>
  <c r="S10" i="8"/>
  <c r="B31" i="3"/>
  <c r="B32" i="3"/>
  <c r="W29" i="8"/>
  <c r="W30" i="8"/>
  <c r="W31" i="8"/>
  <c r="W32" i="8"/>
  <c r="W33" i="8"/>
  <c r="U29" i="8"/>
  <c r="U30" i="8"/>
  <c r="U31" i="8"/>
  <c r="U32" i="8"/>
  <c r="U33" i="8"/>
  <c r="S30" i="8"/>
  <c r="S31" i="8"/>
  <c r="S32" i="8"/>
  <c r="S33" i="8"/>
  <c r="Q30" i="8"/>
  <c r="Q31" i="8"/>
  <c r="Q32" i="8"/>
  <c r="Q33" i="8"/>
  <c r="O31" i="8"/>
  <c r="O32" i="8"/>
  <c r="O33" i="8"/>
  <c r="M31" i="8"/>
  <c r="M32" i="8"/>
  <c r="M33" i="8"/>
  <c r="G31" i="8"/>
  <c r="G32" i="8"/>
  <c r="G33" i="8"/>
  <c r="K31" i="8"/>
  <c r="K32" i="8"/>
  <c r="K33" i="8"/>
  <c r="I31" i="8"/>
  <c r="I32" i="8"/>
  <c r="I33" i="8"/>
  <c r="E32" i="8"/>
  <c r="E33" i="8"/>
  <c r="C32" i="8"/>
  <c r="C33" i="8"/>
  <c r="S30" i="2"/>
  <c r="T30" i="2"/>
  <c r="J29" i="4"/>
  <c r="A23" i="4"/>
  <c r="A24" i="4"/>
  <c r="A25" i="4"/>
  <c r="A26" i="4"/>
  <c r="A27" i="4"/>
  <c r="A28" i="4"/>
  <c r="A29" i="4"/>
  <c r="A30" i="4"/>
  <c r="A31" i="4"/>
  <c r="A32" i="4"/>
  <c r="U30" i="2"/>
  <c r="K29" i="4"/>
  <c r="U31" i="2"/>
  <c r="K30" i="4"/>
  <c r="U32" i="2"/>
  <c r="K31" i="4"/>
  <c r="U33" i="2"/>
  <c r="K32" i="4"/>
  <c r="T31" i="2"/>
  <c r="T32" i="2"/>
  <c r="T33" i="2"/>
  <c r="S31" i="2"/>
  <c r="J30" i="4"/>
  <c r="S32" i="2"/>
  <c r="J31" i="4"/>
  <c r="S33" i="2"/>
  <c r="J32" i="4"/>
  <c r="R30" i="2"/>
  <c r="R31" i="2"/>
  <c r="R32" i="2"/>
  <c r="R33" i="2"/>
  <c r="Q30" i="2"/>
  <c r="Q31" i="2"/>
  <c r="Q32" i="2"/>
  <c r="Q33" i="2"/>
  <c r="P30" i="2"/>
  <c r="P31" i="2"/>
  <c r="P32" i="2"/>
  <c r="P33" i="2"/>
  <c r="O30" i="2"/>
  <c r="O31" i="2"/>
  <c r="O32" i="2"/>
  <c r="O33" i="2"/>
  <c r="N30" i="2"/>
  <c r="N31" i="2"/>
  <c r="N32" i="2"/>
  <c r="N33" i="2"/>
  <c r="M30" i="2"/>
  <c r="I29" i="4"/>
  <c r="M31" i="2"/>
  <c r="I30" i="4"/>
  <c r="M32" i="2"/>
  <c r="I31" i="4"/>
  <c r="M33" i="2"/>
  <c r="I32" i="4"/>
  <c r="L30" i="2"/>
  <c r="L31" i="2"/>
  <c r="L32" i="2"/>
  <c r="L33" i="2"/>
  <c r="K30" i="2"/>
  <c r="H29" i="4"/>
  <c r="K31" i="2"/>
  <c r="H30" i="4"/>
  <c r="K32" i="2"/>
  <c r="H31" i="4"/>
  <c r="K33" i="2"/>
  <c r="H32" i="4"/>
  <c r="J30" i="2"/>
  <c r="J31" i="2"/>
  <c r="J32" i="2"/>
  <c r="J33" i="2"/>
  <c r="I31" i="2"/>
  <c r="G30" i="4"/>
  <c r="I32" i="2"/>
  <c r="G31" i="4"/>
  <c r="I33" i="2"/>
  <c r="G32" i="4"/>
  <c r="H31" i="2"/>
  <c r="H32" i="2"/>
  <c r="H33" i="2"/>
  <c r="G31" i="2"/>
  <c r="G32" i="2"/>
  <c r="G33" i="2"/>
  <c r="F31" i="2"/>
  <c r="F32" i="2"/>
  <c r="F31" i="4"/>
  <c r="F33" i="2"/>
  <c r="F32" i="4"/>
  <c r="E31" i="2"/>
  <c r="E30" i="4"/>
  <c r="E32" i="2"/>
  <c r="C32" i="2"/>
  <c r="D32" i="2"/>
  <c r="V32" i="2"/>
  <c r="E33" i="2"/>
  <c r="E32" i="4"/>
  <c r="D31" i="2"/>
  <c r="D30" i="4"/>
  <c r="D31" i="4"/>
  <c r="D33" i="2"/>
  <c r="D32" i="4"/>
  <c r="C31" i="2"/>
  <c r="V31" i="2"/>
  <c r="C31" i="4"/>
  <c r="C33" i="2"/>
  <c r="V33" i="2"/>
  <c r="C28" i="2"/>
  <c r="C29" i="2"/>
  <c r="C30" i="2"/>
  <c r="A30" i="2"/>
  <c r="A31" i="2"/>
  <c r="A32" i="2"/>
  <c r="A33" i="2"/>
  <c r="F30" i="4"/>
  <c r="C32" i="4"/>
  <c r="E31" i="4"/>
  <c r="H33" i="8"/>
  <c r="C30" i="4"/>
  <c r="H32" i="8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V34" i="1"/>
  <c r="W34" i="1"/>
  <c r="X34" i="1"/>
  <c r="C31" i="8"/>
  <c r="H31" i="8"/>
  <c r="O32" i="6"/>
  <c r="N32" i="6"/>
  <c r="M32" i="6"/>
  <c r="I32" i="6"/>
  <c r="E32" i="6"/>
  <c r="G32" i="6"/>
  <c r="L24" i="2"/>
  <c r="L25" i="2"/>
  <c r="L26" i="2"/>
  <c r="L27" i="2"/>
  <c r="L28" i="2"/>
  <c r="L29" i="2"/>
  <c r="J24" i="2"/>
  <c r="J25" i="2"/>
  <c r="J26" i="2"/>
  <c r="J27" i="2"/>
  <c r="G25" i="2"/>
  <c r="G26" i="2"/>
  <c r="G20" i="8"/>
  <c r="B32" i="4"/>
  <c r="D32" i="3"/>
  <c r="H32" i="3"/>
  <c r="M32" i="3"/>
  <c r="K32" i="3"/>
  <c r="I32" i="3"/>
  <c r="G32" i="3"/>
  <c r="E32" i="3"/>
  <c r="C32" i="3"/>
  <c r="F32" i="3"/>
  <c r="L32" i="3"/>
  <c r="J32" i="3"/>
  <c r="K21" i="8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4" i="2"/>
  <c r="C13" i="8"/>
  <c r="I20" i="2"/>
  <c r="I21" i="2"/>
  <c r="M19" i="8"/>
  <c r="M20" i="8"/>
  <c r="B35" i="4"/>
  <c r="G11" i="8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4" i="2"/>
  <c r="K14" i="8"/>
  <c r="G24" i="8"/>
  <c r="G25" i="8"/>
  <c r="G19" i="8"/>
  <c r="G21" i="8"/>
  <c r="G22" i="8"/>
  <c r="G5" i="8"/>
  <c r="S4" i="8"/>
  <c r="Q5" i="8"/>
  <c r="Q6" i="8"/>
  <c r="Q7" i="8"/>
  <c r="Q8" i="8"/>
  <c r="Q9" i="8"/>
  <c r="Q10" i="8"/>
  <c r="Q11" i="8"/>
  <c r="Q12" i="8"/>
  <c r="Q13" i="8"/>
  <c r="R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4" i="8"/>
  <c r="S11" i="8"/>
  <c r="S12" i="8"/>
  <c r="S13" i="8"/>
  <c r="T13" i="8"/>
  <c r="S14" i="8"/>
  <c r="C14" i="8"/>
  <c r="T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U5" i="8"/>
  <c r="U6" i="8"/>
  <c r="U7" i="8"/>
  <c r="U8" i="8"/>
  <c r="U9" i="8"/>
  <c r="U10" i="8"/>
  <c r="U11" i="8"/>
  <c r="U12" i="8"/>
  <c r="U13" i="8"/>
  <c r="V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4" i="8"/>
  <c r="G6" i="8"/>
  <c r="G7" i="8"/>
  <c r="G8" i="8"/>
  <c r="G9" i="8"/>
  <c r="G10" i="8"/>
  <c r="G12" i="8"/>
  <c r="G13" i="8"/>
  <c r="H13" i="8"/>
  <c r="G14" i="8"/>
  <c r="G15" i="8"/>
  <c r="G16" i="8"/>
  <c r="G17" i="8"/>
  <c r="G18" i="8"/>
  <c r="G23" i="8"/>
  <c r="G26" i="8"/>
  <c r="G27" i="8"/>
  <c r="G28" i="8"/>
  <c r="G29" i="8"/>
  <c r="G30" i="8"/>
  <c r="W6" i="8"/>
  <c r="W7" i="8"/>
  <c r="W8" i="8"/>
  <c r="W9" i="8"/>
  <c r="W10" i="8"/>
  <c r="W11" i="8"/>
  <c r="W12" i="8"/>
  <c r="W13" i="8"/>
  <c r="X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5" i="8"/>
  <c r="W4" i="8"/>
  <c r="Q24" i="2"/>
  <c r="Q25" i="2"/>
  <c r="M16" i="2"/>
  <c r="L16" i="2"/>
  <c r="Q16" i="2"/>
  <c r="R16" i="2"/>
  <c r="S16" i="2"/>
  <c r="T16" i="2"/>
  <c r="U16" i="2"/>
  <c r="K15" i="4"/>
  <c r="K32" i="6"/>
  <c r="D13" i="8"/>
  <c r="B9" i="4"/>
  <c r="B10" i="4"/>
  <c r="B11" i="4"/>
  <c r="B12" i="4"/>
  <c r="O5" i="8"/>
  <c r="O6" i="8"/>
  <c r="O7" i="8"/>
  <c r="O8" i="8"/>
  <c r="O9" i="8"/>
  <c r="O10" i="8"/>
  <c r="O11" i="8"/>
  <c r="O12" i="8"/>
  <c r="O13" i="8"/>
  <c r="P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4" i="8"/>
  <c r="M5" i="8"/>
  <c r="M6" i="8"/>
  <c r="M7" i="8"/>
  <c r="M8" i="8"/>
  <c r="M9" i="8"/>
  <c r="M10" i="8"/>
  <c r="M11" i="8"/>
  <c r="M12" i="8"/>
  <c r="M13" i="8"/>
  <c r="N13" i="8"/>
  <c r="M14" i="8"/>
  <c r="M15" i="8"/>
  <c r="M16" i="8"/>
  <c r="M17" i="8"/>
  <c r="M18" i="8"/>
  <c r="M21" i="8"/>
  <c r="M22" i="8"/>
  <c r="M23" i="8"/>
  <c r="M24" i="8"/>
  <c r="M25" i="8"/>
  <c r="M26" i="8"/>
  <c r="M27" i="8"/>
  <c r="M28" i="8"/>
  <c r="M29" i="8"/>
  <c r="M30" i="8"/>
  <c r="M4" i="8"/>
  <c r="K5" i="8"/>
  <c r="K6" i="8"/>
  <c r="K7" i="8"/>
  <c r="K8" i="8"/>
  <c r="K9" i="8"/>
  <c r="K10" i="8"/>
  <c r="K11" i="8"/>
  <c r="K12" i="8"/>
  <c r="K13" i="8"/>
  <c r="L13" i="8"/>
  <c r="K15" i="8"/>
  <c r="K16" i="8"/>
  <c r="K17" i="8"/>
  <c r="K18" i="8"/>
  <c r="K19" i="8"/>
  <c r="K20" i="8"/>
  <c r="K22" i="8"/>
  <c r="K23" i="8"/>
  <c r="K24" i="8"/>
  <c r="K25" i="8"/>
  <c r="K26" i="8"/>
  <c r="K27" i="8"/>
  <c r="K28" i="8"/>
  <c r="K29" i="8"/>
  <c r="K30" i="8"/>
  <c r="K4" i="8"/>
  <c r="I5" i="8"/>
  <c r="I6" i="8"/>
  <c r="I7" i="8"/>
  <c r="I8" i="8"/>
  <c r="I9" i="8"/>
  <c r="I10" i="8"/>
  <c r="I11" i="8"/>
  <c r="I12" i="8"/>
  <c r="I13" i="8"/>
  <c r="J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4" i="8"/>
  <c r="G4" i="8"/>
  <c r="E5" i="8"/>
  <c r="E6" i="8"/>
  <c r="E7" i="8"/>
  <c r="E8" i="8"/>
  <c r="E9" i="8"/>
  <c r="E10" i="8"/>
  <c r="E11" i="8"/>
  <c r="E12" i="8"/>
  <c r="E13" i="8"/>
  <c r="F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4" i="8"/>
  <c r="C5" i="8"/>
  <c r="C6" i="8"/>
  <c r="T6" i="8"/>
  <c r="C7" i="8"/>
  <c r="C8" i="8"/>
  <c r="C9" i="8"/>
  <c r="C10" i="8"/>
  <c r="C11" i="8"/>
  <c r="C12" i="8"/>
  <c r="C15" i="8"/>
  <c r="C16" i="8"/>
  <c r="C17" i="8"/>
  <c r="P22" i="8"/>
  <c r="C23" i="8"/>
  <c r="C24" i="8"/>
  <c r="C25" i="8"/>
  <c r="C26" i="8"/>
  <c r="C27" i="8"/>
  <c r="C28" i="8"/>
  <c r="C29" i="8"/>
  <c r="C30" i="8"/>
  <c r="C4" i="8"/>
  <c r="C27" i="2"/>
  <c r="C26" i="4"/>
  <c r="C27" i="4"/>
  <c r="C28" i="4"/>
  <c r="C29" i="4"/>
  <c r="T28" i="2"/>
  <c r="L5" i="2"/>
  <c r="L6" i="2"/>
  <c r="L7" i="2"/>
  <c r="L8" i="2"/>
  <c r="L9" i="2"/>
  <c r="L10" i="2"/>
  <c r="L11" i="2"/>
  <c r="L12" i="2"/>
  <c r="L13" i="2"/>
  <c r="L14" i="2"/>
  <c r="L15" i="2"/>
  <c r="L17" i="2"/>
  <c r="L18" i="2"/>
  <c r="L4" i="2"/>
  <c r="M14" i="2"/>
  <c r="G24" i="2"/>
  <c r="U23" i="2"/>
  <c r="K22" i="4"/>
  <c r="T23" i="2"/>
  <c r="S23" i="2"/>
  <c r="R23" i="2"/>
  <c r="Q23" i="2"/>
  <c r="M23" i="2"/>
  <c r="K23" i="2"/>
  <c r="J23" i="2"/>
  <c r="I23" i="2"/>
  <c r="H23" i="2"/>
  <c r="G23" i="2"/>
  <c r="F23" i="2"/>
  <c r="E23" i="2"/>
  <c r="E22" i="4"/>
  <c r="D23" i="2"/>
  <c r="D22" i="4"/>
  <c r="C23" i="2"/>
  <c r="C22" i="4"/>
  <c r="J12" i="2"/>
  <c r="J8" i="2"/>
  <c r="J9" i="2"/>
  <c r="I8" i="2"/>
  <c r="I9" i="2"/>
  <c r="H8" i="2"/>
  <c r="H9" i="2"/>
  <c r="G8" i="2"/>
  <c r="G9" i="2"/>
  <c r="F9" i="2"/>
  <c r="F8" i="2"/>
  <c r="E8" i="2"/>
  <c r="E7" i="4"/>
  <c r="E9" i="2"/>
  <c r="E8" i="4"/>
  <c r="D8" i="2"/>
  <c r="D7" i="4"/>
  <c r="D9" i="2"/>
  <c r="D8" i="4"/>
  <c r="C8" i="2"/>
  <c r="C7" i="4"/>
  <c r="C9" i="2"/>
  <c r="C8" i="4"/>
  <c r="U8" i="2"/>
  <c r="K7" i="4"/>
  <c r="U9" i="2"/>
  <c r="K8" i="4"/>
  <c r="T8" i="2"/>
  <c r="T9" i="2"/>
  <c r="S8" i="2"/>
  <c r="S9" i="2"/>
  <c r="R8" i="2"/>
  <c r="R9" i="2"/>
  <c r="Q8" i="2"/>
  <c r="Q9" i="2"/>
  <c r="M8" i="2"/>
  <c r="M9" i="2"/>
  <c r="K8" i="2"/>
  <c r="K9" i="2"/>
  <c r="C17" i="2"/>
  <c r="C16" i="4"/>
  <c r="C18" i="2"/>
  <c r="C19" i="2"/>
  <c r="C18" i="4"/>
  <c r="S27" i="2"/>
  <c r="B20" i="4"/>
  <c r="B3" i="4"/>
  <c r="H21" i="2"/>
  <c r="C21" i="2"/>
  <c r="C20" i="4"/>
  <c r="C22" i="2"/>
  <c r="C21" i="4"/>
  <c r="C24" i="2"/>
  <c r="C23" i="4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D5" i="2"/>
  <c r="D6" i="2"/>
  <c r="D5" i="4"/>
  <c r="D7" i="2"/>
  <c r="D6" i="4"/>
  <c r="D10" i="2"/>
  <c r="D9" i="4"/>
  <c r="D11" i="2"/>
  <c r="D10" i="4"/>
  <c r="D12" i="2"/>
  <c r="D11" i="4"/>
  <c r="D12" i="4"/>
  <c r="D13" i="4"/>
  <c r="D14" i="4"/>
  <c r="D16" i="4"/>
  <c r="D18" i="2"/>
  <c r="D17" i="4"/>
  <c r="D19" i="2"/>
  <c r="D20" i="2"/>
  <c r="D19" i="4"/>
  <c r="D21" i="2"/>
  <c r="D20" i="4"/>
  <c r="D22" i="2"/>
  <c r="D21" i="4"/>
  <c r="D24" i="2"/>
  <c r="D23" i="4"/>
  <c r="D25" i="2"/>
  <c r="D26" i="2"/>
  <c r="D25" i="4"/>
  <c r="D27" i="2"/>
  <c r="D26" i="4"/>
  <c r="D28" i="2"/>
  <c r="D27" i="4"/>
  <c r="D29" i="2"/>
  <c r="D30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" i="3"/>
  <c r="Q18" i="2"/>
  <c r="A33" i="8"/>
  <c r="A32" i="3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U5" i="2"/>
  <c r="K4" i="4"/>
  <c r="A30" i="3"/>
  <c r="A31" i="3"/>
  <c r="C5" i="2"/>
  <c r="C4" i="4"/>
  <c r="C4" i="2"/>
  <c r="T20" i="2"/>
  <c r="J7" i="2"/>
  <c r="U7" i="2"/>
  <c r="K6" i="4"/>
  <c r="H15" i="2"/>
  <c r="I12" i="2"/>
  <c r="G11" i="2"/>
  <c r="F11" i="2"/>
  <c r="C11" i="2"/>
  <c r="U10" i="2"/>
  <c r="K9" i="4"/>
  <c r="T10" i="2"/>
  <c r="S10" i="2"/>
  <c r="R10" i="2"/>
  <c r="Q10" i="2"/>
  <c r="M10" i="2"/>
  <c r="K10" i="2"/>
  <c r="J10" i="2"/>
  <c r="I10" i="2"/>
  <c r="H10" i="2"/>
  <c r="G10" i="2"/>
  <c r="F10" i="2"/>
  <c r="E10" i="2"/>
  <c r="E9" i="4"/>
  <c r="C10" i="2"/>
  <c r="C9" i="4"/>
  <c r="F20" i="2"/>
  <c r="F19" i="2"/>
  <c r="Q5" i="2"/>
  <c r="Q6" i="2"/>
  <c r="Q7" i="2"/>
  <c r="Q11" i="2"/>
  <c r="Q12" i="2"/>
  <c r="Q13" i="2"/>
  <c r="Q14" i="2"/>
  <c r="Q15" i="2"/>
  <c r="Q17" i="2"/>
  <c r="Q19" i="2"/>
  <c r="Q20" i="2"/>
  <c r="Q21" i="2"/>
  <c r="Q22" i="2"/>
  <c r="Q26" i="2"/>
  <c r="Q27" i="2"/>
  <c r="Q28" i="2"/>
  <c r="Q29" i="2"/>
  <c r="Q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J20" i="2"/>
  <c r="G19" i="4"/>
  <c r="J21" i="2"/>
  <c r="G20" i="4"/>
  <c r="I22" i="2"/>
  <c r="J22" i="2"/>
  <c r="I24" i="2"/>
  <c r="I25" i="2"/>
  <c r="I26" i="2"/>
  <c r="I27" i="2"/>
  <c r="I28" i="2"/>
  <c r="J28" i="2"/>
  <c r="I29" i="2"/>
  <c r="J29" i="2"/>
  <c r="I30" i="2"/>
  <c r="G29" i="4"/>
  <c r="J4" i="2"/>
  <c r="I4" i="2"/>
  <c r="C6" i="2"/>
  <c r="C5" i="4"/>
  <c r="C7" i="2"/>
  <c r="C6" i="4"/>
  <c r="C12" i="2"/>
  <c r="C13" i="2"/>
  <c r="C14" i="2"/>
  <c r="C13" i="4"/>
  <c r="C15" i="2"/>
  <c r="C14" i="4"/>
  <c r="C16" i="2"/>
  <c r="C20" i="2"/>
  <c r="C25" i="2"/>
  <c r="C24" i="4"/>
  <c r="C26" i="2"/>
  <c r="C25" i="4"/>
  <c r="U6" i="2"/>
  <c r="K5" i="4"/>
  <c r="U11" i="2"/>
  <c r="U12" i="2"/>
  <c r="K11" i="4"/>
  <c r="U13" i="2"/>
  <c r="U14" i="2"/>
  <c r="K13" i="4"/>
  <c r="U15" i="2"/>
  <c r="K14" i="4"/>
  <c r="U17" i="2"/>
  <c r="K16" i="4"/>
  <c r="U18" i="2"/>
  <c r="U19" i="2"/>
  <c r="U20" i="2"/>
  <c r="K19" i="4"/>
  <c r="U21" i="2"/>
  <c r="U22" i="2"/>
  <c r="K21" i="4"/>
  <c r="U24" i="2"/>
  <c r="K23" i="4"/>
  <c r="U25" i="2"/>
  <c r="K24" i="4"/>
  <c r="U26" i="2"/>
  <c r="U27" i="2"/>
  <c r="K26" i="4"/>
  <c r="U28" i="2"/>
  <c r="K27" i="4"/>
  <c r="U29" i="2"/>
  <c r="K28" i="4"/>
  <c r="U4" i="2"/>
  <c r="M5" i="2"/>
  <c r="M6" i="2"/>
  <c r="M7" i="2"/>
  <c r="M11" i="2"/>
  <c r="M12" i="2"/>
  <c r="M13" i="2"/>
  <c r="M15" i="2"/>
  <c r="M17" i="2"/>
  <c r="M18" i="2"/>
  <c r="M19" i="2"/>
  <c r="M20" i="2"/>
  <c r="M21" i="2"/>
  <c r="M22" i="2"/>
  <c r="M24" i="2"/>
  <c r="M25" i="2"/>
  <c r="M26" i="2"/>
  <c r="M27" i="2"/>
  <c r="M28" i="2"/>
  <c r="M29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H25" i="2"/>
  <c r="F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H4" i="2"/>
  <c r="G4" i="2"/>
  <c r="F4" i="2"/>
  <c r="E5" i="2"/>
  <c r="E4" i="4"/>
  <c r="E6" i="2"/>
  <c r="E7" i="2"/>
  <c r="E6" i="4"/>
  <c r="E11" i="2"/>
  <c r="E10" i="4"/>
  <c r="E12" i="2"/>
  <c r="E11" i="4"/>
  <c r="E13" i="2"/>
  <c r="E14" i="2"/>
  <c r="E15" i="2"/>
  <c r="E14" i="4"/>
  <c r="E16" i="2"/>
  <c r="E17" i="2"/>
  <c r="E16" i="4"/>
  <c r="E18" i="2"/>
  <c r="E17" i="4"/>
  <c r="E19" i="2"/>
  <c r="E20" i="2"/>
  <c r="E19" i="4"/>
  <c r="E21" i="2"/>
  <c r="E20" i="4"/>
  <c r="E22" i="2"/>
  <c r="E21" i="4"/>
  <c r="E24" i="2"/>
  <c r="E25" i="2"/>
  <c r="E24" i="4"/>
  <c r="E26" i="2"/>
  <c r="E25" i="4"/>
  <c r="E27" i="2"/>
  <c r="E26" i="4"/>
  <c r="E28" i="2"/>
  <c r="E27" i="4"/>
  <c r="E29" i="2"/>
  <c r="E30" i="2"/>
  <c r="E29" i="4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4" i="2"/>
  <c r="K25" i="2"/>
  <c r="K26" i="2"/>
  <c r="K27" i="2"/>
  <c r="K28" i="2"/>
  <c r="K29" i="2"/>
  <c r="K4" i="2"/>
  <c r="R12" i="2"/>
  <c r="R13" i="2"/>
  <c r="R14" i="2"/>
  <c r="R15" i="2"/>
  <c r="R17" i="2"/>
  <c r="R18" i="2"/>
  <c r="R19" i="2"/>
  <c r="R20" i="2"/>
  <c r="R21" i="2"/>
  <c r="R22" i="2"/>
  <c r="R24" i="2"/>
  <c r="R25" i="2"/>
  <c r="R26" i="2"/>
  <c r="R27" i="2"/>
  <c r="R28" i="2"/>
  <c r="R29" i="2"/>
  <c r="R5" i="2"/>
  <c r="R6" i="2"/>
  <c r="R7" i="2"/>
  <c r="R11" i="2"/>
  <c r="R4" i="2"/>
  <c r="A29" i="3"/>
  <c r="T5" i="2"/>
  <c r="T6" i="2"/>
  <c r="T7" i="2"/>
  <c r="T11" i="2"/>
  <c r="T12" i="2"/>
  <c r="T13" i="2"/>
  <c r="T14" i="2"/>
  <c r="T15" i="2"/>
  <c r="T17" i="2"/>
  <c r="T18" i="2"/>
  <c r="T19" i="2"/>
  <c r="T21" i="2"/>
  <c r="T22" i="2"/>
  <c r="T24" i="2"/>
  <c r="T25" i="2"/>
  <c r="T26" i="2"/>
  <c r="T27" i="2"/>
  <c r="T29" i="2"/>
  <c r="T4" i="2"/>
  <c r="S5" i="2"/>
  <c r="S6" i="2"/>
  <c r="S7" i="2"/>
  <c r="S11" i="2"/>
  <c r="S12" i="2"/>
  <c r="S13" i="2"/>
  <c r="S14" i="2"/>
  <c r="S15" i="2"/>
  <c r="S17" i="2"/>
  <c r="S18" i="2"/>
  <c r="S19" i="2"/>
  <c r="S20" i="2"/>
  <c r="S21" i="2"/>
  <c r="S22" i="2"/>
  <c r="S24" i="2"/>
  <c r="S25" i="2"/>
  <c r="S26" i="2"/>
  <c r="S28" i="2"/>
  <c r="S29" i="2"/>
  <c r="J28" i="4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3" i="4"/>
  <c r="A4" i="2"/>
  <c r="H30" i="8"/>
  <c r="D29" i="4"/>
  <c r="V30" i="2"/>
  <c r="F29" i="4"/>
  <c r="I28" i="4"/>
  <c r="C3" i="4"/>
  <c r="C34" i="2"/>
  <c r="M31" i="3"/>
  <c r="K31" i="3"/>
  <c r="I31" i="3"/>
  <c r="G31" i="3"/>
  <c r="E31" i="3"/>
  <c r="C31" i="3"/>
  <c r="L31" i="3"/>
  <c r="J31" i="3"/>
  <c r="H31" i="3"/>
  <c r="F31" i="3"/>
  <c r="D31" i="3"/>
  <c r="J30" i="3"/>
  <c r="M30" i="3"/>
  <c r="K30" i="3"/>
  <c r="I30" i="3"/>
  <c r="G30" i="3"/>
  <c r="E30" i="3"/>
  <c r="C30" i="3"/>
  <c r="F30" i="3"/>
  <c r="L30" i="3"/>
  <c r="D30" i="3"/>
  <c r="H30" i="3"/>
  <c r="M29" i="3"/>
  <c r="K29" i="3"/>
  <c r="I29" i="3"/>
  <c r="G29" i="3"/>
  <c r="E29" i="3"/>
  <c r="C29" i="3"/>
  <c r="L29" i="3"/>
  <c r="J29" i="3"/>
  <c r="H29" i="3"/>
  <c r="F29" i="3"/>
  <c r="D29" i="3"/>
  <c r="V16" i="8"/>
  <c r="T22" i="8"/>
  <c r="V24" i="8"/>
  <c r="D25" i="8"/>
  <c r="V7" i="8"/>
  <c r="T4" i="8"/>
  <c r="E7" i="3"/>
  <c r="D3" i="4"/>
  <c r="D34" i="2"/>
  <c r="P6" i="8"/>
  <c r="D28" i="8"/>
  <c r="D17" i="8"/>
  <c r="D30" i="8"/>
  <c r="P31" i="8"/>
  <c r="D27" i="8"/>
  <c r="F24" i="8"/>
  <c r="V8" i="8"/>
  <c r="F23" i="8"/>
  <c r="J19" i="4"/>
  <c r="D23" i="8"/>
  <c r="D15" i="8"/>
  <c r="N8" i="8"/>
  <c r="P23" i="8"/>
  <c r="X23" i="8"/>
  <c r="P25" i="8"/>
  <c r="P16" i="8"/>
  <c r="H16" i="3"/>
  <c r="P15" i="8"/>
  <c r="N15" i="8"/>
  <c r="T30" i="8"/>
  <c r="X22" i="8"/>
  <c r="D32" i="8"/>
  <c r="D24" i="8"/>
  <c r="D16" i="8"/>
  <c r="D14" i="8"/>
  <c r="D5" i="8"/>
  <c r="X31" i="8"/>
  <c r="X15" i="8"/>
  <c r="V23" i="8"/>
  <c r="F29" i="8"/>
  <c r="D29" i="8"/>
  <c r="D6" i="8"/>
  <c r="F15" i="3"/>
  <c r="D15" i="3"/>
  <c r="J5" i="8"/>
  <c r="R22" i="8"/>
  <c r="L15" i="8"/>
  <c r="V15" i="8"/>
  <c r="T23" i="8"/>
  <c r="I28" i="3"/>
  <c r="F12" i="3"/>
  <c r="D12" i="3"/>
  <c r="X19" i="8"/>
  <c r="V31" i="8"/>
  <c r="D31" i="8"/>
  <c r="H23" i="8"/>
  <c r="V33" i="8"/>
  <c r="D33" i="8"/>
  <c r="P26" i="8"/>
  <c r="D26" i="8"/>
  <c r="R18" i="8"/>
  <c r="L31" i="8"/>
  <c r="D9" i="8"/>
  <c r="D11" i="8"/>
  <c r="D8" i="8"/>
  <c r="D7" i="8"/>
  <c r="C10" i="3"/>
  <c r="X12" i="8"/>
  <c r="D12" i="8"/>
  <c r="H11" i="4"/>
  <c r="R10" i="8"/>
  <c r="D10" i="8"/>
  <c r="I9" i="3"/>
  <c r="T9" i="8"/>
  <c r="T7" i="8"/>
  <c r="X6" i="8"/>
  <c r="L6" i="8"/>
  <c r="R6" i="8"/>
  <c r="T5" i="8"/>
  <c r="X5" i="8"/>
  <c r="F5" i="8"/>
  <c r="G11" i="4"/>
  <c r="P9" i="8"/>
  <c r="V11" i="8"/>
  <c r="N5" i="8"/>
  <c r="H9" i="8"/>
  <c r="T25" i="8"/>
  <c r="T17" i="8"/>
  <c r="H12" i="4"/>
  <c r="D4" i="3"/>
  <c r="H25" i="4"/>
  <c r="C26" i="3"/>
  <c r="C25" i="3"/>
  <c r="C9" i="3"/>
  <c r="I4" i="3"/>
  <c r="C24" i="3"/>
  <c r="C16" i="3"/>
  <c r="C8" i="3"/>
  <c r="C17" i="3"/>
  <c r="C15" i="3"/>
  <c r="L9" i="8"/>
  <c r="N32" i="8"/>
  <c r="N6" i="8"/>
  <c r="P5" i="8"/>
  <c r="R16" i="8"/>
  <c r="H4" i="3"/>
  <c r="J9" i="4"/>
  <c r="L23" i="8"/>
  <c r="N25" i="8"/>
  <c r="L28" i="3"/>
  <c r="X25" i="8"/>
  <c r="N24" i="8"/>
  <c r="J21" i="8"/>
  <c r="G21" i="4"/>
  <c r="E15" i="3"/>
  <c r="J25" i="8"/>
  <c r="R23" i="8"/>
  <c r="G3" i="4"/>
  <c r="I12" i="3"/>
  <c r="L8" i="3"/>
  <c r="I27" i="3"/>
  <c r="F18" i="4"/>
  <c r="F17" i="8"/>
  <c r="N17" i="8"/>
  <c r="F18" i="8"/>
  <c r="L17" i="8"/>
  <c r="G17" i="4"/>
  <c r="H8" i="3"/>
  <c r="F19" i="8"/>
  <c r="J19" i="8"/>
  <c r="C4" i="3"/>
  <c r="L3" i="3"/>
  <c r="G26" i="4"/>
  <c r="G4" i="4"/>
  <c r="G16" i="4"/>
  <c r="D7" i="3"/>
  <c r="F23" i="3"/>
  <c r="L12" i="3"/>
  <c r="L22" i="3"/>
  <c r="E8" i="3"/>
  <c r="H4" i="4"/>
  <c r="J16" i="8"/>
  <c r="G13" i="4"/>
  <c r="H12" i="3"/>
  <c r="K12" i="4"/>
  <c r="I7" i="3"/>
  <c r="E25" i="3"/>
  <c r="G12" i="4"/>
  <c r="G8" i="4"/>
  <c r="E15" i="4"/>
  <c r="D6" i="3"/>
  <c r="H25" i="3"/>
  <c r="H21" i="3"/>
  <c r="L13" i="3"/>
  <c r="D25" i="3"/>
  <c r="H9" i="3"/>
  <c r="I23" i="4"/>
  <c r="I17" i="3"/>
  <c r="X24" i="8"/>
  <c r="J22" i="8"/>
  <c r="F19" i="4"/>
  <c r="L15" i="3"/>
  <c r="F24" i="3"/>
  <c r="E23" i="3"/>
  <c r="C7" i="3"/>
  <c r="F7" i="3"/>
  <c r="H5" i="4"/>
  <c r="L17" i="3"/>
  <c r="R19" i="8"/>
  <c r="L7" i="3"/>
  <c r="H19" i="8"/>
  <c r="I15" i="3"/>
  <c r="L25" i="3"/>
  <c r="I8" i="3"/>
  <c r="H11" i="8"/>
  <c r="J12" i="3"/>
  <c r="I12" i="4"/>
  <c r="G12" i="3"/>
  <c r="E12" i="4"/>
  <c r="K12" i="3"/>
  <c r="H10" i="4"/>
  <c r="Y11" i="8"/>
  <c r="Z11" i="8"/>
  <c r="J11" i="8"/>
  <c r="P10" i="8"/>
  <c r="T10" i="8"/>
  <c r="F10" i="8"/>
  <c r="D9" i="3"/>
  <c r="G9" i="4"/>
  <c r="H7" i="3"/>
  <c r="G9" i="3"/>
  <c r="H8" i="4"/>
  <c r="J10" i="4"/>
  <c r="I5" i="3"/>
  <c r="J5" i="4"/>
  <c r="H3" i="3"/>
  <c r="K3" i="3"/>
  <c r="I15" i="4"/>
  <c r="X18" i="8"/>
  <c r="X10" i="8"/>
  <c r="H17" i="8"/>
  <c r="V22" i="8"/>
  <c r="T12" i="8"/>
  <c r="R25" i="8"/>
  <c r="R9" i="8"/>
  <c r="H5" i="8"/>
  <c r="F6" i="3"/>
  <c r="F5" i="3"/>
  <c r="F11" i="4"/>
  <c r="J12" i="4"/>
  <c r="D22" i="3"/>
  <c r="L11" i="8"/>
  <c r="L21" i="8"/>
  <c r="F16" i="4"/>
  <c r="F4" i="4"/>
  <c r="I25" i="4"/>
  <c r="J16" i="3"/>
  <c r="K3" i="4"/>
  <c r="G5" i="4"/>
  <c r="E19" i="3"/>
  <c r="F13" i="3"/>
  <c r="F3" i="4"/>
  <c r="G16" i="3"/>
  <c r="F13" i="4"/>
  <c r="F6" i="4"/>
  <c r="H15" i="4"/>
  <c r="G7" i="4"/>
  <c r="K4" i="3"/>
  <c r="F17" i="3"/>
  <c r="K9" i="3"/>
  <c r="N9" i="8"/>
  <c r="E12" i="3"/>
  <c r="F16" i="3"/>
  <c r="L21" i="3"/>
  <c r="N11" i="8"/>
  <c r="J6" i="4"/>
  <c r="T29" i="8"/>
  <c r="P11" i="8"/>
  <c r="D10" i="3"/>
  <c r="C23" i="3"/>
  <c r="L16" i="8"/>
  <c r="V32" i="8"/>
  <c r="J18" i="8"/>
  <c r="J10" i="8"/>
  <c r="L25" i="8"/>
  <c r="Y8" i="8"/>
  <c r="Z8" i="8"/>
  <c r="N23" i="8"/>
  <c r="Y13" i="8"/>
  <c r="Z13" i="8"/>
  <c r="Y20" i="8"/>
  <c r="Z20" i="8"/>
  <c r="P12" i="8"/>
  <c r="X17" i="8"/>
  <c r="X9" i="8"/>
  <c r="V21" i="8"/>
  <c r="V5" i="8"/>
  <c r="T19" i="8"/>
  <c r="T11" i="8"/>
  <c r="R32" i="8"/>
  <c r="H22" i="8"/>
  <c r="P21" i="8"/>
  <c r="N16" i="8"/>
  <c r="F16" i="8"/>
  <c r="X7" i="8"/>
  <c r="F25" i="8"/>
  <c r="F9" i="8"/>
  <c r="J17" i="8"/>
  <c r="J9" i="8"/>
  <c r="L32" i="8"/>
  <c r="L24" i="8"/>
  <c r="Y22" i="8"/>
  <c r="Z22" i="8"/>
  <c r="X32" i="8"/>
  <c r="X16" i="8"/>
  <c r="H15" i="8"/>
  <c r="H6" i="8"/>
  <c r="V12" i="8"/>
  <c r="S34" i="8"/>
  <c r="R15" i="8"/>
  <c r="H21" i="8"/>
  <c r="N21" i="8"/>
  <c r="T21" i="8"/>
  <c r="J24" i="8"/>
  <c r="F21" i="8"/>
  <c r="J32" i="8"/>
  <c r="F15" i="8"/>
  <c r="J15" i="8"/>
  <c r="F32" i="8"/>
  <c r="H16" i="8"/>
  <c r="R29" i="8"/>
  <c r="E9" i="3"/>
  <c r="V6" i="2"/>
  <c r="M5" i="3"/>
  <c r="C12" i="4"/>
  <c r="J20" i="3"/>
  <c r="H17" i="4"/>
  <c r="J27" i="4"/>
  <c r="V12" i="2"/>
  <c r="M11" i="3"/>
  <c r="F9" i="3"/>
  <c r="L5" i="3"/>
  <c r="I13" i="4"/>
  <c r="D15" i="4"/>
  <c r="I11" i="3"/>
  <c r="D16" i="3"/>
  <c r="E5" i="4"/>
  <c r="F24" i="4"/>
  <c r="F20" i="4"/>
  <c r="I8" i="4"/>
  <c r="F22" i="4"/>
  <c r="H27" i="4"/>
  <c r="I16" i="4"/>
  <c r="F27" i="3"/>
  <c r="L11" i="3"/>
  <c r="D3" i="3"/>
  <c r="G18" i="3"/>
  <c r="H7" i="4"/>
  <c r="G10" i="3"/>
  <c r="C22" i="3"/>
  <c r="D18" i="3"/>
  <c r="F10" i="3"/>
  <c r="C12" i="3"/>
  <c r="J22" i="3"/>
  <c r="L18" i="3"/>
  <c r="F8" i="3"/>
  <c r="G7" i="3"/>
  <c r="G14" i="3"/>
  <c r="E18" i="3"/>
  <c r="J7" i="3"/>
  <c r="Y31" i="8"/>
  <c r="Z31" i="8"/>
  <c r="X30" i="8"/>
  <c r="N31" i="8"/>
  <c r="J30" i="8"/>
  <c r="R31" i="8"/>
  <c r="R30" i="8"/>
  <c r="F31" i="8"/>
  <c r="J31" i="8"/>
  <c r="P30" i="8"/>
  <c r="G23" i="4"/>
  <c r="G28" i="4"/>
  <c r="H28" i="4"/>
  <c r="N29" i="8"/>
  <c r="Y30" i="8"/>
  <c r="Z30" i="8"/>
  <c r="U34" i="8"/>
  <c r="P29" i="8"/>
  <c r="V30" i="8"/>
  <c r="V29" i="8"/>
  <c r="H29" i="8"/>
  <c r="L30" i="8"/>
  <c r="D27" i="3"/>
  <c r="N12" i="8"/>
  <c r="D17" i="3"/>
  <c r="V17" i="2"/>
  <c r="M16" i="3"/>
  <c r="N30" i="8"/>
  <c r="V10" i="8"/>
  <c r="G4" i="3"/>
  <c r="H23" i="3"/>
  <c r="E27" i="3"/>
  <c r="C27" i="3"/>
  <c r="L19" i="8"/>
  <c r="K17" i="4"/>
  <c r="Y15" i="8"/>
  <c r="Z15" i="8"/>
  <c r="F22" i="3"/>
  <c r="R11" i="8"/>
  <c r="E17" i="3"/>
  <c r="K27" i="3"/>
  <c r="I25" i="3"/>
  <c r="V5" i="2"/>
  <c r="M4" i="3"/>
  <c r="V6" i="8"/>
  <c r="L19" i="3"/>
  <c r="I20" i="4"/>
  <c r="H10" i="8"/>
  <c r="Y6" i="8"/>
  <c r="Z6" i="8"/>
  <c r="L27" i="3"/>
  <c r="H19" i="3"/>
  <c r="N22" i="8"/>
  <c r="F10" i="4"/>
  <c r="L26" i="3"/>
  <c r="E16" i="3"/>
  <c r="J4" i="4"/>
  <c r="H18" i="8"/>
  <c r="R12" i="8"/>
  <c r="J16" i="4"/>
  <c r="J27" i="3"/>
  <c r="R24" i="8"/>
  <c r="C18" i="3"/>
  <c r="X14" i="8"/>
  <c r="T32" i="8"/>
  <c r="T16" i="8"/>
  <c r="R5" i="8"/>
  <c r="J12" i="8"/>
  <c r="F9" i="4"/>
  <c r="C10" i="4"/>
  <c r="E11" i="3"/>
  <c r="H26" i="3"/>
  <c r="F11" i="3"/>
  <c r="K18" i="4"/>
  <c r="L16" i="3"/>
  <c r="D23" i="3"/>
  <c r="V19" i="8"/>
  <c r="G3" i="3"/>
  <c r="L4" i="3"/>
  <c r="D26" i="3"/>
  <c r="P18" i="8"/>
  <c r="E3" i="3"/>
  <c r="J14" i="4"/>
  <c r="J11" i="4"/>
  <c r="F3" i="3"/>
  <c r="H6" i="4"/>
  <c r="F30" i="8"/>
  <c r="J14" i="8"/>
  <c r="L29" i="8"/>
  <c r="Y9" i="8"/>
  <c r="Z9" i="8"/>
  <c r="J15" i="3"/>
  <c r="V9" i="8"/>
  <c r="T31" i="8"/>
  <c r="T15" i="8"/>
  <c r="V10" i="2"/>
  <c r="M9" i="3"/>
  <c r="G26" i="3"/>
  <c r="F11" i="8"/>
  <c r="P19" i="8"/>
  <c r="J25" i="3"/>
  <c r="X11" i="8"/>
  <c r="E22" i="3"/>
  <c r="F19" i="3"/>
  <c r="C11" i="3"/>
  <c r="G22" i="3"/>
  <c r="I10" i="3"/>
  <c r="F12" i="8"/>
  <c r="K10" i="3"/>
  <c r="H9" i="4"/>
  <c r="J29" i="8"/>
  <c r="L28" i="8"/>
  <c r="G19" i="3"/>
  <c r="K26" i="3"/>
  <c r="H10" i="3"/>
  <c r="C19" i="3"/>
  <c r="H11" i="3"/>
  <c r="H27" i="3"/>
  <c r="J8" i="3"/>
  <c r="F26" i="3"/>
  <c r="L10" i="8"/>
  <c r="F4" i="3"/>
  <c r="D24" i="3"/>
  <c r="I7" i="4"/>
  <c r="E26" i="3"/>
  <c r="E10" i="3"/>
  <c r="F14" i="4"/>
  <c r="G11" i="3"/>
  <c r="G10" i="4"/>
  <c r="L9" i="3"/>
  <c r="Y29" i="8"/>
  <c r="Z29" i="8"/>
  <c r="V28" i="8"/>
  <c r="X29" i="8"/>
  <c r="J28" i="8"/>
  <c r="H28" i="8"/>
  <c r="F28" i="8"/>
  <c r="P28" i="8"/>
  <c r="T28" i="8"/>
  <c r="X28" i="8"/>
  <c r="R28" i="8"/>
  <c r="G27" i="4"/>
  <c r="V28" i="2"/>
  <c r="M27" i="3"/>
  <c r="I27" i="4"/>
  <c r="F26" i="4"/>
  <c r="V29" i="2"/>
  <c r="M28" i="3"/>
  <c r="F27" i="4"/>
  <c r="I26" i="3"/>
  <c r="J26" i="4"/>
  <c r="J25" i="4"/>
  <c r="F25" i="3"/>
  <c r="H26" i="4"/>
  <c r="V27" i="2"/>
  <c r="M26" i="3"/>
  <c r="Y26" i="8"/>
  <c r="Z26" i="8"/>
  <c r="Y25" i="8"/>
  <c r="Z25" i="8"/>
  <c r="H25" i="8"/>
  <c r="V25" i="8"/>
  <c r="G25" i="4"/>
  <c r="U34" i="2"/>
  <c r="L23" i="3"/>
  <c r="L24" i="3"/>
  <c r="F23" i="4"/>
  <c r="G24" i="3"/>
  <c r="G23" i="3"/>
  <c r="I24" i="3"/>
  <c r="K25" i="3"/>
  <c r="J24" i="4"/>
  <c r="T24" i="8"/>
  <c r="H24" i="8"/>
  <c r="O34" i="2"/>
  <c r="I22" i="3"/>
  <c r="J23" i="3"/>
  <c r="V24" i="2"/>
  <c r="M23" i="3"/>
  <c r="H23" i="4"/>
  <c r="H22" i="4"/>
  <c r="Y23" i="8"/>
  <c r="Z23" i="8"/>
  <c r="J23" i="8"/>
  <c r="L22" i="8"/>
  <c r="F22" i="8"/>
  <c r="I22" i="4"/>
  <c r="D20" i="3"/>
  <c r="J21" i="3"/>
  <c r="F21" i="4"/>
  <c r="G21" i="3"/>
  <c r="I20" i="3"/>
  <c r="N34" i="2"/>
  <c r="V22" i="2"/>
  <c r="M21" i="3"/>
  <c r="H20" i="4"/>
  <c r="Y21" i="8"/>
  <c r="Z21" i="8"/>
  <c r="R21" i="8"/>
  <c r="X21" i="8"/>
  <c r="K34" i="8"/>
  <c r="H18" i="4"/>
  <c r="I19" i="3"/>
  <c r="D18" i="4"/>
  <c r="J18" i="4"/>
  <c r="K18" i="3"/>
  <c r="H19" i="4"/>
  <c r="I18" i="3"/>
  <c r="C17" i="4"/>
  <c r="H17" i="3"/>
  <c r="R34" i="2"/>
  <c r="K34" i="2"/>
  <c r="V18" i="2"/>
  <c r="M17" i="3"/>
  <c r="J17" i="4"/>
  <c r="K16" i="3"/>
  <c r="K17" i="3"/>
  <c r="Y16" i="8"/>
  <c r="Z16" i="8"/>
  <c r="L18" i="8"/>
  <c r="T18" i="8"/>
  <c r="Q34" i="8"/>
  <c r="Y17" i="8"/>
  <c r="Z17" i="8"/>
  <c r="R17" i="8"/>
  <c r="P17" i="8"/>
  <c r="V18" i="8"/>
  <c r="V17" i="8"/>
  <c r="E18" i="4"/>
  <c r="F18" i="3"/>
  <c r="L4" i="8"/>
  <c r="P4" i="8"/>
  <c r="C34" i="8"/>
  <c r="J4" i="8"/>
  <c r="D4" i="8"/>
  <c r="V4" i="8"/>
  <c r="R4" i="8"/>
  <c r="V20" i="8"/>
  <c r="L20" i="8"/>
  <c r="T20" i="8"/>
  <c r="J20" i="8"/>
  <c r="F20" i="8"/>
  <c r="V14" i="2"/>
  <c r="M13" i="3"/>
  <c r="P20" i="8"/>
  <c r="G22" i="4"/>
  <c r="H22" i="3"/>
  <c r="J26" i="8"/>
  <c r="X26" i="8"/>
  <c r="L26" i="8"/>
  <c r="T26" i="8"/>
  <c r="R26" i="8"/>
  <c r="X4" i="8"/>
  <c r="D24" i="4"/>
  <c r="E24" i="3"/>
  <c r="V25" i="2"/>
  <c r="M24" i="3"/>
  <c r="L34" i="2"/>
  <c r="N26" i="8"/>
  <c r="L10" i="3"/>
  <c r="K10" i="4"/>
  <c r="G6" i="3"/>
  <c r="K6" i="3"/>
  <c r="E6" i="3"/>
  <c r="D4" i="4"/>
  <c r="E4" i="3"/>
  <c r="F8" i="4"/>
  <c r="G8" i="3"/>
  <c r="V11" i="2"/>
  <c r="M10" i="3"/>
  <c r="H3" i="4"/>
  <c r="G27" i="3"/>
  <c r="E23" i="4"/>
  <c r="N33" i="8"/>
  <c r="E14" i="3"/>
  <c r="K14" i="3"/>
  <c r="H26" i="8"/>
  <c r="I3" i="3"/>
  <c r="K20" i="4"/>
  <c r="L20" i="3"/>
  <c r="L14" i="3"/>
  <c r="C21" i="3"/>
  <c r="D21" i="3"/>
  <c r="E21" i="3"/>
  <c r="F21" i="3"/>
  <c r="D13" i="3"/>
  <c r="C13" i="3"/>
  <c r="G13" i="3"/>
  <c r="H13" i="3"/>
  <c r="D5" i="3"/>
  <c r="E5" i="3"/>
  <c r="C5" i="3"/>
  <c r="K5" i="3"/>
  <c r="H5" i="3"/>
  <c r="B33" i="4"/>
  <c r="V21" i="2"/>
  <c r="M20" i="3"/>
  <c r="S34" i="2"/>
  <c r="K7" i="3"/>
  <c r="J7" i="4"/>
  <c r="D8" i="3"/>
  <c r="V9" i="2"/>
  <c r="M8" i="3"/>
  <c r="F7" i="4"/>
  <c r="V8" i="2"/>
  <c r="M7" i="3"/>
  <c r="L8" i="8"/>
  <c r="J8" i="8"/>
  <c r="R8" i="8"/>
  <c r="X8" i="8"/>
  <c r="H8" i="8"/>
  <c r="F8" i="8"/>
  <c r="F7" i="8"/>
  <c r="Y7" i="8"/>
  <c r="Z7" i="8"/>
  <c r="J7" i="8"/>
  <c r="L5" i="8"/>
  <c r="Y5" i="8"/>
  <c r="Z5" i="8"/>
  <c r="N28" i="8"/>
  <c r="Y28" i="8"/>
  <c r="Z28" i="8"/>
  <c r="Y18" i="8"/>
  <c r="Z18" i="8"/>
  <c r="N18" i="8"/>
  <c r="Y10" i="8"/>
  <c r="Z10" i="8"/>
  <c r="N10" i="8"/>
  <c r="K15" i="3"/>
  <c r="J15" i="4"/>
  <c r="I24" i="4"/>
  <c r="J24" i="3"/>
  <c r="W34" i="8"/>
  <c r="H27" i="8"/>
  <c r="V26" i="8"/>
  <c r="T8" i="8"/>
  <c r="N20" i="8"/>
  <c r="C19" i="4"/>
  <c r="D19" i="3"/>
  <c r="L27" i="8"/>
  <c r="P27" i="8"/>
  <c r="V27" i="8"/>
  <c r="F27" i="8"/>
  <c r="T27" i="8"/>
  <c r="J27" i="8"/>
  <c r="X27" i="8"/>
  <c r="R27" i="8"/>
  <c r="V19" i="2"/>
  <c r="M18" i="3"/>
  <c r="H4" i="8"/>
  <c r="P33" i="8"/>
  <c r="R33" i="8"/>
  <c r="F33" i="8"/>
  <c r="T33" i="8"/>
  <c r="L33" i="8"/>
  <c r="I34" i="2"/>
  <c r="J33" i="8"/>
  <c r="F28" i="3"/>
  <c r="E28" i="4"/>
  <c r="D14" i="3"/>
  <c r="F14" i="3"/>
  <c r="J8" i="4"/>
  <c r="K8" i="3"/>
  <c r="V23" i="2"/>
  <c r="M22" i="3"/>
  <c r="J6" i="3"/>
  <c r="E3" i="4"/>
  <c r="K11" i="3"/>
  <c r="F4" i="8"/>
  <c r="G28" i="3"/>
  <c r="F28" i="4"/>
  <c r="F15" i="4"/>
  <c r="G15" i="3"/>
  <c r="V13" i="2"/>
  <c r="M12" i="3"/>
  <c r="F12" i="4"/>
  <c r="F34" i="2"/>
  <c r="H34" i="2"/>
  <c r="J10" i="3"/>
  <c r="I10" i="4"/>
  <c r="K25" i="4"/>
  <c r="K28" i="3"/>
  <c r="C28" i="3"/>
  <c r="D28" i="3"/>
  <c r="G20" i="3"/>
  <c r="F20" i="3"/>
  <c r="H20" i="3"/>
  <c r="C20" i="3"/>
  <c r="E20" i="3"/>
  <c r="E28" i="3"/>
  <c r="D28" i="4"/>
  <c r="N7" i="8"/>
  <c r="R7" i="8"/>
  <c r="H7" i="8"/>
  <c r="L7" i="8"/>
  <c r="P7" i="8"/>
  <c r="Y14" i="8"/>
  <c r="Z14" i="8"/>
  <c r="F14" i="8"/>
  <c r="F6" i="8"/>
  <c r="E34" i="8"/>
  <c r="J6" i="8"/>
  <c r="I34" i="8"/>
  <c r="L12" i="8"/>
  <c r="Y12" i="8"/>
  <c r="Z12" i="8"/>
  <c r="Y4" i="8"/>
  <c r="M34" i="8"/>
  <c r="N4" i="8"/>
  <c r="N27" i="8"/>
  <c r="Y27" i="8"/>
  <c r="Z27" i="8"/>
  <c r="Y32" i="8"/>
  <c r="Z32" i="8"/>
  <c r="P32" i="8"/>
  <c r="P24" i="8"/>
  <c r="Y24" i="8"/>
  <c r="Z24" i="8"/>
  <c r="O34" i="8"/>
  <c r="P8" i="8"/>
  <c r="Y33" i="8"/>
  <c r="Z33" i="8"/>
  <c r="G34" i="8"/>
  <c r="H12" i="8"/>
  <c r="R20" i="8"/>
  <c r="J13" i="3"/>
  <c r="P34" i="2"/>
  <c r="J5" i="3"/>
  <c r="I5" i="4"/>
  <c r="N19" i="8"/>
  <c r="Y19" i="8"/>
  <c r="Z19" i="8"/>
  <c r="E34" i="2"/>
  <c r="V16" i="2"/>
  <c r="M15" i="3"/>
  <c r="C15" i="4"/>
  <c r="I16" i="3"/>
  <c r="H16" i="4"/>
  <c r="H20" i="8"/>
  <c r="I23" i="3"/>
  <c r="H14" i="4"/>
  <c r="I14" i="3"/>
  <c r="G25" i="3"/>
  <c r="F25" i="4"/>
  <c r="G17" i="3"/>
  <c r="F17" i="4"/>
  <c r="G34" i="2"/>
  <c r="G5" i="3"/>
  <c r="J28" i="3"/>
  <c r="I19" i="4"/>
  <c r="J19" i="3"/>
  <c r="I6" i="4"/>
  <c r="M34" i="2"/>
  <c r="G15" i="4"/>
  <c r="H15" i="3"/>
  <c r="J17" i="3"/>
  <c r="I17" i="4"/>
  <c r="I11" i="4"/>
  <c r="J11" i="3"/>
  <c r="I4" i="4"/>
  <c r="J4" i="3"/>
  <c r="I9" i="4"/>
  <c r="J9" i="3"/>
  <c r="L6" i="3"/>
  <c r="P14" i="8"/>
  <c r="L14" i="8"/>
  <c r="H14" i="8"/>
  <c r="N14" i="8"/>
  <c r="V14" i="8"/>
  <c r="R14" i="8"/>
  <c r="J22" i="4"/>
  <c r="K22" i="3"/>
  <c r="T34" i="2"/>
  <c r="J3" i="4"/>
  <c r="K21" i="3"/>
  <c r="J21" i="4"/>
  <c r="V20" i="2"/>
  <c r="M19" i="3"/>
  <c r="V26" i="2"/>
  <c r="M25" i="3"/>
  <c r="F5" i="4"/>
  <c r="H24" i="4"/>
  <c r="X33" i="8"/>
  <c r="F26" i="8"/>
  <c r="E13" i="3"/>
  <c r="I6" i="3"/>
  <c r="K24" i="3"/>
  <c r="K23" i="3"/>
  <c r="J23" i="4"/>
  <c r="J13" i="4"/>
  <c r="K13" i="3"/>
  <c r="K20" i="3"/>
  <c r="J20" i="4"/>
  <c r="J18" i="3"/>
  <c r="I18" i="4"/>
  <c r="I21" i="3"/>
  <c r="H21" i="4"/>
  <c r="H13" i="4"/>
  <c r="I13" i="3"/>
  <c r="E13" i="4"/>
  <c r="C11" i="4"/>
  <c r="D11" i="3"/>
  <c r="H28" i="3"/>
  <c r="H24" i="3"/>
  <c r="G24" i="4"/>
  <c r="H18" i="3"/>
  <c r="G18" i="4"/>
  <c r="H14" i="3"/>
  <c r="G14" i="4"/>
  <c r="J34" i="2"/>
  <c r="G6" i="4"/>
  <c r="H6" i="3"/>
  <c r="I26" i="4"/>
  <c r="J26" i="3"/>
  <c r="I21" i="4"/>
  <c r="J14" i="3"/>
  <c r="I14" i="4"/>
  <c r="Q34" i="2"/>
  <c r="J3" i="3"/>
  <c r="I3" i="4"/>
  <c r="X20" i="8"/>
  <c r="C14" i="3"/>
  <c r="K19" i="3"/>
  <c r="V7" i="2"/>
  <c r="V15" i="2"/>
  <c r="M14" i="3"/>
  <c r="C6" i="3"/>
  <c r="L16" i="4"/>
  <c r="L32" i="4"/>
  <c r="L13" i="4"/>
  <c r="L12" i="4"/>
  <c r="L15" i="4"/>
  <c r="L33" i="3"/>
  <c r="L30" i="4"/>
  <c r="L31" i="4"/>
  <c r="L8" i="4"/>
  <c r="L29" i="4"/>
  <c r="L14" i="4"/>
  <c r="L22" i="4"/>
  <c r="L9" i="4"/>
  <c r="L10" i="4"/>
  <c r="L25" i="4"/>
  <c r="L27" i="4"/>
  <c r="F33" i="3"/>
  <c r="L28" i="4"/>
  <c r="L26" i="4"/>
  <c r="L23" i="4"/>
  <c r="E33" i="3"/>
  <c r="C33" i="4"/>
  <c r="C35" i="4"/>
  <c r="L20" i="4"/>
  <c r="J33" i="4"/>
  <c r="J35" i="4"/>
  <c r="K33" i="3"/>
  <c r="L18" i="4"/>
  <c r="G33" i="4"/>
  <c r="G35" i="4"/>
  <c r="H33" i="3"/>
  <c r="L17" i="4"/>
  <c r="R34" i="8"/>
  <c r="N34" i="8"/>
  <c r="X34" i="8"/>
  <c r="P34" i="8"/>
  <c r="Y34" i="8"/>
  <c r="Z34" i="8"/>
  <c r="Z4" i="8"/>
  <c r="L4" i="4"/>
  <c r="D33" i="4"/>
  <c r="D35" i="4"/>
  <c r="H33" i="4"/>
  <c r="H35" i="4"/>
  <c r="L7" i="4"/>
  <c r="D33" i="3"/>
  <c r="I33" i="3"/>
  <c r="L19" i="4"/>
  <c r="L24" i="4"/>
  <c r="L5" i="4"/>
  <c r="F33" i="4"/>
  <c r="F35" i="4"/>
  <c r="J34" i="8"/>
  <c r="I33" i="4"/>
  <c r="I35" i="4"/>
  <c r="K33" i="4"/>
  <c r="K35" i="4"/>
  <c r="T34" i="8"/>
  <c r="D34" i="8"/>
  <c r="V34" i="8"/>
  <c r="L34" i="8"/>
  <c r="L11" i="4"/>
  <c r="L3" i="4"/>
  <c r="E33" i="4"/>
  <c r="E35" i="4"/>
  <c r="G33" i="3"/>
  <c r="H34" i="8"/>
  <c r="J33" i="3"/>
  <c r="L21" i="4"/>
  <c r="F34" i="8"/>
  <c r="L6" i="4"/>
  <c r="M6" i="3"/>
  <c r="L33" i="4"/>
  <c r="L35" i="4"/>
  <c r="M35" i="4"/>
  <c r="M33" i="4"/>
  <c r="C3" i="3"/>
  <c r="C33" i="3"/>
  <c r="B34" i="2"/>
  <c r="V4" i="2"/>
  <c r="V34" i="2"/>
  <c r="M3" i="3"/>
  <c r="M33" i="3"/>
  <c r="N33" i="3"/>
</calcChain>
</file>

<file path=xl/sharedStrings.xml><?xml version="1.0" encoding="utf-8"?>
<sst xmlns="http://schemas.openxmlformats.org/spreadsheetml/2006/main" count="235" uniqueCount="143">
  <si>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</si>
  <si>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</si>
  <si>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</si>
  <si>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</si>
  <si>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</si>
  <si>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</si>
  <si>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</si>
  <si>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</si>
  <si>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</si>
  <si>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</si>
  <si>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</si>
  <si>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</si>
  <si>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</si>
  <si>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</si>
  <si>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</si>
  <si>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</si>
  <si>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</si>
  <si>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</si>
  <si>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</si>
  <si>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</si>
  <si>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</si>
  <si>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</si>
  <si>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</si>
  <si>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</si>
  <si>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</si>
  <si>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</si>
  <si>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</si>
  <si>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</si>
  <si>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</si>
  <si>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</si>
  <si>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</si>
  <si>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</si>
  <si>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</si>
  <si>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</si>
  <si>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</si>
  <si>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</si>
  <si>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</si>
  <si>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</si>
  <si>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</si>
  <si>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</si>
  <si>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</si>
  <si>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</si>
  <si>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</si>
  <si>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</si>
  <si>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</si>
  <si>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</si>
  <si>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</si>
  <si>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</si>
  <si>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</si>
  <si>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</si>
  <si>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</si>
  <si>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</si>
  <si>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</si>
  <si>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</si>
  <si>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</si>
  <si>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</si>
  <si>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</si>
  <si>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</si>
  <si>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</si>
  <si>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</si>
  <si>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</si>
  <si>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</si>
  <si>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</si>
  <si>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</si>
  <si>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</si>
  <si>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</si>
  <si>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</si>
  <si>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</si>
  <si>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</si>
  <si>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</si>
  <si>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</si>
  <si>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</si>
  <si>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</si>
  <si>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</si>
  <si>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</si>
  <si>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</si>
  <si>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</si>
  <si>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</si>
  <si>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</si>
  <si>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</si>
  <si>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</si>
  <si>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</si>
  <si>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</si>
  <si>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</si>
  <si>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</si>
  <si>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</si>
  <si>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</si>
  <si>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</si>
  <si>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</si>
  <si>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</si>
  <si>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</si>
  <si>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</si>
  <si>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</si>
  <si>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</si>
  <si>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</si>
  <si>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</si>
  <si>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</si>
  <si>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</si>
  <si>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</si>
  <si>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</si>
  <si>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</si>
  <si>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</si>
  <si>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</si>
  <si>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</si>
  <si>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</si>
  <si>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</si>
  <si>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</si>
  <si>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</si>
  <si>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</si>
  <si>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</si>
  <si>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</si>
  <si>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</si>
  <si>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</si>
  <si>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</si>
  <si>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</si>
  <si>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</si>
  <si>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</si>
  <si>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</si>
  <si>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</si>
  <si>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</si>
  <si>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</si>
  <si>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</si>
  <si>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</si>
  <si>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</si>
  <si>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</si>
  <si>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</si>
  <si>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</si>
  <si>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</si>
  <si>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</si>
  <si>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</si>
  <si>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</si>
  <si>
    <t>Purchased Electricity Kwh</t>
  </si>
  <si>
    <t>Purchased Electricity Tariff ($/Kwh)</t>
  </si>
  <si>
    <t xml:space="preserve">Electricity Total Budgeted </t>
  </si>
  <si>
    <t xml:space="preserve">Electricity Total Budgeted Cost ($) </t>
  </si>
  <si>
    <t>Fuel Oil Hot-Water Boilers (Liter) Liter</t>
  </si>
  <si>
    <t>Fuel Oil Hot-Water Boilers (Liter) $/Liter</t>
  </si>
  <si>
    <t>LPG Kitchen (Kg)</t>
  </si>
  <si>
    <t>LPG Kitchen $/Kg</t>
  </si>
  <si>
    <t xml:space="preserve">LPG Total Budgeted </t>
  </si>
  <si>
    <t xml:space="preserve">LPG Total Budgeted Cost ($) </t>
  </si>
  <si>
    <t>Water Total Budgeted</t>
  </si>
  <si>
    <t>Water Total Budgeted Cost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</si>
</sst>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  <numFmt numFmtId="169" formatCode="0.0000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8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1" xfId="0" applyBorder="1"/>
    <xf numFmtId="168" fontId="4" fillId="0" borderId="5" xfId="1" applyNumberFormat="1" applyFont="1" applyBorder="1" applyAlignment="1">
      <alignment horizontal="center"/>
    </xf>
    <xf numFmtId="169" fontId="4" fillId="0" borderId="6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15" fillId="5" borderId="9" xfId="0" applyFont="1" applyFill="1" applyBorder="1"/>
    <xf numFmtId="0" fontId="0" fillId="5" borderId="1" xfId="0" applyFill="1" applyBorder="1" applyAlignment="1">
      <alignment horizontal="center"/>
    </xf>
    <xf numFmtId="1" fontId="0" fillId="5" borderId="13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15" fillId="5" borderId="1" xfId="0" applyFont="1" applyFill="1" applyBorder="1" applyAlignment="1">
      <alignment horizontal="center" vertical="center"/>
    </xf>
    <xf numFmtId="0" fontId="15" fillId="5" borderId="3" xfId="0" applyFont="1" applyFill="1" applyBorder="1"/>
    <xf numFmtId="0" fontId="6" fillId="12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13" xfId="0" applyFill="1" applyBorder="1" applyAlignment="1">
      <alignment horizontal="center"/>
    </xf>
    <xf numFmtId="10" fontId="0" fillId="5" borderId="16" xfId="0" applyNumberFormat="1" applyFill="1" applyBorder="1"/>
    <xf numFmtId="1" fontId="1" fillId="4" borderId="1" xfId="0" applyNumberFormat="1" applyFont="1" applyFill="1" applyBorder="1" applyAlignment="1">
      <alignment horizontal="center"/>
    </xf>
    <xf numFmtId="16" fontId="0" fillId="5" borderId="1" xfId="0" applyNumberForma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9" fontId="0" fillId="5" borderId="16" xfId="0" applyNumberFormat="1" applyFill="1" applyBorder="1" applyAlignment="1">
      <alignment horizontal="center"/>
    </xf>
    <xf numFmtId="10" fontId="0" fillId="5" borderId="16" xfId="0" applyNumberFormat="1" applyFill="1" applyBorder="1" applyAlignment="1">
      <alignment horizontal="center"/>
    </xf>
    <xf numFmtId="10" fontId="0" fillId="5" borderId="13" xfId="0" applyNumberFormat="1" applyFill="1" applyBorder="1" applyAlignment="1">
      <alignment horizontal="center"/>
    </xf>
    <xf numFmtId="9" fontId="0" fillId="5" borderId="13" xfId="3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" fontId="17" fillId="0" borderId="0" xfId="0" applyNumberFormat="1" applyFont="1" applyAlignment="1">
      <alignment horizontal="center"/>
    </xf>
    <xf numFmtId="169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7" fillId="0" borderId="0" xfId="0" applyFont="1" applyAlignment="1">
      <alignment horizontal="center"/>
    </xf>
    <xf numFmtId="1" fontId="1" fillId="5" borderId="1" xfId="0" applyNumberFormat="1" applyFont="1" applyFill="1" applyBorder="1" applyAlignment="1">
      <alignment horizontal="center"/>
    </xf>
    <xf numFmtId="0" fontId="0" fillId="5" borderId="1" xfId="0" applyFill="1" applyBorder="1"/>
    <xf numFmtId="0" fontId="15" fillId="5" borderId="1" xfId="0" applyFont="1" applyFill="1" applyBorder="1"/>
    <xf numFmtId="169" fontId="15" fillId="0" borderId="9" xfId="0" applyNumberFormat="1" applyFont="1" applyBorder="1"/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'!$C$33:$F$33</c:f>
              <c:numCache>
                <c:formatCode>_(* #,##0.00_);_(* \(#,##0.00\);_(* "-"??_);_(@_)</c:formatCode>
                <c:ptCount val="4"/>
                <c:pt idx="0">
                  <c:v>-654940</c:v>
                </c:pt>
                <c:pt idx="1">
                  <c:v>-3652400</c:v>
                </c:pt>
                <c:pt idx="2">
                  <c:v>-352080</c:v>
                </c:pt>
                <c:pt idx="3">
                  <c:v>-1387120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3.4569626310523342E-2"/>
                  <c:y val="0.1031201387032887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-5.1781615695828155E-2"/>
                  <c:y val="0.256466766719434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4"/>
              <c:layout>
                <c:manualLayout>
                  <c:x val="-0.39358750598164177"/>
                  <c:y val="7.27844136976350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29-4DBA-90F2-B5BF2E906F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0.3173134380301908"/>
                  <c:y val="0.100609773647745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3.9375647104885371E-2"/>
                  <c:y val="0.479293874166512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0"/>
              <c:layout>
                <c:manualLayout>
                  <c:x val="0.31276617218427794"/>
                  <c:y val="0.2651255799291407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29-4DBA-90F2-B5BF2E906FD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2"/>
              <c:layout>
                <c:manualLayout>
                  <c:x val="-0.38640501152825513"/>
                  <c:y val="0.3189290242113991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29-4DBA-90F2-B5BF2E906FD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4"/>
              <c:layout>
                <c:manualLayout>
                  <c:x val="-0.35574211510853959"/>
                  <c:y val="0.6139681887022607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29-4DBA-90F2-B5BF2E906FD6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6"/>
              <c:layout>
                <c:manualLayout>
                  <c:x val="0.31000374124505153"/>
                  <c:y val="0.51577832144350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29-4DBA-90F2-B5BF2E906FD6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1428807586896941"/>
                  <c:y val="0.649964159179841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consumption'!$E$34:$X$34</c:f>
              <c:numCache>
                <c:formatCode>0.00%</c:formatCode>
                <c:ptCount val="20"/>
                <c:pt idx="0" formatCode="0.00">
                  <c:v>-62092</c:v>
                </c:pt>
                <c:pt idx="1">
                  <c:v>1.2999748764760071</c:v>
                </c:pt>
                <c:pt idx="2" formatCode="_(* #,##0.00_);_(* \(#,##0.00\);_(* &quot;-&quot;??_);_(@_)">
                  <c:v>-289122</c:v>
                </c:pt>
                <c:pt idx="3">
                  <c:v>6.0531362532451221</c:v>
                </c:pt>
                <c:pt idx="4" formatCode="0.00">
                  <c:v>-32379</c:v>
                </c:pt>
                <c:pt idx="5">
                  <c:v>0.67789548614018924</c:v>
                </c:pt>
                <c:pt idx="6" formatCode="0.00">
                  <c:v>-46938</c:v>
                </c:pt>
                <c:pt idx="7">
                  <c:v>0.98270664098484217</c:v>
                </c:pt>
                <c:pt idx="8" formatCode="0.00">
                  <c:v>-748</c:v>
                </c:pt>
                <c:pt idx="9">
                  <c:v>1.5660329955615108E-2</c:v>
                </c:pt>
                <c:pt idx="10" formatCode="0.00">
                  <c:v>-2139</c:v>
                </c:pt>
                <c:pt idx="11">
                  <c:v>4.478268151746085E-2</c:v>
                </c:pt>
                <c:pt idx="12" formatCode="0.00">
                  <c:v>-67301</c:v>
                </c:pt>
                <c:pt idx="13">
                  <c:v>1.4090319068754711</c:v>
                </c:pt>
                <c:pt idx="14" formatCode="_(* #,##0.00_);_(* \(#,##0.00\);_(* &quot;-&quot;??_);_(@_)">
                  <c:v>-281395</c:v>
                </c:pt>
                <c:pt idx="15">
                  <c:v>5.8913616950004188</c:v>
                </c:pt>
                <c:pt idx="16" formatCode="0.00">
                  <c:v>-123110</c:v>
                </c:pt>
                <c:pt idx="17">
                  <c:v>2.5774641989783098</c:v>
                </c:pt>
                <c:pt idx="18" formatCode="0.00">
                  <c:v>-23697</c:v>
                </c:pt>
                <c:pt idx="19">
                  <c:v>0.49612679005108451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consumption'!$B$34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consumption'!$C$34</c:f>
              <c:numCache>
                <c:formatCode>_(* #,##0.00_);_(* \(#,##0.00\);_(* "-"??_);_(@_)</c:formatCode>
                <c:ptCount val="1"/>
                <c:pt idx="0">
                  <c:v>-47764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consumption'!$Y$34</c:f>
              <c:numCache>
                <c:formatCode>_(* #,##0.00_);_(* \(#,##0.00\);_(* "-"??_);_(@_)</c:formatCode>
                <c:ptCount val="1"/>
                <c:pt idx="0">
                  <c:v>-928921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38</xdr:row>
      <xdr:rowOff>33337</xdr:rowOff>
    </xdr:from>
    <xdr:to>
      <xdr:col>9</xdr:col>
      <xdr:colOff>904875</xdr:colOff>
      <xdr:row>54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232833</xdr:colOff>
      <xdr:row>38</xdr:row>
      <xdr:rowOff>74084</xdr:rowOff>
    </xdr:from>
    <xdr:to>
      <xdr:col>17</xdr:col>
      <xdr:colOff>603250</xdr:colOff>
      <xdr:row>57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39</xdr:row>
      <xdr:rowOff>17992</xdr:rowOff>
    </xdr:from>
    <xdr:to>
      <xdr:col>5</xdr:col>
      <xdr:colOff>369358</xdr:colOff>
      <xdr:row>53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zoomScale="85" zoomScaleNormal="85" workbookViewId="0">
      <selection activeCell="M28" sqref="M28"/>
    </sheetView>
  </sheetViews>
  <sheetFormatPr defaultRowHeight="12.75" x14ac:dyDescent="0.2"/>
  <cols>
    <col min="1" max="1" width="23" style="41" bestFit="1" customWidth="1"/>
    <col min="2" max="4" width="9.140625" style="41"/>
    <col min="5" max="5" width="12.7109375" style="41" customWidth="1"/>
    <col min="6" max="6" width="12.140625" style="41" customWidth="1"/>
    <col min="7" max="7" width="10.28515625" style="41" customWidth="1"/>
    <col min="8" max="8" width="10.42578125" style="41" customWidth="1"/>
    <col min="9" max="9" width="10.85546875" style="41" customWidth="1"/>
    <col min="10" max="11" width="9.85546875" style="41" customWidth="1"/>
    <col min="12" max="12" width="9.5703125" style="41" customWidth="1"/>
    <col min="13" max="15" width="10.28515625" style="41" bestFit="1" customWidth="1"/>
    <col min="16" max="16384" width="9.140625" style="41"/>
  </cols>
  <sheetData>
    <row r="1" spans="1:15" ht="75" x14ac:dyDescent="0.2">
      <c r="A1" s="36" t="s">
        <v>0</v>
      </c>
      <c r="B1" s="36" t="s">
        <v>1</v>
      </c>
      <c r="C1" s="37" t="s">
        <v>2</v>
      </c>
      <c r="D1" s="36" t="s">
        <v>3</v>
      </c>
      <c r="E1" s="107" t="s">
        <v>4</v>
      </c>
      <c r="F1" s="104" t="s">
        <v>5</v>
      </c>
      <c r="G1" s="38" t="s">
        <v>129</v>
      </c>
      <c r="H1" s="105" t="s">
        <v>121</v>
      </c>
      <c r="I1" s="38" t="s">
        <v>122</v>
      </c>
      <c r="J1" s="39" t="s">
        <v>123</v>
      </c>
      <c r="K1" s="38" t="s">
        <v>128</v>
      </c>
      <c r="L1" s="40" t="s">
        <v>120</v>
      </c>
      <c r="M1" s="38" t="s">
        <v>6</v>
      </c>
      <c r="N1" s="38" t="s">
        <v>7</v>
      </c>
      <c r="O1" s="38" t="s">
        <v>8</v>
      </c>
    </row>
    <row r="2" spans="1:15" ht="15" x14ac:dyDescent="0.25">
      <c r="A2" s="42" t="s">
        <v>9</v>
      </c>
      <c r="B2" s="43">
        <v>1</v>
      </c>
      <c r="C2" s="44">
        <v>11</v>
      </c>
      <c r="D2" s="106">
        <v>2022</v>
      </c>
      <c r="E2" s="51">
        <v>20770.000000000437</v>
      </c>
      <c r="F2" s="110"/>
      <c r="G2" s="96">
        <v>5714</v>
      </c>
      <c r="H2" s="111"/>
      <c r="I2" s="58">
        <v>326</v>
      </c>
      <c r="J2" s="67"/>
      <c r="K2" s="93"/>
      <c r="L2" s="67"/>
      <c r="M2" s="64">
        <v>33</v>
      </c>
      <c r="N2" s="64">
        <v>103</v>
      </c>
      <c r="O2" s="64">
        <v>334</v>
      </c>
    </row>
    <row r="3" spans="1:15" ht="15" x14ac:dyDescent="0.25">
      <c r="A3" s="42" t="s">
        <v>9</v>
      </c>
      <c r="B3" s="43">
        <f>B2+1</f>
        <v>2</v>
      </c>
      <c r="C3" s="44">
        <v>11</v>
      </c>
      <c r="D3" s="106">
        <v>2022</v>
      </c>
      <c r="E3" s="51">
        <v>20129.99999999829</v>
      </c>
      <c r="F3" s="110"/>
      <c r="G3" s="96">
        <v>5438</v>
      </c>
      <c r="H3" s="111"/>
      <c r="I3" s="58">
        <v>359</v>
      </c>
      <c r="J3" s="67"/>
      <c r="K3" s="93"/>
      <c r="L3" s="67"/>
      <c r="M3" s="64">
        <v>34</v>
      </c>
      <c r="N3" s="64">
        <v>110</v>
      </c>
      <c r="O3" s="64">
        <v>225</v>
      </c>
    </row>
    <row r="4" spans="1:15" ht="15" x14ac:dyDescent="0.25">
      <c r="A4" s="42" t="s">
        <v>9</v>
      </c>
      <c r="B4" s="43">
        <f t="shared" ref="B4:B31" si="0">B3+1</f>
        <v>3</v>
      </c>
      <c r="C4" s="44">
        <v>11</v>
      </c>
      <c r="D4" s="106">
        <v>2022</v>
      </c>
      <c r="E4" s="51">
        <v>19490.000000001601</v>
      </c>
      <c r="F4" s="110"/>
      <c r="G4" s="96">
        <v>5317</v>
      </c>
      <c r="H4" s="111"/>
      <c r="I4" s="58">
        <v>321</v>
      </c>
      <c r="J4" s="67"/>
      <c r="K4" s="93"/>
      <c r="L4" s="67"/>
      <c r="M4" s="64">
        <v>35</v>
      </c>
      <c r="N4" s="64">
        <v>102</v>
      </c>
      <c r="O4" s="64">
        <v>226</v>
      </c>
    </row>
    <row r="5" spans="1:15" ht="15" x14ac:dyDescent="0.25">
      <c r="A5" s="42" t="s">
        <v>9</v>
      </c>
      <c r="B5" s="43">
        <f t="shared" si="0"/>
        <v>4</v>
      </c>
      <c r="C5" s="44">
        <v>11</v>
      </c>
      <c r="D5" s="106">
        <v>2022</v>
      </c>
      <c r="E5" s="51">
        <v>19169.999999999392</v>
      </c>
      <c r="F5" s="110"/>
      <c r="G5" s="96">
        <v>5131</v>
      </c>
      <c r="H5" s="111"/>
      <c r="I5" s="58">
        <v>335</v>
      </c>
      <c r="J5" s="67"/>
      <c r="K5" s="93"/>
      <c r="L5" s="67"/>
      <c r="M5" s="64">
        <v>32</v>
      </c>
      <c r="N5" s="64">
        <v>126</v>
      </c>
      <c r="O5" s="64">
        <v>289</v>
      </c>
    </row>
    <row r="6" spans="1:15" ht="15" x14ac:dyDescent="0.25">
      <c r="A6" s="42" t="s">
        <v>9</v>
      </c>
      <c r="B6" s="43">
        <f t="shared" si="0"/>
        <v>5</v>
      </c>
      <c r="C6" s="44">
        <v>11</v>
      </c>
      <c r="D6" s="106">
        <v>2022</v>
      </c>
      <c r="E6" s="51">
        <v>18670.000000000073</v>
      </c>
      <c r="F6" s="110"/>
      <c r="G6" s="96">
        <v>5193</v>
      </c>
      <c r="H6" s="111"/>
      <c r="I6" s="58">
        <v>293</v>
      </c>
      <c r="J6" s="67"/>
      <c r="K6" s="93"/>
      <c r="L6" s="67"/>
      <c r="M6" s="64">
        <v>34</v>
      </c>
      <c r="N6" s="64">
        <v>128</v>
      </c>
      <c r="O6" s="64">
        <v>314</v>
      </c>
    </row>
    <row r="7" spans="1:15" ht="15" x14ac:dyDescent="0.25">
      <c r="A7" s="42" t="s">
        <v>9</v>
      </c>
      <c r="B7" s="43">
        <f t="shared" si="0"/>
        <v>6</v>
      </c>
      <c r="C7" s="44">
        <v>11</v>
      </c>
      <c r="D7" s="106">
        <v>2022</v>
      </c>
      <c r="E7" s="51">
        <v>17409.999999999174</v>
      </c>
      <c r="F7" s="110"/>
      <c r="G7" s="96">
        <v>4930</v>
      </c>
      <c r="H7" s="111"/>
      <c r="I7" s="58">
        <v>282</v>
      </c>
      <c r="J7" s="67"/>
      <c r="K7" s="93"/>
      <c r="L7" s="67"/>
      <c r="M7" s="64">
        <v>26</v>
      </c>
      <c r="N7" s="64">
        <v>75</v>
      </c>
      <c r="O7" s="64">
        <v>178</v>
      </c>
    </row>
    <row r="8" spans="1:15" ht="15" x14ac:dyDescent="0.25">
      <c r="A8" s="42" t="s">
        <v>9</v>
      </c>
      <c r="B8" s="43">
        <f t="shared" si="0"/>
        <v>7</v>
      </c>
      <c r="C8" s="44">
        <v>11</v>
      </c>
      <c r="D8" s="106">
        <v>2022</v>
      </c>
      <c r="E8" s="96">
        <v>19360.000000000808</v>
      </c>
      <c r="F8" s="110"/>
      <c r="G8" s="96">
        <v>5313</v>
      </c>
      <c r="H8" s="111"/>
      <c r="I8" s="58">
        <v>346</v>
      </c>
      <c r="J8" s="67"/>
      <c r="K8" s="93"/>
      <c r="L8" s="67"/>
      <c r="M8" s="64">
        <v>26</v>
      </c>
      <c r="N8" s="64">
        <v>79</v>
      </c>
      <c r="O8" s="64">
        <v>204</v>
      </c>
    </row>
    <row r="9" spans="1:15" ht="15" x14ac:dyDescent="0.25">
      <c r="A9" s="42" t="s">
        <v>9</v>
      </c>
      <c r="B9" s="43">
        <f t="shared" si="0"/>
        <v>8</v>
      </c>
      <c r="C9" s="44">
        <v>11</v>
      </c>
      <c r="D9" s="106">
        <v>2022</v>
      </c>
      <c r="E9" s="96">
        <v>19580.000000000382</v>
      </c>
      <c r="F9" s="110"/>
      <c r="G9" s="59">
        <v>5241</v>
      </c>
      <c r="H9" s="111"/>
      <c r="I9" s="58">
        <v>334</v>
      </c>
      <c r="J9" s="67"/>
      <c r="K9" s="93"/>
      <c r="L9" s="67"/>
      <c r="M9" s="64">
        <v>60</v>
      </c>
      <c r="N9" s="64">
        <v>168</v>
      </c>
      <c r="O9" s="64">
        <v>423</v>
      </c>
    </row>
    <row r="10" spans="1:15" ht="15" x14ac:dyDescent="0.25">
      <c r="A10" s="42" t="s">
        <v>9</v>
      </c>
      <c r="B10" s="43">
        <f t="shared" si="0"/>
        <v>9</v>
      </c>
      <c r="C10" s="44">
        <v>11</v>
      </c>
      <c r="D10" s="106">
        <v>2022</v>
      </c>
      <c r="E10" s="96">
        <v>19039.999999999283</v>
      </c>
      <c r="F10" s="110"/>
      <c r="G10" s="96">
        <v>5319</v>
      </c>
      <c r="H10" s="111"/>
      <c r="I10" s="58">
        <v>432</v>
      </c>
      <c r="J10" s="67"/>
      <c r="K10" s="93"/>
      <c r="L10" s="67"/>
      <c r="M10" s="64">
        <v>47</v>
      </c>
      <c r="N10" s="64">
        <v>103</v>
      </c>
      <c r="O10" s="64">
        <v>198</v>
      </c>
    </row>
    <row r="11" spans="1:15" ht="15" x14ac:dyDescent="0.25">
      <c r="A11" s="42" t="s">
        <v>9</v>
      </c>
      <c r="B11" s="43">
        <f t="shared" si="0"/>
        <v>10</v>
      </c>
      <c r="C11" s="44">
        <v>11</v>
      </c>
      <c r="D11" s="106">
        <v>2022</v>
      </c>
      <c r="E11" s="96">
        <v>17740.000000000462</v>
      </c>
      <c r="F11" s="110"/>
      <c r="G11" s="96">
        <v>4925</v>
      </c>
      <c r="H11" s="111"/>
      <c r="I11" s="58">
        <v>192</v>
      </c>
      <c r="J11" s="67"/>
      <c r="K11" s="93"/>
      <c r="L11" s="67"/>
      <c r="M11" s="64">
        <v>48</v>
      </c>
      <c r="N11" s="64">
        <v>97</v>
      </c>
      <c r="O11" s="64">
        <v>275</v>
      </c>
    </row>
    <row r="12" spans="1:15" ht="15" x14ac:dyDescent="0.25">
      <c r="A12" s="42" t="s">
        <v>9</v>
      </c>
      <c r="B12" s="43">
        <f t="shared" si="0"/>
        <v>11</v>
      </c>
      <c r="C12" s="44">
        <v>11</v>
      </c>
      <c r="D12" s="106">
        <v>2022</v>
      </c>
      <c r="E12" s="96">
        <v>15990.000000000464</v>
      </c>
      <c r="F12" s="110"/>
      <c r="G12" s="96">
        <v>4470</v>
      </c>
      <c r="H12" s="111"/>
      <c r="I12" s="58">
        <v>223</v>
      </c>
      <c r="J12" s="67"/>
      <c r="K12" s="93"/>
      <c r="L12" s="67"/>
      <c r="M12" s="64">
        <v>50</v>
      </c>
      <c r="N12" s="64">
        <v>97</v>
      </c>
      <c r="O12" s="64">
        <v>275</v>
      </c>
    </row>
    <row r="13" spans="1:15" ht="15" x14ac:dyDescent="0.25">
      <c r="A13" s="42" t="s">
        <v>9</v>
      </c>
      <c r="B13" s="43">
        <f t="shared" si="0"/>
        <v>12</v>
      </c>
      <c r="C13" s="44">
        <v>11</v>
      </c>
      <c r="D13" s="106">
        <v>2022</v>
      </c>
      <c r="E13" s="96">
        <v>18159.999999998261</v>
      </c>
      <c r="F13" s="110"/>
      <c r="G13" s="96">
        <v>4987</v>
      </c>
      <c r="H13" s="111"/>
      <c r="I13" s="58">
        <v>272</v>
      </c>
      <c r="J13" s="67"/>
      <c r="K13" s="93"/>
      <c r="L13" s="67"/>
      <c r="M13" s="64">
        <v>48</v>
      </c>
      <c r="N13" s="64">
        <v>98</v>
      </c>
      <c r="O13" s="64">
        <v>252</v>
      </c>
    </row>
    <row r="14" spans="1:15" ht="15" x14ac:dyDescent="0.25">
      <c r="A14" s="42" t="s">
        <v>9</v>
      </c>
      <c r="B14" s="43">
        <f t="shared" si="0"/>
        <v>13</v>
      </c>
      <c r="C14" s="44">
        <v>11</v>
      </c>
      <c r="D14" s="106">
        <v>2022</v>
      </c>
      <c r="E14" s="96">
        <v>17250.000000000455</v>
      </c>
      <c r="F14" s="110"/>
      <c r="G14" s="96">
        <v>4966</v>
      </c>
      <c r="H14" s="111"/>
      <c r="I14" s="58">
        <v>196</v>
      </c>
      <c r="J14" s="67"/>
      <c r="K14" s="93"/>
      <c r="L14" s="67"/>
      <c r="M14" s="64">
        <v>25</v>
      </c>
      <c r="N14" s="64">
        <v>63</v>
      </c>
      <c r="O14" s="64">
        <v>174</v>
      </c>
    </row>
    <row r="15" spans="1:15" ht="15" x14ac:dyDescent="0.25">
      <c r="A15" s="42" t="s">
        <v>9</v>
      </c>
      <c r="B15" s="43">
        <f t="shared" si="0"/>
        <v>14</v>
      </c>
      <c r="C15" s="44">
        <v>11</v>
      </c>
      <c r="D15" s="106">
        <v>2022</v>
      </c>
      <c r="E15" s="96">
        <v>17249.999999999545</v>
      </c>
      <c r="F15" s="110"/>
      <c r="G15" s="96">
        <v>4801</v>
      </c>
      <c r="H15" s="111"/>
      <c r="I15" s="58">
        <v>302</v>
      </c>
      <c r="J15" s="67"/>
      <c r="K15" s="93"/>
      <c r="L15" s="67"/>
      <c r="M15" s="64">
        <v>36</v>
      </c>
      <c r="N15" s="64">
        <v>91</v>
      </c>
      <c r="O15" s="64">
        <v>206</v>
      </c>
    </row>
    <row r="16" spans="1:15" ht="15" x14ac:dyDescent="0.25">
      <c r="A16" s="42" t="s">
        <v>9</v>
      </c>
      <c r="B16" s="43">
        <f t="shared" si="0"/>
        <v>15</v>
      </c>
      <c r="C16" s="44">
        <v>11</v>
      </c>
      <c r="D16" s="106">
        <v>2022</v>
      </c>
      <c r="E16" s="96">
        <v>17569.999999999483</v>
      </c>
      <c r="F16" s="110"/>
      <c r="G16" s="96">
        <v>4852</v>
      </c>
      <c r="H16" s="111"/>
      <c r="I16" s="58">
        <v>388</v>
      </c>
      <c r="J16" s="67"/>
      <c r="K16" s="93"/>
      <c r="L16" s="67"/>
      <c r="M16" s="64">
        <v>33</v>
      </c>
      <c r="N16" s="64">
        <v>90</v>
      </c>
      <c r="O16" s="64">
        <v>265</v>
      </c>
    </row>
    <row r="17" spans="1:15" ht="15" x14ac:dyDescent="0.25">
      <c r="A17" s="42" t="s">
        <v>9</v>
      </c>
      <c r="B17" s="43">
        <f t="shared" si="0"/>
        <v>16</v>
      </c>
      <c r="C17" s="44">
        <v>11</v>
      </c>
      <c r="D17" s="106">
        <v>2022</v>
      </c>
      <c r="E17" s="96">
        <v>16640.000000000782</v>
      </c>
      <c r="F17" s="110"/>
      <c r="G17" s="96">
        <v>4530</v>
      </c>
      <c r="H17" s="111"/>
      <c r="I17" s="58">
        <v>305</v>
      </c>
      <c r="J17" s="67"/>
      <c r="K17" s="93"/>
      <c r="L17" s="67"/>
      <c r="M17" s="64">
        <v>33</v>
      </c>
      <c r="N17" s="64">
        <v>81</v>
      </c>
      <c r="O17" s="64">
        <v>177</v>
      </c>
    </row>
    <row r="18" spans="1:15" ht="15" x14ac:dyDescent="0.25">
      <c r="A18" s="42" t="s">
        <v>9</v>
      </c>
      <c r="B18" s="43">
        <f t="shared" si="0"/>
        <v>17</v>
      </c>
      <c r="C18" s="44">
        <v>11</v>
      </c>
      <c r="D18" s="106">
        <v>2022</v>
      </c>
      <c r="E18" s="96">
        <v>17460.000000000262</v>
      </c>
      <c r="F18" s="110"/>
      <c r="G18" s="96">
        <v>4796</v>
      </c>
      <c r="H18" s="111"/>
      <c r="I18" s="58">
        <v>295</v>
      </c>
      <c r="J18" s="67"/>
      <c r="K18" s="93"/>
      <c r="L18" s="67"/>
      <c r="M18" s="64">
        <v>23</v>
      </c>
      <c r="N18" s="64">
        <v>61</v>
      </c>
      <c r="O18" s="64">
        <v>159</v>
      </c>
    </row>
    <row r="19" spans="1:15" ht="15" x14ac:dyDescent="0.25">
      <c r="A19" s="42" t="s">
        <v>9</v>
      </c>
      <c r="B19" s="43">
        <f t="shared" si="0"/>
        <v>18</v>
      </c>
      <c r="C19" s="44">
        <v>11</v>
      </c>
      <c r="D19" s="106">
        <v>2022</v>
      </c>
      <c r="E19" s="96">
        <v>16240.000000001373</v>
      </c>
      <c r="F19" s="110"/>
      <c r="G19" s="96">
        <v>4461</v>
      </c>
      <c r="H19" s="111"/>
      <c r="I19" s="58">
        <v>288</v>
      </c>
      <c r="J19" s="67"/>
      <c r="K19" s="93"/>
      <c r="L19" s="67"/>
      <c r="M19" s="64">
        <v>27</v>
      </c>
      <c r="N19" s="64">
        <v>71</v>
      </c>
      <c r="O19" s="64">
        <v>158</v>
      </c>
    </row>
    <row r="20" spans="1:15" ht="15" x14ac:dyDescent="0.25">
      <c r="A20" s="42" t="s">
        <v>9</v>
      </c>
      <c r="B20" s="43">
        <f t="shared" si="0"/>
        <v>19</v>
      </c>
      <c r="C20" s="44">
        <v>11</v>
      </c>
      <c r="D20" s="106">
        <v>2022</v>
      </c>
      <c r="E20" s="96">
        <v>16209.999999999127</v>
      </c>
      <c r="F20" s="110"/>
      <c r="G20" s="96">
        <v>4679</v>
      </c>
      <c r="H20" s="111"/>
      <c r="I20" s="58">
        <v>275</v>
      </c>
      <c r="J20" s="67"/>
      <c r="K20" s="93"/>
      <c r="L20" s="67"/>
      <c r="M20" s="64">
        <v>25</v>
      </c>
      <c r="N20" s="64">
        <v>74</v>
      </c>
      <c r="O20" s="64">
        <v>171</v>
      </c>
    </row>
    <row r="21" spans="1:15" ht="15" x14ac:dyDescent="0.25">
      <c r="A21" s="42" t="s">
        <v>9</v>
      </c>
      <c r="B21" s="43">
        <f t="shared" si="0"/>
        <v>20</v>
      </c>
      <c r="C21" s="44">
        <v>11</v>
      </c>
      <c r="D21" s="106">
        <v>2022</v>
      </c>
      <c r="E21" s="96">
        <v>15379.999999999427</v>
      </c>
      <c r="F21" s="110"/>
      <c r="G21" s="96">
        <v>4216</v>
      </c>
      <c r="H21" s="111"/>
      <c r="I21" s="58">
        <v>270</v>
      </c>
      <c r="J21" s="67"/>
      <c r="K21" s="93"/>
      <c r="L21" s="67"/>
      <c r="M21" s="64">
        <v>26</v>
      </c>
      <c r="N21" s="64">
        <v>75</v>
      </c>
      <c r="O21" s="64">
        <v>189</v>
      </c>
    </row>
    <row r="22" spans="1:15" ht="15" x14ac:dyDescent="0.25">
      <c r="A22" s="42" t="s">
        <v>9</v>
      </c>
      <c r="B22" s="43">
        <f t="shared" si="0"/>
        <v>21</v>
      </c>
      <c r="C22" s="44">
        <v>11</v>
      </c>
      <c r="D22" s="106">
        <v>2022</v>
      </c>
      <c r="E22" s="96">
        <v>18539.999999999738</v>
      </c>
      <c r="F22" s="110"/>
      <c r="G22" s="96">
        <v>5138</v>
      </c>
      <c r="H22" s="111"/>
      <c r="I22" s="58">
        <v>359</v>
      </c>
      <c r="J22" s="67"/>
      <c r="K22" s="93"/>
      <c r="L22" s="67"/>
      <c r="M22" s="64">
        <v>31</v>
      </c>
      <c r="N22" s="64">
        <v>91</v>
      </c>
      <c r="O22" s="64">
        <v>237</v>
      </c>
    </row>
    <row r="23" spans="1:15" ht="15" x14ac:dyDescent="0.25">
      <c r="A23" s="42" t="s">
        <v>9</v>
      </c>
      <c r="B23" s="43">
        <f t="shared" si="0"/>
        <v>22</v>
      </c>
      <c r="C23" s="44">
        <v>11</v>
      </c>
      <c r="D23" s="106">
        <v>2022</v>
      </c>
      <c r="E23" s="96">
        <v>7810.0000000010823</v>
      </c>
      <c r="F23" s="110"/>
      <c r="G23" s="96">
        <v>4932</v>
      </c>
      <c r="H23" s="111"/>
      <c r="I23" s="58">
        <v>259</v>
      </c>
      <c r="J23" s="67"/>
      <c r="K23" s="93"/>
      <c r="L23" s="67"/>
      <c r="M23" s="64">
        <v>32</v>
      </c>
      <c r="N23" s="64">
        <v>93</v>
      </c>
      <c r="O23" s="64">
        <v>213</v>
      </c>
    </row>
    <row r="24" spans="1:15" ht="15" x14ac:dyDescent="0.25">
      <c r="A24" s="42" t="s">
        <v>9</v>
      </c>
      <c r="B24" s="43">
        <f t="shared" si="0"/>
        <v>23</v>
      </c>
      <c r="C24" s="44">
        <v>11</v>
      </c>
      <c r="D24" s="106">
        <v>2022</v>
      </c>
      <c r="E24" s="96">
        <v>29500.000000000455</v>
      </c>
      <c r="F24" s="110"/>
      <c r="G24" s="96">
        <v>5274</v>
      </c>
      <c r="H24" s="111"/>
      <c r="I24" s="58">
        <v>421</v>
      </c>
      <c r="J24" s="67"/>
      <c r="K24" s="93"/>
      <c r="L24" s="67"/>
      <c r="M24" s="64">
        <v>33</v>
      </c>
      <c r="N24" s="64">
        <v>86</v>
      </c>
      <c r="O24" s="64">
        <v>220</v>
      </c>
    </row>
    <row r="25" spans="1:15" ht="15" x14ac:dyDescent="0.25">
      <c r="A25" s="42" t="s">
        <v>9</v>
      </c>
      <c r="B25" s="43">
        <f t="shared" si="0"/>
        <v>24</v>
      </c>
      <c r="C25" s="44">
        <v>11</v>
      </c>
      <c r="D25" s="106">
        <v>2022</v>
      </c>
      <c r="E25" s="96">
        <v>18209.999999999352</v>
      </c>
      <c r="F25" s="110"/>
      <c r="G25" s="96">
        <v>5049</v>
      </c>
      <c r="H25" s="111"/>
      <c r="I25" s="58">
        <v>323</v>
      </c>
      <c r="J25" s="67"/>
      <c r="K25" s="93"/>
      <c r="L25" s="67"/>
      <c r="M25" s="64">
        <v>30</v>
      </c>
      <c r="N25" s="64">
        <v>71</v>
      </c>
      <c r="O25" s="64">
        <v>186</v>
      </c>
    </row>
    <row r="26" spans="1:15" ht="15" x14ac:dyDescent="0.25">
      <c r="A26" s="42" t="s">
        <v>9</v>
      </c>
      <c r="B26" s="43">
        <f>B25+1</f>
        <v>25</v>
      </c>
      <c r="C26" s="44">
        <v>11</v>
      </c>
      <c r="D26" s="106">
        <v>2022</v>
      </c>
      <c r="E26" s="96">
        <v>7689.9999999989177</v>
      </c>
      <c r="F26" s="110"/>
      <c r="G26" s="96">
        <v>4907</v>
      </c>
      <c r="H26" s="111"/>
      <c r="I26" s="58">
        <v>322</v>
      </c>
      <c r="J26" s="67"/>
      <c r="K26" s="93"/>
      <c r="L26" s="67"/>
      <c r="M26" s="64"/>
      <c r="N26" s="64"/>
      <c r="O26" s="64"/>
    </row>
    <row r="27" spans="1:15" ht="15" x14ac:dyDescent="0.25">
      <c r="A27" s="42" t="s">
        <v>9</v>
      </c>
      <c r="B27" s="43">
        <f t="shared" si="0"/>
        <v>26</v>
      </c>
      <c r="C27" s="44">
        <v>11</v>
      </c>
      <c r="D27" s="106">
        <v>2022</v>
      </c>
      <c r="E27" s="96">
        <v>27750.000000000684</v>
      </c>
      <c r="F27" s="110"/>
      <c r="G27" s="96">
        <v>4916</v>
      </c>
      <c r="H27" s="111"/>
      <c r="I27" s="58">
        <v>265</v>
      </c>
      <c r="J27" s="67"/>
      <c r="K27" s="93"/>
      <c r="L27" s="67"/>
      <c r="M27" s="64"/>
      <c r="N27" s="64"/>
      <c r="O27" s="64"/>
    </row>
    <row r="28" spans="1:15" ht="15" x14ac:dyDescent="0.25">
      <c r="A28" s="42" t="s">
        <v>9</v>
      </c>
      <c r="B28" s="43">
        <f t="shared" si="0"/>
        <v>27</v>
      </c>
      <c r="C28" s="44">
        <v>11</v>
      </c>
      <c r="D28" s="106">
        <v>2022</v>
      </c>
      <c r="E28" s="96">
        <v>17710.000000000036</v>
      </c>
      <c r="F28" s="110"/>
      <c r="G28" s="96">
        <v>4973</v>
      </c>
      <c r="H28" s="111"/>
      <c r="I28" s="58">
        <v>281</v>
      </c>
      <c r="J28" s="67"/>
      <c r="K28" s="93"/>
      <c r="L28" s="67"/>
      <c r="M28" s="64"/>
      <c r="N28" s="64"/>
      <c r="O28" s="64"/>
    </row>
    <row r="29" spans="1:15" ht="15" x14ac:dyDescent="0.25">
      <c r="A29" s="42" t="s">
        <v>9</v>
      </c>
      <c r="B29" s="43">
        <f t="shared" si="0"/>
        <v>28</v>
      </c>
      <c r="C29" s="44">
        <v>11</v>
      </c>
      <c r="D29" s="106">
        <v>2022</v>
      </c>
      <c r="E29" s="96"/>
      <c r="F29" s="110"/>
      <c r="G29" s="96"/>
      <c r="H29" s="111"/>
      <c r="I29" s="58"/>
      <c r="J29" s="67"/>
      <c r="K29" s="93"/>
      <c r="L29" s="67"/>
      <c r="M29" s="64"/>
      <c r="N29" s="64"/>
      <c r="O29" s="64"/>
    </row>
    <row r="30" spans="1:15" ht="15" x14ac:dyDescent="0.25">
      <c r="A30" s="42" t="s">
        <v>9</v>
      </c>
      <c r="B30" s="43">
        <f t="shared" si="0"/>
        <v>29</v>
      </c>
      <c r="C30" s="44">
        <v>11</v>
      </c>
      <c r="D30" s="106">
        <v>2022</v>
      </c>
      <c r="E30" s="96"/>
      <c r="F30" s="110"/>
      <c r="G30" s="96"/>
      <c r="H30" s="111"/>
      <c r="I30" s="58"/>
      <c r="J30" s="67"/>
      <c r="K30" s="93"/>
      <c r="L30" s="67"/>
      <c r="M30" s="64"/>
      <c r="N30" s="64"/>
      <c r="O30" s="64"/>
    </row>
    <row r="31" spans="1:15" ht="15" x14ac:dyDescent="0.25">
      <c r="A31" s="42" t="s">
        <v>9</v>
      </c>
      <c r="B31" s="43">
        <f t="shared" si="0"/>
        <v>30</v>
      </c>
      <c r="C31" s="44">
        <v>11</v>
      </c>
      <c r="D31" s="106">
        <v>2022</v>
      </c>
      <c r="E31" s="92"/>
      <c r="F31" s="110"/>
      <c r="G31" s="92"/>
      <c r="H31" s="111"/>
      <c r="I31" s="58"/>
      <c r="J31" s="67"/>
      <c r="K31" s="93"/>
      <c r="L31" s="67"/>
      <c r="M31" s="64"/>
      <c r="N31" s="64"/>
      <c r="O31" s="64"/>
    </row>
    <row r="32" spans="1:15" ht="18.75" customHeight="1" x14ac:dyDescent="0.2">
      <c r="A32" s="152" t="s">
        <v>51</v>
      </c>
      <c r="B32" s="152"/>
      <c r="C32" s="152"/>
      <c r="D32" s="152"/>
      <c r="E32" s="91">
        <f>SUM(E2:E31)</f>
        <v>486719.9999999993</v>
      </c>
      <c r="F32" s="89">
        <v>0</v>
      </c>
      <c r="G32" s="91">
        <f>SUM(G2:G31)</f>
        <v>134468</v>
      </c>
      <c r="H32" s="88">
        <v>0</v>
      </c>
      <c r="I32" s="91">
        <f>SUM(I2:I31)</f>
        <v>8264</v>
      </c>
      <c r="J32" s="89">
        <v>0</v>
      </c>
      <c r="K32" s="90">
        <f>SUM(K2:K30)</f>
        <v>0</v>
      </c>
      <c r="L32" s="88">
        <v>0</v>
      </c>
      <c r="M32" s="91">
        <f>SUM(M2:M31)</f>
        <v>827</v>
      </c>
      <c r="N32" s="91">
        <f>SUM(N2:N31)</f>
        <v>2233</v>
      </c>
      <c r="O32" s="91">
        <f>SUM(O2:O31)</f>
        <v>5548</v>
      </c>
    </row>
    <row r="39" spans="3:3" x14ac:dyDescent="0.2">
      <c r="C39" s="41" t="s">
        <v>126</v>
      </c>
    </row>
  </sheetData>
  <mergeCells count="1">
    <mergeCell ref="A32:D32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07A08-850F-4D90-906E-768CEEFFC9A0}">
  <dimension ref="A2:S14"/>
  <sheetViews>
    <sheetView workbookViewId="0">
      <selection activeCell="B22" sqref="B22"/>
    </sheetView>
  </sheetViews>
  <sheetFormatPr defaultRowHeight="15" x14ac:dyDescent="0.25"/>
  <cols>
    <col min="1" max="1" width="22.42578125" customWidth="1"/>
    <col min="4" max="4" width="10.42578125" customWidth="1"/>
    <col min="5" max="5" width="12" customWidth="1"/>
    <col min="6" max="6" width="10.85546875" customWidth="1"/>
    <col min="7" max="7" width="10.5703125" customWidth="1"/>
    <col min="8" max="8" width="11.140625" customWidth="1"/>
    <col min="9" max="9" width="10.5703125" customWidth="1"/>
    <col min="12" max="12" width="10.5703125" customWidth="1"/>
    <col min="13" max="13" width="10.42578125" customWidth="1"/>
    <col min="16" max="16" width="10.5703125" customWidth="1"/>
    <col min="17" max="17" width="10.42578125" customWidth="1"/>
  </cols>
  <sheetData>
    <row r="2" spans="1:19" ht="63.75" x14ac:dyDescent="0.25">
      <c r="A2" s="138" t="s">
        <v>0</v>
      </c>
      <c r="B2" s="138" t="s">
        <v>2</v>
      </c>
      <c r="C2" s="138" t="s">
        <v>3</v>
      </c>
      <c r="D2" s="139" t="s">
        <v>131</v>
      </c>
      <c r="E2" s="139" t="s">
        <v>132</v>
      </c>
      <c r="F2" s="140" t="s">
        <v>133</v>
      </c>
      <c r="G2" s="140" t="s">
        <v>134</v>
      </c>
      <c r="H2" s="139" t="s">
        <v>135</v>
      </c>
      <c r="I2" s="139" t="s">
        <v>136</v>
      </c>
      <c r="J2" s="139" t="s">
        <v>137</v>
      </c>
      <c r="K2" s="139" t="s">
        <v>138</v>
      </c>
      <c r="L2" s="140" t="s">
        <v>139</v>
      </c>
      <c r="M2" s="140" t="s">
        <v>140</v>
      </c>
      <c r="N2" s="139" t="s">
        <v>122</v>
      </c>
      <c r="O2" s="139" t="s">
        <v>123</v>
      </c>
      <c r="P2" s="140" t="s">
        <v>141</v>
      </c>
      <c r="Q2" s="140" t="s">
        <v>142</v>
      </c>
      <c r="R2" s="139" t="s">
        <v>6</v>
      </c>
      <c r="S2" s="139" t="s">
        <v>8</v>
      </c>
    </row>
    <row r="3" spans="1:19" x14ac:dyDescent="0.25">
      <c r="A3" t="s">
        <v>9</v>
      </c>
      <c r="B3" s="141">
        <v>1</v>
      </c>
      <c r="C3" s="141">
        <v>2022</v>
      </c>
      <c r="D3" s="142">
        <v>714310</v>
      </c>
      <c r="E3" s="143">
        <v>0.19400000000000001</v>
      </c>
      <c r="F3" s="144">
        <v>714310</v>
      </c>
      <c r="G3" s="144">
        <v>171800</v>
      </c>
      <c r="H3" s="142">
        <v>189315</v>
      </c>
      <c r="I3" s="145">
        <v>0.70309999999999995</v>
      </c>
      <c r="J3" s="142">
        <v>9840</v>
      </c>
      <c r="K3" s="143">
        <v>1</v>
      </c>
      <c r="L3" s="144">
        <v>8640</v>
      </c>
      <c r="M3" s="144">
        <v>17900</v>
      </c>
      <c r="N3" s="142">
        <v>11040</v>
      </c>
      <c r="O3" s="146">
        <v>0.6</v>
      </c>
      <c r="P3" s="144">
        <v>9827</v>
      </c>
      <c r="Q3" s="147">
        <v>10800</v>
      </c>
      <c r="R3" s="15">
        <v>1738</v>
      </c>
      <c r="S3">
        <v>12281</v>
      </c>
    </row>
    <row r="4" spans="1:19" x14ac:dyDescent="0.25">
      <c r="A4" t="s">
        <v>9</v>
      </c>
      <c r="B4" s="141">
        <v>2</v>
      </c>
      <c r="C4" s="141">
        <v>2022</v>
      </c>
      <c r="D4" s="142">
        <v>654040</v>
      </c>
      <c r="E4" s="143">
        <v>0.18</v>
      </c>
      <c r="F4" s="144">
        <v>613620</v>
      </c>
      <c r="G4" s="144">
        <v>151800</v>
      </c>
      <c r="H4" s="142">
        <v>166967</v>
      </c>
      <c r="I4" s="143">
        <v>0.64</v>
      </c>
      <c r="J4" s="142">
        <v>6415</v>
      </c>
      <c r="K4" s="143">
        <v>0.9</v>
      </c>
      <c r="L4" s="144">
        <v>7255</v>
      </c>
      <c r="M4" s="144">
        <v>14100</v>
      </c>
      <c r="N4" s="142">
        <v>10412</v>
      </c>
      <c r="O4" s="146">
        <v>1.8</v>
      </c>
      <c r="P4" s="144">
        <v>9250</v>
      </c>
      <c r="Q4" s="147">
        <v>8500</v>
      </c>
      <c r="R4" s="15">
        <v>1497</v>
      </c>
      <c r="S4">
        <v>12274</v>
      </c>
    </row>
    <row r="5" spans="1:19" x14ac:dyDescent="0.25">
      <c r="A5" t="s">
        <v>9</v>
      </c>
      <c r="B5" s="141">
        <v>3</v>
      </c>
      <c r="C5" s="141">
        <v>2022</v>
      </c>
      <c r="D5" s="142">
        <v>729060</v>
      </c>
      <c r="E5" s="143">
        <v>0.19400000000000001</v>
      </c>
      <c r="F5" s="144">
        <v>681590</v>
      </c>
      <c r="G5" s="144">
        <v>184500</v>
      </c>
      <c r="H5" s="142">
        <v>184995</v>
      </c>
      <c r="I5" s="145">
        <v>0.70309999999999995</v>
      </c>
      <c r="J5" s="142">
        <v>8780</v>
      </c>
      <c r="K5" s="143">
        <v>1</v>
      </c>
      <c r="L5" s="144">
        <v>7245</v>
      </c>
      <c r="M5" s="144">
        <v>16300</v>
      </c>
      <c r="N5" s="142">
        <v>10115</v>
      </c>
      <c r="O5" s="143">
        <v>0.56200000000000006</v>
      </c>
      <c r="P5" s="144">
        <v>9500</v>
      </c>
      <c r="Q5" s="147">
        <v>16800</v>
      </c>
      <c r="R5" s="15">
        <v>1634</v>
      </c>
      <c r="S5">
        <v>13116.5</v>
      </c>
    </row>
    <row r="6" spans="1:19" x14ac:dyDescent="0.25">
      <c r="A6" t="s">
        <v>9</v>
      </c>
      <c r="B6" s="141">
        <v>4</v>
      </c>
      <c r="C6" s="141">
        <v>2022</v>
      </c>
      <c r="D6" s="142">
        <v>730070.00000000128</v>
      </c>
      <c r="E6" s="143">
        <v>0.33400000000000002</v>
      </c>
      <c r="F6" s="144">
        <v>708230</v>
      </c>
      <c r="G6" s="144">
        <v>184700</v>
      </c>
      <c r="H6" s="142">
        <v>205088</v>
      </c>
      <c r="I6" s="145">
        <v>1.1513</v>
      </c>
      <c r="J6" s="142">
        <v>7810</v>
      </c>
      <c r="K6" s="143">
        <v>1</v>
      </c>
      <c r="L6" s="144">
        <v>7515</v>
      </c>
      <c r="M6" s="144">
        <v>13900</v>
      </c>
      <c r="N6" s="142">
        <v>10731</v>
      </c>
      <c r="O6" s="143">
        <v>0.39300000000000002</v>
      </c>
      <c r="P6" s="144">
        <v>9451</v>
      </c>
      <c r="Q6" s="147">
        <v>9300</v>
      </c>
      <c r="R6" s="15">
        <v>1664</v>
      </c>
      <c r="S6">
        <v>11957</v>
      </c>
    </row>
    <row r="7" spans="1:19" x14ac:dyDescent="0.25">
      <c r="A7" t="s">
        <v>9</v>
      </c>
      <c r="B7" s="141">
        <v>5</v>
      </c>
      <c r="C7" s="141">
        <v>2022</v>
      </c>
      <c r="D7" s="142">
        <v>710031.2099999988</v>
      </c>
      <c r="E7" s="143">
        <v>0.36259999999999998</v>
      </c>
      <c r="F7" s="144">
        <v>685570</v>
      </c>
      <c r="G7" s="144">
        <v>186600</v>
      </c>
      <c r="H7" s="142">
        <v>196733</v>
      </c>
      <c r="I7" s="145">
        <v>1.1513</v>
      </c>
      <c r="J7" s="142">
        <v>8695</v>
      </c>
      <c r="K7" s="143">
        <v>1.165</v>
      </c>
      <c r="L7" s="144">
        <v>8055</v>
      </c>
      <c r="M7" s="144">
        <v>11100</v>
      </c>
      <c r="N7" s="142">
        <v>9917.6100000000024</v>
      </c>
      <c r="O7" s="143">
        <v>0.83499999999999996</v>
      </c>
      <c r="P7" s="144">
        <v>8134</v>
      </c>
      <c r="Q7" s="147">
        <v>9000</v>
      </c>
      <c r="R7" s="15">
        <v>1248</v>
      </c>
      <c r="S7">
        <v>8217</v>
      </c>
    </row>
    <row r="8" spans="1:19" x14ac:dyDescent="0.25">
      <c r="A8" t="s">
        <v>9</v>
      </c>
      <c r="B8" s="141">
        <v>6</v>
      </c>
      <c r="C8" s="141">
        <v>2022</v>
      </c>
      <c r="D8" s="142">
        <v>625149.99999999977</v>
      </c>
      <c r="E8" s="143">
        <v>0.33300000000000002</v>
      </c>
      <c r="F8" s="144">
        <v>683690</v>
      </c>
      <c r="G8" s="144">
        <v>128400</v>
      </c>
      <c r="H8" s="142">
        <v>172603</v>
      </c>
      <c r="I8" s="145">
        <v>1.3504</v>
      </c>
      <c r="J8" s="142">
        <v>7835</v>
      </c>
      <c r="K8" s="143">
        <v>1.36</v>
      </c>
      <c r="L8" s="144">
        <v>5555</v>
      </c>
      <c r="M8" s="144">
        <v>8400</v>
      </c>
      <c r="N8" s="142">
        <v>8848</v>
      </c>
      <c r="O8" s="143">
        <v>1.46</v>
      </c>
      <c r="P8" s="144">
        <v>8982</v>
      </c>
      <c r="Q8" s="147">
        <v>13800</v>
      </c>
      <c r="R8" s="15">
        <v>658</v>
      </c>
      <c r="S8">
        <v>4555</v>
      </c>
    </row>
    <row r="9" spans="1:19" x14ac:dyDescent="0.25">
      <c r="A9" t="s">
        <v>9</v>
      </c>
      <c r="B9" s="141">
        <v>7</v>
      </c>
      <c r="C9" s="141">
        <v>2022</v>
      </c>
      <c r="D9" s="142">
        <v>636450.0000000014</v>
      </c>
      <c r="E9" s="143">
        <v>0.39300000000000002</v>
      </c>
      <c r="F9" s="144">
        <v>704110</v>
      </c>
      <c r="G9" s="144">
        <v>117000</v>
      </c>
      <c r="H9" s="142">
        <v>177084</v>
      </c>
      <c r="I9" s="145">
        <v>1.3345</v>
      </c>
      <c r="J9" s="142">
        <v>9015</v>
      </c>
      <c r="K9" s="143">
        <v>1.0469999999999999</v>
      </c>
      <c r="L9" s="144">
        <v>5980</v>
      </c>
      <c r="M9" s="144">
        <v>8700</v>
      </c>
      <c r="N9" s="142">
        <v>9861</v>
      </c>
      <c r="O9" s="143">
        <v>0.86699999999999999</v>
      </c>
      <c r="P9" s="144">
        <v>8746</v>
      </c>
      <c r="Q9" s="147">
        <v>12000</v>
      </c>
      <c r="R9" s="15">
        <v>980</v>
      </c>
      <c r="S9">
        <v>7559</v>
      </c>
    </row>
    <row r="10" spans="1:19" x14ac:dyDescent="0.25">
      <c r="A10" t="s">
        <v>9</v>
      </c>
      <c r="B10" s="141">
        <v>8</v>
      </c>
      <c r="C10" s="141">
        <v>2022</v>
      </c>
      <c r="D10" s="142">
        <v>599419.99999999884</v>
      </c>
      <c r="E10" s="143">
        <v>0.39400000000000002</v>
      </c>
      <c r="F10" s="144">
        <v>697360</v>
      </c>
      <c r="G10" s="144">
        <v>150600</v>
      </c>
      <c r="H10" s="142">
        <v>166385</v>
      </c>
      <c r="I10" s="145">
        <v>1.3052999999999999</v>
      </c>
      <c r="J10" s="142">
        <v>11141.27</v>
      </c>
      <c r="K10" s="143">
        <v>1</v>
      </c>
      <c r="L10" s="144">
        <v>7110</v>
      </c>
      <c r="M10" s="144">
        <v>11100</v>
      </c>
      <c r="N10" s="142">
        <v>10074</v>
      </c>
      <c r="O10" s="143">
        <v>0.9</v>
      </c>
      <c r="P10" s="144">
        <v>8500</v>
      </c>
      <c r="Q10" s="147">
        <v>12300</v>
      </c>
      <c r="R10" s="15">
        <v>759</v>
      </c>
      <c r="S10">
        <v>5884</v>
      </c>
    </row>
    <row r="11" spans="1:19" x14ac:dyDescent="0.25">
      <c r="A11" t="s">
        <v>9</v>
      </c>
      <c r="B11" s="141">
        <v>9</v>
      </c>
      <c r="C11" s="141">
        <v>2022</v>
      </c>
      <c r="D11" s="142">
        <v>531680.00000000058</v>
      </c>
      <c r="E11" s="143">
        <v>0.41199999999999998</v>
      </c>
      <c r="F11" s="144">
        <v>643900</v>
      </c>
      <c r="G11" s="144">
        <v>151400</v>
      </c>
      <c r="H11" s="142">
        <v>147447</v>
      </c>
      <c r="I11" s="145">
        <v>1.3051999999999999</v>
      </c>
      <c r="J11" s="142">
        <v>7469</v>
      </c>
      <c r="K11" s="143">
        <v>1</v>
      </c>
      <c r="L11" s="144">
        <v>6030</v>
      </c>
      <c r="M11" s="144">
        <v>8100</v>
      </c>
      <c r="N11" s="142">
        <v>9637</v>
      </c>
      <c r="O11" s="143">
        <v>0.753</v>
      </c>
      <c r="P11" s="144">
        <v>8300</v>
      </c>
      <c r="Q11" s="147">
        <v>12100</v>
      </c>
      <c r="R11" s="15">
        <v>494</v>
      </c>
      <c r="S11">
        <v>3484</v>
      </c>
    </row>
    <row r="12" spans="1:19" x14ac:dyDescent="0.25">
      <c r="A12" t="s">
        <v>9</v>
      </c>
      <c r="B12" s="141">
        <v>10</v>
      </c>
      <c r="C12" s="141">
        <v>2022</v>
      </c>
      <c r="D12" s="142"/>
      <c r="E12" s="142"/>
      <c r="F12" s="144">
        <v>689440</v>
      </c>
      <c r="G12" s="144">
        <v>211500</v>
      </c>
      <c r="H12" s="142"/>
      <c r="I12" s="142"/>
      <c r="J12" s="142"/>
      <c r="K12" s="143"/>
      <c r="L12" s="144">
        <v>7515</v>
      </c>
      <c r="M12" s="144">
        <v>12000</v>
      </c>
      <c r="N12" s="142"/>
      <c r="O12" s="142"/>
      <c r="P12" s="144">
        <v>8750</v>
      </c>
      <c r="Q12" s="147">
        <v>6500</v>
      </c>
      <c r="R12" s="15"/>
    </row>
    <row r="13" spans="1:19" x14ac:dyDescent="0.25">
      <c r="A13" t="s">
        <v>9</v>
      </c>
      <c r="B13" s="141">
        <v>11</v>
      </c>
      <c r="C13" s="141">
        <v>2022</v>
      </c>
      <c r="D13" s="142"/>
      <c r="E13" s="142"/>
      <c r="F13" s="144">
        <v>654730</v>
      </c>
      <c r="G13" s="144">
        <v>211100</v>
      </c>
      <c r="H13" s="142"/>
      <c r="I13" s="142"/>
      <c r="J13" s="142"/>
      <c r="K13" s="143"/>
      <c r="L13" s="144">
        <v>8425</v>
      </c>
      <c r="M13" s="144">
        <v>11700</v>
      </c>
      <c r="N13" s="142"/>
      <c r="O13" s="142"/>
      <c r="P13" s="144">
        <v>9493</v>
      </c>
      <c r="Q13" s="147">
        <v>8000</v>
      </c>
      <c r="R13" s="15"/>
    </row>
    <row r="14" spans="1:19" x14ac:dyDescent="0.25">
      <c r="A14" t="s">
        <v>9</v>
      </c>
      <c r="B14" s="141">
        <v>12</v>
      </c>
      <c r="C14" s="141">
        <v>2022</v>
      </c>
      <c r="D14" s="142"/>
      <c r="E14" s="142"/>
      <c r="F14" s="144">
        <v>710650</v>
      </c>
      <c r="G14" s="144">
        <v>179400</v>
      </c>
      <c r="H14" s="142"/>
      <c r="I14" s="142"/>
      <c r="J14" s="142"/>
      <c r="K14" s="143"/>
      <c r="L14" s="144">
        <v>9521</v>
      </c>
      <c r="M14" s="144">
        <v>14300</v>
      </c>
      <c r="N14" s="142"/>
      <c r="O14" s="142"/>
      <c r="P14" s="144">
        <v>12710</v>
      </c>
      <c r="Q14" s="147">
        <v>9600</v>
      </c>
      <c r="R14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1"/>
  <sheetViews>
    <sheetView zoomScale="70" zoomScaleNormal="70" workbookViewId="0">
      <pane ySplit="1" topLeftCell="A5" activePane="bottomLeft" state="frozen"/>
      <selection pane="bottomLeft" activeCell="AB25" sqref="AB25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56" t="s">
        <v>10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68"/>
      <c r="V1" s="68"/>
    </row>
    <row r="2" spans="1:25" s="16" customFormat="1" ht="33" customHeight="1" x14ac:dyDescent="0.25">
      <c r="A2" s="27" t="s">
        <v>2</v>
      </c>
      <c r="B2" s="153" t="s">
        <v>124</v>
      </c>
      <c r="C2" s="153" t="s">
        <v>11</v>
      </c>
      <c r="D2" s="153" t="s">
        <v>12</v>
      </c>
      <c r="E2" s="153" t="s">
        <v>13</v>
      </c>
      <c r="F2" s="153" t="s">
        <v>14</v>
      </c>
      <c r="G2" s="158" t="s">
        <v>130</v>
      </c>
      <c r="H2" s="160" t="s">
        <v>15</v>
      </c>
      <c r="I2" s="153" t="s">
        <v>16</v>
      </c>
      <c r="J2" s="163" t="s">
        <v>17</v>
      </c>
      <c r="K2" s="164"/>
      <c r="L2" s="165"/>
      <c r="M2" s="158" t="s">
        <v>18</v>
      </c>
      <c r="N2" s="160" t="s">
        <v>19</v>
      </c>
      <c r="O2" s="161" t="s">
        <v>20</v>
      </c>
      <c r="P2" s="160" t="s">
        <v>21</v>
      </c>
      <c r="Q2" s="166" t="s">
        <v>22</v>
      </c>
      <c r="R2" s="153" t="s">
        <v>23</v>
      </c>
      <c r="S2" s="153" t="s">
        <v>24</v>
      </c>
      <c r="T2" s="153" t="s">
        <v>25</v>
      </c>
      <c r="V2" s="155" t="s">
        <v>6</v>
      </c>
      <c r="W2" s="155" t="s">
        <v>7</v>
      </c>
      <c r="X2" s="155" t="s">
        <v>8</v>
      </c>
    </row>
    <row r="3" spans="1:25" s="16" customFormat="1" ht="45" customHeight="1" x14ac:dyDescent="0.25">
      <c r="A3" s="28"/>
      <c r="B3" s="154"/>
      <c r="C3" s="154"/>
      <c r="D3" s="154"/>
      <c r="E3" s="154"/>
      <c r="F3" s="154"/>
      <c r="G3" s="159"/>
      <c r="H3" s="160"/>
      <c r="I3" s="154"/>
      <c r="J3" s="17" t="s">
        <v>26</v>
      </c>
      <c r="K3" s="17" t="s">
        <v>27</v>
      </c>
      <c r="L3" s="17" t="s">
        <v>28</v>
      </c>
      <c r="M3" s="159"/>
      <c r="N3" s="160"/>
      <c r="O3" s="162"/>
      <c r="P3" s="160"/>
      <c r="Q3" s="167"/>
      <c r="R3" s="154"/>
      <c r="S3" s="154"/>
      <c r="T3" s="154"/>
      <c r="V3" s="155"/>
      <c r="W3" s="155"/>
      <c r="X3" s="155"/>
    </row>
    <row r="4" spans="1:25" ht="21" customHeight="1" x14ac:dyDescent="0.25">
      <c r="A4" s="8">
        <v>44866</v>
      </c>
      <c r="B4" s="98">
        <v>1.5394000000000001</v>
      </c>
      <c r="C4" s="99">
        <v>352.08</v>
      </c>
      <c r="D4" s="99">
        <v>37038.879999999997</v>
      </c>
      <c r="E4" s="99">
        <v>9500331.7100000009</v>
      </c>
      <c r="F4" s="99">
        <v>3.6524000000000001</v>
      </c>
      <c r="G4" s="99">
        <v>1.1509</v>
      </c>
      <c r="H4" s="99">
        <v>1.0738000000000001</v>
      </c>
      <c r="I4" s="99">
        <v>382.77</v>
      </c>
      <c r="J4" s="99">
        <v>536.91999999999996</v>
      </c>
      <c r="K4" s="99">
        <v>504.07</v>
      </c>
      <c r="L4" s="99">
        <v>346.13</v>
      </c>
      <c r="M4" s="99">
        <v>862.77</v>
      </c>
      <c r="N4" s="99">
        <v>781.16</v>
      </c>
      <c r="O4" s="99">
        <v>254.84</v>
      </c>
      <c r="P4" s="99">
        <v>1.0487</v>
      </c>
      <c r="Q4" s="99">
        <v>763.61</v>
      </c>
      <c r="R4" s="99">
        <v>190.15</v>
      </c>
      <c r="S4" s="99">
        <v>179.05</v>
      </c>
      <c r="T4" s="99">
        <v>654.94000000000005</v>
      </c>
      <c r="V4" s="64"/>
      <c r="W4" s="64"/>
      <c r="X4" s="64"/>
      <c r="Y4" s="16"/>
    </row>
    <row r="5" spans="1:25" ht="21" customHeight="1" x14ac:dyDescent="0.25">
      <c r="A5" s="8">
        <v>44867</v>
      </c>
      <c r="B5" s="100">
        <v>1.5406</v>
      </c>
      <c r="C5" s="101">
        <v>352.35</v>
      </c>
      <c r="D5" s="101">
        <v>39350.11</v>
      </c>
      <c r="E5" s="101">
        <v>9503122.25</v>
      </c>
      <c r="F5" s="101">
        <v>3.6554000000000002</v>
      </c>
      <c r="G5" s="101">
        <v>1.1515</v>
      </c>
      <c r="H5" s="101">
        <v>1.0746</v>
      </c>
      <c r="I5" s="101">
        <v>383.07</v>
      </c>
      <c r="J5" s="101">
        <v>537.67999999999995</v>
      </c>
      <c r="K5" s="101">
        <v>504.58</v>
      </c>
      <c r="L5" s="101">
        <v>346.44</v>
      </c>
      <c r="M5" s="101">
        <v>863.27</v>
      </c>
      <c r="N5" s="101">
        <v>781.67</v>
      </c>
      <c r="O5" s="101">
        <v>255.1</v>
      </c>
      <c r="P5" s="101">
        <v>1.0494000000000001</v>
      </c>
      <c r="Q5" s="101">
        <v>763.81</v>
      </c>
      <c r="R5" s="99">
        <v>190.15</v>
      </c>
      <c r="S5" s="101">
        <v>179.05</v>
      </c>
      <c r="T5" s="101">
        <v>655.43</v>
      </c>
      <c r="V5" s="64"/>
      <c r="W5" s="64"/>
      <c r="X5" s="64"/>
      <c r="Y5" s="16"/>
    </row>
    <row r="6" spans="1:25" ht="21" customHeight="1" x14ac:dyDescent="0.25">
      <c r="A6" s="8">
        <v>44868</v>
      </c>
      <c r="B6" s="100">
        <v>1.5417000000000001</v>
      </c>
      <c r="C6" s="101">
        <v>352.61</v>
      </c>
      <c r="D6" s="101">
        <v>41058.300000000003</v>
      </c>
      <c r="E6" s="101">
        <v>9505483.4600000009</v>
      </c>
      <c r="F6" s="101">
        <v>3.6579000000000002</v>
      </c>
      <c r="G6" s="101">
        <v>1.1519999999999999</v>
      </c>
      <c r="H6" s="101">
        <v>1.0751999999999999</v>
      </c>
      <c r="I6" s="101">
        <v>383.31</v>
      </c>
      <c r="J6" s="101">
        <v>538.17999999999995</v>
      </c>
      <c r="K6" s="101">
        <v>504.94</v>
      </c>
      <c r="L6" s="101">
        <v>346.66</v>
      </c>
      <c r="M6" s="101">
        <v>863.65</v>
      </c>
      <c r="N6" s="101">
        <v>782.07</v>
      </c>
      <c r="O6" s="101">
        <v>255.29</v>
      </c>
      <c r="P6" s="101">
        <v>1.0499000000000001</v>
      </c>
      <c r="Q6" s="101">
        <v>763.99</v>
      </c>
      <c r="R6" s="99">
        <v>190.15</v>
      </c>
      <c r="S6" s="101">
        <v>179.05</v>
      </c>
      <c r="T6" s="101">
        <v>655.93</v>
      </c>
      <c r="V6" s="64"/>
      <c r="W6" s="64"/>
      <c r="X6" s="64"/>
      <c r="Y6" s="16"/>
    </row>
    <row r="7" spans="1:25" ht="21" customHeight="1" x14ac:dyDescent="0.25">
      <c r="A7" s="8">
        <v>44869</v>
      </c>
      <c r="B7" s="100">
        <v>1.5427</v>
      </c>
      <c r="C7" s="101">
        <v>352.86</v>
      </c>
      <c r="D7" s="101">
        <v>42824.1</v>
      </c>
      <c r="E7" s="101">
        <v>9507920.2100000009</v>
      </c>
      <c r="F7" s="101">
        <v>3.6604999999999999</v>
      </c>
      <c r="G7" s="101">
        <v>1.1526000000000001</v>
      </c>
      <c r="H7" s="151">
        <v>1.0760000000000001</v>
      </c>
      <c r="I7" s="101">
        <v>383.56</v>
      </c>
      <c r="J7" s="101">
        <v>538.61</v>
      </c>
      <c r="K7" s="101">
        <v>505.31</v>
      </c>
      <c r="L7" s="101">
        <v>346.89</v>
      </c>
      <c r="M7" s="101">
        <v>864.11</v>
      </c>
      <c r="N7" s="101">
        <v>782.49</v>
      </c>
      <c r="O7" s="101">
        <v>255.5</v>
      </c>
      <c r="P7" s="101">
        <v>1.0504</v>
      </c>
      <c r="Q7" s="101">
        <v>764.19</v>
      </c>
      <c r="R7" s="99">
        <v>190.15</v>
      </c>
      <c r="S7" s="101">
        <v>179.05</v>
      </c>
      <c r="T7" s="101">
        <v>656.42</v>
      </c>
      <c r="V7" s="64"/>
      <c r="W7" s="64"/>
      <c r="X7" s="64"/>
      <c r="Y7" s="16"/>
    </row>
    <row r="8" spans="1:25" ht="21" customHeight="1" x14ac:dyDescent="0.25">
      <c r="A8" s="8">
        <v>44870</v>
      </c>
      <c r="B8" s="100">
        <v>1.5439000000000001</v>
      </c>
      <c r="C8" s="101">
        <v>353.13</v>
      </c>
      <c r="D8" s="101">
        <v>44566.13</v>
      </c>
      <c r="E8" s="101">
        <v>9510089.6899999995</v>
      </c>
      <c r="F8" s="101">
        <v>3.6634000000000002</v>
      </c>
      <c r="G8" s="101">
        <v>1.1532</v>
      </c>
      <c r="H8" s="101">
        <v>1.0766</v>
      </c>
      <c r="I8" s="101">
        <v>383.82</v>
      </c>
      <c r="J8" s="101">
        <v>539.05999999999995</v>
      </c>
      <c r="K8" s="101">
        <v>505.67</v>
      </c>
      <c r="L8" s="101">
        <v>347.11</v>
      </c>
      <c r="M8" s="101">
        <v>864.69</v>
      </c>
      <c r="N8" s="101">
        <v>782.9</v>
      </c>
      <c r="O8" s="101">
        <v>255.72</v>
      </c>
      <c r="P8" s="101">
        <v>1.0509999999999999</v>
      </c>
      <c r="Q8" s="101">
        <v>764.37</v>
      </c>
      <c r="R8" s="99">
        <v>190.15</v>
      </c>
      <c r="S8" s="101">
        <v>179.05</v>
      </c>
      <c r="T8" s="101">
        <v>656.7</v>
      </c>
      <c r="V8" s="95"/>
      <c r="W8" s="95"/>
      <c r="X8" s="114"/>
      <c r="Y8" s="16"/>
    </row>
    <row r="9" spans="1:25" ht="21" customHeight="1" x14ac:dyDescent="0.25">
      <c r="A9" s="8">
        <v>44871</v>
      </c>
      <c r="B9" s="102">
        <v>1.5449999999999999</v>
      </c>
      <c r="C9" s="101">
        <v>353.37</v>
      </c>
      <c r="D9" s="101">
        <v>46092.88</v>
      </c>
      <c r="E9" s="101">
        <v>9512534.7699999996</v>
      </c>
      <c r="F9" s="101">
        <v>3.6661000000000001</v>
      </c>
      <c r="G9" s="101">
        <v>1.1536999999999999</v>
      </c>
      <c r="H9" s="101">
        <v>1.0771999999999999</v>
      </c>
      <c r="I9" s="101">
        <v>384.07</v>
      </c>
      <c r="J9" s="101">
        <v>539.58000000000004</v>
      </c>
      <c r="K9" s="101">
        <v>506.02</v>
      </c>
      <c r="L9" s="101">
        <v>347.32</v>
      </c>
      <c r="M9" s="101">
        <v>865.15</v>
      </c>
      <c r="N9" s="101">
        <v>783.28</v>
      </c>
      <c r="O9" s="101">
        <v>255.99</v>
      </c>
      <c r="P9" s="101">
        <v>1.0515000000000001</v>
      </c>
      <c r="Q9" s="101">
        <v>764.55</v>
      </c>
      <c r="R9" s="99">
        <v>190.15</v>
      </c>
      <c r="S9" s="101">
        <v>179.05</v>
      </c>
      <c r="T9" s="101">
        <v>657.2</v>
      </c>
      <c r="V9" s="95"/>
      <c r="W9" s="95"/>
      <c r="X9" s="114"/>
      <c r="Y9" s="16"/>
    </row>
    <row r="10" spans="1:25" ht="21" customHeight="1" x14ac:dyDescent="0.25">
      <c r="A10" s="8">
        <v>44872</v>
      </c>
      <c r="B10" s="98">
        <v>1.5459000000000001</v>
      </c>
      <c r="C10" s="99">
        <v>353.64</v>
      </c>
      <c r="D10" s="99">
        <v>47482.93</v>
      </c>
      <c r="E10" s="99">
        <v>9514636.4700000007</v>
      </c>
      <c r="F10" s="99">
        <v>3.6688000000000001</v>
      </c>
      <c r="G10" s="99">
        <v>1.1541999999999999</v>
      </c>
      <c r="H10" s="99">
        <v>1.0777000000000001</v>
      </c>
      <c r="I10" s="99">
        <v>384.33</v>
      </c>
      <c r="J10" s="101">
        <v>540.19000000000005</v>
      </c>
      <c r="K10" s="101">
        <v>506.45</v>
      </c>
      <c r="L10" s="101">
        <v>347.57</v>
      </c>
      <c r="M10" s="101">
        <v>865.59</v>
      </c>
      <c r="N10" s="101">
        <v>783.6</v>
      </c>
      <c r="O10" s="101">
        <v>256.2</v>
      </c>
      <c r="P10" s="101">
        <v>1.052</v>
      </c>
      <c r="Q10" s="101">
        <v>764.71</v>
      </c>
      <c r="R10" s="99">
        <v>190.15</v>
      </c>
      <c r="S10" s="101">
        <v>179.05</v>
      </c>
      <c r="T10" s="101">
        <v>657.69</v>
      </c>
      <c r="V10" s="95"/>
      <c r="W10" s="95"/>
      <c r="X10" s="95"/>
      <c r="Y10" s="16"/>
    </row>
    <row r="11" spans="1:25" ht="21" customHeight="1" x14ac:dyDescent="0.25">
      <c r="A11" s="8">
        <v>44873</v>
      </c>
      <c r="B11" s="100">
        <v>1.5470999999999999</v>
      </c>
      <c r="C11" s="101">
        <v>353.9</v>
      </c>
      <c r="D11" s="101">
        <v>49128.76</v>
      </c>
      <c r="E11" s="101">
        <v>9516850.0500000007</v>
      </c>
      <c r="F11" s="101">
        <v>3.6715</v>
      </c>
      <c r="G11" s="101">
        <v>1.1548</v>
      </c>
      <c r="H11" s="101">
        <v>1.0783</v>
      </c>
      <c r="I11" s="101">
        <v>384.62</v>
      </c>
      <c r="J11" s="101">
        <v>540.73</v>
      </c>
      <c r="K11" s="101">
        <v>506.85</v>
      </c>
      <c r="L11" s="101">
        <v>347.81</v>
      </c>
      <c r="M11" s="101">
        <v>866.06</v>
      </c>
      <c r="N11" s="101">
        <v>784</v>
      </c>
      <c r="O11" s="101">
        <v>256.44</v>
      </c>
      <c r="P11" s="101">
        <v>1.0525</v>
      </c>
      <c r="Q11" s="101">
        <v>764.97</v>
      </c>
      <c r="R11" s="99">
        <v>190.15</v>
      </c>
      <c r="S11" s="101">
        <v>179.05</v>
      </c>
      <c r="T11" s="101">
        <v>658.19</v>
      </c>
      <c r="V11" s="95"/>
      <c r="W11" s="95"/>
      <c r="X11" s="95"/>
      <c r="Y11" s="16"/>
    </row>
    <row r="12" spans="1:25" ht="21" customHeight="1" x14ac:dyDescent="0.25">
      <c r="A12" s="8">
        <v>44874</v>
      </c>
      <c r="B12" s="100">
        <v>1.5482</v>
      </c>
      <c r="C12" s="101">
        <v>354.16</v>
      </c>
      <c r="D12" s="101">
        <v>51130.19</v>
      </c>
      <c r="E12" s="101">
        <v>9519365.2799999993</v>
      </c>
      <c r="F12" s="101">
        <v>3.6739999999999999</v>
      </c>
      <c r="G12" s="101">
        <v>1.1554</v>
      </c>
      <c r="H12" s="101">
        <v>1.079</v>
      </c>
      <c r="I12" s="101">
        <v>384.9</v>
      </c>
      <c r="J12" s="101">
        <v>541.27</v>
      </c>
      <c r="K12" s="101">
        <v>507.25</v>
      </c>
      <c r="L12" s="101">
        <v>348.03</v>
      </c>
      <c r="M12" s="101">
        <v>866.57</v>
      </c>
      <c r="N12" s="101">
        <v>784.35</v>
      </c>
      <c r="O12" s="101">
        <v>256.62</v>
      </c>
      <c r="P12" s="101">
        <v>1.0530999999999999</v>
      </c>
      <c r="Q12" s="101">
        <v>765.22</v>
      </c>
      <c r="R12" s="99">
        <v>190.15</v>
      </c>
      <c r="S12" s="101">
        <v>179.05</v>
      </c>
      <c r="T12" s="101">
        <v>658.68</v>
      </c>
      <c r="V12" s="95"/>
      <c r="W12" s="95"/>
      <c r="X12" s="95"/>
      <c r="Y12" s="16"/>
    </row>
    <row r="13" spans="1:25" ht="21" customHeight="1" x14ac:dyDescent="0.25">
      <c r="A13" s="8">
        <v>44875</v>
      </c>
      <c r="B13" s="100">
        <v>1.5496000000000001</v>
      </c>
      <c r="C13" s="98">
        <v>354.43</v>
      </c>
      <c r="D13" s="98">
        <v>52922.63</v>
      </c>
      <c r="E13" s="101">
        <v>9521600.8200000003</v>
      </c>
      <c r="F13" s="101">
        <v>3.6766999999999999</v>
      </c>
      <c r="G13" s="101">
        <v>1.1559999999999999</v>
      </c>
      <c r="H13" s="101">
        <v>1.0795999999999999</v>
      </c>
      <c r="I13" s="101">
        <v>385.1</v>
      </c>
      <c r="J13" s="101">
        <v>541.9</v>
      </c>
      <c r="K13" s="101">
        <v>507.66</v>
      </c>
      <c r="L13" s="101">
        <v>348.34</v>
      </c>
      <c r="M13" s="101">
        <v>867.02</v>
      </c>
      <c r="N13" s="101">
        <v>784.71</v>
      </c>
      <c r="O13" s="101">
        <v>256.87</v>
      </c>
      <c r="P13" s="101">
        <v>1.0536000000000001</v>
      </c>
      <c r="Q13" s="101">
        <v>765.45</v>
      </c>
      <c r="R13" s="99">
        <v>190.15</v>
      </c>
      <c r="S13" s="101">
        <v>179.05</v>
      </c>
      <c r="T13" s="101">
        <v>659.17</v>
      </c>
      <c r="V13" s="95"/>
      <c r="W13" s="95"/>
      <c r="X13" s="95"/>
      <c r="Y13" s="16"/>
    </row>
    <row r="14" spans="1:25" ht="21" customHeight="1" x14ac:dyDescent="0.25">
      <c r="A14" s="8">
        <v>44876</v>
      </c>
      <c r="B14" s="100">
        <v>1.5502</v>
      </c>
      <c r="C14" s="98">
        <v>354.7</v>
      </c>
      <c r="D14" s="98">
        <v>54239.26</v>
      </c>
      <c r="E14" s="101">
        <v>9523488.2799999993</v>
      </c>
      <c r="F14" s="101">
        <v>3.6793999999999998</v>
      </c>
      <c r="G14" s="101">
        <v>1.1565000000000001</v>
      </c>
      <c r="H14" s="101">
        <v>1.0801000000000001</v>
      </c>
      <c r="I14" s="101">
        <v>385.44</v>
      </c>
      <c r="J14" s="101">
        <v>542.45000000000005</v>
      </c>
      <c r="K14" s="101">
        <v>507.99</v>
      </c>
      <c r="L14" s="101">
        <v>348.59</v>
      </c>
      <c r="M14" s="101">
        <v>867.4</v>
      </c>
      <c r="N14" s="101">
        <v>785</v>
      </c>
      <c r="O14" s="101">
        <v>257.11</v>
      </c>
      <c r="P14" s="101">
        <v>1.054</v>
      </c>
      <c r="Q14" s="101">
        <v>765.62</v>
      </c>
      <c r="R14" s="99">
        <v>190.15</v>
      </c>
      <c r="S14" s="101">
        <v>179.05</v>
      </c>
      <c r="T14" s="101">
        <v>659.64</v>
      </c>
      <c r="V14" s="95"/>
      <c r="W14" s="95"/>
      <c r="X14" s="95"/>
      <c r="Y14" s="16"/>
    </row>
    <row r="15" spans="1:25" ht="21" customHeight="1" x14ac:dyDescent="0.25">
      <c r="A15" s="8">
        <v>44877</v>
      </c>
      <c r="B15" s="100">
        <v>1.5511999999999999</v>
      </c>
      <c r="C15" s="100">
        <v>354.93</v>
      </c>
      <c r="D15" s="101">
        <v>55388.78</v>
      </c>
      <c r="E15" s="101">
        <v>9525062.2100000009</v>
      </c>
      <c r="F15" s="101">
        <v>3.6819000000000002</v>
      </c>
      <c r="G15" s="101">
        <v>1.157</v>
      </c>
      <c r="H15" s="101">
        <v>1.0806</v>
      </c>
      <c r="I15" s="101">
        <v>385.72</v>
      </c>
      <c r="J15" s="101">
        <v>542.91999999999996</v>
      </c>
      <c r="K15" s="101">
        <v>508.31</v>
      </c>
      <c r="L15" s="101">
        <v>348.83</v>
      </c>
      <c r="M15" s="101">
        <v>867.81</v>
      </c>
      <c r="N15" s="101">
        <v>785.34</v>
      </c>
      <c r="O15" s="101">
        <v>257.33</v>
      </c>
      <c r="P15" s="101">
        <v>1.0544</v>
      </c>
      <c r="Q15" s="101">
        <v>765.79</v>
      </c>
      <c r="R15" s="99">
        <v>190.15</v>
      </c>
      <c r="S15" s="101">
        <v>179.05</v>
      </c>
      <c r="T15" s="101">
        <v>659.91</v>
      </c>
      <c r="V15" s="95"/>
      <c r="W15" s="95"/>
      <c r="X15" s="95"/>
      <c r="Y15" s="16"/>
    </row>
    <row r="16" spans="1:25" ht="21" customHeight="1" x14ac:dyDescent="0.25">
      <c r="A16" s="8">
        <v>44878</v>
      </c>
      <c r="B16" s="100">
        <v>1.5523</v>
      </c>
      <c r="C16" s="101">
        <v>355.17</v>
      </c>
      <c r="D16" s="101">
        <v>56809.14</v>
      </c>
      <c r="E16" s="101">
        <v>9527491.7899999991</v>
      </c>
      <c r="F16" s="101">
        <v>3.6844000000000001</v>
      </c>
      <c r="G16" s="101">
        <v>1.1575</v>
      </c>
      <c r="H16" s="101">
        <v>1.0811999999999999</v>
      </c>
      <c r="I16" s="101">
        <v>385.97</v>
      </c>
      <c r="J16" s="101">
        <v>543.34</v>
      </c>
      <c r="K16" s="101">
        <v>508.6</v>
      </c>
      <c r="L16" s="101">
        <v>349.04</v>
      </c>
      <c r="M16" s="101">
        <v>868.26</v>
      </c>
      <c r="N16" s="101">
        <v>785.7</v>
      </c>
      <c r="O16" s="101">
        <v>257.52999999999997</v>
      </c>
      <c r="P16" s="101">
        <v>1.0549999999999999</v>
      </c>
      <c r="Q16" s="101">
        <v>765.99</v>
      </c>
      <c r="R16" s="99">
        <v>190.15</v>
      </c>
      <c r="S16" s="101">
        <v>179.05</v>
      </c>
      <c r="T16" s="101">
        <v>660.37</v>
      </c>
      <c r="V16" s="95"/>
      <c r="W16" s="95"/>
      <c r="X16" s="95"/>
      <c r="Y16" s="16"/>
    </row>
    <row r="17" spans="1:25" ht="21" customHeight="1" x14ac:dyDescent="0.25">
      <c r="A17" s="8">
        <v>44879</v>
      </c>
      <c r="B17" s="100">
        <v>1.5533999999999999</v>
      </c>
      <c r="C17" s="101">
        <v>355.42</v>
      </c>
      <c r="D17" s="101">
        <v>58188.14</v>
      </c>
      <c r="E17" s="101">
        <v>9529819.2100000009</v>
      </c>
      <c r="F17" s="101">
        <v>3.6879</v>
      </c>
      <c r="G17" s="101">
        <v>1.1578999999999999</v>
      </c>
      <c r="H17" s="101">
        <v>1.0818000000000001</v>
      </c>
      <c r="I17" s="101">
        <v>386.23</v>
      </c>
      <c r="J17" s="101">
        <v>543.63</v>
      </c>
      <c r="K17" s="101">
        <v>508.84</v>
      </c>
      <c r="L17" s="101">
        <v>349.22</v>
      </c>
      <c r="M17" s="101">
        <v>868.72</v>
      </c>
      <c r="N17" s="101">
        <v>786.06</v>
      </c>
      <c r="O17" s="101">
        <v>257.77999999999997</v>
      </c>
      <c r="P17" s="101">
        <v>1.0555000000000001</v>
      </c>
      <c r="Q17" s="101">
        <v>766.2</v>
      </c>
      <c r="R17" s="99">
        <v>190.15</v>
      </c>
      <c r="S17" s="101">
        <v>179.05</v>
      </c>
      <c r="T17" s="101">
        <v>660.87</v>
      </c>
      <c r="V17" s="95"/>
      <c r="W17" s="95"/>
      <c r="X17" s="95"/>
      <c r="Y17" s="16"/>
    </row>
    <row r="18" spans="1:25" ht="21" customHeight="1" x14ac:dyDescent="0.25">
      <c r="A18" s="8">
        <v>44880</v>
      </c>
      <c r="B18" s="100">
        <v>1.5543</v>
      </c>
      <c r="C18" s="101">
        <v>355.65</v>
      </c>
      <c r="D18" s="101">
        <v>59534.22</v>
      </c>
      <c r="E18" s="101">
        <v>9531959.2200000007</v>
      </c>
      <c r="F18" s="101">
        <v>3.6894999999999998</v>
      </c>
      <c r="G18" s="101">
        <v>1.1584000000000001</v>
      </c>
      <c r="H18" s="101">
        <v>1.0822000000000001</v>
      </c>
      <c r="I18" s="101">
        <v>386.49</v>
      </c>
      <c r="J18" s="101">
        <v>544.22</v>
      </c>
      <c r="K18" s="101">
        <v>509.18</v>
      </c>
      <c r="L18" s="101">
        <v>349.45</v>
      </c>
      <c r="M18" s="101">
        <v>869.17</v>
      </c>
      <c r="N18" s="101">
        <v>786.38</v>
      </c>
      <c r="O18" s="101">
        <v>257.99</v>
      </c>
      <c r="P18" s="101">
        <v>1.056</v>
      </c>
      <c r="Q18" s="101">
        <v>766.36</v>
      </c>
      <c r="R18" s="99">
        <v>190.15</v>
      </c>
      <c r="S18" s="101">
        <v>179.05</v>
      </c>
      <c r="T18" s="101">
        <v>661.39</v>
      </c>
      <c r="V18" s="95"/>
      <c r="W18" s="95"/>
      <c r="X18" s="95"/>
      <c r="Y18" s="16"/>
    </row>
    <row r="19" spans="1:25" ht="21" customHeight="1" x14ac:dyDescent="0.25">
      <c r="A19" s="8">
        <v>44881</v>
      </c>
      <c r="B19" s="100">
        <v>1.5551999999999999</v>
      </c>
      <c r="C19" s="101">
        <v>355.94</v>
      </c>
      <c r="D19" s="101">
        <v>60966.31</v>
      </c>
      <c r="E19" s="101">
        <v>9534029.3100000005</v>
      </c>
      <c r="F19" s="101">
        <v>3.6920999999999999</v>
      </c>
      <c r="G19" s="101">
        <v>1.159</v>
      </c>
      <c r="H19" s="101">
        <v>1.0828</v>
      </c>
      <c r="I19" s="101">
        <v>386.76</v>
      </c>
      <c r="J19" s="101">
        <v>544.72</v>
      </c>
      <c r="K19" s="101">
        <v>509.52</v>
      </c>
      <c r="L19" s="101">
        <v>349.64</v>
      </c>
      <c r="M19" s="101">
        <v>869.54</v>
      </c>
      <c r="N19" s="101">
        <v>786.38</v>
      </c>
      <c r="O19" s="115">
        <v>258.2</v>
      </c>
      <c r="P19" s="101">
        <v>1.0565</v>
      </c>
      <c r="Q19" s="101">
        <v>766.53</v>
      </c>
      <c r="R19" s="99">
        <v>190.15</v>
      </c>
      <c r="S19" s="101">
        <v>179.05</v>
      </c>
      <c r="T19" s="101">
        <v>661.9</v>
      </c>
      <c r="V19" s="95"/>
      <c r="W19" s="95"/>
      <c r="X19" s="95"/>
      <c r="Y19" s="16"/>
    </row>
    <row r="20" spans="1:25" ht="21" customHeight="1" x14ac:dyDescent="0.25">
      <c r="A20" s="8">
        <v>44882</v>
      </c>
      <c r="B20" s="100">
        <v>1.5561</v>
      </c>
      <c r="C20" s="101">
        <v>356.22</v>
      </c>
      <c r="D20" s="101">
        <v>62225.79</v>
      </c>
      <c r="E20" s="101">
        <v>9535913.8900000006</v>
      </c>
      <c r="F20" s="101">
        <v>3.6945999999999999</v>
      </c>
      <c r="G20" s="101">
        <v>1.1594</v>
      </c>
      <c r="H20" s="101">
        <v>1.0832999999999999</v>
      </c>
      <c r="I20" s="101">
        <v>386.98</v>
      </c>
      <c r="J20" s="101">
        <v>545.16</v>
      </c>
      <c r="K20" s="101">
        <v>509.85</v>
      </c>
      <c r="L20" s="101">
        <v>349.85</v>
      </c>
      <c r="M20" s="101">
        <v>869.9</v>
      </c>
      <c r="N20" s="101">
        <v>786.99</v>
      </c>
      <c r="O20" s="101">
        <v>258.41000000000003</v>
      </c>
      <c r="P20" s="101">
        <v>1.0568</v>
      </c>
      <c r="Q20" s="101">
        <v>766.67</v>
      </c>
      <c r="R20" s="99">
        <v>190.15</v>
      </c>
      <c r="S20" s="101">
        <v>179.05</v>
      </c>
      <c r="T20" s="101">
        <v>662.41</v>
      </c>
      <c r="V20" s="95"/>
      <c r="W20" s="95"/>
      <c r="X20" s="95"/>
      <c r="Y20" s="16"/>
    </row>
    <row r="21" spans="1:25" ht="21" customHeight="1" x14ac:dyDescent="0.25">
      <c r="A21" s="8">
        <v>44883</v>
      </c>
      <c r="B21" s="100">
        <v>1.5570999999999999</v>
      </c>
      <c r="C21" s="101">
        <v>356.5</v>
      </c>
      <c r="D21" s="101">
        <v>63620.95</v>
      </c>
      <c r="E21" s="101">
        <v>9538010.6799999997</v>
      </c>
      <c r="F21" s="101">
        <v>3.6972999999999998</v>
      </c>
      <c r="G21" s="101">
        <v>1.1598999999999999</v>
      </c>
      <c r="H21" s="101">
        <v>1.0839000000000001</v>
      </c>
      <c r="I21" s="101">
        <v>387.23</v>
      </c>
      <c r="J21" s="100">
        <v>545.63</v>
      </c>
      <c r="K21" s="101">
        <v>510.17</v>
      </c>
      <c r="L21" s="101">
        <v>350.08</v>
      </c>
      <c r="M21" s="101">
        <v>870.3</v>
      </c>
      <c r="N21" s="101">
        <v>787.32</v>
      </c>
      <c r="O21" s="101">
        <v>258.61</v>
      </c>
      <c r="P21" s="101">
        <v>1.0571999999999999</v>
      </c>
      <c r="Q21" s="101">
        <v>766.84</v>
      </c>
      <c r="R21" s="99">
        <v>190.15</v>
      </c>
      <c r="S21" s="101">
        <v>179.05</v>
      </c>
      <c r="T21" s="101">
        <v>662.92</v>
      </c>
      <c r="V21" s="95"/>
      <c r="W21" s="95"/>
      <c r="X21" s="95"/>
      <c r="Y21" s="16"/>
    </row>
    <row r="22" spans="1:25" ht="21" customHeight="1" x14ac:dyDescent="0.25">
      <c r="A22" s="8">
        <v>44884</v>
      </c>
      <c r="B22" s="100">
        <v>1.5579000000000001</v>
      </c>
      <c r="C22" s="101">
        <v>356.76</v>
      </c>
      <c r="D22" s="101">
        <v>64918.18</v>
      </c>
      <c r="E22" s="101">
        <v>9540073.7300000004</v>
      </c>
      <c r="F22" s="101">
        <v>3.6998000000000002</v>
      </c>
      <c r="G22" s="101">
        <v>1.1603000000000001</v>
      </c>
      <c r="H22" s="101">
        <v>1.0844</v>
      </c>
      <c r="I22" s="101">
        <v>387.46</v>
      </c>
      <c r="J22" s="100">
        <v>546.12</v>
      </c>
      <c r="K22" s="101">
        <v>510.49</v>
      </c>
      <c r="L22" s="101">
        <v>350.29</v>
      </c>
      <c r="M22" s="101">
        <v>870.71</v>
      </c>
      <c r="N22" s="101">
        <v>787.57</v>
      </c>
      <c r="O22" s="101">
        <v>258.81</v>
      </c>
      <c r="P22" s="101">
        <v>1.0576000000000001</v>
      </c>
      <c r="Q22" s="101">
        <v>766.98</v>
      </c>
      <c r="R22" s="99">
        <v>190.15</v>
      </c>
      <c r="S22" s="101">
        <v>179.05</v>
      </c>
      <c r="T22" s="101">
        <v>663.39</v>
      </c>
      <c r="V22" s="95"/>
      <c r="W22" s="95"/>
      <c r="X22" s="95"/>
      <c r="Y22" s="16"/>
    </row>
    <row r="23" spans="1:25" ht="21" customHeight="1" x14ac:dyDescent="0.25">
      <c r="A23" s="8">
        <v>44885</v>
      </c>
      <c r="B23" s="100">
        <v>1.5588</v>
      </c>
      <c r="C23" s="101">
        <v>357</v>
      </c>
      <c r="D23" s="101">
        <v>66209.210000000006</v>
      </c>
      <c r="E23" s="101">
        <v>9542014.7899999991</v>
      </c>
      <c r="F23" s="101">
        <v>3.7023000000000001</v>
      </c>
      <c r="G23" s="101">
        <v>1.1606000000000001</v>
      </c>
      <c r="H23" s="101">
        <v>1.085</v>
      </c>
      <c r="I23" s="101">
        <v>387.68</v>
      </c>
      <c r="J23" s="101">
        <v>546.55999999999995</v>
      </c>
      <c r="K23" s="101">
        <v>510.78</v>
      </c>
      <c r="L23" s="101">
        <v>350.48</v>
      </c>
      <c r="M23" s="101">
        <v>871.06</v>
      </c>
      <c r="N23" s="101">
        <v>787.85</v>
      </c>
      <c r="O23" s="101">
        <v>259.02</v>
      </c>
      <c r="P23" s="101">
        <v>1.0579000000000001</v>
      </c>
      <c r="Q23" s="101">
        <v>767.14</v>
      </c>
      <c r="R23" s="99">
        <v>190.15</v>
      </c>
      <c r="S23" s="101">
        <v>179.05</v>
      </c>
      <c r="T23" s="101">
        <v>663.89</v>
      </c>
      <c r="V23" s="95"/>
      <c r="W23" s="95"/>
      <c r="X23" s="95"/>
      <c r="Y23" s="16"/>
    </row>
    <row r="24" spans="1:25" ht="21" customHeight="1" x14ac:dyDescent="0.25">
      <c r="A24" s="8">
        <v>44886</v>
      </c>
      <c r="B24" s="100">
        <v>1.5596000000000001</v>
      </c>
      <c r="C24" s="101">
        <v>357.25</v>
      </c>
      <c r="D24" s="101">
        <v>67429.850000000006</v>
      </c>
      <c r="E24" s="101">
        <v>9543896.9000000004</v>
      </c>
      <c r="F24" s="101">
        <v>3.7048000000000001</v>
      </c>
      <c r="G24" s="101">
        <v>1.1612</v>
      </c>
      <c r="H24" s="101">
        <v>1.0854999999999999</v>
      </c>
      <c r="I24" s="101">
        <v>387.9</v>
      </c>
      <c r="J24" s="101">
        <v>546.97</v>
      </c>
      <c r="K24" s="101">
        <v>511.04</v>
      </c>
      <c r="L24" s="101">
        <v>350.69</v>
      </c>
      <c r="M24" s="101">
        <v>871.42</v>
      </c>
      <c r="N24" s="101">
        <v>788.14</v>
      </c>
      <c r="O24" s="101">
        <v>259.20999999999998</v>
      </c>
      <c r="P24" s="101">
        <v>1.0583</v>
      </c>
      <c r="Q24" s="101">
        <v>767.28</v>
      </c>
      <c r="R24" s="99">
        <v>190.15</v>
      </c>
      <c r="S24" s="101">
        <v>179.05</v>
      </c>
      <c r="T24" s="101">
        <v>664.39</v>
      </c>
      <c r="V24" s="95"/>
      <c r="W24" s="95"/>
      <c r="X24" s="95"/>
      <c r="Y24" s="16"/>
    </row>
    <row r="25" spans="1:25" ht="21" customHeight="1" x14ac:dyDescent="0.25">
      <c r="A25" s="8">
        <v>44887</v>
      </c>
      <c r="B25" s="100">
        <v>1.5606</v>
      </c>
      <c r="C25" s="101">
        <v>357.5</v>
      </c>
      <c r="D25" s="101">
        <v>69113.02</v>
      </c>
      <c r="E25" s="101">
        <v>9546231.3200000003</v>
      </c>
      <c r="F25" s="101">
        <v>3.7075</v>
      </c>
      <c r="G25" s="101">
        <v>1.1617</v>
      </c>
      <c r="H25" s="101">
        <v>1.0861000000000001</v>
      </c>
      <c r="I25" s="101">
        <v>388.17</v>
      </c>
      <c r="J25" s="101">
        <v>547.5</v>
      </c>
      <c r="K25" s="101">
        <v>511.36</v>
      </c>
      <c r="L25" s="101">
        <v>350.98</v>
      </c>
      <c r="M25" s="101">
        <v>871.82</v>
      </c>
      <c r="N25" s="101">
        <v>788.5</v>
      </c>
      <c r="O25" s="101">
        <v>259.45</v>
      </c>
      <c r="P25" s="101">
        <v>1.0587</v>
      </c>
      <c r="Q25" s="101">
        <v>767.49</v>
      </c>
      <c r="R25" s="99">
        <v>190.15</v>
      </c>
      <c r="S25" s="101">
        <v>179.05</v>
      </c>
      <c r="T25" s="101">
        <v>664.9</v>
      </c>
      <c r="V25" s="95"/>
      <c r="W25" s="95"/>
      <c r="X25" s="95"/>
      <c r="Y25" s="16"/>
    </row>
    <row r="26" spans="1:25" ht="21" customHeight="1" x14ac:dyDescent="0.25">
      <c r="A26" s="8">
        <v>44888</v>
      </c>
      <c r="B26" s="121">
        <v>1.5616000000000001</v>
      </c>
      <c r="C26" s="101">
        <v>357.73</v>
      </c>
      <c r="D26" s="101">
        <v>70704.570000000007</v>
      </c>
      <c r="E26" s="101">
        <v>9548488.2599999998</v>
      </c>
      <c r="F26" s="101">
        <v>3.7101000000000002</v>
      </c>
      <c r="G26" s="101">
        <v>1.1623000000000001</v>
      </c>
      <c r="H26" s="101">
        <v>1.0867</v>
      </c>
      <c r="I26" s="101">
        <v>388.44</v>
      </c>
      <c r="J26" s="101">
        <v>547.91999999999996</v>
      </c>
      <c r="K26" s="101">
        <v>511.64</v>
      </c>
      <c r="L26" s="101">
        <v>351.22</v>
      </c>
      <c r="M26" s="101">
        <v>872.28</v>
      </c>
      <c r="N26" s="101">
        <v>788.87</v>
      </c>
      <c r="O26" s="101">
        <v>259.67</v>
      </c>
      <c r="P26" s="101">
        <v>1.0590999999999999</v>
      </c>
      <c r="Q26" s="101">
        <v>767.73</v>
      </c>
      <c r="R26" s="99">
        <v>190.15</v>
      </c>
      <c r="S26" s="101">
        <v>179.05</v>
      </c>
      <c r="T26" s="101">
        <v>665.43</v>
      </c>
      <c r="V26" s="95"/>
      <c r="W26" s="95"/>
      <c r="X26" s="95"/>
      <c r="Y26" s="16"/>
    </row>
    <row r="27" spans="1:25" s="119" customFormat="1" ht="21" customHeight="1" x14ac:dyDescent="0.25">
      <c r="A27" s="8">
        <v>44889</v>
      </c>
      <c r="B27" s="149">
        <v>1.5626</v>
      </c>
      <c r="C27" s="150">
        <v>357.91</v>
      </c>
      <c r="D27" s="115">
        <v>72624.42</v>
      </c>
      <c r="E27" s="115">
        <v>9550784.5299999993</v>
      </c>
      <c r="F27" s="115">
        <v>3.7126999999999999</v>
      </c>
      <c r="G27" s="115">
        <v>1.1629</v>
      </c>
      <c r="H27" s="115">
        <v>1.0873999999999999</v>
      </c>
      <c r="I27" s="115">
        <v>388.75</v>
      </c>
      <c r="J27" s="115">
        <v>548.39</v>
      </c>
      <c r="K27" s="115">
        <v>511.93</v>
      </c>
      <c r="L27" s="115">
        <v>351.41</v>
      </c>
      <c r="M27" s="115">
        <v>872.77</v>
      </c>
      <c r="N27" s="115">
        <v>789.24</v>
      </c>
      <c r="O27" s="115">
        <v>259.91000000000003</v>
      </c>
      <c r="P27" s="115">
        <v>1.0596000000000001</v>
      </c>
      <c r="Q27" s="115">
        <v>767.99</v>
      </c>
      <c r="R27" s="99">
        <v>190.15</v>
      </c>
      <c r="S27" s="101">
        <v>179.05</v>
      </c>
      <c r="T27" s="115">
        <v>665.98</v>
      </c>
      <c r="V27" s="122"/>
      <c r="W27" s="122"/>
      <c r="X27" s="122"/>
      <c r="Y27" s="123"/>
    </row>
    <row r="28" spans="1:25" ht="21" customHeight="1" x14ac:dyDescent="0.25">
      <c r="A28" s="8">
        <v>44890</v>
      </c>
      <c r="B28" s="98">
        <v>1.5637000000000001</v>
      </c>
      <c r="C28" s="98">
        <v>358.17</v>
      </c>
      <c r="D28" s="101">
        <v>74255.58</v>
      </c>
      <c r="E28" s="101">
        <v>9552885.0800000001</v>
      </c>
      <c r="F28" s="101">
        <v>3.7153</v>
      </c>
      <c r="G28" s="101">
        <v>1.1634</v>
      </c>
      <c r="H28" s="115">
        <v>1.0881000000000001</v>
      </c>
      <c r="I28" s="101">
        <v>389.03</v>
      </c>
      <c r="J28" s="101">
        <v>548.88</v>
      </c>
      <c r="K28" s="101">
        <v>512.23</v>
      </c>
      <c r="L28" s="101">
        <v>351.65</v>
      </c>
      <c r="M28" s="101">
        <v>873.17</v>
      </c>
      <c r="N28" s="101">
        <v>789.57</v>
      </c>
      <c r="O28" s="101">
        <v>260.11</v>
      </c>
      <c r="P28" s="101">
        <v>1.06</v>
      </c>
      <c r="Q28" s="101">
        <v>768.2</v>
      </c>
      <c r="R28" s="99">
        <v>190.15</v>
      </c>
      <c r="S28" s="101">
        <v>179.05</v>
      </c>
      <c r="T28" s="101">
        <v>666.47</v>
      </c>
      <c r="V28" s="95"/>
      <c r="W28" s="95"/>
      <c r="X28" s="95"/>
      <c r="Y28" s="16"/>
    </row>
    <row r="29" spans="1:25" ht="21" customHeight="1" x14ac:dyDescent="0.25">
      <c r="A29" s="8">
        <v>44891</v>
      </c>
      <c r="B29" s="100">
        <v>1.5648</v>
      </c>
      <c r="C29" s="101">
        <v>358.41</v>
      </c>
      <c r="D29" s="101">
        <v>75716.59</v>
      </c>
      <c r="E29" s="101">
        <v>9554947.7899999991</v>
      </c>
      <c r="F29" s="101">
        <v>3.7179000000000002</v>
      </c>
      <c r="G29" s="101">
        <v>1.1639999999999999</v>
      </c>
      <c r="H29" s="101">
        <v>1.0886</v>
      </c>
      <c r="I29" s="101">
        <v>389.32</v>
      </c>
      <c r="J29" s="101">
        <v>549.37</v>
      </c>
      <c r="K29" s="101">
        <v>512.53</v>
      </c>
      <c r="L29" s="101">
        <v>351.9</v>
      </c>
      <c r="M29" s="101">
        <v>873.56</v>
      </c>
      <c r="N29" s="101">
        <v>789.87</v>
      </c>
      <c r="O29" s="101">
        <v>260.33</v>
      </c>
      <c r="P29" s="101">
        <v>1.0604</v>
      </c>
      <c r="Q29" s="101">
        <v>768.41</v>
      </c>
      <c r="R29" s="99">
        <v>190.15</v>
      </c>
      <c r="S29" s="101">
        <v>179.05</v>
      </c>
      <c r="T29" s="101">
        <v>666.97</v>
      </c>
      <c r="V29" s="95"/>
      <c r="W29" s="95"/>
      <c r="X29" s="95"/>
      <c r="Y29" s="16"/>
    </row>
    <row r="30" spans="1:25" ht="21" customHeight="1" x14ac:dyDescent="0.25">
      <c r="A30" s="8">
        <v>44892</v>
      </c>
      <c r="B30" s="100">
        <v>1.5658000000000001</v>
      </c>
      <c r="C30" s="101">
        <v>358.64</v>
      </c>
      <c r="D30" s="101">
        <v>77145.899999999994</v>
      </c>
      <c r="E30" s="101">
        <v>9557148.4800000004</v>
      </c>
      <c r="F30" s="101">
        <v>3.7204000000000002</v>
      </c>
      <c r="G30" s="101">
        <v>1.1645000000000001</v>
      </c>
      <c r="H30" s="101">
        <v>1.0891999999999999</v>
      </c>
      <c r="I30" s="101">
        <v>389.6</v>
      </c>
      <c r="J30" s="101">
        <v>549.80999999999995</v>
      </c>
      <c r="K30" s="101">
        <v>512.79999999999995</v>
      </c>
      <c r="L30" s="101">
        <v>352.12</v>
      </c>
      <c r="M30" s="101">
        <v>873.99</v>
      </c>
      <c r="N30" s="101">
        <v>790.18</v>
      </c>
      <c r="O30" s="101">
        <v>260.57</v>
      </c>
      <c r="P30" s="101">
        <v>1.0608</v>
      </c>
      <c r="Q30" s="101">
        <v>768.62</v>
      </c>
      <c r="R30" s="99">
        <v>190.15</v>
      </c>
      <c r="S30" s="101">
        <v>179.05</v>
      </c>
      <c r="T30" s="101">
        <v>667.45</v>
      </c>
      <c r="V30" s="95"/>
      <c r="W30" s="95"/>
      <c r="X30" s="95"/>
      <c r="Y30" s="16"/>
    </row>
    <row r="31" spans="1:25" ht="21" customHeight="1" x14ac:dyDescent="0.25">
      <c r="A31" s="8">
        <v>44893</v>
      </c>
      <c r="B31" s="100">
        <v>1.5669</v>
      </c>
      <c r="C31" s="101">
        <v>358.9</v>
      </c>
      <c r="D31" s="101">
        <v>78588.52</v>
      </c>
      <c r="E31" s="101">
        <v>9559532.0600000005</v>
      </c>
      <c r="F31" s="101">
        <v>3.7229999999999999</v>
      </c>
      <c r="G31" s="101">
        <v>1.1651</v>
      </c>
      <c r="H31" s="101">
        <v>1.0899000000000001</v>
      </c>
      <c r="I31" s="101">
        <v>389.9</v>
      </c>
      <c r="J31" s="101">
        <v>550.22</v>
      </c>
      <c r="K31" s="101">
        <v>513.15</v>
      </c>
      <c r="L31" s="101">
        <v>352.33</v>
      </c>
      <c r="M31" s="101">
        <v>874.42</v>
      </c>
      <c r="N31" s="101">
        <v>790.51</v>
      </c>
      <c r="O31" s="101">
        <v>260.82</v>
      </c>
      <c r="P31" s="101">
        <v>1.0612999999999999</v>
      </c>
      <c r="Q31" s="101">
        <v>768.85</v>
      </c>
      <c r="R31" s="99">
        <v>190.15</v>
      </c>
      <c r="S31" s="101">
        <v>179.05</v>
      </c>
      <c r="T31" s="101">
        <v>667.99</v>
      </c>
      <c r="V31" s="95"/>
      <c r="W31" s="95"/>
      <c r="X31" s="95"/>
      <c r="Y31" s="16"/>
    </row>
    <row r="32" spans="1:25" ht="19.5" customHeight="1" x14ac:dyDescent="0.25">
      <c r="A32" s="8">
        <v>44894</v>
      </c>
      <c r="B32" s="98"/>
      <c r="C32" s="98"/>
      <c r="D32" s="98"/>
      <c r="E32" s="103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9">
        <v>190.15</v>
      </c>
      <c r="S32" s="101">
        <v>179.05</v>
      </c>
      <c r="T32" s="98"/>
      <c r="V32" s="95"/>
      <c r="W32" s="95"/>
      <c r="X32" s="95"/>
      <c r="Y32" s="16"/>
    </row>
    <row r="33" spans="1:24" ht="19.5" customHeight="1" x14ac:dyDescent="0.25">
      <c r="A33" s="8">
        <v>44895</v>
      </c>
      <c r="B33" s="109"/>
      <c r="C33" s="109"/>
      <c r="D33" s="1"/>
      <c r="E33" s="1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99">
        <v>190.15</v>
      </c>
      <c r="S33" s="101">
        <v>179.05</v>
      </c>
      <c r="T33" s="109"/>
      <c r="V33" s="95"/>
      <c r="W33" s="95"/>
      <c r="X33" s="95"/>
    </row>
    <row r="34" spans="1:24" ht="21" customHeight="1" x14ac:dyDescent="0.25">
      <c r="A34" s="8">
        <v>44896</v>
      </c>
      <c r="B34" s="1"/>
      <c r="C34" s="109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69">
        <f>SUM(V4:V33)</f>
        <v>0</v>
      </c>
      <c r="W34" s="69">
        <f>SUM(W4:W33)</f>
        <v>0</v>
      </c>
      <c r="X34" s="69">
        <f>SUM(X4:X33)</f>
        <v>0</v>
      </c>
    </row>
    <row r="35" spans="1:24" x14ac:dyDescent="0.25">
      <c r="S35" s="102"/>
    </row>
    <row r="41" spans="1:24" x14ac:dyDescent="0.25">
      <c r="T41" s="15" t="s">
        <v>29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39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24" sqref="A24:XFD24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61" t="s">
        <v>30</v>
      </c>
      <c r="B2" s="153" t="s">
        <v>31</v>
      </c>
      <c r="C2" s="153" t="s">
        <v>32</v>
      </c>
      <c r="D2" s="153" t="s">
        <v>118</v>
      </c>
      <c r="E2" s="161" t="s">
        <v>33</v>
      </c>
      <c r="F2" s="168" t="s">
        <v>34</v>
      </c>
      <c r="G2" s="169"/>
      <c r="H2" s="170"/>
      <c r="I2" s="171" t="s">
        <v>35</v>
      </c>
      <c r="J2" s="171" t="s">
        <v>36</v>
      </c>
      <c r="K2" s="171" t="s">
        <v>37</v>
      </c>
      <c r="L2" s="171" t="s">
        <v>38</v>
      </c>
      <c r="M2" s="172" t="s">
        <v>39</v>
      </c>
      <c r="N2" s="172"/>
      <c r="O2" s="172"/>
      <c r="P2" s="172"/>
      <c r="Q2" s="172"/>
      <c r="R2" s="172"/>
      <c r="S2" s="171" t="s">
        <v>40</v>
      </c>
      <c r="T2" s="171"/>
      <c r="U2" s="173" t="s">
        <v>41</v>
      </c>
      <c r="V2" s="171" t="s">
        <v>42</v>
      </c>
    </row>
    <row r="3" spans="1:22" x14ac:dyDescent="0.25">
      <c r="A3" s="162"/>
      <c r="B3" s="154"/>
      <c r="C3" s="154"/>
      <c r="D3" s="154"/>
      <c r="E3" s="162"/>
      <c r="F3" s="6" t="s">
        <v>26</v>
      </c>
      <c r="G3" s="6" t="s">
        <v>27</v>
      </c>
      <c r="H3" s="6" t="s">
        <v>28</v>
      </c>
      <c r="I3" s="171"/>
      <c r="J3" s="171"/>
      <c r="K3" s="171"/>
      <c r="L3" s="171"/>
      <c r="M3" s="12" t="s">
        <v>43</v>
      </c>
      <c r="N3" s="12" t="s">
        <v>44</v>
      </c>
      <c r="O3" s="12" t="s">
        <v>45</v>
      </c>
      <c r="P3" s="12" t="s">
        <v>46</v>
      </c>
      <c r="Q3" s="12" t="s">
        <v>47</v>
      </c>
      <c r="R3" s="12" t="s">
        <v>48</v>
      </c>
      <c r="S3" s="12" t="s">
        <v>49</v>
      </c>
      <c r="T3" s="13" t="s">
        <v>50</v>
      </c>
      <c r="U3" s="173"/>
      <c r="V3" s="171"/>
    </row>
    <row r="4" spans="1:22" x14ac:dyDescent="0.25">
      <c r="A4" s="3">
        <f>'Kwh Reading'!A4</f>
        <v>44866</v>
      </c>
      <c r="B4" s="126"/>
      <c r="C4" s="4">
        <f>('Kwh Reading'!T5-'Kwh Reading'!T4)*1000</f>
        <v>489.99999999989541</v>
      </c>
      <c r="D4" s="2">
        <f>('Kwh Reading'!F5-'Kwh Reading'!F4)*1000000</f>
        <v>3000.0000000001137</v>
      </c>
      <c r="E4" s="2">
        <f>('Kwh Reading'!C5-'Kwh Reading'!C4)*1000</f>
        <v>270.00000000003865</v>
      </c>
      <c r="F4" s="2">
        <f>('Kwh Reading'!J5-'Kwh Reading'!J4)*1000</f>
        <v>759.99999999999091</v>
      </c>
      <c r="G4" s="2">
        <f>('Kwh Reading'!K5-'Kwh Reading'!K4)*1000</f>
        <v>509.99999999999091</v>
      </c>
      <c r="H4" s="2">
        <f>('Kwh Reading'!L5-'Kwh Reading'!L4)*1000</f>
        <v>310.00000000000227</v>
      </c>
      <c r="I4" s="2">
        <f>('Kwh Reading'!R5-'Kwh Reading'!R4)*1000</f>
        <v>0</v>
      </c>
      <c r="J4" s="2">
        <f>('Kwh Reading'!S5-'Kwh Reading'!S4)*1000</f>
        <v>0</v>
      </c>
      <c r="K4" s="2">
        <f>('Kwh Reading'!I5-'Kwh Reading'!I4)*1000</f>
        <v>300.00000000001137</v>
      </c>
      <c r="L4" s="2">
        <f>('Kwh Reading'!B5-'Kwh Reading'!B4)*1000000</f>
        <v>1199.9999999998679</v>
      </c>
      <c r="M4" s="2">
        <f>('Kwh Reading'!M5-'Kwh Reading'!M4)*1000</f>
        <v>500</v>
      </c>
      <c r="N4" s="2">
        <f>('Kwh Reading'!H5-'Kwh Reading'!H4)*1000000</f>
        <v>799.99999999991189</v>
      </c>
      <c r="O4" s="2">
        <f>('Kwh Reading'!P5-'Kwh Reading'!P4)*1000000</f>
        <v>700.00000000014495</v>
      </c>
      <c r="P4" s="2">
        <f>('Kwh Reading'!G5-'Kwh Reading'!G4)*1000000</f>
        <v>599.99999999993395</v>
      </c>
      <c r="Q4" s="2">
        <f>('Kwh Reading'!Q5-'Kwh Reading'!Q4)*1000</f>
        <v>199.99999999993179</v>
      </c>
      <c r="R4" s="2">
        <f>('Kwh Reading'!N5-'Kwh Reading'!N4)*1000</f>
        <v>509.99999999999091</v>
      </c>
      <c r="S4" s="2">
        <f>'Kwh Reading'!E5-'Kwh Reading'!E4</f>
        <v>2790.5399999991059</v>
      </c>
      <c r="T4" s="2">
        <f>'Kwh Reading'!D5-'Kwh Reading'!D4</f>
        <v>2311.2300000000032</v>
      </c>
      <c r="U4" s="26">
        <f>('Kwh Reading'!O5-'Kwh Reading'!O4)*1000</f>
        <v>259.99999999999091</v>
      </c>
      <c r="V4" s="1">
        <f>B4-(SUM(C4:U4))</f>
        <v>-15511.769999998924</v>
      </c>
    </row>
    <row r="5" spans="1:22" x14ac:dyDescent="0.25">
      <c r="A5" s="3">
        <f>'Kwh Reading'!A5</f>
        <v>44867</v>
      </c>
      <c r="B5" s="25"/>
      <c r="C5" s="4">
        <f>('Kwh Reading'!T6-'Kwh Reading'!T5)*1000</f>
        <v>500</v>
      </c>
      <c r="D5" s="2">
        <f>('Kwh Reading'!F6-'Kwh Reading'!F5)*1000000</f>
        <v>2499.9999999999468</v>
      </c>
      <c r="E5" s="2">
        <f>('Kwh Reading'!C6-'Kwh Reading'!C5)*1000</f>
        <v>259.99999999999091</v>
      </c>
      <c r="F5" s="2">
        <f>('Kwh Reading'!J6-'Kwh Reading'!J5)*1000</f>
        <v>500</v>
      </c>
      <c r="G5" s="2">
        <f>('Kwh Reading'!K6-'Kwh Reading'!K5)*1000</f>
        <v>360.00000000001364</v>
      </c>
      <c r="H5" s="2">
        <f>('Kwh Reading'!L6-'Kwh Reading'!L5)*1000</f>
        <v>220.00000000002728</v>
      </c>
      <c r="I5" s="2">
        <f>('Kwh Reading'!R6-'Kwh Reading'!R5)*1000</f>
        <v>0</v>
      </c>
      <c r="J5" s="2">
        <f>('Kwh Reading'!S6-'Kwh Reading'!S5)*1000</f>
        <v>0</v>
      </c>
      <c r="K5" s="2">
        <f>('Kwh Reading'!I6-'Kwh Reading'!I5)*1000</f>
        <v>240.00000000000909</v>
      </c>
      <c r="L5" s="2">
        <f>('Kwh Reading'!B6-'Kwh Reading'!B5)*1000000</f>
        <v>1100.000000000101</v>
      </c>
      <c r="M5" s="2">
        <f>('Kwh Reading'!M6-'Kwh Reading'!M5)*1000</f>
        <v>379.99999999999545</v>
      </c>
      <c r="N5" s="2">
        <f>('Kwh Reading'!H6-'Kwh Reading'!H5)*1000000</f>
        <v>599.99999999993395</v>
      </c>
      <c r="O5" s="2">
        <f>('Kwh Reading'!P6-'Kwh Reading'!P5)*1000000</f>
        <v>499.99999999994492</v>
      </c>
      <c r="P5" s="2">
        <f>('Kwh Reading'!G6-'Kwh Reading'!G5)*1000000</f>
        <v>499.99999999994492</v>
      </c>
      <c r="Q5" s="2">
        <f>('Kwh Reading'!Q6-'Kwh Reading'!Q5)*1000</f>
        <v>180.00000000006366</v>
      </c>
      <c r="R5" s="2">
        <f>('Kwh Reading'!N6-'Kwh Reading'!N5)*1000</f>
        <v>400.00000000009095</v>
      </c>
      <c r="S5" s="2">
        <f>'Kwh Reading'!E6-'Kwh Reading'!E5</f>
        <v>2361.2100000008941</v>
      </c>
      <c r="T5" s="2">
        <f>'Kwh Reading'!D6-'Kwh Reading'!D5</f>
        <v>1708.1900000000023</v>
      </c>
      <c r="U5" s="26">
        <f>('Kwh Reading'!O6-'Kwh Reading'!O5)*1000</f>
        <v>189.99999999999773</v>
      </c>
      <c r="V5" s="1">
        <f t="shared" ref="V5:V11" si="0">B5-(SUM(C5:U5))</f>
        <v>-12499.400000000956</v>
      </c>
    </row>
    <row r="6" spans="1:22" x14ac:dyDescent="0.25">
      <c r="A6" s="3">
        <f>'Kwh Reading'!A6</f>
        <v>44868</v>
      </c>
      <c r="B6" s="25"/>
      <c r="C6" s="4">
        <f>('Kwh Reading'!T7-'Kwh Reading'!T6)*1000</f>
        <v>490.00000000000909</v>
      </c>
      <c r="D6" s="2">
        <f>('Kwh Reading'!F7-'Kwh Reading'!F6)*1000000</f>
        <v>2599.9999999997135</v>
      </c>
      <c r="E6" s="2">
        <f>('Kwh Reading'!C7-'Kwh Reading'!C6)*1000</f>
        <v>250</v>
      </c>
      <c r="F6" s="2">
        <f>('Kwh Reading'!J7-'Kwh Reading'!J6)*1000</f>
        <v>430.00000000006366</v>
      </c>
      <c r="G6" s="2">
        <f>('Kwh Reading'!K7-'Kwh Reading'!K6)*1000</f>
        <v>370.00000000000455</v>
      </c>
      <c r="H6" s="2">
        <f>('Kwh Reading'!L7-'Kwh Reading'!L6)*1000</f>
        <v>229.99999999996135</v>
      </c>
      <c r="I6" s="2">
        <f>('Kwh Reading'!R7-'Kwh Reading'!R6)*1000</f>
        <v>0</v>
      </c>
      <c r="J6" s="2">
        <f>('Kwh Reading'!S7-'Kwh Reading'!S6)*1000</f>
        <v>0</v>
      </c>
      <c r="K6" s="2">
        <f>('Kwh Reading'!I7-'Kwh Reading'!I6)*1000</f>
        <v>250</v>
      </c>
      <c r="L6" s="2">
        <f>('Kwh Reading'!B7-'Kwh Reading'!B6)*1000000</f>
        <v>999.99999999988984</v>
      </c>
      <c r="M6" s="2">
        <f>('Kwh Reading'!M7-'Kwh Reading'!M6)*1000</f>
        <v>460.00000000003638</v>
      </c>
      <c r="N6" s="2">
        <f>('Kwh Reading'!H7-'Kwh Reading'!H6)*1000000</f>
        <v>800.00000000013392</v>
      </c>
      <c r="O6" s="2">
        <f>('Kwh Reading'!P7-'Kwh Reading'!P6)*1000000</f>
        <v>499.99999999994492</v>
      </c>
      <c r="P6" s="2">
        <f>('Kwh Reading'!G7-'Kwh Reading'!G6)*1000000</f>
        <v>600.00000000015598</v>
      </c>
      <c r="Q6" s="2">
        <f>('Kwh Reading'!Q7-'Kwh Reading'!Q6)*1000</f>
        <v>200.00000000004547</v>
      </c>
      <c r="R6" s="2">
        <f>('Kwh Reading'!N7-'Kwh Reading'!N6)*1000</f>
        <v>419.99999999995907</v>
      </c>
      <c r="S6" s="2">
        <f>'Kwh Reading'!E7-'Kwh Reading'!E6</f>
        <v>2436.75</v>
      </c>
      <c r="T6" s="2">
        <f>'Kwh Reading'!D7-'Kwh Reading'!D6</f>
        <v>1765.7999999999956</v>
      </c>
      <c r="U6" s="26">
        <f>('Kwh Reading'!O7-'Kwh Reading'!O6)*1000</f>
        <v>210.00000000000796</v>
      </c>
      <c r="V6" s="1">
        <f t="shared" si="0"/>
        <v>-13012.549999999919</v>
      </c>
    </row>
    <row r="7" spans="1:22" x14ac:dyDescent="0.25">
      <c r="A7" s="3">
        <f>'Kwh Reading'!A7</f>
        <v>44869</v>
      </c>
      <c r="B7" s="25"/>
      <c r="C7" s="4">
        <f>('Kwh Reading'!T8-'Kwh Reading'!T7)*1000</f>
        <v>280.0000000000864</v>
      </c>
      <c r="D7" s="2">
        <f>('Kwh Reading'!F8-'Kwh Reading'!F7)*1000000</f>
        <v>2900.0000000003465</v>
      </c>
      <c r="E7" s="2">
        <f>('Kwh Reading'!C8-'Kwh Reading'!C7)*1000</f>
        <v>269.99999999998181</v>
      </c>
      <c r="F7" s="2">
        <f>('Kwh Reading'!J8-'Kwh Reading'!J7)*1000</f>
        <v>449.99999999993179</v>
      </c>
      <c r="G7" s="2">
        <f>('Kwh Reading'!K8-'Kwh Reading'!K7)*1000</f>
        <v>360.00000000001364</v>
      </c>
      <c r="H7" s="2">
        <f>('Kwh Reading'!L8-'Kwh Reading'!L7)*1000</f>
        <v>220.00000000002728</v>
      </c>
      <c r="I7" s="2">
        <f>('Kwh Reading'!R8-'Kwh Reading'!R7)*1000</f>
        <v>0</v>
      </c>
      <c r="J7" s="2">
        <f>('Kwh Reading'!S8-'Kwh Reading'!S7)*1000</f>
        <v>0</v>
      </c>
      <c r="K7" s="2">
        <f>('Kwh Reading'!I8-'Kwh Reading'!I7)*1000</f>
        <v>259.99999999999091</v>
      </c>
      <c r="L7" s="2">
        <f>('Kwh Reading'!B8-'Kwh Reading'!B7)*1000000</f>
        <v>1200.0000000000898</v>
      </c>
      <c r="M7" s="2">
        <f>('Kwh Reading'!M8-'Kwh Reading'!M7)*1000</f>
        <v>580.00000000004093</v>
      </c>
      <c r="N7" s="2">
        <f>('Kwh Reading'!H8-'Kwh Reading'!H7)*1000000</f>
        <v>599.99999999993395</v>
      </c>
      <c r="O7" s="2">
        <f>('Kwh Reading'!P8-'Kwh Reading'!P7)*1000000</f>
        <v>599.99999999993395</v>
      </c>
      <c r="P7" s="2">
        <f>('Kwh Reading'!G8-'Kwh Reading'!G7)*1000000</f>
        <v>599.99999999993395</v>
      </c>
      <c r="Q7" s="2">
        <f>('Kwh Reading'!Q8-'Kwh Reading'!Q7)*1000</f>
        <v>179.99999999994998</v>
      </c>
      <c r="R7" s="2">
        <f>('Kwh Reading'!N8-'Kwh Reading'!N7)*1000</f>
        <v>409.99999999996817</v>
      </c>
      <c r="S7" s="2">
        <f>'Kwh Reading'!E8-'Kwh Reading'!E7</f>
        <v>2169.4799999985844</v>
      </c>
      <c r="T7" s="2">
        <f>'Kwh Reading'!D8-'Kwh Reading'!D7</f>
        <v>1742.0299999999988</v>
      </c>
      <c r="U7" s="26">
        <f>('Kwh Reading'!O8-'Kwh Reading'!O7)*1000</f>
        <v>219.99999999999886</v>
      </c>
      <c r="V7" s="1">
        <f t="shared" si="0"/>
        <v>-13041.509999998811</v>
      </c>
    </row>
    <row r="8" spans="1:22" x14ac:dyDescent="0.25">
      <c r="A8" s="3">
        <f>'Kwh Reading'!A8</f>
        <v>44870</v>
      </c>
      <c r="B8" s="25"/>
      <c r="C8" s="4">
        <f>('Kwh Reading'!T9-'Kwh Reading'!T8)*1000</f>
        <v>500</v>
      </c>
      <c r="D8" s="2">
        <f>('Kwh Reading'!F9-'Kwh Reading'!F8)*1000000</f>
        <v>2699.9999999999245</v>
      </c>
      <c r="E8" s="2">
        <f>('Kwh Reading'!C9-'Kwh Reading'!C8)*1000</f>
        <v>240.00000000000909</v>
      </c>
      <c r="F8" s="2">
        <f>('Kwh Reading'!J9-'Kwh Reading'!J8)*1000</f>
        <v>520.0000000000955</v>
      </c>
      <c r="G8" s="2">
        <f>('Kwh Reading'!K9-'Kwh Reading'!K8)*1000</f>
        <v>349.99999999996589</v>
      </c>
      <c r="H8" s="2">
        <f>('Kwh Reading'!L9-'Kwh Reading'!L8)*1000</f>
        <v>209.99999999997954</v>
      </c>
      <c r="I8" s="2">
        <f>('Kwh Reading'!R9-'Kwh Reading'!R8)*1000</f>
        <v>0</v>
      </c>
      <c r="J8" s="2">
        <f>('Kwh Reading'!S9-'Kwh Reading'!S8)*1000</f>
        <v>0</v>
      </c>
      <c r="K8" s="2">
        <f>('Kwh Reading'!I9-'Kwh Reading'!I8)*1000</f>
        <v>250</v>
      </c>
      <c r="L8" s="2">
        <f>('Kwh Reading'!B9-'Kwh Reading'!B8)*1000000</f>
        <v>1099.9999999998788</v>
      </c>
      <c r="M8" s="2">
        <f>('Kwh Reading'!M9-'Kwh Reading'!M8)*1000</f>
        <v>459.99999999992269</v>
      </c>
      <c r="N8" s="2">
        <f>('Kwh Reading'!H9-'Kwh Reading'!H8)*1000000</f>
        <v>599.99999999993395</v>
      </c>
      <c r="O8" s="2">
        <f>('Kwh Reading'!P9-'Kwh Reading'!P8)*1000000</f>
        <v>500.00000000016701</v>
      </c>
      <c r="P8" s="2">
        <f>('Kwh Reading'!G9-'Kwh Reading'!G8)*1000000</f>
        <v>499.99999999994492</v>
      </c>
      <c r="Q8" s="2">
        <f>('Kwh Reading'!Q9-'Kwh Reading'!Q8)*1000</f>
        <v>179.99999999994998</v>
      </c>
      <c r="R8" s="2">
        <f>('Kwh Reading'!N9-'Kwh Reading'!N8)*1000</f>
        <v>379.99999999999545</v>
      </c>
      <c r="S8" s="2">
        <f>'Kwh Reading'!E9-'Kwh Reading'!E8</f>
        <v>2445.0800000000745</v>
      </c>
      <c r="T8" s="2">
        <f>'Kwh Reading'!D9-'Kwh Reading'!D8</f>
        <v>1526.75</v>
      </c>
      <c r="U8" s="26">
        <f>('Kwh Reading'!O9-'Kwh Reading'!O8)*1000</f>
        <v>270.00000000001023</v>
      </c>
      <c r="V8" s="1">
        <f t="shared" si="0"/>
        <v>-12731.829999999853</v>
      </c>
    </row>
    <row r="9" spans="1:22" x14ac:dyDescent="0.25">
      <c r="A9" s="3">
        <f>'Kwh Reading'!A9</f>
        <v>44871</v>
      </c>
      <c r="B9" s="25"/>
      <c r="C9" s="4">
        <f>('Kwh Reading'!T10-'Kwh Reading'!T9)*1000</f>
        <v>490.00000000000909</v>
      </c>
      <c r="D9" s="2">
        <f>('Kwh Reading'!F10-'Kwh Reading'!F9)*1000000</f>
        <v>2699.9999999999245</v>
      </c>
      <c r="E9" s="2">
        <f>('Kwh Reading'!C10-'Kwh Reading'!C9)*1000</f>
        <v>269.99999999998181</v>
      </c>
      <c r="F9" s="2">
        <f>('Kwh Reading'!J10-'Kwh Reading'!J9)*1000</f>
        <v>610.00000000001364</v>
      </c>
      <c r="G9" s="2">
        <f>('Kwh Reading'!K10-'Kwh Reading'!K9)*1000</f>
        <v>430.00000000000682</v>
      </c>
      <c r="H9" s="2">
        <f>('Kwh Reading'!L10-'Kwh Reading'!L9)*1000</f>
        <v>250</v>
      </c>
      <c r="I9" s="2">
        <f>('Kwh Reading'!R10-'Kwh Reading'!R9)*1000</f>
        <v>0</v>
      </c>
      <c r="J9" s="2">
        <f>('Kwh Reading'!S10-'Kwh Reading'!S9)*1000</f>
        <v>0</v>
      </c>
      <c r="K9" s="2">
        <f>('Kwh Reading'!I10-'Kwh Reading'!I9)*1000</f>
        <v>259.99999999999091</v>
      </c>
      <c r="L9" s="2">
        <f>('Kwh Reading'!B10-'Kwh Reading'!B9)*1000000</f>
        <v>900.0000000001229</v>
      </c>
      <c r="M9" s="2">
        <f>('Kwh Reading'!M10-'Kwh Reading'!M9)*1000</f>
        <v>440.00000000005457</v>
      </c>
      <c r="N9" s="2">
        <f>('Kwh Reading'!H10-'Kwh Reading'!H9)*1000000</f>
        <v>500.00000000016701</v>
      </c>
      <c r="O9" s="2">
        <f>('Kwh Reading'!P10-'Kwh Reading'!P9)*1000000</f>
        <v>499.99999999994492</v>
      </c>
      <c r="P9" s="2">
        <f>('Kwh Reading'!G10-'Kwh Reading'!G9)*1000000</f>
        <v>499.99999999994492</v>
      </c>
      <c r="Q9" s="2">
        <f>('Kwh Reading'!Q10-'Kwh Reading'!Q9)*1000</f>
        <v>160.00000000008185</v>
      </c>
      <c r="R9" s="2">
        <f>('Kwh Reading'!N10-'Kwh Reading'!N9)*1000</f>
        <v>320.00000000005002</v>
      </c>
      <c r="S9" s="2">
        <f>'Kwh Reading'!E10-'Kwh Reading'!E9</f>
        <v>2101.7000000011176</v>
      </c>
      <c r="T9" s="2">
        <f>'Kwh Reading'!D10-'Kwh Reading'!D9</f>
        <v>1390.0500000000029</v>
      </c>
      <c r="U9" s="26">
        <f>('Kwh Reading'!O10-'Kwh Reading'!O9)*1000</f>
        <v>209.99999999997954</v>
      </c>
      <c r="V9" s="1">
        <f t="shared" si="0"/>
        <v>-12031.750000001393</v>
      </c>
    </row>
    <row r="10" spans="1:22" x14ac:dyDescent="0.25">
      <c r="A10" s="3">
        <f>'Kwh Reading'!A10</f>
        <v>44872</v>
      </c>
      <c r="B10" s="25"/>
      <c r="C10" s="4">
        <f>('Kwh Reading'!T11-'Kwh Reading'!T10)*1000</f>
        <v>500</v>
      </c>
      <c r="D10" s="2">
        <f>('Kwh Reading'!F11-'Kwh Reading'!F10)*1000000</f>
        <v>2699.9999999999245</v>
      </c>
      <c r="E10" s="2">
        <f>('Kwh Reading'!C11-'Kwh Reading'!C10)*1000</f>
        <v>259.99999999999091</v>
      </c>
      <c r="F10" s="2">
        <f>('Kwh Reading'!J11-'Kwh Reading'!J10)*1000</f>
        <v>539.99999999996362</v>
      </c>
      <c r="G10" s="2">
        <f>('Kwh Reading'!K11-'Kwh Reading'!K10)*1000</f>
        <v>400.00000000003411</v>
      </c>
      <c r="H10" s="2">
        <f>('Kwh Reading'!L11-'Kwh Reading'!L10)*1000</f>
        <v>240.00000000000909</v>
      </c>
      <c r="I10" s="2">
        <f>('Kwh Reading'!R11-'Kwh Reading'!R10)*1000</f>
        <v>0</v>
      </c>
      <c r="J10" s="2">
        <f>('Kwh Reading'!S11-'Kwh Reading'!S10)*1000</f>
        <v>0</v>
      </c>
      <c r="K10" s="2">
        <f>('Kwh Reading'!I11-'Kwh Reading'!I10)*1000</f>
        <v>290.00000000002046</v>
      </c>
      <c r="L10" s="2">
        <f>('Kwh Reading'!B11-'Kwh Reading'!B10)*1000000</f>
        <v>1199.9999999998679</v>
      </c>
      <c r="M10" s="2">
        <f>('Kwh Reading'!M11-'Kwh Reading'!M10)*1000</f>
        <v>469.9999999999136</v>
      </c>
      <c r="N10" s="2">
        <f>('Kwh Reading'!H11-'Kwh Reading'!H10)*1000000</f>
        <v>599.99999999993395</v>
      </c>
      <c r="O10" s="2">
        <f>('Kwh Reading'!P11-'Kwh Reading'!P10)*1000000</f>
        <v>499.99999999994492</v>
      </c>
      <c r="P10" s="2">
        <f>('Kwh Reading'!G11-'Kwh Reading'!G10)*1000000</f>
        <v>600.00000000015598</v>
      </c>
      <c r="Q10" s="2">
        <f>('Kwh Reading'!Q11-'Kwh Reading'!Q10)*1000</f>
        <v>259.99999999999091</v>
      </c>
      <c r="R10" s="2">
        <f>('Kwh Reading'!N11-'Kwh Reading'!N10)*1000</f>
        <v>399.99999999997726</v>
      </c>
      <c r="S10" s="31">
        <f>'Kwh Reading'!E11-'Kwh Reading'!E10</f>
        <v>2213.5800000000745</v>
      </c>
      <c r="T10" s="31">
        <f>'Kwh Reading'!D11-'Kwh Reading'!D10</f>
        <v>1645.8300000000017</v>
      </c>
      <c r="U10" s="26">
        <f>('Kwh Reading'!O11-'Kwh Reading'!O10)*1000</f>
        <v>240.00000000000909</v>
      </c>
      <c r="V10" s="1">
        <f t="shared" si="0"/>
        <v>-13059.409999999812</v>
      </c>
    </row>
    <row r="11" spans="1:22" x14ac:dyDescent="0.25">
      <c r="A11" s="3">
        <f>'Kwh Reading'!A11</f>
        <v>44873</v>
      </c>
      <c r="B11" s="25"/>
      <c r="C11" s="4">
        <f>('Kwh Reading'!T12-'Kwh Reading'!T11)*1000</f>
        <v>489.99999999989541</v>
      </c>
      <c r="D11" s="2">
        <f>('Kwh Reading'!F12-'Kwh Reading'!F11)*1000000</f>
        <v>2499.9999999999468</v>
      </c>
      <c r="E11" s="2">
        <f>('Kwh Reading'!C12-'Kwh Reading'!C11)*1000</f>
        <v>260.00000000004775</v>
      </c>
      <c r="F11" s="2">
        <f>('Kwh Reading'!J12-'Kwh Reading'!J11)*1000</f>
        <v>539.99999999996362</v>
      </c>
      <c r="G11" s="2">
        <f>('Kwh Reading'!K12-'Kwh Reading'!K11)*1000</f>
        <v>399.99999999997726</v>
      </c>
      <c r="H11" s="2">
        <f>('Kwh Reading'!L12-'Kwh Reading'!L11)*1000</f>
        <v>219.99999999997044</v>
      </c>
      <c r="I11" s="2">
        <f>('Kwh Reading'!R12-'Kwh Reading'!R11)*1000</f>
        <v>0</v>
      </c>
      <c r="J11" s="2">
        <f>('Kwh Reading'!S12-'Kwh Reading'!S11)*1000</f>
        <v>0</v>
      </c>
      <c r="K11" s="2">
        <f>('Kwh Reading'!I12-'Kwh Reading'!I11)*1000</f>
        <v>279.99999999997272</v>
      </c>
      <c r="L11" s="2">
        <f>('Kwh Reading'!B12-'Kwh Reading'!B11)*1000000</f>
        <v>1100.000000000101</v>
      </c>
      <c r="M11" s="2">
        <f>('Kwh Reading'!M12-'Kwh Reading'!M11)*1000</f>
        <v>510.00000000010459</v>
      </c>
      <c r="N11" s="2">
        <f>('Kwh Reading'!H12-'Kwh Reading'!H11)*1000000</f>
        <v>699.99999999992292</v>
      </c>
      <c r="O11" s="2">
        <f>('Kwh Reading'!P12-'Kwh Reading'!P11)*1000000</f>
        <v>599.99999999993395</v>
      </c>
      <c r="P11" s="2">
        <f>('Kwh Reading'!G12-'Kwh Reading'!G11)*1000000</f>
        <v>599.99999999993395</v>
      </c>
      <c r="Q11" s="2">
        <f>('Kwh Reading'!Q12-'Kwh Reading'!Q11)*1000</f>
        <v>250</v>
      </c>
      <c r="R11" s="2">
        <f>('Kwh Reading'!N12-'Kwh Reading'!N11)*1000</f>
        <v>350.00000000002274</v>
      </c>
      <c r="S11" s="31">
        <f>'Kwh Reading'!E12-'Kwh Reading'!E11</f>
        <v>2515.2299999985844</v>
      </c>
      <c r="T11" s="31">
        <f>'Kwh Reading'!D12-'Kwh Reading'!D11</f>
        <v>2001.4300000000003</v>
      </c>
      <c r="U11" s="26">
        <f>('Kwh Reading'!O12-'Kwh Reading'!O11)*1000</f>
        <v>180.00000000000682</v>
      </c>
      <c r="V11" s="1">
        <f t="shared" si="0"/>
        <v>-13496.659999998385</v>
      </c>
    </row>
    <row r="12" spans="1:22" x14ac:dyDescent="0.25">
      <c r="A12" s="3">
        <f>'Kwh Reading'!A12</f>
        <v>44874</v>
      </c>
      <c r="B12" s="25"/>
      <c r="C12" s="4">
        <f>('Kwh Reading'!T13-'Kwh Reading'!T12)*1000</f>
        <v>490.00000000000909</v>
      </c>
      <c r="D12" s="2">
        <f>('Kwh Reading'!F13-'Kwh Reading'!F12)*1000000</f>
        <v>2699.9999999999245</v>
      </c>
      <c r="E12" s="2">
        <f>('Kwh Reading'!C13-'Kwh Reading'!C12)*1000</f>
        <v>269.99999999998181</v>
      </c>
      <c r="F12" s="2">
        <f>('Kwh Reading'!J13-'Kwh Reading'!J12)*1000</f>
        <v>629.99999999999545</v>
      </c>
      <c r="G12" s="2">
        <f>('Kwh Reading'!K13-'Kwh Reading'!K12)*1000</f>
        <v>410.00000000002501</v>
      </c>
      <c r="H12" s="2">
        <f>('Kwh Reading'!L13-'Kwh Reading'!L12)*1000</f>
        <v>310.00000000000227</v>
      </c>
      <c r="I12" s="2">
        <f>('Kwh Reading'!R13-'Kwh Reading'!R12)*1000</f>
        <v>0</v>
      </c>
      <c r="J12" s="2">
        <f>('Kwh Reading'!S13-'Kwh Reading'!S12)*1000</f>
        <v>0</v>
      </c>
      <c r="K12" s="2">
        <f>('Kwh Reading'!I13-'Kwh Reading'!I12)*1000</f>
        <v>200.00000000004547</v>
      </c>
      <c r="L12" s="2">
        <f>('Kwh Reading'!B13-'Kwh Reading'!B12)*1000000</f>
        <v>1400.0000000000678</v>
      </c>
      <c r="M12" s="2">
        <f>('Kwh Reading'!M13-'Kwh Reading'!M12)*1000</f>
        <v>449.99999999993179</v>
      </c>
      <c r="N12" s="2">
        <f>('Kwh Reading'!H13-'Kwh Reading'!H12)*1000000</f>
        <v>599.99999999993395</v>
      </c>
      <c r="O12" s="2">
        <f>('Kwh Reading'!P13-'Kwh Reading'!P12)*1000000</f>
        <v>500.00000000016701</v>
      </c>
      <c r="P12" s="2">
        <f>('Kwh Reading'!G13-'Kwh Reading'!G12)*1000000</f>
        <v>599.99999999993395</v>
      </c>
      <c r="Q12" s="2">
        <f>('Kwh Reading'!Q13-'Kwh Reading'!Q12)*1000</f>
        <v>230.00000000001819</v>
      </c>
      <c r="R12" s="2">
        <f>('Kwh Reading'!N13-'Kwh Reading'!N12)*1000</f>
        <v>360.00000000001364</v>
      </c>
      <c r="S12" s="31">
        <f>'Kwh Reading'!E13-'Kwh Reading'!E12</f>
        <v>2235.5400000009686</v>
      </c>
      <c r="T12" s="31">
        <f>'Kwh Reading'!D13-'Kwh Reading'!D12</f>
        <v>1792.4399999999951</v>
      </c>
      <c r="U12" s="26">
        <f>('Kwh Reading'!O13-'Kwh Reading'!O12)*1000</f>
        <v>250</v>
      </c>
      <c r="V12" s="1">
        <f t="shared" ref="V12:V33" si="1">B12-(SUM(C12:U12))</f>
        <v>-13427.980000001015</v>
      </c>
    </row>
    <row r="13" spans="1:22" x14ac:dyDescent="0.25">
      <c r="A13" s="3">
        <f>'Kwh Reading'!A13</f>
        <v>44875</v>
      </c>
      <c r="B13" s="25"/>
      <c r="C13" s="4">
        <f>('Kwh Reading'!T14-'Kwh Reading'!T13)*1000</f>
        <v>470.00000000002728</v>
      </c>
      <c r="D13" s="2">
        <f>('Kwh Reading'!F14-'Kwh Reading'!F13)*1000000</f>
        <v>2699.9999999999245</v>
      </c>
      <c r="E13" s="2">
        <f>('Kwh Reading'!C14-'Kwh Reading'!C13)*1000</f>
        <v>269.99999999998181</v>
      </c>
      <c r="F13" s="2">
        <f>('Kwh Reading'!J14-'Kwh Reading'!J13)*1000</f>
        <v>550.00000000006821</v>
      </c>
      <c r="G13" s="2">
        <f>('Kwh Reading'!K14-'Kwh Reading'!K13)*1000</f>
        <v>329.99999999998408</v>
      </c>
      <c r="H13" s="2">
        <f>('Kwh Reading'!L14-'Kwh Reading'!L13)*1000</f>
        <v>250</v>
      </c>
      <c r="I13" s="2">
        <f>('Kwh Reading'!R14-'Kwh Reading'!R13)*1000</f>
        <v>0</v>
      </c>
      <c r="J13" s="2">
        <f>('Kwh Reading'!S14-'Kwh Reading'!S13)*1000</f>
        <v>0</v>
      </c>
      <c r="K13" s="2">
        <f>('Kwh Reading'!I14-'Kwh Reading'!I13)*1000</f>
        <v>339.99999999997499</v>
      </c>
      <c r="L13" s="2">
        <f>('Kwh Reading'!B14-'Kwh Reading'!B13)*1000000</f>
        <v>599.99999999993395</v>
      </c>
      <c r="M13" s="2">
        <f>('Kwh Reading'!M14-'Kwh Reading'!M13)*1000</f>
        <v>379.99999999999545</v>
      </c>
      <c r="N13" s="2">
        <f>('Kwh Reading'!H14-'Kwh Reading'!H13)*1000000</f>
        <v>500.00000000016701</v>
      </c>
      <c r="O13" s="2">
        <f>('Kwh Reading'!P14-'Kwh Reading'!P13)*1000000</f>
        <v>399.99999999995595</v>
      </c>
      <c r="P13" s="2">
        <f>('Kwh Reading'!G14-'Kwh Reading'!G13)*1000000</f>
        <v>500.00000000016701</v>
      </c>
      <c r="Q13" s="2">
        <f>('Kwh Reading'!Q14-'Kwh Reading'!Q13)*1000</f>
        <v>169.99999999995907</v>
      </c>
      <c r="R13" s="2">
        <f>('Kwh Reading'!N14-'Kwh Reading'!N13)*1000</f>
        <v>289.99999999996362</v>
      </c>
      <c r="S13" s="31">
        <f>'Kwh Reading'!E14-'Kwh Reading'!E13</f>
        <v>1887.4599999990314</v>
      </c>
      <c r="T13" s="31">
        <f>'Kwh Reading'!D14-'Kwh Reading'!D13</f>
        <v>1316.6300000000047</v>
      </c>
      <c r="U13" s="26">
        <f>('Kwh Reading'!O14-'Kwh Reading'!O13)*1000</f>
        <v>240.00000000000909</v>
      </c>
      <c r="V13" s="1">
        <f t="shared" si="1"/>
        <v>-11194.089999999147</v>
      </c>
    </row>
    <row r="14" spans="1:22" x14ac:dyDescent="0.25">
      <c r="A14" s="3">
        <f>'Kwh Reading'!A14</f>
        <v>44876</v>
      </c>
      <c r="B14" s="25"/>
      <c r="C14" s="4">
        <f>('Kwh Reading'!T15-'Kwh Reading'!T14)*1000</f>
        <v>269.99999999998181</v>
      </c>
      <c r="D14" s="2">
        <f>('Kwh Reading'!F15-'Kwh Reading'!F14)*1000000</f>
        <v>2500.0000000003906</v>
      </c>
      <c r="E14" s="2">
        <f>('Kwh Reading'!C15-'Kwh Reading'!C14)*1000</f>
        <v>230.00000000001819</v>
      </c>
      <c r="F14" s="2">
        <f>('Kwh Reading'!J15-'Kwh Reading'!J14)*1000</f>
        <v>469.9999999999136</v>
      </c>
      <c r="G14" s="2">
        <f>('Kwh Reading'!K15-'Kwh Reading'!K14)*1000</f>
        <v>319.99999999999318</v>
      </c>
      <c r="H14" s="2">
        <f>('Kwh Reading'!L15-'Kwh Reading'!L14)*1000</f>
        <v>240.00000000000909</v>
      </c>
      <c r="I14" s="2">
        <f>('Kwh Reading'!R15-'Kwh Reading'!R14)*1000</f>
        <v>0</v>
      </c>
      <c r="J14" s="2">
        <f>('Kwh Reading'!S15-'Kwh Reading'!S14)*1000</f>
        <v>0</v>
      </c>
      <c r="K14" s="2">
        <f>('Kwh Reading'!I15-'Kwh Reading'!I14)*1000</f>
        <v>280.00000000002956</v>
      </c>
      <c r="L14" s="2">
        <f>('Kwh Reading'!B15-'Kwh Reading'!B14)*1000000</f>
        <v>999.99999999988984</v>
      </c>
      <c r="M14" s="2">
        <f>('Kwh Reading'!M15-'Kwh Reading'!M14)*1000</f>
        <v>409.99999999996817</v>
      </c>
      <c r="N14" s="2">
        <f>('Kwh Reading'!H15-'Kwh Reading'!H14)*1000000</f>
        <v>499.99999999994492</v>
      </c>
      <c r="O14" s="2">
        <f>('Kwh Reading'!P15-'Kwh Reading'!P14)*1000000</f>
        <v>399.99999999995595</v>
      </c>
      <c r="P14" s="2">
        <f>('Kwh Reading'!G15-'Kwh Reading'!G14)*1000000</f>
        <v>499.99999999994492</v>
      </c>
      <c r="Q14" s="2">
        <f>('Kwh Reading'!Q15-'Kwh Reading'!Q14)*1000</f>
        <v>169.99999999995907</v>
      </c>
      <c r="R14" s="2">
        <f>('Kwh Reading'!N15-'Kwh Reading'!N14)*1000</f>
        <v>340.00000000003183</v>
      </c>
      <c r="S14" s="31">
        <f>'Kwh Reading'!E15-'Kwh Reading'!E14</f>
        <v>1573.9300000015646</v>
      </c>
      <c r="T14" s="31">
        <f>'Kwh Reading'!D15-'Kwh Reading'!D14</f>
        <v>1149.5199999999968</v>
      </c>
      <c r="U14" s="26">
        <f>('Kwh Reading'!O15-'Kwh Reading'!O14)*1000</f>
        <v>219.99999999997044</v>
      </c>
      <c r="V14" s="1">
        <f t="shared" si="1"/>
        <v>-10573.450000001563</v>
      </c>
    </row>
    <row r="15" spans="1:22" x14ac:dyDescent="0.25">
      <c r="A15" s="3">
        <f>'Kwh Reading'!A15</f>
        <v>44877</v>
      </c>
      <c r="B15" s="25"/>
      <c r="C15" s="4">
        <f>('Kwh Reading'!T16-'Kwh Reading'!T15)*1000</f>
        <v>460.00000000003638</v>
      </c>
      <c r="D15" s="2">
        <f>('Kwh Reading'!F16-'Kwh Reading'!F15)*1000000</f>
        <v>2499.9999999999468</v>
      </c>
      <c r="E15" s="2">
        <f>('Kwh Reading'!C16-'Kwh Reading'!C15)*1000</f>
        <v>240.00000000000909</v>
      </c>
      <c r="F15" s="2">
        <f>('Kwh Reading'!J16-'Kwh Reading'!J15)*1000</f>
        <v>420.00000000007276</v>
      </c>
      <c r="G15" s="2">
        <f>('Kwh Reading'!K16-'Kwh Reading'!K15)*1000</f>
        <v>290.00000000002046</v>
      </c>
      <c r="H15" s="2">
        <f>('Kwh Reading'!L16-'Kwh Reading'!L15)*1000</f>
        <v>210.00000000003638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250</v>
      </c>
      <c r="L15" s="2">
        <f>('Kwh Reading'!B16-'Kwh Reading'!B15)*1000000</f>
        <v>1100.000000000101</v>
      </c>
      <c r="M15" s="26">
        <f>('Kwh Reading'!M16-'Kwh Reading'!M15)*1000</f>
        <v>450.00000000004547</v>
      </c>
      <c r="N15" s="2">
        <f>('Kwh Reading'!H16-'Kwh Reading'!H15)*1000000</f>
        <v>599.99999999993395</v>
      </c>
      <c r="O15" s="2">
        <f>('Kwh Reading'!P16-'Kwh Reading'!P15)*1000000</f>
        <v>599.99999999993395</v>
      </c>
      <c r="P15" s="2">
        <f>('Kwh Reading'!G16-'Kwh Reading'!G15)*1000000</f>
        <v>499.99999999994492</v>
      </c>
      <c r="Q15" s="2">
        <f>('Kwh Reading'!Q16-'Kwh Reading'!Q15)*1000</f>
        <v>200.00000000004547</v>
      </c>
      <c r="R15" s="2">
        <f>('Kwh Reading'!N16-'Kwh Reading'!N15)*1000</f>
        <v>360.00000000001364</v>
      </c>
      <c r="S15" s="31">
        <f>'Kwh Reading'!E16-'Kwh Reading'!E15</f>
        <v>2429.5799999982119</v>
      </c>
      <c r="T15" s="31">
        <f>'Kwh Reading'!D16-'Kwh Reading'!D15</f>
        <v>1420.3600000000006</v>
      </c>
      <c r="U15" s="26">
        <f>('Kwh Reading'!O16-'Kwh Reading'!O15)*1000</f>
        <v>199.99999999998863</v>
      </c>
      <c r="V15" s="1">
        <f t="shared" si="1"/>
        <v>-12229.93999999834</v>
      </c>
    </row>
    <row r="16" spans="1:22" x14ac:dyDescent="0.25">
      <c r="A16" s="3">
        <f>'Kwh Reading'!A16</f>
        <v>44878</v>
      </c>
      <c r="B16" s="25"/>
      <c r="C16" s="4">
        <f>('Kwh Reading'!T17-'Kwh Reading'!T16)*1000</f>
        <v>500</v>
      </c>
      <c r="D16" s="2">
        <f>('Kwh Reading'!F17-'Kwh Reading'!F16)*1000000</f>
        <v>3499.9999999998367</v>
      </c>
      <c r="E16" s="2">
        <f>('Kwh Reading'!C17-'Kwh Reading'!C16)*1000</f>
        <v>250</v>
      </c>
      <c r="F16" s="2">
        <f>('Kwh Reading'!J17-'Kwh Reading'!J16)*1000</f>
        <v>289.99999999996362</v>
      </c>
      <c r="G16" s="2">
        <f>('Kwh Reading'!K17-'Kwh Reading'!K16)*1000</f>
        <v>239.99999999995225</v>
      </c>
      <c r="H16" s="2">
        <f>('Kwh Reading'!L17-'Kwh Reading'!L16)*1000</f>
        <v>180.00000000000682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259.99999999999091</v>
      </c>
      <c r="L16" s="2">
        <f>('Kwh Reading'!B17-'Kwh Reading'!B16)*1000000</f>
        <v>1099.9999999998788</v>
      </c>
      <c r="M16" s="2">
        <f>('Kwh Reading'!M17-'Kwh Reading'!M16)*1000</f>
        <v>460.00000000003638</v>
      </c>
      <c r="N16" s="2">
        <f>('Kwh Reading'!H17-'Kwh Reading'!H16)*1000000</f>
        <v>600.00000000015598</v>
      </c>
      <c r="O16" s="2">
        <f>('Kwh Reading'!P17-'Kwh Reading'!P16)*1000000</f>
        <v>500.00000000016701</v>
      </c>
      <c r="P16" s="2">
        <f>('Kwh Reading'!G17-'Kwh Reading'!G16)*1000000</f>
        <v>399.99999999995595</v>
      </c>
      <c r="Q16" s="2">
        <f>('Kwh Reading'!Q17-'Kwh Reading'!Q16)*1000</f>
        <v>210.00000000003638</v>
      </c>
      <c r="R16" s="2">
        <f>('Kwh Reading'!N17-'Kwh Reading'!N16)*1000</f>
        <v>359.99999999989996</v>
      </c>
      <c r="S16" s="31">
        <f>'Kwh Reading'!E17-'Kwh Reading'!E16</f>
        <v>2327.4200000017881</v>
      </c>
      <c r="T16" s="31">
        <f>'Kwh Reading'!D17-'Kwh Reading'!D16</f>
        <v>1379</v>
      </c>
      <c r="U16" s="26">
        <f>('Kwh Reading'!O17-'Kwh Reading'!O16)*1000</f>
        <v>250</v>
      </c>
      <c r="V16" s="1">
        <f t="shared" si="1"/>
        <v>-12806.42000000167</v>
      </c>
    </row>
    <row r="17" spans="1:22" x14ac:dyDescent="0.25">
      <c r="A17" s="3">
        <f>'Kwh Reading'!A17</f>
        <v>44879</v>
      </c>
      <c r="B17" s="25"/>
      <c r="C17" s="4">
        <f>('Kwh Reading'!T18-'Kwh Reading'!T17)*1000</f>
        <v>519.99999999998181</v>
      </c>
      <c r="D17" s="2">
        <f>('Kwh Reading'!F18-'Kwh Reading'!F17)*1000000</f>
        <v>1599.9999999998238</v>
      </c>
      <c r="E17" s="2">
        <f>('Kwh Reading'!C18-'Kwh Reading'!C17)*1000</f>
        <v>229.99999999996135</v>
      </c>
      <c r="F17" s="2">
        <f>('Kwh Reading'!J18-'Kwh Reading'!J17)*1000</f>
        <v>590.00000000003183</v>
      </c>
      <c r="G17" s="2">
        <f>('Kwh Reading'!K18-'Kwh Reading'!K17)*1000</f>
        <v>340.00000000003183</v>
      </c>
      <c r="H17" s="2">
        <f>('Kwh Reading'!L18-'Kwh Reading'!L17)*1000</f>
        <v>229.99999999996135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259.99999999999091</v>
      </c>
      <c r="L17" s="2">
        <f>('Kwh Reading'!B18-'Kwh Reading'!B17)*1000000</f>
        <v>900.0000000001229</v>
      </c>
      <c r="M17" s="2">
        <f>('Kwh Reading'!M18-'Kwh Reading'!M17)*1000</f>
        <v>449.99999999993179</v>
      </c>
      <c r="N17" s="2">
        <f>('Kwh Reading'!H18-'Kwh Reading'!H17)*1000000</f>
        <v>399.99999999995595</v>
      </c>
      <c r="O17" s="2">
        <f>('Kwh Reading'!P18-'Kwh Reading'!P17)*1000000</f>
        <v>499.99999999994492</v>
      </c>
      <c r="P17" s="2">
        <f>('Kwh Reading'!G18-'Kwh Reading'!G17)*1000000</f>
        <v>500.00000000016701</v>
      </c>
      <c r="Q17" s="2">
        <f>('Kwh Reading'!Q18-'Kwh Reading'!Q17)*1000</f>
        <v>159.99999999996817</v>
      </c>
      <c r="R17" s="2">
        <f>('Kwh Reading'!N18-'Kwh Reading'!N17)*1000</f>
        <v>320.00000000005002</v>
      </c>
      <c r="S17" s="31">
        <f>'Kwh Reading'!E18-'Kwh Reading'!E17</f>
        <v>2140.0099999997765</v>
      </c>
      <c r="T17" s="31">
        <f>'Kwh Reading'!D18-'Kwh Reading'!D17</f>
        <v>1346.0800000000017</v>
      </c>
      <c r="U17" s="26">
        <f>('Kwh Reading'!O18-'Kwh Reading'!O17)*1000</f>
        <v>210.00000000003638</v>
      </c>
      <c r="V17" s="1">
        <f t="shared" si="1"/>
        <v>-10696.089999999738</v>
      </c>
    </row>
    <row r="18" spans="1:22" x14ac:dyDescent="0.25">
      <c r="A18" s="3">
        <f>'Kwh Reading'!A18</f>
        <v>44880</v>
      </c>
      <c r="B18" s="25"/>
      <c r="C18" s="4">
        <f>('Kwh Reading'!T19-'Kwh Reading'!T18)*1000</f>
        <v>509.99999999999091</v>
      </c>
      <c r="D18" s="2">
        <f>('Kwh Reading'!F19-'Kwh Reading'!F18)*1000000</f>
        <v>2600.0000000001578</v>
      </c>
      <c r="E18" s="2">
        <f>('Kwh Reading'!C19-'Kwh Reading'!C18)*1000</f>
        <v>290.00000000002046</v>
      </c>
      <c r="F18" s="2">
        <f>('Kwh Reading'!J19-'Kwh Reading'!J18)*1000</f>
        <v>500</v>
      </c>
      <c r="G18" s="2">
        <f>('Kwh Reading'!K19-'Kwh Reading'!K18)*1000</f>
        <v>339.99999999997499</v>
      </c>
      <c r="H18" s="2">
        <f>('Kwh Reading'!L19-'Kwh Reading'!L18)*1000</f>
        <v>189.99999999999773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269.99999999998181</v>
      </c>
      <c r="L18" s="2">
        <f>('Kwh Reading'!B19-'Kwh Reading'!B18)*1000000</f>
        <v>899.99999999990087</v>
      </c>
      <c r="M18" s="2">
        <f>('Kwh Reading'!M19-'Kwh Reading'!M18)*1000</f>
        <v>370.00000000000455</v>
      </c>
      <c r="N18" s="2">
        <f>('Kwh Reading'!H19-'Kwh Reading'!H18)*1000000</f>
        <v>599.99999999993395</v>
      </c>
      <c r="O18" s="26">
        <f>('Kwh Reading'!P19-'Kwh Reading'!P18)*1000000</f>
        <v>499.99999999994492</v>
      </c>
      <c r="P18" s="2">
        <f>('Kwh Reading'!G19-'Kwh Reading'!G18)*1000000</f>
        <v>599.99999999993395</v>
      </c>
      <c r="Q18" s="2">
        <f>('Kwh Reading'!Q19-'Kwh Reading'!Q18)*1000</f>
        <v>169.99999999995907</v>
      </c>
      <c r="R18" s="2">
        <f>('Kwh Reading'!N19-'Kwh Reading'!N18)*1000</f>
        <v>0</v>
      </c>
      <c r="S18" s="31">
        <f>'Kwh Reading'!E19-'Kwh Reading'!E18</f>
        <v>2070.089999999851</v>
      </c>
      <c r="T18" s="31">
        <f>'Kwh Reading'!D19-'Kwh Reading'!D18</f>
        <v>1432.0899999999965</v>
      </c>
      <c r="U18" s="26">
        <f>('Kwh Reading'!O19-'Kwh Reading'!O18)*1000</f>
        <v>209.99999999997954</v>
      </c>
      <c r="V18" s="1">
        <f t="shared" si="1"/>
        <v>-11552.179999999627</v>
      </c>
    </row>
    <row r="19" spans="1:22" x14ac:dyDescent="0.25">
      <c r="A19" s="3">
        <f>'Kwh Reading'!A19</f>
        <v>44881</v>
      </c>
      <c r="B19" s="25"/>
      <c r="C19" s="4">
        <f>('Kwh Reading'!T20-'Kwh Reading'!T19)*1000</f>
        <v>509.99999999999091</v>
      </c>
      <c r="D19" s="2">
        <f>('Kwh Reading'!F20-'Kwh Reading'!F19)*1000000</f>
        <v>2499.9999999999468</v>
      </c>
      <c r="E19" s="2">
        <f>('Kwh Reading'!C20-'Kwh Reading'!C19)*1000</f>
        <v>280.00000000002956</v>
      </c>
      <c r="F19" s="2">
        <f>('Kwh Reading'!J20-'Kwh Reading'!J19)*1000</f>
        <v>439.99999999994088</v>
      </c>
      <c r="G19" s="2">
        <f>('Kwh Reading'!K20-'Kwh Reading'!K19)*1000</f>
        <v>330.00000000004093</v>
      </c>
      <c r="H19" s="2">
        <f>('Kwh Reading'!L20-'Kwh Reading'!L19)*1000</f>
        <v>210.00000000003638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220.00000000002728</v>
      </c>
      <c r="L19" s="2">
        <f>('Kwh Reading'!B20-'Kwh Reading'!B19)*1000000</f>
        <v>900.0000000001229</v>
      </c>
      <c r="M19" s="2">
        <f>('Kwh Reading'!M20-'Kwh Reading'!M19)*1000</f>
        <v>360.00000000001364</v>
      </c>
      <c r="N19" s="2">
        <f>('Kwh Reading'!H20-'Kwh Reading'!H19)*1000000</f>
        <v>499.99999999994492</v>
      </c>
      <c r="O19" s="2">
        <f>('Kwh Reading'!P20-'Kwh Reading'!P19)*1000000</f>
        <v>299.99999999996697</v>
      </c>
      <c r="P19" s="2">
        <f>('Kwh Reading'!G20-'Kwh Reading'!G19)*1000000</f>
        <v>399.99999999995595</v>
      </c>
      <c r="Q19" s="2">
        <f>('Kwh Reading'!Q20-'Kwh Reading'!Q19)*1000</f>
        <v>139.99999999998636</v>
      </c>
      <c r="R19" s="2">
        <f>('Kwh Reading'!N20-'Kwh Reading'!N19)*1000</f>
        <v>610.00000000001364</v>
      </c>
      <c r="S19" s="31">
        <f>'Kwh Reading'!E20-'Kwh Reading'!E19</f>
        <v>1884.5800000000745</v>
      </c>
      <c r="T19" s="31">
        <f>'Kwh Reading'!D20-'Kwh Reading'!D19</f>
        <v>1259.4800000000032</v>
      </c>
      <c r="U19" s="26">
        <f>('Kwh Reading'!O20-'Kwh Reading'!O19)*1000</f>
        <v>210.00000000003638</v>
      </c>
      <c r="V19" s="1">
        <f t="shared" si="1"/>
        <v>-11054.060000000132</v>
      </c>
    </row>
    <row r="20" spans="1:22" x14ac:dyDescent="0.25">
      <c r="A20" s="3">
        <f>'Kwh Reading'!A20</f>
        <v>44882</v>
      </c>
      <c r="B20" s="25"/>
      <c r="C20" s="4">
        <f>('Kwh Reading'!T21-'Kwh Reading'!T20)*1000</f>
        <v>509.99999999999091</v>
      </c>
      <c r="D20" s="2">
        <f>('Kwh Reading'!F21-'Kwh Reading'!F20)*1000000</f>
        <v>2699.9999999999245</v>
      </c>
      <c r="E20" s="2">
        <f>('Kwh Reading'!C21-'Kwh Reading'!C20)*1000</f>
        <v>279.99999999997272</v>
      </c>
      <c r="F20" s="2">
        <f>('Kwh Reading'!J21-'Kwh Reading'!J20)*1000</f>
        <v>470.00000000002728</v>
      </c>
      <c r="G20" s="2">
        <f>('Kwh Reading'!K21-'Kwh Reading'!K20)*1000</f>
        <v>319.99999999999318</v>
      </c>
      <c r="H20" s="26">
        <f>('Kwh Reading'!L21-'Kwh Reading'!L20)*1000</f>
        <v>229.99999999996135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250</v>
      </c>
      <c r="L20" s="2">
        <f>('Kwh Reading'!B21-'Kwh Reading'!B20)*1000000</f>
        <v>999.99999999988984</v>
      </c>
      <c r="M20" s="2">
        <f>('Kwh Reading'!M21-'Kwh Reading'!M20)*1000</f>
        <v>399.99999999997726</v>
      </c>
      <c r="N20" s="2">
        <f>('Kwh Reading'!H21-'Kwh Reading'!H20)*1000000</f>
        <v>600.00000000015598</v>
      </c>
      <c r="O20" s="2">
        <f>('Kwh Reading'!P21-'Kwh Reading'!P20)*1000000</f>
        <v>399.99999999995595</v>
      </c>
      <c r="P20" s="2">
        <f>('Kwh Reading'!G21-'Kwh Reading'!G20)*1000000</f>
        <v>499.99999999994492</v>
      </c>
      <c r="Q20" s="2">
        <f>('Kwh Reading'!Q21-'Kwh Reading'!Q20)*1000</f>
        <v>170.00000000007276</v>
      </c>
      <c r="R20" s="2">
        <f>('Kwh Reading'!N21-'Kwh Reading'!N20)*1000</f>
        <v>330.00000000004093</v>
      </c>
      <c r="S20" s="31">
        <f>'Kwh Reading'!E21-'Kwh Reading'!E20</f>
        <v>2096.7899999991059</v>
      </c>
      <c r="T20" s="31">
        <f>'Kwh Reading'!D21-'Kwh Reading'!D20</f>
        <v>1395.1599999999962</v>
      </c>
      <c r="U20" s="26">
        <f>('Kwh Reading'!O21-'Kwh Reading'!O20)*1000</f>
        <v>199.99999999998863</v>
      </c>
      <c r="V20" s="1">
        <f t="shared" si="1"/>
        <v>-11851.949999999</v>
      </c>
    </row>
    <row r="21" spans="1:22" ht="16.5" customHeight="1" x14ac:dyDescent="0.25">
      <c r="A21" s="3">
        <f>'Kwh Reading'!A21</f>
        <v>44883</v>
      </c>
      <c r="B21" s="25"/>
      <c r="C21" s="4">
        <f>('Kwh Reading'!T22-'Kwh Reading'!T21)*1000</f>
        <v>470.00000000002728</v>
      </c>
      <c r="D21" s="2">
        <f>('Kwh Reading'!F22-'Kwh Reading'!F21)*1000000</f>
        <v>2500.0000000003906</v>
      </c>
      <c r="E21" s="2">
        <f>('Kwh Reading'!C22-'Kwh Reading'!C21)*1000</f>
        <v>259.99999999999091</v>
      </c>
      <c r="F21" s="2">
        <f>('Kwh Reading'!J22-'Kwh Reading'!J21)*1000</f>
        <v>490.00000000000909</v>
      </c>
      <c r="G21" s="2">
        <f>('Kwh Reading'!K22-'Kwh Reading'!K21)*1000</f>
        <v>319.99999999999318</v>
      </c>
      <c r="H21" s="2">
        <f>('Kwh Reading'!L22-'Kwh Reading'!L21)*1000</f>
        <v>210.00000000003638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229.99999999996135</v>
      </c>
      <c r="L21" s="2">
        <f>('Kwh Reading'!B22-'Kwh Reading'!B21)*1000000</f>
        <v>800.00000000013392</v>
      </c>
      <c r="M21" s="2">
        <f>('Kwh Reading'!M22-'Kwh Reading'!M21)*1000</f>
        <v>410.00000000008185</v>
      </c>
      <c r="N21" s="2">
        <f>('Kwh Reading'!H22-'Kwh Reading'!H21)*1000000</f>
        <v>499.99999999994492</v>
      </c>
      <c r="O21" s="2">
        <f>('Kwh Reading'!P22-'Kwh Reading'!P21)*1000000</f>
        <v>400.00000000017798</v>
      </c>
      <c r="P21" s="2">
        <f>('Kwh Reading'!G22-'Kwh Reading'!G21)*1000000</f>
        <v>400.00000000017798</v>
      </c>
      <c r="Q21" s="2">
        <f>('Kwh Reading'!Q22-'Kwh Reading'!Q21)*1000</f>
        <v>139.99999999998636</v>
      </c>
      <c r="R21" s="2">
        <f>('Kwh Reading'!N22-'Kwh Reading'!N21)*1000</f>
        <v>250</v>
      </c>
      <c r="S21" s="31">
        <f>'Kwh Reading'!E22-'Kwh Reading'!E21</f>
        <v>2063.0500000007451</v>
      </c>
      <c r="T21" s="31">
        <f>'Kwh Reading'!D22-'Kwh Reading'!D21</f>
        <v>1297.2300000000032</v>
      </c>
      <c r="U21" s="26">
        <f>('Kwh Reading'!O22-'Kwh Reading'!O21)*1000</f>
        <v>199.99999999998863</v>
      </c>
      <c r="V21" s="1">
        <f t="shared" si="1"/>
        <v>-10940.28000000165</v>
      </c>
    </row>
    <row r="22" spans="1:22" x14ac:dyDescent="0.25">
      <c r="A22" s="3">
        <f>'Kwh Reading'!A22</f>
        <v>44884</v>
      </c>
      <c r="B22" s="25"/>
      <c r="C22" s="4">
        <f>('Kwh Reading'!T23-'Kwh Reading'!T22)*1000</f>
        <v>500</v>
      </c>
      <c r="D22" s="2">
        <f>('Kwh Reading'!F23-'Kwh Reading'!F22)*1000000</f>
        <v>2499.9999999999468</v>
      </c>
      <c r="E22" s="2">
        <f>('Kwh Reading'!C23-'Kwh Reading'!C22)*1000</f>
        <v>240.00000000000909</v>
      </c>
      <c r="F22" s="2">
        <f>('Kwh Reading'!J23-'Kwh Reading'!J22)*1000</f>
        <v>439.99999999994088</v>
      </c>
      <c r="G22" s="2">
        <f>('Kwh Reading'!K23-'Kwh Reading'!K22)*1000</f>
        <v>289.99999999996362</v>
      </c>
      <c r="H22" s="2">
        <f>('Kwh Reading'!L23-'Kwh Reading'!L22)*1000</f>
        <v>189.99999999999773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220.00000000002728</v>
      </c>
      <c r="L22" s="2">
        <f>('Kwh Reading'!B23-'Kwh Reading'!B22)*1000000</f>
        <v>899.99999999990087</v>
      </c>
      <c r="M22" s="26">
        <f>('Kwh Reading'!M23-'Kwh Reading'!M22)*1000</f>
        <v>349.99999999990905</v>
      </c>
      <c r="N22" s="2">
        <f>('Kwh Reading'!H23-'Kwh Reading'!H22)*1000000</f>
        <v>599.99999999993395</v>
      </c>
      <c r="O22" s="2">
        <f>('Kwh Reading'!P23-'Kwh Reading'!P22)*1000000</f>
        <v>299.99999999996697</v>
      </c>
      <c r="P22" s="2">
        <f>('Kwh Reading'!G23-'Kwh Reading'!G22)*1000000</f>
        <v>299.99999999996697</v>
      </c>
      <c r="Q22" s="2">
        <f>('Kwh Reading'!Q23-'Kwh Reading'!Q22)*1000</f>
        <v>159.99999999996817</v>
      </c>
      <c r="R22" s="2">
        <f>('Kwh Reading'!N23-'Kwh Reading'!N22)*1000</f>
        <v>279.99999999997272</v>
      </c>
      <c r="S22" s="31">
        <f>'Kwh Reading'!E23-'Kwh Reading'!E22</f>
        <v>1941.0599999986589</v>
      </c>
      <c r="T22" s="31">
        <f>'Kwh Reading'!D23-'Kwh Reading'!D22</f>
        <v>1291.0300000000061</v>
      </c>
      <c r="U22" s="26">
        <f>('Kwh Reading'!O23-'Kwh Reading'!O22)*1000</f>
        <v>209.99999999997954</v>
      </c>
      <c r="V22" s="1">
        <f t="shared" si="1"/>
        <v>-10712.08999999815</v>
      </c>
    </row>
    <row r="23" spans="1:22" x14ac:dyDescent="0.25">
      <c r="A23" s="3">
        <f>'Kwh Reading'!A23</f>
        <v>44885</v>
      </c>
      <c r="B23" s="25"/>
      <c r="C23" s="4">
        <f>('Kwh Reading'!T24-'Kwh Reading'!T23)*1000</f>
        <v>500</v>
      </c>
      <c r="D23" s="2">
        <f>('Kwh Reading'!F24-'Kwh Reading'!F23)*1000000</f>
        <v>2499.9999999999468</v>
      </c>
      <c r="E23" s="2">
        <f>('Kwh Reading'!C24-'Kwh Reading'!C23)*1000</f>
        <v>250</v>
      </c>
      <c r="F23" s="2">
        <f>('Kwh Reading'!J24-'Kwh Reading'!J23)*1000</f>
        <v>410.00000000008185</v>
      </c>
      <c r="G23" s="2">
        <f>('Kwh Reading'!K24-'Kwh Reading'!K23)*1000</f>
        <v>260.00000000004775</v>
      </c>
      <c r="H23" s="2">
        <f>('Kwh Reading'!L24-'Kwh Reading'!L23)*1000</f>
        <v>209.99999999997954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219.99999999997044</v>
      </c>
      <c r="L23" s="2">
        <f>('Kwh Reading'!B24-'Kwh Reading'!B23)*1000000</f>
        <v>800.00000000013392</v>
      </c>
      <c r="M23" s="2">
        <f>('Kwh Reading'!M24-'Kwh Reading'!M23)*1000</f>
        <v>360.00000000001364</v>
      </c>
      <c r="N23" s="2">
        <f>('Kwh Reading'!H24-'Kwh Reading'!H23)*1000000</f>
        <v>499.99999999994492</v>
      </c>
      <c r="O23" s="2">
        <f>('Kwh Reading'!P24-'Kwh Reading'!P23)*1000000</f>
        <v>399.99999999995595</v>
      </c>
      <c r="P23" s="2">
        <f>('Kwh Reading'!G24-'Kwh Reading'!G23)*1000000</f>
        <v>599.99999999993395</v>
      </c>
      <c r="Q23" s="2">
        <f>('Kwh Reading'!Q24-'Kwh Reading'!Q23)*1000</f>
        <v>139.99999999998636</v>
      </c>
      <c r="R23" s="2">
        <f>('Kwh Reading'!N24-'Kwh Reading'!N23)*1000</f>
        <v>289.99999999996362</v>
      </c>
      <c r="S23" s="31">
        <f>'Kwh Reading'!E24-'Kwh Reading'!E23</f>
        <v>1882.1100000012666</v>
      </c>
      <c r="T23" s="148">
        <f>'Kwh Reading'!D24-'Kwh Reading'!D23</f>
        <v>1220.6399999999994</v>
      </c>
      <c r="U23" s="26">
        <f>('Kwh Reading'!O24-'Kwh Reading'!O23)*1000</f>
        <v>189.99999999999773</v>
      </c>
      <c r="V23" s="116">
        <f t="shared" si="1"/>
        <v>-10732.750000001224</v>
      </c>
    </row>
    <row r="24" spans="1:22" x14ac:dyDescent="0.25">
      <c r="A24" s="3">
        <f>'Kwh Reading'!A24</f>
        <v>44886</v>
      </c>
      <c r="B24" s="25"/>
      <c r="C24" s="4">
        <f>('Kwh Reading'!T25-'Kwh Reading'!T24)*1000</f>
        <v>509.99999999999091</v>
      </c>
      <c r="D24" s="2">
        <f>('Kwh Reading'!F25-'Kwh Reading'!F24)*1000000</f>
        <v>2699.9999999999245</v>
      </c>
      <c r="E24" s="2">
        <f>('Kwh Reading'!C25-'Kwh Reading'!C24)*1000</f>
        <v>250</v>
      </c>
      <c r="F24" s="2">
        <f>('Kwh Reading'!J25-'Kwh Reading'!J24)*1000</f>
        <v>529.99999999997272</v>
      </c>
      <c r="G24" s="2">
        <f>('Kwh Reading'!K25-'Kwh Reading'!K24)*1000</f>
        <v>319.99999999999318</v>
      </c>
      <c r="H24" s="2">
        <f>('Kwh Reading'!L25-'Kwh Reading'!L24)*1000</f>
        <v>290.00000000002046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270.00000000003865</v>
      </c>
      <c r="L24" s="2">
        <f>('Kwh Reading'!B25-'Kwh Reading'!B24)*1000000</f>
        <v>999.99999999988984</v>
      </c>
      <c r="M24" s="2">
        <f>('Kwh Reading'!M25-'Kwh Reading'!M24)*1000</f>
        <v>400.00000000009095</v>
      </c>
      <c r="N24" s="2">
        <f>('Kwh Reading'!H25-'Kwh Reading'!H24)*1000000</f>
        <v>600.00000000015598</v>
      </c>
      <c r="O24" s="2">
        <f>('Kwh Reading'!P25-'Kwh Reading'!P24)*1000000</f>
        <v>399.99999999995595</v>
      </c>
      <c r="P24" s="2">
        <f>('Kwh Reading'!G25-'Kwh Reading'!G24)*1000000</f>
        <v>499.99999999994492</v>
      </c>
      <c r="Q24" s="2">
        <f>('Kwh Reading'!Q25-'Kwh Reading'!Q24)*1000</f>
        <v>210.00000000003638</v>
      </c>
      <c r="R24" s="2">
        <f>('Kwh Reading'!N25-'Kwh Reading'!N24)*1000</f>
        <v>360.00000000001364</v>
      </c>
      <c r="S24" s="2">
        <f>'Kwh Reading'!E25-'Kwh Reading'!E24</f>
        <v>2334.4199999999255</v>
      </c>
      <c r="T24" s="2">
        <f>'Kwh Reading'!D25-'Kwh Reading'!D24</f>
        <v>1683.1699999999983</v>
      </c>
      <c r="U24" s="26">
        <f>('Kwh Reading'!O25-'Kwh Reading'!O24)*1000</f>
        <v>240.00000000000909</v>
      </c>
      <c r="V24" s="1">
        <f t="shared" si="1"/>
        <v>-12597.58999999996</v>
      </c>
    </row>
    <row r="25" spans="1:22" x14ac:dyDescent="0.25">
      <c r="A25" s="3">
        <f>'Kwh Reading'!A25</f>
        <v>44887</v>
      </c>
      <c r="B25" s="25"/>
      <c r="C25" s="4">
        <f>('Kwh Reading'!T26-'Kwh Reading'!T25)*1000</f>
        <v>529.99999999997272</v>
      </c>
      <c r="D25" s="2">
        <f>('Kwh Reading'!F26-'Kwh Reading'!F25)*1000000</f>
        <v>2600.0000000001578</v>
      </c>
      <c r="E25" s="2">
        <f>('Kwh Reading'!C26-'Kwh Reading'!C25)*1000</f>
        <v>230.00000000001819</v>
      </c>
      <c r="F25" s="2">
        <f>('Kwh Reading'!J26-'Kwh Reading'!J25)*1000</f>
        <v>419.99999999995907</v>
      </c>
      <c r="G25" s="2">
        <f>('Kwh Reading'!K26-'Kwh Reading'!K25)*1000</f>
        <v>279.99999999997272</v>
      </c>
      <c r="H25" s="2">
        <f>('Kwh Reading'!L26-'Kwh Reading'!L25)*1000</f>
        <v>240.00000000000909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269.99999999998181</v>
      </c>
      <c r="L25" s="2">
        <f>('Kwh Reading'!B26-'Kwh Reading'!B25)*1000000</f>
        <v>1000.0000000001119</v>
      </c>
      <c r="M25" s="2">
        <f>('Kwh Reading'!M26-'Kwh Reading'!M25)*1000</f>
        <v>459.99999999992269</v>
      </c>
      <c r="N25" s="2">
        <f>('Kwh Reading'!H26-'Kwh Reading'!H25)*1000000</f>
        <v>599.99999999993395</v>
      </c>
      <c r="O25" s="2">
        <f>('Kwh Reading'!P26-'Kwh Reading'!P25)*1000000</f>
        <v>399.99999999995595</v>
      </c>
      <c r="P25" s="2">
        <f>('Kwh Reading'!G26-'Kwh Reading'!G25)*1000000</f>
        <v>600.00000000015598</v>
      </c>
      <c r="Q25" s="2">
        <f>('Kwh Reading'!Q26-'Kwh Reading'!Q25)*1000</f>
        <v>240.00000000000909</v>
      </c>
      <c r="R25" s="2">
        <f>('Kwh Reading'!N26-'Kwh Reading'!N25)*1000</f>
        <v>370.00000000000455</v>
      </c>
      <c r="S25" s="2">
        <f>'Kwh Reading'!E26-'Kwh Reading'!E25</f>
        <v>2256.9399999994785</v>
      </c>
      <c r="T25" s="2">
        <f>'Kwh Reading'!D26-'Kwh Reading'!D25</f>
        <v>1591.5500000000029</v>
      </c>
      <c r="U25" s="26">
        <f>('Kwh Reading'!O26-'Kwh Reading'!O25)*1000</f>
        <v>220.00000000002728</v>
      </c>
      <c r="V25" s="1">
        <f t="shared" si="1"/>
        <v>-12308.489999999672</v>
      </c>
    </row>
    <row r="26" spans="1:22" x14ac:dyDescent="0.25">
      <c r="A26" s="3">
        <f>'Kwh Reading'!A26</f>
        <v>44888</v>
      </c>
      <c r="B26" s="25"/>
      <c r="C26" s="4">
        <f>('Kwh Reading'!T27-'Kwh Reading'!T26)*1000</f>
        <v>550.00000000006821</v>
      </c>
      <c r="D26" s="2">
        <f>('Kwh Reading'!F27-'Kwh Reading'!F26)*1000000</f>
        <v>2599.9999999997135</v>
      </c>
      <c r="E26" s="2">
        <f>('Kwh Reading'!C27-'Kwh Reading'!C26)*1000</f>
        <v>180.00000000000682</v>
      </c>
      <c r="F26" s="2">
        <f>('Kwh Reading'!J27-'Kwh Reading'!J26)*1000</f>
        <v>470.00000000002728</v>
      </c>
      <c r="G26" s="2">
        <f>('Kwh Reading'!K27-'Kwh Reading'!K26)*1000</f>
        <v>290.00000000002046</v>
      </c>
      <c r="H26" s="2">
        <f>('Kwh Reading'!L27-'Kwh Reading'!L26)*1000</f>
        <v>189.99999999999773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310.00000000000227</v>
      </c>
      <c r="L26" s="2">
        <f>('Kwh Reading'!B27-'Kwh Reading'!B26)*1000000</f>
        <v>999.99999999988984</v>
      </c>
      <c r="M26" s="2">
        <f>('Kwh Reading'!M27-'Kwh Reading'!M26)*1000</f>
        <v>490.00000000000909</v>
      </c>
      <c r="N26" s="2">
        <f>('Kwh Reading'!H27-'Kwh Reading'!H26)*1000000</f>
        <v>699.99999999992292</v>
      </c>
      <c r="O26" s="2">
        <f>('Kwh Reading'!P27-'Kwh Reading'!P26)*1000000</f>
        <v>500.00000000016701</v>
      </c>
      <c r="P26" s="2">
        <f>('Kwh Reading'!G27-'Kwh Reading'!G26)*1000000</f>
        <v>599.99999999993395</v>
      </c>
      <c r="Q26" s="2">
        <f>('Kwh Reading'!Q27-'Kwh Reading'!Q26)*1000</f>
        <v>259.99999999999091</v>
      </c>
      <c r="R26" s="2">
        <f>('Kwh Reading'!N27-'Kwh Reading'!N26)*1000</f>
        <v>370.00000000000455</v>
      </c>
      <c r="S26" s="2">
        <f>'Kwh Reading'!E27-'Kwh Reading'!E26</f>
        <v>2296.269999999553</v>
      </c>
      <c r="T26" s="2">
        <f>'Kwh Reading'!D27-'Kwh Reading'!D26</f>
        <v>1919.8499999999913</v>
      </c>
      <c r="U26" s="26">
        <f>('Kwh Reading'!O27-'Kwh Reading'!O26)*1000</f>
        <v>240.00000000000909</v>
      </c>
      <c r="V26" s="1">
        <f t="shared" si="1"/>
        <v>-12966.119999999308</v>
      </c>
    </row>
    <row r="27" spans="1:22" s="119" customFormat="1" x14ac:dyDescent="0.25">
      <c r="A27" s="3">
        <f>'Kwh Reading'!A27</f>
        <v>44889</v>
      </c>
      <c r="B27" s="25"/>
      <c r="C27" s="118">
        <f>('Kwh Reading'!T28-'Kwh Reading'!T27)*1000</f>
        <v>490.00000000000909</v>
      </c>
      <c r="D27" s="26">
        <f>('Kwh Reading'!F28-'Kwh Reading'!F27)*1000000</f>
        <v>2600.0000000001578</v>
      </c>
      <c r="E27" s="26">
        <f>('Kwh Reading'!C28-'Kwh Reading'!C27)*1000</f>
        <v>259.99999999999091</v>
      </c>
      <c r="F27" s="26">
        <f>('Kwh Reading'!J28-'Kwh Reading'!J27)*1000</f>
        <v>490.00000000000909</v>
      </c>
      <c r="G27" s="26">
        <f>('Kwh Reading'!K28-'Kwh Reading'!K27)*1000</f>
        <v>300.00000000001137</v>
      </c>
      <c r="H27" s="26">
        <f>('Kwh Reading'!L28-'Kwh Reading'!L27)*1000</f>
        <v>239.99999999995225</v>
      </c>
      <c r="I27" s="26">
        <f>('Kwh Reading'!R28-'Kwh Reading'!R27)*1000</f>
        <v>0</v>
      </c>
      <c r="J27" s="2">
        <f>('Kwh Reading'!S28-'Kwh Reading'!S27)*1000</f>
        <v>0</v>
      </c>
      <c r="K27" s="26">
        <f>('Kwh Reading'!I28-'Kwh Reading'!I27)*1000</f>
        <v>279.99999999997272</v>
      </c>
      <c r="L27" s="2">
        <f>('Kwh Reading'!B28-'Kwh Reading'!B27)*1000000</f>
        <v>1100.000000000101</v>
      </c>
      <c r="M27" s="26">
        <f>('Kwh Reading'!M28-'Kwh Reading'!M27)*1000</f>
        <v>399.99999999997726</v>
      </c>
      <c r="N27" s="2">
        <f>('Kwh Reading'!H28-'Kwh Reading'!H27)*1000000</f>
        <v>700.00000000014495</v>
      </c>
      <c r="O27" s="2">
        <f>('Kwh Reading'!P28-'Kwh Reading'!P27)*1000000</f>
        <v>399.99999999995595</v>
      </c>
      <c r="P27" s="26">
        <f>('Kwh Reading'!G28-'Kwh Reading'!G27)*1000000</f>
        <v>499.99999999994492</v>
      </c>
      <c r="Q27" s="26">
        <f>('Kwh Reading'!Q28-'Kwh Reading'!Q27)*1000</f>
        <v>210.00000000003638</v>
      </c>
      <c r="R27" s="26">
        <f>('Kwh Reading'!N28-'Kwh Reading'!N27)*1000</f>
        <v>330.00000000004093</v>
      </c>
      <c r="S27" s="26">
        <f>'Kwh Reading'!E28-'Kwh Reading'!E27</f>
        <v>2100.5500000007451</v>
      </c>
      <c r="T27" s="26">
        <f>'Kwh Reading'!D28-'Kwh Reading'!D27</f>
        <v>1631.1600000000035</v>
      </c>
      <c r="U27" s="26">
        <f>('Kwh Reading'!O28-'Kwh Reading'!O27)*1000</f>
        <v>199.99999999998863</v>
      </c>
      <c r="V27" s="116">
        <f t="shared" si="1"/>
        <v>-12231.710000001043</v>
      </c>
    </row>
    <row r="28" spans="1:22" s="119" customFormat="1" x14ac:dyDescent="0.25">
      <c r="A28" s="3">
        <f>'Kwh Reading'!A28</f>
        <v>44890</v>
      </c>
      <c r="B28" s="25"/>
      <c r="C28" s="118">
        <f>('Kwh Reading'!T29-'Kwh Reading'!T28)*1000</f>
        <v>500</v>
      </c>
      <c r="D28" s="26">
        <f>('Kwh Reading'!F29-'Kwh Reading'!F28)*1000000</f>
        <v>2600.0000000001578</v>
      </c>
      <c r="E28" s="26">
        <f>('Kwh Reading'!C29-'Kwh Reading'!C28)*1000</f>
        <v>240.00000000000909</v>
      </c>
      <c r="F28" s="26">
        <f>('Kwh Reading'!J29-'Kwh Reading'!J28)*1000</f>
        <v>490.00000000000909</v>
      </c>
      <c r="G28" s="26">
        <f>('Kwh Reading'!K29-'Kwh Reading'!K28)*1000</f>
        <v>299.99999999995453</v>
      </c>
      <c r="H28" s="26">
        <f>('Kwh Reading'!L29-'Kwh Reading'!L28)*1000</f>
        <v>250</v>
      </c>
      <c r="I28" s="26">
        <f>('Kwh Reading'!R29-'Kwh Reading'!R28)*1000</f>
        <v>0</v>
      </c>
      <c r="J28" s="26">
        <f>('Kwh Reading'!S29-'Kwh Reading'!S28)*1000</f>
        <v>0</v>
      </c>
      <c r="K28" s="26">
        <f>('Kwh Reading'!I29-'Kwh Reading'!I28)*1000</f>
        <v>290.00000000002046</v>
      </c>
      <c r="L28" s="2">
        <f>('Kwh Reading'!B29-'Kwh Reading'!B28)*1000000</f>
        <v>1099.9999999998788</v>
      </c>
      <c r="M28" s="26">
        <f>('Kwh Reading'!M29-'Kwh Reading'!M28)*1000</f>
        <v>389.99999999998636</v>
      </c>
      <c r="N28" s="2">
        <f>('Kwh Reading'!H29-'Kwh Reading'!H28)*1000000</f>
        <v>499.99999999994492</v>
      </c>
      <c r="O28" s="2">
        <f>('Kwh Reading'!P29-'Kwh Reading'!P28)*1000000</f>
        <v>399.99999999995595</v>
      </c>
      <c r="P28" s="26">
        <f>('Kwh Reading'!G29-'Kwh Reading'!G28)*1000000</f>
        <v>599.99999999993395</v>
      </c>
      <c r="Q28" s="26">
        <f>('Kwh Reading'!Q29-'Kwh Reading'!Q28)*1000</f>
        <v>209.99999999992269</v>
      </c>
      <c r="R28" s="26">
        <f>('Kwh Reading'!N29-'Kwh Reading'!N28)*1000</f>
        <v>299.99999999995453</v>
      </c>
      <c r="S28" s="26">
        <f>'Kwh Reading'!E29-'Kwh Reading'!E28</f>
        <v>2062.7099999990314</v>
      </c>
      <c r="T28" s="26">
        <f>'Kwh Reading'!D29-'Kwh Reading'!D28</f>
        <v>1461.0099999999948</v>
      </c>
      <c r="U28" s="26">
        <f>('Kwh Reading'!O29-'Kwh Reading'!O28)*1000</f>
        <v>219.99999999997044</v>
      </c>
      <c r="V28" s="116">
        <f t="shared" si="1"/>
        <v>-11913.719999998724</v>
      </c>
    </row>
    <row r="29" spans="1:22" x14ac:dyDescent="0.25">
      <c r="A29" s="3">
        <f>'Kwh Reading'!A29</f>
        <v>44891</v>
      </c>
      <c r="B29" s="25"/>
      <c r="C29" s="4">
        <f>('Kwh Reading'!T30-'Kwh Reading'!T29)*1000</f>
        <v>480.00000000001819</v>
      </c>
      <c r="D29" s="2">
        <f>('Kwh Reading'!F30-'Kwh Reading'!F29)*1000000</f>
        <v>2499.9999999999468</v>
      </c>
      <c r="E29" s="2">
        <f>('Kwh Reading'!C30-'Kwh Reading'!C29)*1000</f>
        <v>229.99999999996135</v>
      </c>
      <c r="F29" s="2">
        <f>('Kwh Reading'!J30-'Kwh Reading'!J29)*1000</f>
        <v>439.99999999994088</v>
      </c>
      <c r="G29" s="2">
        <f>('Kwh Reading'!K30-'Kwh Reading'!K29)*1000</f>
        <v>269.99999999998181</v>
      </c>
      <c r="H29" s="2">
        <f>('Kwh Reading'!L30-'Kwh Reading'!L29)*1000</f>
        <v>220.00000000002728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280.00000000002956</v>
      </c>
      <c r="L29" s="2">
        <f>('Kwh Reading'!B30-'Kwh Reading'!B29)*1000000</f>
        <v>1000.0000000001119</v>
      </c>
      <c r="M29" s="2">
        <f>('Kwh Reading'!M30-'Kwh Reading'!M29)*1000</f>
        <v>430.00000000006366</v>
      </c>
      <c r="N29" s="2">
        <f>('Kwh Reading'!H30-'Kwh Reading'!H29)*1000000</f>
        <v>599.99999999993395</v>
      </c>
      <c r="O29" s="2">
        <f>('Kwh Reading'!P30-'Kwh Reading'!P29)*1000000</f>
        <v>399.99999999995595</v>
      </c>
      <c r="P29" s="2">
        <f>('Kwh Reading'!G30-'Kwh Reading'!G29)*1000000</f>
        <v>500.00000000016701</v>
      </c>
      <c r="Q29" s="2">
        <f>('Kwh Reading'!Q30-'Kwh Reading'!Q29)*1000</f>
        <v>210.00000000003638</v>
      </c>
      <c r="R29" s="2">
        <f>('Kwh Reading'!N30-'Kwh Reading'!N29)*1000</f>
        <v>309.99999999994543</v>
      </c>
      <c r="S29" s="2">
        <f>'Kwh Reading'!E30-'Kwh Reading'!E29</f>
        <v>2200.6900000013411</v>
      </c>
      <c r="T29" s="2">
        <f>'Kwh Reading'!D30-'Kwh Reading'!D29</f>
        <v>1429.3099999999977</v>
      </c>
      <c r="U29" s="26">
        <f>('Kwh Reading'!O30-'Kwh Reading'!O29)*1000</f>
        <v>240.00000000000909</v>
      </c>
      <c r="V29" s="1">
        <f t="shared" si="1"/>
        <v>-11740.000000001468</v>
      </c>
    </row>
    <row r="30" spans="1:22" x14ac:dyDescent="0.25">
      <c r="A30" s="3">
        <f>'Kwh Reading'!A30</f>
        <v>44892</v>
      </c>
      <c r="B30" s="25"/>
      <c r="C30" s="4">
        <f>('Kwh Reading'!T31-'Kwh Reading'!T30)*1000</f>
        <v>539.99999999996362</v>
      </c>
      <c r="D30" s="2">
        <f>('Kwh Reading'!F31-'Kwh Reading'!F30)*1000000</f>
        <v>2599.9999999997135</v>
      </c>
      <c r="E30" s="2">
        <f>('Kwh Reading'!C31-'Kwh Reading'!C30)*1000</f>
        <v>259.99999999999091</v>
      </c>
      <c r="F30" s="2">
        <f>('Kwh Reading'!J31-'Kwh Reading'!J30)*1000</f>
        <v>410.00000000008185</v>
      </c>
      <c r="G30" s="2">
        <f>('Kwh Reading'!K31-'Kwh Reading'!K30)*1000</f>
        <v>350.00000000002274</v>
      </c>
      <c r="H30" s="2">
        <f>('Kwh Reading'!L31-'Kwh Reading'!L30)*1000</f>
        <v>209.99999999997954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299.99999999995453</v>
      </c>
      <c r="L30" s="2">
        <f>('Kwh Reading'!B31-'Kwh Reading'!B30)*1000000</f>
        <v>1099.9999999998788</v>
      </c>
      <c r="M30" s="2">
        <f>('Kwh Reading'!M31-'Kwh Reading'!M30)*1000</f>
        <v>429.99999999994998</v>
      </c>
      <c r="N30" s="2">
        <f>('Kwh Reading'!H31-'Kwh Reading'!H30)*1000000</f>
        <v>700.00000000014495</v>
      </c>
      <c r="O30" s="2">
        <f>('Kwh Reading'!P31-'Kwh Reading'!P30)*1000000</f>
        <v>499.99999999994492</v>
      </c>
      <c r="P30" s="2">
        <f>('Kwh Reading'!G31-'Kwh Reading'!G30)*1000000</f>
        <v>599.99999999993395</v>
      </c>
      <c r="Q30" s="2">
        <f>('Kwh Reading'!Q31-'Kwh Reading'!Q30)*1000</f>
        <v>230.00000000001819</v>
      </c>
      <c r="R30" s="2">
        <f>('Kwh Reading'!N31-'Kwh Reading'!N30)*1000</f>
        <v>330.00000000004093</v>
      </c>
      <c r="S30" s="2">
        <f>'Kwh Reading'!E31-'Kwh Reading'!E30</f>
        <v>2383.5800000000745</v>
      </c>
      <c r="T30" s="2">
        <f>'Kwh Reading'!D31-'Kwh Reading'!D30</f>
        <v>1442.6200000000099</v>
      </c>
      <c r="U30" s="26">
        <f>('Kwh Reading'!O31-'Kwh Reading'!O30)*1000</f>
        <v>250</v>
      </c>
      <c r="V30" s="1">
        <f t="shared" si="1"/>
        <v>-12636.199999999702</v>
      </c>
    </row>
    <row r="31" spans="1:22" x14ac:dyDescent="0.25">
      <c r="A31" s="3">
        <f>'Kwh Reading'!A31</f>
        <v>44893</v>
      </c>
      <c r="B31" s="25"/>
      <c r="C31" s="4">
        <f>('Kwh Reading'!T32-'Kwh Reading'!T31)*1000</f>
        <v>-667990</v>
      </c>
      <c r="D31" s="2">
        <f>('Kwh Reading'!F32-'Kwh Reading'!F31)*1000000</f>
        <v>-3723000</v>
      </c>
      <c r="E31" s="2">
        <f>('Kwh Reading'!C32-'Kwh Reading'!C31)*1000</f>
        <v>-358900</v>
      </c>
      <c r="F31" s="2">
        <f>('Kwh Reading'!J32-'Kwh Reading'!J31)*1000</f>
        <v>-550220</v>
      </c>
      <c r="G31" s="2">
        <f>('Kwh Reading'!K32-'Kwh Reading'!K31)*1000</f>
        <v>-513150</v>
      </c>
      <c r="H31" s="2">
        <f>('Kwh Reading'!L32-'Kwh Reading'!L31)*1000</f>
        <v>-352330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-389900</v>
      </c>
      <c r="L31" s="2">
        <f>('Kwh Reading'!B32-'Kwh Reading'!B31)*1000000</f>
        <v>-1566900</v>
      </c>
      <c r="M31" s="2">
        <f>('Kwh Reading'!M32-'Kwh Reading'!M31)*1000</f>
        <v>-874420</v>
      </c>
      <c r="N31" s="2">
        <f>('Kwh Reading'!H32-'Kwh Reading'!H31)*1000000</f>
        <v>-1089900</v>
      </c>
      <c r="O31" s="2">
        <f>('Kwh Reading'!P32-'Kwh Reading'!P31)*1000000</f>
        <v>-1061300</v>
      </c>
      <c r="P31" s="2">
        <f>('Kwh Reading'!G32-'Kwh Reading'!G31)*1000000</f>
        <v>-1165100</v>
      </c>
      <c r="Q31" s="2">
        <f>('Kwh Reading'!Q32-'Kwh Reading'!Q31)*1000</f>
        <v>-768850</v>
      </c>
      <c r="R31" s="2">
        <f>('Kwh Reading'!N32-'Kwh Reading'!N31)*1000</f>
        <v>-790510</v>
      </c>
      <c r="S31" s="2">
        <f>'Kwh Reading'!E32-'Kwh Reading'!E31</f>
        <v>-9559532.0600000005</v>
      </c>
      <c r="T31" s="2">
        <f>'Kwh Reading'!D32-'Kwh Reading'!D31</f>
        <v>-78588.52</v>
      </c>
      <c r="U31" s="26">
        <f>('Kwh Reading'!O32-'Kwh Reading'!O31)*1000</f>
        <v>-260820</v>
      </c>
      <c r="V31" s="1">
        <f t="shared" si="1"/>
        <v>23771410.580000002</v>
      </c>
    </row>
    <row r="32" spans="1:22" x14ac:dyDescent="0.25">
      <c r="A32" s="3">
        <f>'Kwh Reading'!A32</f>
        <v>44894</v>
      </c>
      <c r="B32" s="25"/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Reading'!H32)*1000000</f>
        <v>0</v>
      </c>
      <c r="O32" s="2">
        <f>('Kwh Reading'!P33-'Kwh Reading'!P32)*1000000</f>
        <v>0</v>
      </c>
      <c r="P32" s="2">
        <f>('Kwh Reading'!G33-'Kwh Reading'!G32)*1000000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6">
        <f>('Kwh Reading'!O33-'Kwh Reading'!O32)*1000</f>
        <v>0</v>
      </c>
      <c r="V32" s="1">
        <f t="shared" si="1"/>
        <v>0</v>
      </c>
    </row>
    <row r="33" spans="1:22" x14ac:dyDescent="0.25">
      <c r="A33" s="3">
        <f>'Kwh Reading'!A33</f>
        <v>44895</v>
      </c>
      <c r="B33" s="25"/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-190150</v>
      </c>
      <c r="J33" s="2">
        <f>('Kwh Reading'!S34-'Kwh Reading'!S33)*1000</f>
        <v>-179050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Reading'!H33)*1000000</f>
        <v>0</v>
      </c>
      <c r="O33" s="2">
        <f>('Kwh Reading'!P34-'Kwh Reading'!P33)*1000000</f>
        <v>0</v>
      </c>
      <c r="P33" s="2">
        <f>('Kwh Reading'!G34-'Kwh Reading'!G33)*1000000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6">
        <f>('Kwh Reading'!O34-'Kwh Reading'!O33)*1000</f>
        <v>0</v>
      </c>
      <c r="V33" s="1">
        <f t="shared" si="1"/>
        <v>369200</v>
      </c>
    </row>
    <row r="34" spans="1:22" x14ac:dyDescent="0.25">
      <c r="A34" s="71" t="s">
        <v>51</v>
      </c>
      <c r="B34" s="70">
        <f>SUM(B4:B33)</f>
        <v>0</v>
      </c>
      <c r="C34" s="66">
        <f>SUM(C4:C33)</f>
        <v>-654940</v>
      </c>
      <c r="D34" s="66">
        <f>SUM(D4:D33)</f>
        <v>-3652400</v>
      </c>
      <c r="E34" s="66">
        <f>SUM(E4:E33)</f>
        <v>-352080</v>
      </c>
      <c r="F34" s="66">
        <f>SUM(F4:F33)</f>
        <v>-536919.99999999988</v>
      </c>
      <c r="G34" s="66">
        <f t="shared" ref="G34:U34" si="2">SUM(G4:G33)</f>
        <v>-504070</v>
      </c>
      <c r="H34" s="66">
        <f t="shared" si="2"/>
        <v>-346130</v>
      </c>
      <c r="I34" s="66">
        <f t="shared" si="2"/>
        <v>-190150</v>
      </c>
      <c r="J34" s="66">
        <f t="shared" si="2"/>
        <v>-179050</v>
      </c>
      <c r="K34" s="66">
        <f t="shared" si="2"/>
        <v>-382770</v>
      </c>
      <c r="L34" s="66">
        <f t="shared" si="2"/>
        <v>-1539400.0000000002</v>
      </c>
      <c r="M34" s="66">
        <f t="shared" si="2"/>
        <v>-862770</v>
      </c>
      <c r="N34" s="66">
        <f t="shared" si="2"/>
        <v>-1073800</v>
      </c>
      <c r="O34" s="66">
        <f t="shared" si="2"/>
        <v>-1048700</v>
      </c>
      <c r="P34" s="66">
        <f t="shared" si="2"/>
        <v>-1150900</v>
      </c>
      <c r="Q34" s="66">
        <f t="shared" si="2"/>
        <v>-763610</v>
      </c>
      <c r="R34" s="66">
        <f t="shared" si="2"/>
        <v>-781160</v>
      </c>
      <c r="S34" s="66">
        <f t="shared" si="2"/>
        <v>-9500331.7100000009</v>
      </c>
      <c r="T34" s="66">
        <f t="shared" si="2"/>
        <v>-37038.879999999997</v>
      </c>
      <c r="U34" s="66">
        <f t="shared" si="2"/>
        <v>-254840</v>
      </c>
      <c r="V34" s="66">
        <f>SUM(V4:V33)</f>
        <v>23811060.590000004</v>
      </c>
    </row>
    <row r="39" spans="1:22" x14ac:dyDescent="0.25">
      <c r="S39" s="72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26" sqref="G2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5" width="14.28515625" style="15" customWidth="1"/>
    <col min="6" max="6" width="15.28515625" style="15" bestFit="1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8" t="s">
        <v>2</v>
      </c>
      <c r="B2" s="23" t="s">
        <v>31</v>
      </c>
      <c r="C2" s="32" t="s">
        <v>52</v>
      </c>
      <c r="D2" s="32" t="s">
        <v>53</v>
      </c>
      <c r="E2" s="32" t="s">
        <v>54</v>
      </c>
      <c r="F2" s="32" t="s">
        <v>55</v>
      </c>
      <c r="G2" s="19" t="s">
        <v>56</v>
      </c>
      <c r="H2" s="35" t="s">
        <v>57</v>
      </c>
      <c r="I2" s="22" t="s">
        <v>39</v>
      </c>
      <c r="J2" s="22" t="s">
        <v>58</v>
      </c>
      <c r="K2" s="22" t="s">
        <v>59</v>
      </c>
      <c r="L2" s="35" t="s">
        <v>60</v>
      </c>
    </row>
    <row r="3" spans="1:12" x14ac:dyDescent="0.25">
      <c r="A3" s="14">
        <f>'Kwh Reading'!A4</f>
        <v>44866</v>
      </c>
      <c r="B3" s="74">
        <f>TOTAL!E2</f>
        <v>20770.000000000437</v>
      </c>
      <c r="C3" s="1">
        <f>'Kwh Consumption'!C4</f>
        <v>489.99999999989541</v>
      </c>
      <c r="D3" s="1">
        <f>'Kwh Consumption'!D4</f>
        <v>3000.0000000001137</v>
      </c>
      <c r="E3" s="1">
        <f>'Kwh Consumption'!E4</f>
        <v>270.00000000003865</v>
      </c>
      <c r="F3" s="1">
        <f>('Kwh Consumption'!F4+'Kwh Consumption'!G4+'Kwh Consumption'!H4)</f>
        <v>1579.9999999999841</v>
      </c>
      <c r="G3" s="1">
        <f>('Kwh Consumption'!I4+'Kwh Consumption'!J4)</f>
        <v>0</v>
      </c>
      <c r="H3" s="1">
        <f>('Kwh Consumption'!K4+'Kwh Consumption'!L4)</f>
        <v>1499.9999999998793</v>
      </c>
      <c r="I3" s="1">
        <f>('Kwh Consumption'!M4+'Kwh Consumption'!N4+'Kwh Consumption'!O4+'Kwh Consumption'!P4+'Kwh Consumption'!Q4+'Kwh Consumption'!R4)</f>
        <v>3309.9999999999136</v>
      </c>
      <c r="J3" s="1">
        <f>('Kwh Consumption'!S4+'Kwh Consumption'!T4)</f>
        <v>5101.7699999991091</v>
      </c>
      <c r="K3" s="1">
        <f>'Kwh Consumption'!U4</f>
        <v>259.99999999999091</v>
      </c>
      <c r="L3" s="29">
        <f t="shared" ref="L3:L32" si="0">B3-C3-D3-E3-F3-G3-H3-I3-J3-K3</f>
        <v>5258.2300000015111</v>
      </c>
    </row>
    <row r="4" spans="1:12" x14ac:dyDescent="0.25">
      <c r="A4" s="14">
        <f>'Kwh Reading'!A5</f>
        <v>44867</v>
      </c>
      <c r="B4" s="74">
        <f>TOTAL!E3</f>
        <v>20129.99999999829</v>
      </c>
      <c r="C4" s="1">
        <f>'Kwh Consumption'!C5</f>
        <v>500</v>
      </c>
      <c r="D4" s="1">
        <f>'Kwh Consumption'!D5</f>
        <v>2499.9999999999468</v>
      </c>
      <c r="E4" s="1">
        <f>'Kwh Consumption'!E5</f>
        <v>259.99999999999091</v>
      </c>
      <c r="F4" s="1">
        <f>('Kwh Consumption'!F5+'Kwh Consumption'!G5+'Kwh Consumption'!H5)</f>
        <v>1080.0000000000409</v>
      </c>
      <c r="G4" s="1">
        <f>('Kwh Consumption'!I5+'Kwh Consumption'!J5)</f>
        <v>0</v>
      </c>
      <c r="H4" s="1">
        <f>('Kwh Consumption'!K5+'Kwh Consumption'!L5)</f>
        <v>1340.00000000011</v>
      </c>
      <c r="I4" s="1">
        <f>('Kwh Consumption'!M5+'Kwh Consumption'!N5+'Kwh Consumption'!O5+'Kwh Consumption'!P5+'Kwh Consumption'!Q5+'Kwh Consumption'!R5)</f>
        <v>2559.9999999999736</v>
      </c>
      <c r="J4" s="1">
        <f>('Kwh Consumption'!S5+'Kwh Consumption'!T5)</f>
        <v>4069.4000000008964</v>
      </c>
      <c r="K4" s="1">
        <f>'Kwh Consumption'!U5</f>
        <v>189.99999999999773</v>
      </c>
      <c r="L4" s="29">
        <f t="shared" si="0"/>
        <v>7630.5999999973374</v>
      </c>
    </row>
    <row r="5" spans="1:12" x14ac:dyDescent="0.25">
      <c r="A5" s="14">
        <f>'Kwh Reading'!A6</f>
        <v>44868</v>
      </c>
      <c r="B5" s="74">
        <f>TOTAL!E4</f>
        <v>19490.000000001601</v>
      </c>
      <c r="C5" s="1">
        <f>'Kwh Consumption'!C6</f>
        <v>490.00000000000909</v>
      </c>
      <c r="D5" s="1">
        <f>'Kwh Consumption'!D6</f>
        <v>2599.9999999997135</v>
      </c>
      <c r="E5" s="1">
        <f>'Kwh Consumption'!E6</f>
        <v>250</v>
      </c>
      <c r="F5" s="1">
        <f>('Kwh Consumption'!F6+'Kwh Consumption'!G6+'Kwh Consumption'!H6)</f>
        <v>1030.0000000000296</v>
      </c>
      <c r="G5" s="1">
        <f>('Kwh Consumption'!I6+'Kwh Consumption'!J6)</f>
        <v>0</v>
      </c>
      <c r="H5" s="1">
        <f>('Kwh Consumption'!K6+'Kwh Consumption'!L6)</f>
        <v>1249.99999999989</v>
      </c>
      <c r="I5" s="1">
        <f>('Kwh Consumption'!M6+'Kwh Consumption'!N6+'Kwh Consumption'!O6+'Kwh Consumption'!P6+'Kwh Consumption'!Q6+'Kwh Consumption'!R6)</f>
        <v>2980.0000000002756</v>
      </c>
      <c r="J5" s="1">
        <f>('Kwh Consumption'!S6+'Kwh Consumption'!T6)</f>
        <v>4202.5499999999956</v>
      </c>
      <c r="K5" s="1">
        <f>'Kwh Consumption'!U6</f>
        <v>210.00000000000796</v>
      </c>
      <c r="L5" s="29">
        <f t="shared" si="0"/>
        <v>6477.4500000016806</v>
      </c>
    </row>
    <row r="6" spans="1:12" x14ac:dyDescent="0.25">
      <c r="A6" s="14">
        <f>'Kwh Reading'!A7</f>
        <v>44869</v>
      </c>
      <c r="B6" s="74">
        <f>TOTAL!E5</f>
        <v>19169.999999999392</v>
      </c>
      <c r="C6" s="1">
        <f>'Kwh Consumption'!C7</f>
        <v>280.0000000000864</v>
      </c>
      <c r="D6" s="1">
        <f>'Kwh Consumption'!D7</f>
        <v>2900.0000000003465</v>
      </c>
      <c r="E6" s="1">
        <f>'Kwh Consumption'!E7</f>
        <v>269.99999999998181</v>
      </c>
      <c r="F6" s="1">
        <f>('Kwh Consumption'!F7+'Kwh Consumption'!G7+'Kwh Consumption'!H7)</f>
        <v>1029.9999999999727</v>
      </c>
      <c r="G6" s="1">
        <f>('Kwh Consumption'!I7+'Kwh Consumption'!J7)</f>
        <v>0</v>
      </c>
      <c r="H6" s="1">
        <f>('Kwh Consumption'!K7+'Kwh Consumption'!L7)</f>
        <v>1460.0000000000807</v>
      </c>
      <c r="I6" s="1">
        <f>('Kwh Consumption'!M7+'Kwh Consumption'!N7+'Kwh Consumption'!O7+'Kwh Consumption'!P7+'Kwh Consumption'!Q7+'Kwh Consumption'!R7)</f>
        <v>2969.9999999997613</v>
      </c>
      <c r="J6" s="1">
        <f>('Kwh Consumption'!S7+'Kwh Consumption'!T7)</f>
        <v>3911.5099999985832</v>
      </c>
      <c r="K6" s="1">
        <f>'Kwh Consumption'!U7</f>
        <v>219.99999999999886</v>
      </c>
      <c r="L6" s="29">
        <f t="shared" si="0"/>
        <v>6128.4900000005809</v>
      </c>
    </row>
    <row r="7" spans="1:12" x14ac:dyDescent="0.25">
      <c r="A7" s="14">
        <f>'Kwh Reading'!A8</f>
        <v>44870</v>
      </c>
      <c r="B7" s="74">
        <f>TOTAL!E6</f>
        <v>18670.000000000073</v>
      </c>
      <c r="C7" s="1">
        <f>'Kwh Consumption'!C8</f>
        <v>500</v>
      </c>
      <c r="D7" s="1">
        <f>'Kwh Consumption'!D8</f>
        <v>2699.9999999999245</v>
      </c>
      <c r="E7" s="1">
        <f>'Kwh Consumption'!E8</f>
        <v>240.00000000000909</v>
      </c>
      <c r="F7" s="1">
        <f>('Kwh Consumption'!F8+'Kwh Consumption'!G8+'Kwh Consumption'!H8)</f>
        <v>1080.0000000000409</v>
      </c>
      <c r="G7" s="1">
        <f>('Kwh Consumption'!I8+'Kwh Consumption'!J8)</f>
        <v>0</v>
      </c>
      <c r="H7" s="1">
        <f>('Kwh Consumption'!K8+'Kwh Consumption'!L8)</f>
        <v>1349.9999999998788</v>
      </c>
      <c r="I7" s="1">
        <f>('Kwh Consumption'!M8+'Kwh Consumption'!N8+'Kwh Consumption'!O8+'Kwh Consumption'!P8+'Kwh Consumption'!Q8+'Kwh Consumption'!R8)</f>
        <v>2619.9999999999141</v>
      </c>
      <c r="J7" s="1">
        <f>('Kwh Consumption'!S8+'Kwh Consumption'!T8)</f>
        <v>3971.8300000000745</v>
      </c>
      <c r="K7" s="1">
        <f>'Kwh Consumption'!U8</f>
        <v>270.00000000001023</v>
      </c>
      <c r="L7" s="29">
        <f t="shared" si="0"/>
        <v>5938.1700000002211</v>
      </c>
    </row>
    <row r="8" spans="1:12" x14ac:dyDescent="0.25">
      <c r="A8" s="14">
        <f>'Kwh Reading'!A9</f>
        <v>44871</v>
      </c>
      <c r="B8" s="74">
        <f>TOTAL!E7</f>
        <v>17409.999999999174</v>
      </c>
      <c r="C8" s="1">
        <f>'Kwh Consumption'!C9</f>
        <v>490.00000000000909</v>
      </c>
      <c r="D8" s="1">
        <f>'Kwh Consumption'!D9</f>
        <v>2699.9999999999245</v>
      </c>
      <c r="E8" s="1">
        <f>'Kwh Consumption'!E9</f>
        <v>269.99999999998181</v>
      </c>
      <c r="F8" s="1">
        <f>('Kwh Consumption'!F9+'Kwh Consumption'!G9+'Kwh Consumption'!H9)</f>
        <v>1290.0000000000205</v>
      </c>
      <c r="G8" s="1">
        <f>('Kwh Consumption'!I9+'Kwh Consumption'!J9)</f>
        <v>0</v>
      </c>
      <c r="H8" s="1">
        <f>('Kwh Consumption'!K9+'Kwh Consumption'!L9)</f>
        <v>1160.0000000001137</v>
      </c>
      <c r="I8" s="1">
        <f>('Kwh Consumption'!M9+'Kwh Consumption'!N9+'Kwh Consumption'!O9+'Kwh Consumption'!P9+'Kwh Consumption'!Q9+'Kwh Consumption'!R9)</f>
        <v>2420.0000000002433</v>
      </c>
      <c r="J8" s="1">
        <f>('Kwh Consumption'!S9+'Kwh Consumption'!T9)</f>
        <v>3491.7500000011205</v>
      </c>
      <c r="K8" s="1">
        <f>'Kwh Consumption'!U9</f>
        <v>209.99999999997954</v>
      </c>
      <c r="L8" s="29">
        <f t="shared" si="0"/>
        <v>5378.249999997779</v>
      </c>
    </row>
    <row r="9" spans="1:12" x14ac:dyDescent="0.25">
      <c r="A9" s="14">
        <f>'Kwh Reading'!A10</f>
        <v>44872</v>
      </c>
      <c r="B9" s="74">
        <f>TOTAL!E8</f>
        <v>19360.000000000808</v>
      </c>
      <c r="C9" s="1">
        <f>'Kwh Consumption'!C10</f>
        <v>500</v>
      </c>
      <c r="D9" s="1">
        <f>'Kwh Consumption'!D10</f>
        <v>2699.9999999999245</v>
      </c>
      <c r="E9" s="1">
        <f>'Kwh Consumption'!E10</f>
        <v>259.99999999999091</v>
      </c>
      <c r="F9" s="1">
        <f>('Kwh Consumption'!F10+'Kwh Consumption'!G10+'Kwh Consumption'!H10)</f>
        <v>1180.0000000000068</v>
      </c>
      <c r="G9" s="1">
        <f>('Kwh Consumption'!I10+'Kwh Consumption'!J10)</f>
        <v>0</v>
      </c>
      <c r="H9" s="1">
        <f>('Kwh Consumption'!K10+'Kwh Consumption'!L10)</f>
        <v>1489.9999999998884</v>
      </c>
      <c r="I9" s="1">
        <f>('Kwh Consumption'!M10+'Kwh Consumption'!N10+'Kwh Consumption'!O10+'Kwh Consumption'!P10+'Kwh Consumption'!Q10+'Kwh Consumption'!R10)</f>
        <v>2829.9999999999168</v>
      </c>
      <c r="J9" s="1">
        <f>('Kwh Consumption'!S10+'Kwh Consumption'!T10)</f>
        <v>3859.4100000000763</v>
      </c>
      <c r="K9" s="1">
        <f>'Kwh Consumption'!U10</f>
        <v>240.00000000000909</v>
      </c>
      <c r="L9" s="29">
        <f t="shared" si="0"/>
        <v>6300.5900000009951</v>
      </c>
    </row>
    <row r="10" spans="1:12" x14ac:dyDescent="0.25">
      <c r="A10" s="14">
        <f>'Kwh Reading'!A11</f>
        <v>44873</v>
      </c>
      <c r="B10" s="74">
        <f>TOTAL!E9</f>
        <v>19580.000000000382</v>
      </c>
      <c r="C10" s="1">
        <f>'Kwh Consumption'!C11</f>
        <v>489.99999999989541</v>
      </c>
      <c r="D10" s="1">
        <f>'Kwh Consumption'!D11</f>
        <v>2499.9999999999468</v>
      </c>
      <c r="E10" s="1">
        <f>'Kwh Consumption'!E11</f>
        <v>260.00000000004775</v>
      </c>
      <c r="F10" s="1">
        <f>('Kwh Consumption'!F11+'Kwh Consumption'!G11+'Kwh Consumption'!H11)</f>
        <v>1159.9999999999113</v>
      </c>
      <c r="G10" s="1">
        <f>('Kwh Consumption'!I11+'Kwh Consumption'!J11)</f>
        <v>0</v>
      </c>
      <c r="H10" s="1">
        <f>('Kwh Consumption'!K11+'Kwh Consumption'!L11)</f>
        <v>1380.0000000000737</v>
      </c>
      <c r="I10" s="1">
        <f>('Kwh Consumption'!M11+'Kwh Consumption'!N11+'Kwh Consumption'!O11+'Kwh Consumption'!P11+'Kwh Consumption'!Q11+'Kwh Consumption'!R11)</f>
        <v>3009.9999999999181</v>
      </c>
      <c r="J10" s="1">
        <f>('Kwh Consumption'!S11+'Kwh Consumption'!T11)</f>
        <v>4516.6599999985847</v>
      </c>
      <c r="K10" s="1">
        <f>'Kwh Consumption'!U11</f>
        <v>180.00000000000682</v>
      </c>
      <c r="L10" s="29">
        <f t="shared" si="0"/>
        <v>6083.3400000019992</v>
      </c>
    </row>
    <row r="11" spans="1:12" x14ac:dyDescent="0.25">
      <c r="A11" s="14">
        <f>'Kwh Reading'!A12</f>
        <v>44874</v>
      </c>
      <c r="B11" s="74">
        <f>TOTAL!E10</f>
        <v>19039.999999999283</v>
      </c>
      <c r="C11" s="1">
        <f>'Kwh Consumption'!C12</f>
        <v>490.00000000000909</v>
      </c>
      <c r="D11" s="1">
        <f>'Kwh Consumption'!D12</f>
        <v>2699.9999999999245</v>
      </c>
      <c r="E11" s="1">
        <f>'Kwh Consumption'!E12</f>
        <v>269.99999999998181</v>
      </c>
      <c r="F11" s="1">
        <f>('Kwh Consumption'!F12+'Kwh Consumption'!G12+'Kwh Consumption'!H12)</f>
        <v>1350.0000000000227</v>
      </c>
      <c r="G11" s="1">
        <f>('Kwh Consumption'!I12+'Kwh Consumption'!J12)</f>
        <v>0</v>
      </c>
      <c r="H11" s="1">
        <f>('Kwh Consumption'!K12+'Kwh Consumption'!L12)</f>
        <v>1600.0000000001132</v>
      </c>
      <c r="I11" s="1">
        <f>('Kwh Consumption'!M12+'Kwh Consumption'!N12+'Kwh Consumption'!O12+'Kwh Consumption'!P12+'Kwh Consumption'!Q12+'Kwh Consumption'!R12)</f>
        <v>2739.9999999999986</v>
      </c>
      <c r="J11" s="1">
        <f>('Kwh Consumption'!S12+'Kwh Consumption'!T12)</f>
        <v>4027.9800000009636</v>
      </c>
      <c r="K11" s="1">
        <f>'Kwh Consumption'!U12</f>
        <v>250</v>
      </c>
      <c r="L11" s="29">
        <f t="shared" si="0"/>
        <v>5612.0199999982706</v>
      </c>
    </row>
    <row r="12" spans="1:12" x14ac:dyDescent="0.25">
      <c r="A12" s="14">
        <f>'Kwh Reading'!A13</f>
        <v>44875</v>
      </c>
      <c r="B12" s="74">
        <f>TOTAL!E11</f>
        <v>17740.000000000462</v>
      </c>
      <c r="C12" s="1">
        <f>'Kwh Consumption'!C13</f>
        <v>470.00000000002728</v>
      </c>
      <c r="D12" s="1">
        <f>'Kwh Consumption'!D13</f>
        <v>2699.9999999999245</v>
      </c>
      <c r="E12" s="1">
        <f>'Kwh Consumption'!E13</f>
        <v>269.99999999998181</v>
      </c>
      <c r="F12" s="1">
        <f>('Kwh Consumption'!F13+'Kwh Consumption'!G13+'Kwh Consumption'!H13)</f>
        <v>1130.0000000000523</v>
      </c>
      <c r="G12" s="1">
        <f>('Kwh Consumption'!I13+'Kwh Consumption'!J13)</f>
        <v>0</v>
      </c>
      <c r="H12" s="1">
        <f>('Kwh Consumption'!K13+'Kwh Consumption'!L13)</f>
        <v>939.99999999990894</v>
      </c>
      <c r="I12" s="1">
        <f>('Kwh Consumption'!M13+'Kwh Consumption'!N13+'Kwh Consumption'!O13+'Kwh Consumption'!P13+'Kwh Consumption'!Q13+'Kwh Consumption'!R13)</f>
        <v>2240.0000000002083</v>
      </c>
      <c r="J12" s="1">
        <f>('Kwh Consumption'!S13+'Kwh Consumption'!T13)</f>
        <v>3204.0899999990361</v>
      </c>
      <c r="K12" s="1">
        <f>'Kwh Consumption'!U13</f>
        <v>240.00000000000909</v>
      </c>
      <c r="L12" s="29">
        <f t="shared" si="0"/>
        <v>6545.910000001315</v>
      </c>
    </row>
    <row r="13" spans="1:12" x14ac:dyDescent="0.25">
      <c r="A13" s="14">
        <f>'Kwh Reading'!A14</f>
        <v>44876</v>
      </c>
      <c r="B13" s="74">
        <f>TOTAL!E12</f>
        <v>15990.000000000464</v>
      </c>
      <c r="C13" s="1">
        <f>'Kwh Consumption'!C14</f>
        <v>269.99999999998181</v>
      </c>
      <c r="D13" s="1">
        <f>'Kwh Consumption'!D14</f>
        <v>2500.0000000003906</v>
      </c>
      <c r="E13" s="1">
        <f>'Kwh Consumption'!E14</f>
        <v>230.00000000001819</v>
      </c>
      <c r="F13" s="1">
        <f>('Kwh Consumption'!F14+'Kwh Consumption'!G14+'Kwh Consumption'!H14)</f>
        <v>1029.9999999999159</v>
      </c>
      <c r="G13" s="1">
        <f>('Kwh Consumption'!I14+'Kwh Consumption'!J14)</f>
        <v>0</v>
      </c>
      <c r="H13" s="1">
        <f>('Kwh Consumption'!K14+'Kwh Consumption'!L14)</f>
        <v>1279.9999999999195</v>
      </c>
      <c r="I13" s="1">
        <f>('Kwh Consumption'!M14+'Kwh Consumption'!N14+'Kwh Consumption'!O14+'Kwh Consumption'!P14+'Kwh Consumption'!Q14+'Kwh Consumption'!R14)</f>
        <v>2319.9999999998049</v>
      </c>
      <c r="J13" s="1">
        <f>('Kwh Consumption'!S14+'Kwh Consumption'!T14)</f>
        <v>2723.4500000015614</v>
      </c>
      <c r="K13" s="1">
        <f>'Kwh Consumption'!U14</f>
        <v>219.99999999997044</v>
      </c>
      <c r="L13" s="29">
        <f t="shared" si="0"/>
        <v>5416.5499999988988</v>
      </c>
    </row>
    <row r="14" spans="1:12" x14ac:dyDescent="0.25">
      <c r="A14" s="14">
        <f>'Kwh Reading'!A15</f>
        <v>44877</v>
      </c>
      <c r="B14" s="74">
        <f>TOTAL!E13</f>
        <v>18159.999999998261</v>
      </c>
      <c r="C14" s="1">
        <f>'Kwh Consumption'!C15</f>
        <v>460.00000000003638</v>
      </c>
      <c r="D14" s="1">
        <f>'Kwh Consumption'!D15</f>
        <v>2499.9999999999468</v>
      </c>
      <c r="E14" s="1">
        <f>'Kwh Consumption'!E15</f>
        <v>240.00000000000909</v>
      </c>
      <c r="F14" s="1">
        <f>('Kwh Consumption'!F15+'Kwh Consumption'!G15+'Kwh Consumption'!H15)</f>
        <v>920.0000000001296</v>
      </c>
      <c r="G14" s="1">
        <f>('Kwh Consumption'!I15+'Kwh Consumption'!J15)</f>
        <v>0</v>
      </c>
      <c r="H14" s="1">
        <f>('Kwh Consumption'!K15+'Kwh Consumption'!L15)</f>
        <v>1350.000000000101</v>
      </c>
      <c r="I14" s="1">
        <f>('Kwh Consumption'!M15+'Kwh Consumption'!N15+'Kwh Consumption'!O15+'Kwh Consumption'!P15+'Kwh Consumption'!Q15+'Kwh Consumption'!R15)</f>
        <v>2709.9999999999177</v>
      </c>
      <c r="J14" s="1">
        <f>('Kwh Consumption'!S15+'Kwh Consumption'!T15)</f>
        <v>3849.9399999982124</v>
      </c>
      <c r="K14" s="1">
        <f>'Kwh Consumption'!U15</f>
        <v>199.99999999998863</v>
      </c>
      <c r="L14" s="29">
        <f t="shared" si="0"/>
        <v>5930.0599999999195</v>
      </c>
    </row>
    <row r="15" spans="1:12" x14ac:dyDescent="0.25">
      <c r="A15" s="14">
        <f>'Kwh Reading'!A16</f>
        <v>44878</v>
      </c>
      <c r="B15" s="74">
        <f>TOTAL!E14</f>
        <v>17250.000000000455</v>
      </c>
      <c r="C15" s="1">
        <f>'Kwh Consumption'!C16</f>
        <v>500</v>
      </c>
      <c r="D15" s="1">
        <f>'Kwh Consumption'!D16</f>
        <v>3499.9999999998367</v>
      </c>
      <c r="E15" s="1">
        <f>'Kwh Consumption'!E16</f>
        <v>250</v>
      </c>
      <c r="F15" s="1">
        <f>('Kwh Consumption'!F16+'Kwh Consumption'!G16+'Kwh Consumption'!H16)</f>
        <v>709.99999999992269</v>
      </c>
      <c r="G15" s="1">
        <f>('Kwh Consumption'!I16+'Kwh Consumption'!J16)</f>
        <v>0</v>
      </c>
      <c r="H15" s="1">
        <f>('Kwh Consumption'!K16+'Kwh Consumption'!L16)</f>
        <v>1359.9999999998697</v>
      </c>
      <c r="I15" s="1">
        <f>('Kwh Consumption'!M16+'Kwh Consumption'!N16+'Kwh Consumption'!O16+'Kwh Consumption'!P16+'Kwh Consumption'!Q16+'Kwh Consumption'!R16)</f>
        <v>2530.0000000002515</v>
      </c>
      <c r="J15" s="1">
        <f>('Kwh Consumption'!S16+'Kwh Consumption'!T16)</f>
        <v>3706.4200000017881</v>
      </c>
      <c r="K15" s="1">
        <f>'Kwh Consumption'!U16</f>
        <v>250</v>
      </c>
      <c r="L15" s="29">
        <f t="shared" si="0"/>
        <v>4443.5799999987867</v>
      </c>
    </row>
    <row r="16" spans="1:12" x14ac:dyDescent="0.25">
      <c r="A16" s="14">
        <f>'Kwh Reading'!A17</f>
        <v>44879</v>
      </c>
      <c r="B16" s="74">
        <f>TOTAL!E15</f>
        <v>17249.999999999545</v>
      </c>
      <c r="C16" s="1">
        <f>'Kwh Consumption'!C17</f>
        <v>519.99999999998181</v>
      </c>
      <c r="D16" s="1">
        <f>'Kwh Consumption'!D17</f>
        <v>1599.9999999998238</v>
      </c>
      <c r="E16" s="1">
        <f>'Kwh Consumption'!E17</f>
        <v>229.99999999996135</v>
      </c>
      <c r="F16" s="1">
        <f>('Kwh Consumption'!F17+'Kwh Consumption'!G17+'Kwh Consumption'!H17)</f>
        <v>1160.000000000025</v>
      </c>
      <c r="G16" s="1">
        <f>('Kwh Consumption'!I17+'Kwh Consumption'!J17)</f>
        <v>0</v>
      </c>
      <c r="H16" s="1">
        <f>('Kwh Consumption'!K17+'Kwh Consumption'!L17)</f>
        <v>1160.0000000001137</v>
      </c>
      <c r="I16" s="1">
        <f>('Kwh Consumption'!M17+'Kwh Consumption'!N17+'Kwh Consumption'!O17+'Kwh Consumption'!P17+'Kwh Consumption'!Q17+'Kwh Consumption'!R17)</f>
        <v>2330.0000000000177</v>
      </c>
      <c r="J16" s="1">
        <f>('Kwh Consumption'!S17+'Kwh Consumption'!T17)</f>
        <v>3486.0899999997782</v>
      </c>
      <c r="K16" s="1">
        <f>'Kwh Consumption'!U17</f>
        <v>210.00000000003638</v>
      </c>
      <c r="L16" s="29">
        <f t="shared" si="0"/>
        <v>6553.909999999807</v>
      </c>
    </row>
    <row r="17" spans="1:12" x14ac:dyDescent="0.25">
      <c r="A17" s="14">
        <f>'Kwh Reading'!A18</f>
        <v>44880</v>
      </c>
      <c r="B17" s="74">
        <f>TOTAL!E16</f>
        <v>17569.999999999483</v>
      </c>
      <c r="C17" s="1">
        <f>'Kwh Consumption'!C18</f>
        <v>509.99999999999091</v>
      </c>
      <c r="D17" s="1">
        <f>'Kwh Consumption'!D18</f>
        <v>2600.0000000001578</v>
      </c>
      <c r="E17" s="1">
        <f>'Kwh Consumption'!E18</f>
        <v>290.00000000002046</v>
      </c>
      <c r="F17" s="1">
        <f>('Kwh Consumption'!F18+'Kwh Consumption'!G18+'Kwh Consumption'!H18)</f>
        <v>1029.9999999999727</v>
      </c>
      <c r="G17" s="1">
        <f>('Kwh Consumption'!I18+'Kwh Consumption'!J18)</f>
        <v>0</v>
      </c>
      <c r="H17" s="1">
        <f>('Kwh Consumption'!K18+'Kwh Consumption'!L18)</f>
        <v>1169.9999999998827</v>
      </c>
      <c r="I17" s="1">
        <f>('Kwh Consumption'!M18+'Kwh Consumption'!N18+'Kwh Consumption'!O18+'Kwh Consumption'!P18+'Kwh Consumption'!Q18+'Kwh Consumption'!R18)</f>
        <v>2239.9999999997763</v>
      </c>
      <c r="J17" s="1">
        <f>('Kwh Consumption'!S18+'Kwh Consumption'!T18)</f>
        <v>3502.1799999998475</v>
      </c>
      <c r="K17" s="1">
        <f>'Kwh Consumption'!U18</f>
        <v>209.99999999997954</v>
      </c>
      <c r="L17" s="29">
        <f t="shared" si="0"/>
        <v>6017.8199999998542</v>
      </c>
    </row>
    <row r="18" spans="1:12" x14ac:dyDescent="0.25">
      <c r="A18" s="14">
        <f>'Kwh Reading'!A19</f>
        <v>44881</v>
      </c>
      <c r="B18" s="74">
        <f>TOTAL!E17</f>
        <v>16640.000000000782</v>
      </c>
      <c r="C18" s="1">
        <f>'Kwh Consumption'!C19</f>
        <v>509.99999999999091</v>
      </c>
      <c r="D18" s="1">
        <f>'Kwh Consumption'!D19</f>
        <v>2499.9999999999468</v>
      </c>
      <c r="E18" s="1">
        <f>'Kwh Consumption'!E19</f>
        <v>280.00000000002956</v>
      </c>
      <c r="F18" s="1">
        <f>('Kwh Consumption'!F19+'Kwh Consumption'!G19+'Kwh Consumption'!H19)</f>
        <v>980.00000000001819</v>
      </c>
      <c r="G18" s="1">
        <f>('Kwh Consumption'!I19+'Kwh Consumption'!J19)</f>
        <v>0</v>
      </c>
      <c r="H18" s="1">
        <f>('Kwh Consumption'!K19+'Kwh Consumption'!L19)</f>
        <v>1120.0000000001501</v>
      </c>
      <c r="I18" s="1">
        <f>('Kwh Consumption'!M19+'Kwh Consumption'!N19+'Kwh Consumption'!O19+'Kwh Consumption'!P19+'Kwh Consumption'!Q19+'Kwh Consumption'!R19)</f>
        <v>2309.9999999998818</v>
      </c>
      <c r="J18" s="1">
        <f>('Kwh Consumption'!S19+'Kwh Consumption'!T19)</f>
        <v>3144.0600000000777</v>
      </c>
      <c r="K18" s="1">
        <f>'Kwh Consumption'!U19</f>
        <v>210.00000000003638</v>
      </c>
      <c r="L18" s="29">
        <f t="shared" si="0"/>
        <v>5585.9400000006517</v>
      </c>
    </row>
    <row r="19" spans="1:12" x14ac:dyDescent="0.25">
      <c r="A19" s="14">
        <f>'Kwh Reading'!A20</f>
        <v>44882</v>
      </c>
      <c r="B19" s="74">
        <f>TOTAL!E18</f>
        <v>17460.000000000262</v>
      </c>
      <c r="C19" s="1">
        <f>'Kwh Consumption'!C20</f>
        <v>509.99999999999091</v>
      </c>
      <c r="D19" s="1">
        <f>'Kwh Consumption'!D20</f>
        <v>2699.9999999999245</v>
      </c>
      <c r="E19" s="1">
        <f>'Kwh Consumption'!E20</f>
        <v>279.99999999997272</v>
      </c>
      <c r="F19" s="1">
        <f>('Kwh Consumption'!F20+'Kwh Consumption'!G20+'Kwh Consumption'!H20)</f>
        <v>1019.9999999999818</v>
      </c>
      <c r="G19" s="1">
        <f>('Kwh Consumption'!I20+'Kwh Consumption'!J20)</f>
        <v>0</v>
      </c>
      <c r="H19" s="1">
        <f>('Kwh Consumption'!K20+'Kwh Consumption'!L20)</f>
        <v>1249.99999999989</v>
      </c>
      <c r="I19" s="1">
        <f>('Kwh Consumption'!M20+'Kwh Consumption'!N20+'Kwh Consumption'!O20+'Kwh Consumption'!P20+'Kwh Consumption'!Q20+'Kwh Consumption'!R20)</f>
        <v>2400.0000000001478</v>
      </c>
      <c r="J19" s="1">
        <f>('Kwh Consumption'!S20+'Kwh Consumption'!T20)</f>
        <v>3491.9499999991021</v>
      </c>
      <c r="K19" s="1">
        <f>'Kwh Consumption'!U20</f>
        <v>199.99999999998863</v>
      </c>
      <c r="L19" s="29">
        <f t="shared" si="0"/>
        <v>5608.0500000012635</v>
      </c>
    </row>
    <row r="20" spans="1:12" x14ac:dyDescent="0.25">
      <c r="A20" s="14">
        <f>'Kwh Reading'!A21</f>
        <v>44883</v>
      </c>
      <c r="B20" s="74">
        <f>TOTAL!E19</f>
        <v>16240.000000001373</v>
      </c>
      <c r="C20" s="1">
        <f>'Kwh Consumption'!C21</f>
        <v>470.00000000002728</v>
      </c>
      <c r="D20" s="1">
        <f>'Kwh Consumption'!D21</f>
        <v>2500.0000000003906</v>
      </c>
      <c r="E20" s="1">
        <f>'Kwh Consumption'!E21</f>
        <v>259.99999999999091</v>
      </c>
      <c r="F20" s="1">
        <f>('Kwh Consumption'!F21+'Kwh Consumption'!G21+'Kwh Consumption'!H21)</f>
        <v>1020.0000000000387</v>
      </c>
      <c r="G20" s="1">
        <f>('Kwh Consumption'!I21+'Kwh Consumption'!J21)</f>
        <v>0</v>
      </c>
      <c r="H20" s="1">
        <f>('Kwh Consumption'!K21+'Kwh Consumption'!L21)</f>
        <v>1030.0000000000953</v>
      </c>
      <c r="I20" s="1">
        <f>('Kwh Consumption'!M21+'Kwh Consumption'!N21+'Kwh Consumption'!O21+'Kwh Consumption'!P21+'Kwh Consumption'!Q21+'Kwh Consumption'!R21)</f>
        <v>2100.0000000003693</v>
      </c>
      <c r="J20" s="1">
        <f>('Kwh Consumption'!S21+'Kwh Consumption'!T21)</f>
        <v>3360.2800000007483</v>
      </c>
      <c r="K20" s="1">
        <f>'Kwh Consumption'!U21</f>
        <v>199.99999999998863</v>
      </c>
      <c r="L20" s="29">
        <f t="shared" si="0"/>
        <v>5299.7199999997247</v>
      </c>
    </row>
    <row r="21" spans="1:12" x14ac:dyDescent="0.25">
      <c r="A21" s="14">
        <f>'Kwh Reading'!A22</f>
        <v>44884</v>
      </c>
      <c r="B21" s="74">
        <f>TOTAL!E20</f>
        <v>16209.999999999127</v>
      </c>
      <c r="C21" s="1">
        <f>'Kwh Consumption'!C22</f>
        <v>500</v>
      </c>
      <c r="D21" s="1">
        <f>'Kwh Consumption'!D22</f>
        <v>2499.9999999999468</v>
      </c>
      <c r="E21" s="1">
        <f>'Kwh Consumption'!E22</f>
        <v>240.00000000000909</v>
      </c>
      <c r="F21" s="1">
        <f>('Kwh Consumption'!F22+'Kwh Consumption'!G22+'Kwh Consumption'!H22)</f>
        <v>919.99999999990223</v>
      </c>
      <c r="G21" s="1">
        <f>('Kwh Consumption'!I22+'Kwh Consumption'!J22)</f>
        <v>0</v>
      </c>
      <c r="H21" s="1">
        <f>('Kwh Consumption'!K22+'Kwh Consumption'!L22)</f>
        <v>1119.9999999999281</v>
      </c>
      <c r="I21" s="1">
        <f>('Kwh Consumption'!M22+'Kwh Consumption'!N22+'Kwh Consumption'!O22+'Kwh Consumption'!P22+'Kwh Consumption'!Q22+'Kwh Consumption'!R22)</f>
        <v>1989.9999999997178</v>
      </c>
      <c r="J21" s="1">
        <f>('Kwh Consumption'!S22+'Kwh Consumption'!T22)</f>
        <v>3232.089999998665</v>
      </c>
      <c r="K21" s="1">
        <f>'Kwh Consumption'!U22</f>
        <v>209.99999999997954</v>
      </c>
      <c r="L21" s="29">
        <f t="shared" si="0"/>
        <v>5497.9100000009785</v>
      </c>
    </row>
    <row r="22" spans="1:12" x14ac:dyDescent="0.25">
      <c r="A22" s="14">
        <f>'Kwh Reading'!A23</f>
        <v>44885</v>
      </c>
      <c r="B22" s="74">
        <f>TOTAL!E21</f>
        <v>15379.999999999427</v>
      </c>
      <c r="C22" s="1">
        <f>'Kwh Consumption'!C23</f>
        <v>500</v>
      </c>
      <c r="D22" s="1">
        <f>'Kwh Consumption'!D23</f>
        <v>2499.9999999999468</v>
      </c>
      <c r="E22" s="1">
        <f>'Kwh Consumption'!E23</f>
        <v>250</v>
      </c>
      <c r="F22" s="1">
        <f>('Kwh Consumption'!F23+'Kwh Consumption'!G23+'Kwh Consumption'!H23)</f>
        <v>880.00000000010914</v>
      </c>
      <c r="G22" s="1">
        <f>('Kwh Consumption'!I23+'Kwh Consumption'!J23)</f>
        <v>0</v>
      </c>
      <c r="H22" s="1">
        <f>('Kwh Consumption'!K23+'Kwh Consumption'!L23)</f>
        <v>1020.0000000001044</v>
      </c>
      <c r="I22" s="1">
        <f>('Kwh Consumption'!M23+'Kwh Consumption'!N23+'Kwh Consumption'!O23+'Kwh Consumption'!P23+'Kwh Consumption'!Q23+'Kwh Consumption'!R23)</f>
        <v>2289.9999999997985</v>
      </c>
      <c r="J22" s="1">
        <f>('Kwh Consumption'!S23+'Kwh Consumption'!T23)</f>
        <v>3102.750000001266</v>
      </c>
      <c r="K22" s="1">
        <f>'Kwh Consumption'!U23</f>
        <v>189.99999999999773</v>
      </c>
      <c r="L22" s="29">
        <f t="shared" si="0"/>
        <v>4647.2499999982047</v>
      </c>
    </row>
    <row r="23" spans="1:12" x14ac:dyDescent="0.25">
      <c r="A23" s="14">
        <f>'Kwh Reading'!A24</f>
        <v>44886</v>
      </c>
      <c r="B23" s="74">
        <f>TOTAL!E22</f>
        <v>18539.999999999738</v>
      </c>
      <c r="C23" s="1">
        <f>'Kwh Consumption'!C24</f>
        <v>509.99999999999091</v>
      </c>
      <c r="D23" s="1">
        <f>'Kwh Consumption'!D24</f>
        <v>2699.9999999999245</v>
      </c>
      <c r="E23" s="1">
        <f>'Kwh Consumption'!E24</f>
        <v>250</v>
      </c>
      <c r="F23" s="1">
        <f>('Kwh Consumption'!F24+'Kwh Consumption'!G24+'Kwh Consumption'!H24)</f>
        <v>1139.9999999999864</v>
      </c>
      <c r="G23" s="1">
        <f>('Kwh Consumption'!I24+'Kwh Consumption'!J24)</f>
        <v>0</v>
      </c>
      <c r="H23" s="1">
        <f>('Kwh Consumption'!K24+'Kwh Consumption'!L24)</f>
        <v>1269.9999999999286</v>
      </c>
      <c r="I23" s="1">
        <f>('Kwh Consumption'!M24+'Kwh Consumption'!N24+'Kwh Consumption'!O24+'Kwh Consumption'!P24+'Kwh Consumption'!Q24+'Kwh Consumption'!R24)</f>
        <v>2470.0000000001978</v>
      </c>
      <c r="J23" s="1">
        <f>('Kwh Consumption'!S24+'Kwh Consumption'!T24)</f>
        <v>4017.5899999999237</v>
      </c>
      <c r="K23" s="1">
        <f>'Kwh Consumption'!U24</f>
        <v>240.00000000000909</v>
      </c>
      <c r="L23" s="29">
        <f t="shared" si="0"/>
        <v>5942.4099999997761</v>
      </c>
    </row>
    <row r="24" spans="1:12" x14ac:dyDescent="0.25">
      <c r="A24" s="14">
        <f>'Kwh Reading'!A25</f>
        <v>44887</v>
      </c>
      <c r="B24" s="74">
        <f>TOTAL!E23</f>
        <v>7810.0000000010823</v>
      </c>
      <c r="C24" s="1">
        <f>'Kwh Consumption'!C25</f>
        <v>529.99999999997272</v>
      </c>
      <c r="D24" s="1">
        <f>'Kwh Consumption'!D25</f>
        <v>2600.0000000001578</v>
      </c>
      <c r="E24" s="1">
        <f>'Kwh Consumption'!E25</f>
        <v>230.00000000001819</v>
      </c>
      <c r="F24" s="1">
        <f>('Kwh Consumption'!F25+'Kwh Consumption'!G25+'Kwh Consumption'!H25)</f>
        <v>939.99999999994088</v>
      </c>
      <c r="G24" s="1">
        <f>('Kwh Consumption'!I25+'Kwh Consumption'!J25)</f>
        <v>0</v>
      </c>
      <c r="H24" s="1">
        <f>('Kwh Consumption'!K25+'Kwh Consumption'!L25)</f>
        <v>1270.0000000000937</v>
      </c>
      <c r="I24" s="1">
        <f>('Kwh Consumption'!M25+'Kwh Consumption'!N25+'Kwh Consumption'!O25+'Kwh Consumption'!P25+'Kwh Consumption'!Q25+'Kwh Consumption'!R25)</f>
        <v>2669.9999999999823</v>
      </c>
      <c r="J24" s="1">
        <f>('Kwh Consumption'!S25+'Kwh Consumption'!T25)</f>
        <v>3848.4899999994814</v>
      </c>
      <c r="K24" s="1">
        <f>'Kwh Consumption'!U25</f>
        <v>220.00000000002728</v>
      </c>
      <c r="L24" s="29">
        <f t="shared" si="0"/>
        <v>-4498.4899999985919</v>
      </c>
    </row>
    <row r="25" spans="1:12" x14ac:dyDescent="0.25">
      <c r="A25" s="14">
        <f>'Kwh Reading'!A26</f>
        <v>44888</v>
      </c>
      <c r="B25" s="74">
        <f>TOTAL!E24</f>
        <v>29500.000000000455</v>
      </c>
      <c r="C25" s="1">
        <f>'Kwh Consumption'!C26</f>
        <v>550.00000000006821</v>
      </c>
      <c r="D25" s="1">
        <f>'Kwh Consumption'!D26</f>
        <v>2599.9999999997135</v>
      </c>
      <c r="E25" s="1">
        <f>'Kwh Consumption'!E26</f>
        <v>180.00000000000682</v>
      </c>
      <c r="F25" s="1">
        <f>('Kwh Consumption'!F26+'Kwh Consumption'!G26+'Kwh Consumption'!H26)</f>
        <v>950.00000000004547</v>
      </c>
      <c r="G25" s="1">
        <f>('Kwh Consumption'!I26+'Kwh Consumption'!J26)</f>
        <v>0</v>
      </c>
      <c r="H25" s="1">
        <f>('Kwh Consumption'!K26+'Kwh Consumption'!L26)</f>
        <v>1309.9999999998922</v>
      </c>
      <c r="I25" s="1">
        <f>('Kwh Consumption'!M26+'Kwh Consumption'!N26+'Kwh Consumption'!O26+'Kwh Consumption'!P26+'Kwh Consumption'!Q26+'Kwh Consumption'!R26)</f>
        <v>2920.0000000000286</v>
      </c>
      <c r="J25" s="1">
        <f>('Kwh Consumption'!S26+'Kwh Consumption'!T26)</f>
        <v>4216.1199999995442</v>
      </c>
      <c r="K25" s="1">
        <f>'Kwh Consumption'!U26</f>
        <v>240.00000000000909</v>
      </c>
      <c r="L25" s="29">
        <f t="shared" si="0"/>
        <v>16533.880000001147</v>
      </c>
    </row>
    <row r="26" spans="1:12" x14ac:dyDescent="0.25">
      <c r="A26" s="14">
        <f>'Kwh Reading'!A27</f>
        <v>44889</v>
      </c>
      <c r="B26" s="74">
        <f>TOTAL!E25</f>
        <v>18209.999999999352</v>
      </c>
      <c r="C26" s="1">
        <f>'Kwh Consumption'!C27</f>
        <v>490.00000000000909</v>
      </c>
      <c r="D26" s="1">
        <f>'Kwh Consumption'!D27</f>
        <v>2600.0000000001578</v>
      </c>
      <c r="E26" s="1">
        <f>'Kwh Consumption'!E27</f>
        <v>259.99999999999091</v>
      </c>
      <c r="F26" s="1">
        <f>('Kwh Consumption'!F27+'Kwh Consumption'!G27+'Kwh Consumption'!H27)</f>
        <v>1029.9999999999727</v>
      </c>
      <c r="G26" s="1">
        <f>('Kwh Consumption'!I27+'Kwh Consumption'!J27)</f>
        <v>0</v>
      </c>
      <c r="H26" s="1">
        <f>('Kwh Consumption'!K27+'Kwh Consumption'!L27)</f>
        <v>1380.0000000000737</v>
      </c>
      <c r="I26" s="1">
        <f>('Kwh Consumption'!M27+'Kwh Consumption'!N27+'Kwh Consumption'!O27+'Kwh Consumption'!P27+'Kwh Consumption'!Q27+'Kwh Consumption'!R27)</f>
        <v>2540.0000000001005</v>
      </c>
      <c r="J26" s="1">
        <f>('Kwh Consumption'!S27+'Kwh Consumption'!T27)</f>
        <v>3731.7100000007486</v>
      </c>
      <c r="K26" s="1">
        <f>'Kwh Consumption'!U27</f>
        <v>199.99999999998863</v>
      </c>
      <c r="L26" s="29">
        <f t="shared" si="0"/>
        <v>5978.289999998311</v>
      </c>
    </row>
    <row r="27" spans="1:12" x14ac:dyDescent="0.25">
      <c r="A27" s="14">
        <f>'Kwh Reading'!A28</f>
        <v>44890</v>
      </c>
      <c r="B27" s="74">
        <f>TOTAL!E26</f>
        <v>7689.9999999989177</v>
      </c>
      <c r="C27" s="1">
        <f>'Kwh Consumption'!C28</f>
        <v>500</v>
      </c>
      <c r="D27" s="1">
        <f>'Kwh Consumption'!D28</f>
        <v>2600.0000000001578</v>
      </c>
      <c r="E27" s="1">
        <f>'Kwh Consumption'!E28</f>
        <v>240.00000000000909</v>
      </c>
      <c r="F27" s="1">
        <f>('Kwh Consumption'!F28+'Kwh Consumption'!G28+'Kwh Consumption'!H28)</f>
        <v>1039.9999999999636</v>
      </c>
      <c r="G27" s="1">
        <f>('Kwh Consumption'!I28+'Kwh Consumption'!J28)</f>
        <v>0</v>
      </c>
      <c r="H27" s="1">
        <f>('Kwh Consumption'!K28+'Kwh Consumption'!L28)</f>
        <v>1389.9999999998993</v>
      </c>
      <c r="I27" s="1">
        <f>('Kwh Consumption'!M28+'Kwh Consumption'!N28+'Kwh Consumption'!O28+'Kwh Consumption'!P28+'Kwh Consumption'!Q28+'Kwh Consumption'!R28)</f>
        <v>2399.9999999996985</v>
      </c>
      <c r="J27" s="1">
        <f>('Kwh Consumption'!S28+'Kwh Consumption'!T28)</f>
        <v>3523.7199999990262</v>
      </c>
      <c r="K27" s="1">
        <f>'Kwh Consumption'!U28</f>
        <v>219.99999999997044</v>
      </c>
      <c r="L27" s="29">
        <f t="shared" si="0"/>
        <v>-4223.7199999998084</v>
      </c>
    </row>
    <row r="28" spans="1:12" x14ac:dyDescent="0.25">
      <c r="A28" s="14">
        <f>'Kwh Reading'!A29</f>
        <v>44891</v>
      </c>
      <c r="B28" s="74">
        <f>TOTAL!E27</f>
        <v>27750.000000000684</v>
      </c>
      <c r="C28" s="1">
        <f>'Kwh Consumption'!C29</f>
        <v>480.00000000001819</v>
      </c>
      <c r="D28" s="1">
        <f>'Kwh Consumption'!D29</f>
        <v>2499.9999999999468</v>
      </c>
      <c r="E28" s="1">
        <f>'Kwh Consumption'!E29</f>
        <v>229.99999999996135</v>
      </c>
      <c r="F28" s="1">
        <f>('Kwh Consumption'!F29+'Kwh Consumption'!G29+'Kwh Consumption'!H29)</f>
        <v>929.99999999994998</v>
      </c>
      <c r="G28" s="1">
        <f>('Kwh Consumption'!I29+'Kwh Consumption'!J29)</f>
        <v>0</v>
      </c>
      <c r="H28" s="1">
        <f>('Kwh Consumption'!K29+'Kwh Consumption'!L29)</f>
        <v>1280.0000000001414</v>
      </c>
      <c r="I28" s="1">
        <f>('Kwh Consumption'!M29+'Kwh Consumption'!N29+'Kwh Consumption'!O29+'Kwh Consumption'!P29+'Kwh Consumption'!Q29+'Kwh Consumption'!R29)</f>
        <v>2450.0000000001023</v>
      </c>
      <c r="J28" s="1">
        <f>('Kwh Consumption'!S29+'Kwh Consumption'!T29)</f>
        <v>3630.0000000013388</v>
      </c>
      <c r="K28" s="1">
        <f>'Kwh Consumption'!U29</f>
        <v>240.00000000000909</v>
      </c>
      <c r="L28" s="29">
        <f t="shared" si="0"/>
        <v>16009.99999999922</v>
      </c>
    </row>
    <row r="29" spans="1:12" x14ac:dyDescent="0.25">
      <c r="A29" s="14">
        <f>'Kwh Reading'!A30</f>
        <v>44892</v>
      </c>
      <c r="B29" s="74">
        <f>TOTAL!E28</f>
        <v>17710.000000000036</v>
      </c>
      <c r="C29" s="1">
        <f>'Kwh Consumption'!C30</f>
        <v>539.99999999996362</v>
      </c>
      <c r="D29" s="1">
        <f>'Kwh Consumption'!D30</f>
        <v>2599.9999999997135</v>
      </c>
      <c r="E29" s="1">
        <f>'Kwh Consumption'!E30</f>
        <v>259.99999999999091</v>
      </c>
      <c r="F29" s="1">
        <f>('Kwh Consumption'!F30+'Kwh Consumption'!G30+'Kwh Consumption'!H30)</f>
        <v>970.00000000008413</v>
      </c>
      <c r="G29" s="1">
        <f>('Kwh Consumption'!I30+'Kwh Consumption'!J30)</f>
        <v>0</v>
      </c>
      <c r="H29" s="1">
        <f>('Kwh Consumption'!K30+'Kwh Consumption'!L30)</f>
        <v>1399.9999999998333</v>
      </c>
      <c r="I29" s="1">
        <f>('Kwh Consumption'!M30+'Kwh Consumption'!N30+'Kwh Consumption'!O30+'Kwh Consumption'!P30+'Kwh Consumption'!Q30+'Kwh Consumption'!R30)</f>
        <v>2790.0000000000332</v>
      </c>
      <c r="J29" s="1">
        <f>('Kwh Consumption'!S30+'Kwh Consumption'!T30)</f>
        <v>3826.2000000000844</v>
      </c>
      <c r="K29" s="1">
        <f>'Kwh Consumption'!U30</f>
        <v>250</v>
      </c>
      <c r="L29" s="29">
        <f t="shared" si="0"/>
        <v>5073.8000000003358</v>
      </c>
    </row>
    <row r="30" spans="1:12" x14ac:dyDescent="0.25">
      <c r="A30" s="14">
        <f>'Kwh Reading'!A31</f>
        <v>44893</v>
      </c>
      <c r="B30" s="74">
        <f>TOTAL!E29</f>
        <v>0</v>
      </c>
      <c r="C30" s="1">
        <f>'Kwh Consumption'!C31</f>
        <v>-667990</v>
      </c>
      <c r="D30" s="1">
        <f>'Kwh Consumption'!D31</f>
        <v>-3723000</v>
      </c>
      <c r="E30" s="1">
        <f>'Kwh Consumption'!E31</f>
        <v>-358900</v>
      </c>
      <c r="F30" s="1">
        <f>('Kwh Consumption'!F31+'Kwh Consumption'!G31+'Kwh Consumption'!H31)</f>
        <v>-1415700</v>
      </c>
      <c r="G30" s="1">
        <f>('Kwh Consumption'!I31+'Kwh Consumption'!J31)</f>
        <v>0</v>
      </c>
      <c r="H30" s="1">
        <f>('Kwh Consumption'!K31+'Kwh Consumption'!L31)</f>
        <v>-1956800</v>
      </c>
      <c r="I30" s="1">
        <f>('Kwh Consumption'!M31+'Kwh Consumption'!N31+'Kwh Consumption'!O31+'Kwh Consumption'!P31+'Kwh Consumption'!Q31+'Kwh Consumption'!R31)</f>
        <v>-5750080</v>
      </c>
      <c r="J30" s="1">
        <f>('Kwh Consumption'!S31+'Kwh Consumption'!T31)</f>
        <v>-9638120.5800000001</v>
      </c>
      <c r="K30" s="1">
        <f>'Kwh Consumption'!U31</f>
        <v>-260820</v>
      </c>
      <c r="L30" s="29">
        <f t="shared" si="0"/>
        <v>23771410.579999998</v>
      </c>
    </row>
    <row r="31" spans="1:12" x14ac:dyDescent="0.25">
      <c r="A31" s="14">
        <f>'Kwh Reading'!A32</f>
        <v>44894</v>
      </c>
      <c r="B31" s="74" t="e">
        <f>TOTAL!#REF!</f>
        <v>#REF!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29" t="e">
        <f t="shared" si="0"/>
        <v>#REF!</v>
      </c>
    </row>
    <row r="32" spans="1:12" x14ac:dyDescent="0.25">
      <c r="A32" s="14">
        <f>'Kwh Reading'!A33</f>
        <v>44895</v>
      </c>
      <c r="B32" s="74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">
        <f>('Kwh Consumption'!I33+'Kwh Consumption'!J33)</f>
        <v>-369200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29">
        <f t="shared" si="0"/>
        <v>369200</v>
      </c>
    </row>
    <row r="33" spans="1:13" ht="15.75" x14ac:dyDescent="0.25">
      <c r="A33" s="76" t="s">
        <v>119</v>
      </c>
      <c r="B33" s="66" t="e">
        <f>SUM(B3:B32)</f>
        <v>#REF!</v>
      </c>
      <c r="C33" s="66">
        <f>SUM(C3:C32)</f>
        <v>-654940</v>
      </c>
      <c r="D33" s="66">
        <f t="shared" ref="D33:L33" si="1">SUM(D3:D32)</f>
        <v>-3652400</v>
      </c>
      <c r="E33" s="66">
        <f t="shared" si="1"/>
        <v>-352080</v>
      </c>
      <c r="F33" s="66">
        <f t="shared" si="1"/>
        <v>-1387120</v>
      </c>
      <c r="G33" s="66">
        <f t="shared" si="1"/>
        <v>-369200</v>
      </c>
      <c r="H33" s="66">
        <f t="shared" si="1"/>
        <v>-1922170.0000000002</v>
      </c>
      <c r="I33" s="66">
        <f t="shared" si="1"/>
        <v>-5680940</v>
      </c>
      <c r="J33" s="66">
        <f t="shared" si="1"/>
        <v>-9537370.5899999999</v>
      </c>
      <c r="K33" s="66">
        <f t="shared" si="1"/>
        <v>-254840</v>
      </c>
      <c r="L33" s="66" t="e">
        <f t="shared" si="1"/>
        <v>#REF!</v>
      </c>
      <c r="M33" s="75" t="e">
        <f>C33+D33+E33+F33+G33+H33+I33+J33+K33+L33</f>
        <v>#REF!</v>
      </c>
    </row>
    <row r="35" spans="1:13" ht="15.75" x14ac:dyDescent="0.25">
      <c r="A35" s="76" t="s">
        <v>62</v>
      </c>
      <c r="B35" s="112">
        <f>TOTAL!F2</f>
        <v>0</v>
      </c>
      <c r="C35" s="66">
        <f>C33*B35</f>
        <v>0</v>
      </c>
      <c r="D35" s="66">
        <f>D33*B35</f>
        <v>0</v>
      </c>
      <c r="E35" s="66">
        <f>E33*B35</f>
        <v>0</v>
      </c>
      <c r="F35" s="66">
        <f>F33*B35</f>
        <v>0</v>
      </c>
      <c r="G35" s="66">
        <f>G33*B35</f>
        <v>0</v>
      </c>
      <c r="H35" s="66">
        <f>H33*B35</f>
        <v>0</v>
      </c>
      <c r="I35" s="66">
        <f>I33*B35</f>
        <v>0</v>
      </c>
      <c r="J35" s="66">
        <f>J33*B35</f>
        <v>0</v>
      </c>
      <c r="K35" s="66">
        <f>K33*B35</f>
        <v>0</v>
      </c>
      <c r="L35" s="66" t="e">
        <f>L33*B35</f>
        <v>#REF!</v>
      </c>
      <c r="M35" s="75" t="e">
        <f>C35+D35+E35+F35+G35+H35+I35+J35+K35+L35</f>
        <v>#REF!</v>
      </c>
    </row>
    <row r="36" spans="1:13" x14ac:dyDescent="0.25">
      <c r="J36" s="73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37" sqref="H37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8" t="s">
        <v>2</v>
      </c>
      <c r="B2" s="34" t="s">
        <v>61</v>
      </c>
      <c r="C2" s="33" t="s">
        <v>62</v>
      </c>
      <c r="D2" s="32" t="s">
        <v>63</v>
      </c>
      <c r="E2" s="32" t="s">
        <v>64</v>
      </c>
      <c r="F2" s="33" t="s">
        <v>65</v>
      </c>
      <c r="G2" s="32" t="s">
        <v>66</v>
      </c>
      <c r="H2" s="19" t="s">
        <v>67</v>
      </c>
      <c r="I2" s="20" t="s">
        <v>68</v>
      </c>
      <c r="J2" s="21" t="s">
        <v>69</v>
      </c>
      <c r="K2" s="22" t="s">
        <v>70</v>
      </c>
      <c r="L2" s="24" t="s">
        <v>71</v>
      </c>
      <c r="M2" s="24" t="s">
        <v>72</v>
      </c>
    </row>
    <row r="3" spans="1:13" x14ac:dyDescent="0.25">
      <c r="A3" s="14">
        <f>'Kwh Reading'!A4</f>
        <v>44866</v>
      </c>
      <c r="B3" s="113">
        <f>TOTAL!F2</f>
        <v>0</v>
      </c>
      <c r="C3" s="11">
        <f>'Kwh Consumption'!B4*' Kwh area wise $ '!B3</f>
        <v>0</v>
      </c>
      <c r="D3" s="1">
        <f>'Kwh Consumption'!C4*' Kwh area wise $ '!B3</f>
        <v>0</v>
      </c>
      <c r="E3" s="1">
        <f>'Kwh Consumption'!D4*' Kwh area wise $ '!B3</f>
        <v>0</v>
      </c>
      <c r="F3" s="1">
        <f>'Kwh Consumption'!E4*' Kwh area wise $ '!B3</f>
        <v>0</v>
      </c>
      <c r="G3" s="1">
        <f>('Kwh Consumption'!F4+'Kwh Consumption'!G4+'Kwh Consumption'!H4)*' Kwh area wise $ '!B3</f>
        <v>0</v>
      </c>
      <c r="H3" s="1">
        <f>('Kwh Consumption'!I4+'Kwh Consumption'!J4)*' Kwh area wise $ '!B3</f>
        <v>0</v>
      </c>
      <c r="I3" s="1">
        <f>('Kwh Consumption'!K4+'Kwh Consumption'!L4)*' Kwh area wise $ '!B3</f>
        <v>0</v>
      </c>
      <c r="J3" s="1">
        <f>('Kwh Consumption'!M4+'Kwh Consumption'!N4+'Kwh Consumption'!O4+'Kwh Consumption'!P4+'Kwh Consumption'!Q4+'Kwh Consumption'!R4)*' Kwh area wise $ '!B3</f>
        <v>0</v>
      </c>
      <c r="K3" s="29">
        <f>('Kwh Consumption'!S4+'Kwh Consumption'!T4)*' Kwh area wise $ '!B3</f>
        <v>0</v>
      </c>
      <c r="L3" s="1">
        <f>'Kwh Consumption'!U4*' Kwh area wise $ '!B3</f>
        <v>0</v>
      </c>
      <c r="M3" s="29">
        <f>'Kwh Consumption'!V4*' Kwh area wise $ '!B3</f>
        <v>0</v>
      </c>
    </row>
    <row r="4" spans="1:13" x14ac:dyDescent="0.25">
      <c r="A4" s="14">
        <f>'Kwh Reading'!A5</f>
        <v>44867</v>
      </c>
      <c r="B4" s="113">
        <f>TOTAL!F3</f>
        <v>0</v>
      </c>
      <c r="C4" s="11">
        <f>'Kwh Consumption'!B5*' Kwh area wise $ '!B4</f>
        <v>0</v>
      </c>
      <c r="D4" s="1">
        <f>'Kwh Consumption'!C5*' Kwh area wise $ '!B4</f>
        <v>0</v>
      </c>
      <c r="E4" s="1">
        <f>'Kwh Consumption'!D5*' Kwh area wise $ '!B4</f>
        <v>0</v>
      </c>
      <c r="F4" s="1">
        <f>'Kwh Consumption'!E5*' Kwh area wise $ '!B4</f>
        <v>0</v>
      </c>
      <c r="G4" s="1">
        <f>('Kwh Consumption'!F5+'Kwh Consumption'!G5+'Kwh Consumption'!H5)*' Kwh area wise $ '!B4</f>
        <v>0</v>
      </c>
      <c r="H4" s="1">
        <f>('Kwh Consumption'!I5+'Kwh Consumption'!J5)*' Kwh area wise $ '!B4</f>
        <v>0</v>
      </c>
      <c r="I4" s="1">
        <f>('Kwh Consumption'!K5+'Kwh Consumption'!L5)*' Kwh area wise $ '!B4</f>
        <v>0</v>
      </c>
      <c r="J4" s="1">
        <f>('Kwh Consumption'!M5+'Kwh Consumption'!N5+'Kwh Consumption'!O5+'Kwh Consumption'!P5+'Kwh Consumption'!Q5+'Kwh Consumption'!R5)*' Kwh area wise $ '!B4</f>
        <v>0</v>
      </c>
      <c r="K4" s="29">
        <f>('Kwh Consumption'!S5+'Kwh Consumption'!T5)*' Kwh area wise $ '!B4</f>
        <v>0</v>
      </c>
      <c r="L4" s="1">
        <f>'Kwh Consumption'!U5*' Kwh area wise $ '!B4</f>
        <v>0</v>
      </c>
      <c r="M4" s="29">
        <f>'Kwh Consumption'!V5*' Kwh area wise $ '!B4</f>
        <v>0</v>
      </c>
    </row>
    <row r="5" spans="1:13" x14ac:dyDescent="0.25">
      <c r="A5" s="14">
        <f>'Kwh Reading'!A6</f>
        <v>44868</v>
      </c>
      <c r="B5" s="113">
        <f>TOTAL!F4</f>
        <v>0</v>
      </c>
      <c r="C5" s="11">
        <f>'Kwh Consumption'!B6*' Kwh area wise $ '!B5</f>
        <v>0</v>
      </c>
      <c r="D5" s="1">
        <f>'Kwh Consumption'!C6*' Kwh area wise $ '!B5</f>
        <v>0</v>
      </c>
      <c r="E5" s="1">
        <f>'Kwh Consumption'!D6*' Kwh area wise $ '!B5</f>
        <v>0</v>
      </c>
      <c r="F5" s="1">
        <f>'Kwh Consumption'!E6*' Kwh area wise $ '!B5</f>
        <v>0</v>
      </c>
      <c r="G5" s="1">
        <f>('Kwh Consumption'!F6+'Kwh Consumption'!G6+'Kwh Consumption'!H6)*' Kwh area wise $ '!B5</f>
        <v>0</v>
      </c>
      <c r="H5" s="1">
        <f>('Kwh Consumption'!I6+'Kwh Consumption'!J6)*' Kwh area wise $ '!B5</f>
        <v>0</v>
      </c>
      <c r="I5" s="1">
        <f>('Kwh Consumption'!K6+'Kwh Consumption'!L6)*' Kwh area wise $ '!B5</f>
        <v>0</v>
      </c>
      <c r="J5" s="1">
        <f>('Kwh Consumption'!M6+'Kwh Consumption'!N6+'Kwh Consumption'!O6+'Kwh Consumption'!P6+'Kwh Consumption'!Q6+'Kwh Consumption'!R6)*' Kwh area wise $ '!B5</f>
        <v>0</v>
      </c>
      <c r="K5" s="29">
        <f>('Kwh Consumption'!S6+'Kwh Consumption'!T6)*' Kwh area wise $ '!B5</f>
        <v>0</v>
      </c>
      <c r="L5" s="1">
        <f>'Kwh Consumption'!U6*' Kwh area wise $ '!B5</f>
        <v>0</v>
      </c>
      <c r="M5" s="29">
        <f>'Kwh Consumption'!V6*' Kwh area wise $ '!B5</f>
        <v>0</v>
      </c>
    </row>
    <row r="6" spans="1:13" x14ac:dyDescent="0.25">
      <c r="A6" s="14">
        <f>'Kwh Reading'!A7</f>
        <v>44869</v>
      </c>
      <c r="B6" s="113">
        <f>TOTAL!F5</f>
        <v>0</v>
      </c>
      <c r="C6" s="11">
        <f>'Kwh Consumption'!B7*' Kwh area wise $ '!B6</f>
        <v>0</v>
      </c>
      <c r="D6" s="1">
        <f>'Kwh Consumption'!C7*' Kwh area wise $ '!B6</f>
        <v>0</v>
      </c>
      <c r="E6" s="1">
        <f>'Kwh Consumption'!D7*' Kwh area wise $ '!B6</f>
        <v>0</v>
      </c>
      <c r="F6" s="1">
        <f>'Kwh Consumption'!E7*' Kwh area wise $ '!B6</f>
        <v>0</v>
      </c>
      <c r="G6" s="1">
        <f>('Kwh Consumption'!F7+'Kwh Consumption'!G7+'Kwh Consumption'!H7)*' Kwh area wise $ '!B6</f>
        <v>0</v>
      </c>
      <c r="H6" s="1">
        <f>('Kwh Consumption'!I7+'Kwh Consumption'!J7)*' Kwh area wise $ '!B6</f>
        <v>0</v>
      </c>
      <c r="I6" s="1">
        <f>('Kwh Consumption'!K7+'Kwh Consumption'!L7)*' Kwh area wise $ '!B6</f>
        <v>0</v>
      </c>
      <c r="J6" s="1">
        <f>('Kwh Consumption'!M7+'Kwh Consumption'!N7+'Kwh Consumption'!O7+'Kwh Consumption'!P7+'Kwh Consumption'!Q7+'Kwh Consumption'!R7)*' Kwh area wise $ '!B6</f>
        <v>0</v>
      </c>
      <c r="K6" s="29">
        <f>('Kwh Consumption'!S7+'Kwh Consumption'!T7)*' Kwh area wise $ '!B6</f>
        <v>0</v>
      </c>
      <c r="L6" s="1">
        <f>'Kwh Consumption'!U7*' Kwh area wise $ '!B6</f>
        <v>0</v>
      </c>
      <c r="M6" s="29">
        <f>'Kwh Consumption'!V7*' Kwh area wise $ '!B6</f>
        <v>0</v>
      </c>
    </row>
    <row r="7" spans="1:13" x14ac:dyDescent="0.25">
      <c r="A7" s="14">
        <f>'Kwh Reading'!A8</f>
        <v>44870</v>
      </c>
      <c r="B7" s="113">
        <f>TOTAL!F6</f>
        <v>0</v>
      </c>
      <c r="C7" s="11">
        <f>'Kwh Consumption'!B8*' Kwh area wise $ '!B7</f>
        <v>0</v>
      </c>
      <c r="D7" s="1">
        <f>'Kwh Consumption'!C8*' Kwh area wise $ '!B7</f>
        <v>0</v>
      </c>
      <c r="E7" s="1">
        <f>'Kwh Consumption'!D8*' Kwh area wise $ '!B7</f>
        <v>0</v>
      </c>
      <c r="F7" s="1">
        <f>'Kwh Consumption'!E8*' Kwh area wise $ '!B7</f>
        <v>0</v>
      </c>
      <c r="G7" s="1">
        <f>('Kwh Consumption'!F8+'Kwh Consumption'!G8+'Kwh Consumption'!H8)*' Kwh area wise $ '!B7</f>
        <v>0</v>
      </c>
      <c r="H7" s="1">
        <f>('Kwh Consumption'!I8+'Kwh Consumption'!J8)*' Kwh area wise $ '!B7</f>
        <v>0</v>
      </c>
      <c r="I7" s="1">
        <f>('Kwh Consumption'!K8+'Kwh Consumption'!L8)*' Kwh area wise $ '!B7</f>
        <v>0</v>
      </c>
      <c r="J7" s="1">
        <f>('Kwh Consumption'!M8+'Kwh Consumption'!N8+'Kwh Consumption'!O8+'Kwh Consumption'!P8+'Kwh Consumption'!Q8+'Kwh Consumption'!R8)*' Kwh area wise $ '!B7</f>
        <v>0</v>
      </c>
      <c r="K7" s="29">
        <f>('Kwh Consumption'!S8+'Kwh Consumption'!T8)*' Kwh area wise $ '!B7</f>
        <v>0</v>
      </c>
      <c r="L7" s="1">
        <f>'Kwh Consumption'!U8*' Kwh area wise $ '!B7</f>
        <v>0</v>
      </c>
      <c r="M7" s="29">
        <f>'Kwh Consumption'!V8*' Kwh area wise $ '!B7</f>
        <v>0</v>
      </c>
    </row>
    <row r="8" spans="1:13" x14ac:dyDescent="0.25">
      <c r="A8" s="14">
        <f>'Kwh Reading'!A9</f>
        <v>44871</v>
      </c>
      <c r="B8" s="113">
        <f>TOTAL!F7</f>
        <v>0</v>
      </c>
      <c r="C8" s="11">
        <f>'Kwh Consumption'!B9*' Kwh area wise $ '!B8</f>
        <v>0</v>
      </c>
      <c r="D8" s="1">
        <f>'Kwh Consumption'!C9*' Kwh area wise $ '!B8</f>
        <v>0</v>
      </c>
      <c r="E8" s="1">
        <f>'Kwh Consumption'!D9*' Kwh area wise $ '!B8</f>
        <v>0</v>
      </c>
      <c r="F8" s="1">
        <f>'Kwh Consumption'!E9*' Kwh area wise $ '!B8</f>
        <v>0</v>
      </c>
      <c r="G8" s="1">
        <f>('Kwh Consumption'!F9+'Kwh Consumption'!G9+'Kwh Consumption'!H9)*' Kwh area wise $ '!B8</f>
        <v>0</v>
      </c>
      <c r="H8" s="1">
        <f>('Kwh Consumption'!I9+'Kwh Consumption'!J9)*' Kwh area wise $ '!B8</f>
        <v>0</v>
      </c>
      <c r="I8" s="1">
        <f>('Kwh Consumption'!K9+'Kwh Consumption'!L9)*' Kwh area wise $ '!B8</f>
        <v>0</v>
      </c>
      <c r="J8" s="1">
        <f>('Kwh Consumption'!M9+'Kwh Consumption'!N9+'Kwh Consumption'!O9+'Kwh Consumption'!P9+'Kwh Consumption'!Q9+'Kwh Consumption'!R9)*' Kwh area wise $ '!B8</f>
        <v>0</v>
      </c>
      <c r="K8" s="29">
        <f>('Kwh Consumption'!S9+'Kwh Consumption'!T9)*' Kwh area wise $ '!B8</f>
        <v>0</v>
      </c>
      <c r="L8" s="1">
        <f>'Kwh Consumption'!U9*' Kwh area wise $ '!B8</f>
        <v>0</v>
      </c>
      <c r="M8" s="29">
        <f>'Kwh Consumption'!V9*' Kwh area wise $ '!B8</f>
        <v>0</v>
      </c>
    </row>
    <row r="9" spans="1:13" x14ac:dyDescent="0.25">
      <c r="A9" s="14">
        <f>'Kwh Reading'!A10</f>
        <v>44872</v>
      </c>
      <c r="B9" s="113">
        <f>TOTAL!F8</f>
        <v>0</v>
      </c>
      <c r="C9" s="11">
        <f>'Kwh Consumption'!B10*' Kwh area wise $ '!B9</f>
        <v>0</v>
      </c>
      <c r="D9" s="1">
        <f>'Kwh Consumption'!C10*' Kwh area wise $ '!B9</f>
        <v>0</v>
      </c>
      <c r="E9" s="1">
        <f>'Kwh Consumption'!D10*' Kwh area wise $ '!B9</f>
        <v>0</v>
      </c>
      <c r="F9" s="1">
        <f>'Kwh Consumption'!E10*' Kwh area wise $ '!B9</f>
        <v>0</v>
      </c>
      <c r="G9" s="1">
        <f>('Kwh Consumption'!F10+'Kwh Consumption'!G10+'Kwh Consumption'!H10)*' Kwh area wise $ '!B9</f>
        <v>0</v>
      </c>
      <c r="H9" s="1">
        <f>('Kwh Consumption'!I10+'Kwh Consumption'!J10)*' Kwh area wise $ '!B9</f>
        <v>0</v>
      </c>
      <c r="I9" s="1">
        <f>('Kwh Consumption'!K10+'Kwh Consumption'!L10)*' Kwh area wise $ '!B9</f>
        <v>0</v>
      </c>
      <c r="J9" s="1">
        <f>('Kwh Consumption'!M10+'Kwh Consumption'!N10+'Kwh Consumption'!O10+'Kwh Consumption'!P10+'Kwh Consumption'!Q10+'Kwh Consumption'!R10)*' Kwh area wise $ '!B9</f>
        <v>0</v>
      </c>
      <c r="K9" s="29">
        <f>('Kwh Consumption'!S10+'Kwh Consumption'!T10)*' Kwh area wise $ '!B9</f>
        <v>0</v>
      </c>
      <c r="L9" s="1">
        <f>'Kwh Consumption'!U10*' Kwh area wise $ '!B9</f>
        <v>0</v>
      </c>
      <c r="M9" s="29">
        <f>'Kwh Consumption'!V10*' Kwh area wise $ '!B9</f>
        <v>0</v>
      </c>
    </row>
    <row r="10" spans="1:13" x14ac:dyDescent="0.25">
      <c r="A10" s="14">
        <f>'Kwh Reading'!A11</f>
        <v>44873</v>
      </c>
      <c r="B10" s="113">
        <f>TOTAL!F9</f>
        <v>0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29">
        <f>('Kwh Consumption'!S11+'Kwh Consumption'!T11)*' Kwh area wise $ '!B10</f>
        <v>0</v>
      </c>
      <c r="L10" s="1">
        <f>'Kwh Consumption'!U11*' Kwh area wise $ '!B10</f>
        <v>0</v>
      </c>
      <c r="M10" s="29">
        <f>'Kwh Consumption'!V11*' Kwh area wise $ '!B10</f>
        <v>0</v>
      </c>
    </row>
    <row r="11" spans="1:13" x14ac:dyDescent="0.25">
      <c r="A11" s="14">
        <f>'Kwh Reading'!A12</f>
        <v>44874</v>
      </c>
      <c r="B11" s="113">
        <f>TOTAL!F10</f>
        <v>0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29">
        <f>('Kwh Consumption'!S12+'Kwh Consumption'!T12)*' Kwh area wise $ '!B11</f>
        <v>0</v>
      </c>
      <c r="L11" s="1">
        <f>'Kwh Consumption'!U12*' Kwh area wise $ '!B11</f>
        <v>0</v>
      </c>
      <c r="M11" s="29">
        <f>'Kwh Consumption'!V12*' Kwh area wise $ '!B11</f>
        <v>0</v>
      </c>
    </row>
    <row r="12" spans="1:13" x14ac:dyDescent="0.25">
      <c r="A12" s="14">
        <f>'Kwh Reading'!A13</f>
        <v>44875</v>
      </c>
      <c r="B12" s="113">
        <f>TOTAL!F11</f>
        <v>0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29">
        <f>('Kwh Consumption'!S13+'Kwh Consumption'!T13)*' Kwh area wise $ '!B12</f>
        <v>0</v>
      </c>
      <c r="L12" s="1">
        <f>'Kwh Consumption'!U13*' Kwh area wise $ '!B12</f>
        <v>0</v>
      </c>
      <c r="M12" s="29">
        <f>'Kwh Consumption'!V13*' Kwh area wise $ '!B12</f>
        <v>0</v>
      </c>
    </row>
    <row r="13" spans="1:13" x14ac:dyDescent="0.25">
      <c r="A13" s="14">
        <f>'Kwh Reading'!A14</f>
        <v>44876</v>
      </c>
      <c r="B13" s="113">
        <f>TOTAL!F12</f>
        <v>0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29">
        <f>('Kwh Consumption'!S14+'Kwh Consumption'!T14)*' Kwh area wise $ '!B13</f>
        <v>0</v>
      </c>
      <c r="L13" s="1">
        <f>'Kwh Consumption'!U14*' Kwh area wise $ '!B13</f>
        <v>0</v>
      </c>
      <c r="M13" s="29">
        <f>'Kwh Consumption'!V14*' Kwh area wise $ '!B13</f>
        <v>0</v>
      </c>
    </row>
    <row r="14" spans="1:13" x14ac:dyDescent="0.25">
      <c r="A14" s="14">
        <f>'Kwh Reading'!A15</f>
        <v>44877</v>
      </c>
      <c r="B14" s="113">
        <f>TOTAL!F13</f>
        <v>0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29">
        <f>('Kwh Consumption'!S15+'Kwh Consumption'!T15)*' Kwh area wise $ '!B14</f>
        <v>0</v>
      </c>
      <c r="L14" s="1">
        <f>'Kwh Consumption'!U15*' Kwh area wise $ '!B14</f>
        <v>0</v>
      </c>
      <c r="M14" s="29">
        <f>'Kwh Consumption'!V15*' Kwh area wise $ '!B14</f>
        <v>0</v>
      </c>
    </row>
    <row r="15" spans="1:13" x14ac:dyDescent="0.25">
      <c r="A15" s="14">
        <f>'Kwh Reading'!A16</f>
        <v>44878</v>
      </c>
      <c r="B15" s="113">
        <f>TOTAL!F14</f>
        <v>0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29">
        <f>('Kwh Consumption'!S16+'Kwh Consumption'!T16)*' Kwh area wise $ '!B15</f>
        <v>0</v>
      </c>
      <c r="L15" s="1">
        <f>'Kwh Consumption'!U16*' Kwh area wise $ '!B15</f>
        <v>0</v>
      </c>
      <c r="M15" s="29">
        <f>'Kwh Consumption'!V16*' Kwh area wise $ '!B15</f>
        <v>0</v>
      </c>
    </row>
    <row r="16" spans="1:13" x14ac:dyDescent="0.25">
      <c r="A16" s="14">
        <f>'Kwh Reading'!A17</f>
        <v>44879</v>
      </c>
      <c r="B16" s="113">
        <f>TOTAL!F15</f>
        <v>0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29">
        <f>('Kwh Consumption'!S17+'Kwh Consumption'!T17)*' Kwh area wise $ '!B16</f>
        <v>0</v>
      </c>
      <c r="L16" s="1">
        <f>'Kwh Consumption'!U17*' Kwh area wise $ '!B16</f>
        <v>0</v>
      </c>
      <c r="M16" s="29">
        <f>'Kwh Consumption'!V17*' Kwh area wise $ '!B16</f>
        <v>0</v>
      </c>
    </row>
    <row r="17" spans="1:13" x14ac:dyDescent="0.25">
      <c r="A17" s="14">
        <f>'Kwh Reading'!A18</f>
        <v>44880</v>
      </c>
      <c r="B17" s="113">
        <f>TOTAL!F16</f>
        <v>0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29">
        <f>('Kwh Consumption'!S18+'Kwh Consumption'!T18)*' Kwh area wise $ '!B17</f>
        <v>0</v>
      </c>
      <c r="L17" s="1">
        <f>'Kwh Consumption'!U18*' Kwh area wise $ '!B17</f>
        <v>0</v>
      </c>
      <c r="M17" s="29">
        <f>'Kwh Consumption'!V18*' Kwh area wise $ '!B17</f>
        <v>0</v>
      </c>
    </row>
    <row r="18" spans="1:13" x14ac:dyDescent="0.25">
      <c r="A18" s="14">
        <f>'Kwh Reading'!A19</f>
        <v>44881</v>
      </c>
      <c r="B18" s="113">
        <f>TOTAL!F17</f>
        <v>0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29">
        <f>('Kwh Consumption'!S19+'Kwh Consumption'!T19)*' Kwh area wise $ '!B18</f>
        <v>0</v>
      </c>
      <c r="L18" s="1">
        <f>'Kwh Consumption'!U19*' Kwh area wise $ '!B18</f>
        <v>0</v>
      </c>
      <c r="M18" s="29">
        <f>'Kwh Consumption'!V19*' Kwh area wise $ '!B18</f>
        <v>0</v>
      </c>
    </row>
    <row r="19" spans="1:13" x14ac:dyDescent="0.25">
      <c r="A19" s="14">
        <f>'Kwh Reading'!A20</f>
        <v>44882</v>
      </c>
      <c r="B19" s="113">
        <f>TOTAL!F18</f>
        <v>0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29">
        <f>('Kwh Consumption'!S20+'Kwh Consumption'!T20)*' Kwh area wise $ '!B19</f>
        <v>0</v>
      </c>
      <c r="L19" s="1">
        <f>'Kwh Consumption'!U20*' Kwh area wise $ '!B19</f>
        <v>0</v>
      </c>
      <c r="M19" s="29">
        <f>'Kwh Consumption'!V20*' Kwh area wise $ '!B19</f>
        <v>0</v>
      </c>
    </row>
    <row r="20" spans="1:13" x14ac:dyDescent="0.25">
      <c r="A20" s="14">
        <f>'Kwh Reading'!A21</f>
        <v>44883</v>
      </c>
      <c r="B20" s="113">
        <f>TOTAL!F19</f>
        <v>0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29">
        <f>('Kwh Consumption'!S21+'Kwh Consumption'!T21)*' Kwh area wise $ '!B20</f>
        <v>0</v>
      </c>
      <c r="L20" s="1">
        <f>'Kwh Consumption'!U21*' Kwh area wise $ '!B20</f>
        <v>0</v>
      </c>
      <c r="M20" s="29">
        <f>'Kwh Consumption'!V21*' Kwh area wise $ '!B20</f>
        <v>0</v>
      </c>
    </row>
    <row r="21" spans="1:13" x14ac:dyDescent="0.25">
      <c r="A21" s="14">
        <f>'Kwh Reading'!A22</f>
        <v>44884</v>
      </c>
      <c r="B21" s="113">
        <f>TOTAL!F20</f>
        <v>0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29">
        <f>('Kwh Consumption'!S22+'Kwh Consumption'!T22)*' Kwh area wise $ '!B21</f>
        <v>0</v>
      </c>
      <c r="L21" s="1">
        <f>'Kwh Consumption'!U22*' Kwh area wise $ '!B21</f>
        <v>0</v>
      </c>
      <c r="M21" s="29">
        <f>'Kwh Consumption'!V22*' Kwh area wise $ '!B21</f>
        <v>0</v>
      </c>
    </row>
    <row r="22" spans="1:13" x14ac:dyDescent="0.25">
      <c r="A22" s="14">
        <f>'Kwh Reading'!A23</f>
        <v>44885</v>
      </c>
      <c r="B22" s="113">
        <f>TOTAL!F21</f>
        <v>0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29">
        <f>('Kwh Consumption'!S23+'Kwh Consumption'!T23)*' Kwh area wise $ '!B22</f>
        <v>0</v>
      </c>
      <c r="L22" s="1">
        <f>'Kwh Consumption'!U23*' Kwh area wise $ '!B22</f>
        <v>0</v>
      </c>
      <c r="M22" s="29">
        <f>'Kwh Consumption'!V23*' Kwh area wise $ '!B22</f>
        <v>0</v>
      </c>
    </row>
    <row r="23" spans="1:13" x14ac:dyDescent="0.25">
      <c r="A23" s="14">
        <f>'Kwh Reading'!A24</f>
        <v>44886</v>
      </c>
      <c r="B23" s="113">
        <f>TOTAL!F22</f>
        <v>0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29">
        <f>('Kwh Consumption'!S24+'Kwh Consumption'!T24)*' Kwh area wise $ '!B23</f>
        <v>0</v>
      </c>
      <c r="L23" s="1">
        <f>'Kwh Consumption'!U24*' Kwh area wise $ '!B23</f>
        <v>0</v>
      </c>
      <c r="M23" s="29">
        <f>'Kwh Consumption'!V24*' Kwh area wise $ '!B23</f>
        <v>0</v>
      </c>
    </row>
    <row r="24" spans="1:13" x14ac:dyDescent="0.25">
      <c r="A24" s="14">
        <f>'Kwh Reading'!A25</f>
        <v>44887</v>
      </c>
      <c r="B24" s="113">
        <f>TOTAL!F23</f>
        <v>0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29">
        <f>('Kwh Consumption'!S25+'Kwh Consumption'!T25)*' Kwh area wise $ '!B24</f>
        <v>0</v>
      </c>
      <c r="L24" s="1">
        <f>'Kwh Consumption'!U25*' Kwh area wise $ '!B24</f>
        <v>0</v>
      </c>
      <c r="M24" s="29">
        <f>'Kwh Consumption'!V25*' Kwh area wise $ '!B24</f>
        <v>0</v>
      </c>
    </row>
    <row r="25" spans="1:13" x14ac:dyDescent="0.25">
      <c r="A25" s="14">
        <f>'Kwh Reading'!A26</f>
        <v>44888</v>
      </c>
      <c r="B25" s="113">
        <f>TOTAL!F24</f>
        <v>0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29">
        <f>('Kwh Consumption'!S26+'Kwh Consumption'!T26)*' Kwh area wise $ '!B25</f>
        <v>0</v>
      </c>
      <c r="L25" s="1">
        <f>'Kwh Consumption'!U26*' Kwh area wise $ '!B25</f>
        <v>0</v>
      </c>
      <c r="M25" s="29">
        <f>'Kwh Consumption'!V26*' Kwh area wise $ '!B25</f>
        <v>0</v>
      </c>
    </row>
    <row r="26" spans="1:13" x14ac:dyDescent="0.25">
      <c r="A26" s="14">
        <f>'Kwh Reading'!A27</f>
        <v>44889</v>
      </c>
      <c r="B26" s="113">
        <f>TOTAL!F25</f>
        <v>0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29">
        <f>('Kwh Consumption'!S27+'Kwh Consumption'!T27)*' Kwh area wise $ '!B26</f>
        <v>0</v>
      </c>
      <c r="L26" s="1">
        <f>'Kwh Consumption'!U27*' Kwh area wise $ '!B26</f>
        <v>0</v>
      </c>
      <c r="M26" s="29">
        <f>'Kwh Consumption'!V27*' Kwh area wise $ '!B26</f>
        <v>0</v>
      </c>
    </row>
    <row r="27" spans="1:13" x14ac:dyDescent="0.25">
      <c r="A27" s="14">
        <f>'Kwh Reading'!A28</f>
        <v>44890</v>
      </c>
      <c r="B27" s="113">
        <f>TOTAL!F26</f>
        <v>0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29">
        <f>('Kwh Consumption'!S28+'Kwh Consumption'!T28)*' Kwh area wise $ '!B27</f>
        <v>0</v>
      </c>
      <c r="L27" s="1">
        <f>'Kwh Consumption'!U28*' Kwh area wise $ '!B27</f>
        <v>0</v>
      </c>
      <c r="M27" s="29">
        <f>'Kwh Consumption'!V28*' Kwh area wise $ '!B27</f>
        <v>0</v>
      </c>
    </row>
    <row r="28" spans="1:13" x14ac:dyDescent="0.25">
      <c r="A28" s="14">
        <f>'Kwh Reading'!A29</f>
        <v>44891</v>
      </c>
      <c r="B28" s="113">
        <f>TOTAL!F27</f>
        <v>0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29">
        <f>('Kwh Consumption'!S29+'Kwh Consumption'!T29)*' Kwh area wise $ '!B28</f>
        <v>0</v>
      </c>
      <c r="L28" s="1">
        <f>'Kwh Consumption'!U29*' Kwh area wise $ '!B28</f>
        <v>0</v>
      </c>
      <c r="M28" s="29">
        <f>'Kwh Consumption'!V29*' Kwh area wise $ '!B28</f>
        <v>0</v>
      </c>
    </row>
    <row r="29" spans="1:13" x14ac:dyDescent="0.25">
      <c r="A29" s="14">
        <f>'Kwh Reading'!A30</f>
        <v>44892</v>
      </c>
      <c r="B29" s="113">
        <f>TOTAL!F28</f>
        <v>0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29">
        <f>('Kwh Consumption'!S30+'Kwh Consumption'!T30)*' Kwh area wise $ '!B29</f>
        <v>0</v>
      </c>
      <c r="L29" s="1">
        <f>'Kwh Consumption'!U30*' Kwh area wise $ '!B29</f>
        <v>0</v>
      </c>
      <c r="M29" s="29">
        <f>'Kwh Consumption'!V30*' Kwh area wise $ '!B29</f>
        <v>0</v>
      </c>
    </row>
    <row r="30" spans="1:13" x14ac:dyDescent="0.25">
      <c r="A30" s="14">
        <f>'Kwh Reading'!A31</f>
        <v>44893</v>
      </c>
      <c r="B30" s="113">
        <f>TOTAL!F29</f>
        <v>0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29">
        <f>('Kwh Consumption'!S31+'Kwh Consumption'!T31)*' Kwh area wise $ '!B30</f>
        <v>0</v>
      </c>
      <c r="L30" s="1">
        <f>'Kwh Consumption'!U31*' Kwh area wise $ '!B30</f>
        <v>0</v>
      </c>
      <c r="M30" s="29">
        <f>'Kwh Consumption'!V31*' Kwh area wise $ '!B30</f>
        <v>0</v>
      </c>
    </row>
    <row r="31" spans="1:13" x14ac:dyDescent="0.25">
      <c r="A31" s="14">
        <f>'Kwh Reading'!A32</f>
        <v>44894</v>
      </c>
      <c r="B31" s="113">
        <f>TOTAL!F30</f>
        <v>0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29">
        <f>('Kwh Consumption'!S32+'Kwh Consumption'!T32)*' Kwh area wise $ '!B31</f>
        <v>0</v>
      </c>
      <c r="L31" s="1">
        <f>'Kwh Consumption'!U32*' Kwh area wise $ '!B31</f>
        <v>0</v>
      </c>
      <c r="M31" s="29">
        <f>'Kwh Consumption'!V32*' Kwh area wise $ '!B31</f>
        <v>0</v>
      </c>
    </row>
    <row r="32" spans="1:13" x14ac:dyDescent="0.25">
      <c r="A32" s="14">
        <f>'Kwh Reading'!A33</f>
        <v>44895</v>
      </c>
      <c r="B32" s="113">
        <f>TOTAL!F31</f>
        <v>0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29">
        <f>('Kwh Consumption'!S33+'Kwh Consumption'!T33)*' Kwh area wise $ '!B32</f>
        <v>0</v>
      </c>
      <c r="L32" s="1">
        <f>'Kwh Consumption'!U33*' Kwh area wise $ '!B32</f>
        <v>0</v>
      </c>
      <c r="M32" s="29">
        <f>'Kwh Consumption'!V33*' Kwh area wise $ '!B32</f>
        <v>0</v>
      </c>
    </row>
    <row r="33" spans="1:14" ht="15.75" x14ac:dyDescent="0.25">
      <c r="A33" s="174" t="s">
        <v>51</v>
      </c>
      <c r="B33" s="174"/>
      <c r="C33" s="66">
        <f t="shared" ref="C33:L33" si="0">SUM(C3:C32)</f>
        <v>0</v>
      </c>
      <c r="D33" s="66">
        <f t="shared" si="0"/>
        <v>0</v>
      </c>
      <c r="E33" s="66">
        <f t="shared" si="0"/>
        <v>0</v>
      </c>
      <c r="F33" s="66">
        <f t="shared" si="0"/>
        <v>0</v>
      </c>
      <c r="G33" s="66">
        <f t="shared" si="0"/>
        <v>0</v>
      </c>
      <c r="H33" s="66">
        <f t="shared" si="0"/>
        <v>0</v>
      </c>
      <c r="I33" s="66">
        <f t="shared" si="0"/>
        <v>0</v>
      </c>
      <c r="J33" s="66">
        <f t="shared" si="0"/>
        <v>0</v>
      </c>
      <c r="K33" s="66">
        <f t="shared" si="0"/>
        <v>0</v>
      </c>
      <c r="L33" s="66">
        <f t="shared" si="0"/>
        <v>0</v>
      </c>
      <c r="M33" s="66">
        <f>SUM(M3:M32)</f>
        <v>0</v>
      </c>
      <c r="N33" s="75">
        <f>D33+E33+F33+G33+H33+I33+J33+K33+L33+M33</f>
        <v>0</v>
      </c>
    </row>
  </sheetData>
  <mergeCells count="1">
    <mergeCell ref="A33:B33"/>
  </mergeCells>
  <pageMargins left="0.25" right="0.22" top="0.75" bottom="0.75" header="0.3" footer="0.3"/>
  <pageSetup paperSize="9" scale="77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6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B30" sqref="B30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5" t="s">
        <v>73</v>
      </c>
      <c r="C1" s="45" t="s">
        <v>74</v>
      </c>
      <c r="D1" s="45" t="s">
        <v>75</v>
      </c>
      <c r="E1" s="45" t="s">
        <v>76</v>
      </c>
      <c r="F1" s="45" t="s">
        <v>77</v>
      </c>
      <c r="G1" s="45" t="s">
        <v>78</v>
      </c>
      <c r="H1" s="45" t="s">
        <v>79</v>
      </c>
      <c r="I1" s="45" t="s">
        <v>80</v>
      </c>
      <c r="J1" s="45" t="s">
        <v>81</v>
      </c>
      <c r="K1" s="45" t="s">
        <v>82</v>
      </c>
      <c r="L1" s="45" t="s">
        <v>83</v>
      </c>
      <c r="M1" s="45" t="s">
        <v>84</v>
      </c>
      <c r="N1" s="45" t="s">
        <v>85</v>
      </c>
      <c r="O1" s="45" t="s">
        <v>86</v>
      </c>
      <c r="P1" s="45" t="s">
        <v>87</v>
      </c>
      <c r="Q1" s="45" t="s">
        <v>88</v>
      </c>
      <c r="R1" s="45" t="s">
        <v>89</v>
      </c>
    </row>
    <row r="2" spans="1:21" s="49" customFormat="1" ht="30.75" thickTop="1" x14ac:dyDescent="0.25">
      <c r="A2" s="46" t="s">
        <v>30</v>
      </c>
      <c r="B2" s="47" t="s">
        <v>90</v>
      </c>
      <c r="C2" s="47" t="s">
        <v>91</v>
      </c>
      <c r="D2" s="108" t="s">
        <v>92</v>
      </c>
      <c r="E2" s="108" t="s">
        <v>93</v>
      </c>
      <c r="F2" s="108" t="s">
        <v>94</v>
      </c>
      <c r="G2" s="108" t="s">
        <v>95</v>
      </c>
      <c r="H2" s="108" t="s">
        <v>96</v>
      </c>
      <c r="I2" s="108" t="s">
        <v>97</v>
      </c>
      <c r="J2" s="48" t="s">
        <v>98</v>
      </c>
      <c r="K2" s="48" t="s">
        <v>99</v>
      </c>
      <c r="L2" s="48" t="s">
        <v>100</v>
      </c>
      <c r="M2" s="48" t="s">
        <v>101</v>
      </c>
      <c r="N2" s="48" t="s">
        <v>102</v>
      </c>
      <c r="O2" s="48" t="s">
        <v>103</v>
      </c>
      <c r="P2" s="48" t="s">
        <v>104</v>
      </c>
      <c r="Q2" s="48" t="s">
        <v>105</v>
      </c>
      <c r="R2" s="48" t="s">
        <v>106</v>
      </c>
    </row>
    <row r="3" spans="1:21" x14ac:dyDescent="0.25">
      <c r="A3" s="50">
        <v>44866</v>
      </c>
      <c r="B3" s="30">
        <v>19981</v>
      </c>
      <c r="C3" s="30">
        <v>27783</v>
      </c>
      <c r="D3" s="30">
        <v>292009</v>
      </c>
      <c r="E3" s="30">
        <v>281395</v>
      </c>
      <c r="F3" s="30">
        <v>67301</v>
      </c>
      <c r="G3" s="30">
        <v>123110</v>
      </c>
      <c r="H3" s="51">
        <v>62092</v>
      </c>
      <c r="I3" s="136">
        <v>79317</v>
      </c>
      <c r="J3" s="30">
        <v>23697</v>
      </c>
      <c r="K3" s="30">
        <v>1024</v>
      </c>
      <c r="L3" s="30">
        <v>19385</v>
      </c>
      <c r="M3" s="30">
        <v>28376</v>
      </c>
      <c r="N3" s="30">
        <v>8966</v>
      </c>
      <c r="O3" s="30">
        <v>2383</v>
      </c>
      <c r="P3" s="30">
        <v>32379</v>
      </c>
      <c r="Q3" s="30">
        <v>2139</v>
      </c>
      <c r="R3" s="30">
        <v>748</v>
      </c>
    </row>
    <row r="4" spans="1:21" x14ac:dyDescent="0.25">
      <c r="A4" s="50">
        <v>44867</v>
      </c>
      <c r="B4" s="30">
        <v>20168</v>
      </c>
      <c r="C4" s="30">
        <v>28048</v>
      </c>
      <c r="D4" s="30">
        <v>292223</v>
      </c>
      <c r="E4" s="30">
        <v>281486</v>
      </c>
      <c r="F4" s="30">
        <v>67302</v>
      </c>
      <c r="G4" s="30">
        <v>123145</v>
      </c>
      <c r="H4" s="30">
        <v>62092</v>
      </c>
      <c r="I4" s="136">
        <v>79342</v>
      </c>
      <c r="J4" s="51">
        <v>23703</v>
      </c>
      <c r="K4" s="30">
        <v>1024</v>
      </c>
      <c r="L4" s="96">
        <v>19388</v>
      </c>
      <c r="M4" s="96">
        <v>28381</v>
      </c>
      <c r="N4" s="96">
        <v>8967</v>
      </c>
      <c r="O4" s="30">
        <v>2384</v>
      </c>
      <c r="P4" s="96">
        <v>32392</v>
      </c>
      <c r="Q4" s="96">
        <v>2143</v>
      </c>
      <c r="R4" s="96">
        <v>750</v>
      </c>
    </row>
    <row r="5" spans="1:21" x14ac:dyDescent="0.25">
      <c r="A5" s="50">
        <v>44868</v>
      </c>
      <c r="B5" s="30">
        <v>20295</v>
      </c>
      <c r="C5" s="30">
        <v>28231</v>
      </c>
      <c r="D5" s="30">
        <v>292359</v>
      </c>
      <c r="E5" s="30">
        <v>281560</v>
      </c>
      <c r="F5" s="30">
        <v>67303</v>
      </c>
      <c r="G5" s="30">
        <v>123172</v>
      </c>
      <c r="H5" s="30">
        <v>62092</v>
      </c>
      <c r="I5" s="136">
        <v>79361</v>
      </c>
      <c r="J5" s="30">
        <v>23709</v>
      </c>
      <c r="K5" s="30">
        <v>1024</v>
      </c>
      <c r="L5" s="96">
        <v>19392</v>
      </c>
      <c r="M5" s="96">
        <v>28388</v>
      </c>
      <c r="N5" s="96">
        <v>8970</v>
      </c>
      <c r="O5" s="30">
        <v>2385</v>
      </c>
      <c r="P5" s="96">
        <v>32404</v>
      </c>
      <c r="Q5" s="96">
        <v>2149</v>
      </c>
      <c r="R5" s="96">
        <v>752</v>
      </c>
    </row>
    <row r="6" spans="1:21" x14ac:dyDescent="0.25">
      <c r="A6" s="50">
        <v>44869</v>
      </c>
      <c r="B6" s="30">
        <v>20442</v>
      </c>
      <c r="C6" s="30">
        <v>28441</v>
      </c>
      <c r="D6" s="30">
        <v>292524</v>
      </c>
      <c r="E6" s="30">
        <v>281634</v>
      </c>
      <c r="F6" s="30">
        <v>67304</v>
      </c>
      <c r="G6" s="30">
        <v>123199</v>
      </c>
      <c r="H6" s="30">
        <v>62092</v>
      </c>
      <c r="I6" s="136">
        <v>79387</v>
      </c>
      <c r="J6" s="51">
        <v>23715</v>
      </c>
      <c r="K6" s="30">
        <v>1024</v>
      </c>
      <c r="L6" s="96">
        <v>19396</v>
      </c>
      <c r="M6" s="96">
        <v>28393</v>
      </c>
      <c r="N6" s="96">
        <v>8971</v>
      </c>
      <c r="O6" s="30">
        <v>2388</v>
      </c>
      <c r="P6" s="96">
        <v>32419</v>
      </c>
      <c r="Q6" s="96">
        <v>2151</v>
      </c>
      <c r="R6" s="96">
        <v>759</v>
      </c>
    </row>
    <row r="7" spans="1:21" x14ac:dyDescent="0.25">
      <c r="A7" s="50">
        <v>44870</v>
      </c>
      <c r="B7" s="51">
        <v>20576</v>
      </c>
      <c r="C7" s="30">
        <v>28635</v>
      </c>
      <c r="D7" s="96">
        <v>292674</v>
      </c>
      <c r="E7" s="96">
        <v>281702</v>
      </c>
      <c r="F7" s="30">
        <v>67305</v>
      </c>
      <c r="G7" s="96">
        <v>123221</v>
      </c>
      <c r="H7" s="30">
        <v>62092</v>
      </c>
      <c r="I7" s="120">
        <v>79406</v>
      </c>
      <c r="J7" s="96">
        <v>23720</v>
      </c>
      <c r="K7" s="30">
        <v>1024</v>
      </c>
      <c r="L7" s="96">
        <v>19401</v>
      </c>
      <c r="M7" s="96">
        <v>28399</v>
      </c>
      <c r="N7" s="96">
        <v>8975</v>
      </c>
      <c r="O7" s="30">
        <v>2389</v>
      </c>
      <c r="P7" s="96">
        <v>32419</v>
      </c>
      <c r="Q7" s="96">
        <v>2157</v>
      </c>
      <c r="R7" s="96">
        <v>759</v>
      </c>
    </row>
    <row r="8" spans="1:21" x14ac:dyDescent="0.25">
      <c r="A8" s="50">
        <v>44871</v>
      </c>
      <c r="B8" s="51">
        <v>20707</v>
      </c>
      <c r="C8" s="30">
        <v>28822</v>
      </c>
      <c r="D8" s="96">
        <v>292810</v>
      </c>
      <c r="E8" s="96">
        <v>281776</v>
      </c>
      <c r="F8" s="96">
        <v>67306</v>
      </c>
      <c r="G8" s="96">
        <v>123243</v>
      </c>
      <c r="H8" s="30">
        <v>62092</v>
      </c>
      <c r="I8" s="120">
        <v>79427</v>
      </c>
      <c r="J8" s="96">
        <v>23726</v>
      </c>
      <c r="K8" s="30">
        <v>1024</v>
      </c>
      <c r="L8" s="96">
        <v>19405</v>
      </c>
      <c r="M8" s="96">
        <v>29405</v>
      </c>
      <c r="N8" s="96">
        <v>8977</v>
      </c>
      <c r="O8" s="30">
        <v>2390</v>
      </c>
      <c r="P8" s="96">
        <v>32440</v>
      </c>
      <c r="Q8" s="96">
        <v>2159</v>
      </c>
      <c r="R8" s="96">
        <v>765</v>
      </c>
    </row>
    <row r="9" spans="1:21" x14ac:dyDescent="0.25">
      <c r="A9" s="50">
        <v>44872</v>
      </c>
      <c r="B9" s="51">
        <v>20838</v>
      </c>
      <c r="C9" s="30">
        <v>29011</v>
      </c>
      <c r="D9" s="96">
        <v>292940</v>
      </c>
      <c r="E9" s="96">
        <v>281853</v>
      </c>
      <c r="F9" s="96">
        <v>67306</v>
      </c>
      <c r="G9" s="96">
        <v>123275</v>
      </c>
      <c r="H9" s="30">
        <v>62092</v>
      </c>
      <c r="I9" s="120">
        <v>79445</v>
      </c>
      <c r="J9" s="96">
        <v>23732</v>
      </c>
      <c r="K9" s="30">
        <v>1024</v>
      </c>
      <c r="L9" s="96">
        <v>19409</v>
      </c>
      <c r="M9" s="96">
        <v>28410</v>
      </c>
      <c r="N9" s="96">
        <v>8979</v>
      </c>
      <c r="O9" s="30">
        <v>2391</v>
      </c>
      <c r="P9" s="96">
        <v>32452</v>
      </c>
      <c r="Q9" s="96">
        <v>2163</v>
      </c>
      <c r="R9" s="96">
        <v>768</v>
      </c>
    </row>
    <row r="10" spans="1:21" x14ac:dyDescent="0.25">
      <c r="A10" s="50">
        <v>44873</v>
      </c>
      <c r="B10" s="30">
        <v>20997</v>
      </c>
      <c r="C10" s="51">
        <v>29239</v>
      </c>
      <c r="D10" s="96">
        <v>293129</v>
      </c>
      <c r="E10" s="96">
        <v>281934</v>
      </c>
      <c r="F10" s="96">
        <v>67307</v>
      </c>
      <c r="G10" s="96">
        <v>123304</v>
      </c>
      <c r="H10" s="30">
        <v>62092</v>
      </c>
      <c r="I10" s="120">
        <v>79474</v>
      </c>
      <c r="J10" s="96">
        <v>23738</v>
      </c>
      <c r="K10" s="30">
        <v>1024</v>
      </c>
      <c r="L10" s="96">
        <v>19412</v>
      </c>
      <c r="M10" s="96">
        <v>28418</v>
      </c>
      <c r="N10" s="96">
        <v>8981</v>
      </c>
      <c r="O10" s="30">
        <v>2393</v>
      </c>
      <c r="P10" s="96">
        <v>32473</v>
      </c>
      <c r="Q10" s="96">
        <v>2168</v>
      </c>
      <c r="R10" s="96">
        <v>771</v>
      </c>
    </row>
    <row r="11" spans="1:21" x14ac:dyDescent="0.25">
      <c r="A11" s="50">
        <v>44874</v>
      </c>
      <c r="B11" s="51">
        <v>21133</v>
      </c>
      <c r="C11" s="30">
        <v>29435</v>
      </c>
      <c r="D11" s="96">
        <v>293273</v>
      </c>
      <c r="E11" s="96">
        <v>282012</v>
      </c>
      <c r="F11" s="96">
        <v>67308</v>
      </c>
      <c r="G11" s="96">
        <v>123333</v>
      </c>
      <c r="H11" s="30">
        <v>62092</v>
      </c>
      <c r="I11" s="120">
        <v>79491</v>
      </c>
      <c r="J11" s="96">
        <v>23743</v>
      </c>
      <c r="K11" s="30">
        <v>1024</v>
      </c>
      <c r="L11" s="96">
        <v>19416</v>
      </c>
      <c r="M11" s="96">
        <v>28422</v>
      </c>
      <c r="N11" s="96">
        <v>8983</v>
      </c>
      <c r="O11" s="30">
        <v>2395</v>
      </c>
      <c r="P11" s="96">
        <v>32480</v>
      </c>
      <c r="Q11" s="96">
        <v>2169</v>
      </c>
      <c r="R11" s="96">
        <v>776</v>
      </c>
    </row>
    <row r="12" spans="1:21" x14ac:dyDescent="0.25">
      <c r="A12" s="50">
        <v>44875</v>
      </c>
      <c r="B12" s="30">
        <v>21277</v>
      </c>
      <c r="C12" s="51">
        <v>29642</v>
      </c>
      <c r="D12" s="96">
        <v>293452</v>
      </c>
      <c r="E12" s="96">
        <v>282097</v>
      </c>
      <c r="F12" s="96">
        <v>67308</v>
      </c>
      <c r="G12" s="96">
        <v>123364</v>
      </c>
      <c r="H12" s="30">
        <v>62092</v>
      </c>
      <c r="I12" s="120">
        <v>79496</v>
      </c>
      <c r="J12" s="30">
        <v>23749</v>
      </c>
      <c r="K12" s="30">
        <v>1024</v>
      </c>
      <c r="L12" s="96">
        <v>19420</v>
      </c>
      <c r="M12" s="96">
        <v>28429</v>
      </c>
      <c r="N12" s="96">
        <v>8985</v>
      </c>
      <c r="O12" s="30">
        <v>2397</v>
      </c>
      <c r="P12" s="96">
        <v>32484</v>
      </c>
      <c r="Q12" s="96">
        <v>2176</v>
      </c>
      <c r="R12" s="96">
        <v>779</v>
      </c>
    </row>
    <row r="13" spans="1:21" x14ac:dyDescent="0.25">
      <c r="A13" s="50">
        <v>44876</v>
      </c>
      <c r="B13" s="51">
        <v>21400</v>
      </c>
      <c r="C13" s="30">
        <v>29818</v>
      </c>
      <c r="D13" s="96">
        <v>293580</v>
      </c>
      <c r="E13" s="96">
        <v>282163</v>
      </c>
      <c r="F13" s="96">
        <v>67309</v>
      </c>
      <c r="G13" s="96">
        <v>123390</v>
      </c>
      <c r="H13" s="30">
        <v>62092</v>
      </c>
      <c r="I13" s="120">
        <v>79516</v>
      </c>
      <c r="J13" s="51">
        <v>23756</v>
      </c>
      <c r="K13" s="30">
        <v>1024</v>
      </c>
      <c r="L13" s="96">
        <v>19424</v>
      </c>
      <c r="M13" s="96">
        <v>28435</v>
      </c>
      <c r="N13" s="96">
        <v>8987</v>
      </c>
      <c r="O13" s="30">
        <v>2398</v>
      </c>
      <c r="P13" s="120">
        <v>32498</v>
      </c>
      <c r="Q13" s="96">
        <v>2176</v>
      </c>
      <c r="R13" s="96">
        <v>784</v>
      </c>
    </row>
    <row r="14" spans="1:21" x14ac:dyDescent="0.25">
      <c r="A14" s="50">
        <v>44877</v>
      </c>
      <c r="B14" s="30">
        <v>21549</v>
      </c>
      <c r="C14" s="30">
        <v>29950</v>
      </c>
      <c r="D14" s="96">
        <v>293695</v>
      </c>
      <c r="E14" s="96">
        <v>282236</v>
      </c>
      <c r="F14" s="96">
        <v>67310</v>
      </c>
      <c r="G14" s="96">
        <v>123416</v>
      </c>
      <c r="H14" s="30">
        <v>62092</v>
      </c>
      <c r="I14" s="120">
        <v>79527</v>
      </c>
      <c r="J14" s="30">
        <v>23762</v>
      </c>
      <c r="K14" s="30">
        <v>1024</v>
      </c>
      <c r="L14" s="96">
        <v>19428</v>
      </c>
      <c r="M14" s="96">
        <v>28442</v>
      </c>
      <c r="N14" s="96">
        <v>8988</v>
      </c>
      <c r="O14" s="30">
        <v>2399</v>
      </c>
      <c r="P14" s="96">
        <v>32504</v>
      </c>
      <c r="Q14" s="96">
        <v>2178</v>
      </c>
      <c r="R14" s="96">
        <v>784</v>
      </c>
    </row>
    <row r="15" spans="1:21" x14ac:dyDescent="0.25">
      <c r="A15" s="50">
        <v>44878</v>
      </c>
      <c r="B15" s="30">
        <v>21657</v>
      </c>
      <c r="C15" s="30">
        <v>30163</v>
      </c>
      <c r="D15" s="96">
        <v>293870</v>
      </c>
      <c r="E15" s="96">
        <v>282305</v>
      </c>
      <c r="F15" s="96">
        <v>67311</v>
      </c>
      <c r="G15" s="96">
        <v>123439</v>
      </c>
      <c r="H15" s="30">
        <v>62092</v>
      </c>
      <c r="I15" s="120">
        <v>79531</v>
      </c>
      <c r="J15" s="96">
        <v>23767</v>
      </c>
      <c r="K15" s="30">
        <v>1024</v>
      </c>
      <c r="L15" s="96">
        <v>19431</v>
      </c>
      <c r="M15" s="96">
        <v>28447</v>
      </c>
      <c r="N15" s="96">
        <v>8989</v>
      </c>
      <c r="O15" s="30">
        <v>2400</v>
      </c>
      <c r="P15" s="96">
        <v>32504</v>
      </c>
      <c r="Q15" s="96">
        <v>2183</v>
      </c>
      <c r="R15" s="96">
        <v>787</v>
      </c>
      <c r="T15" s="94"/>
      <c r="U15" s="94"/>
    </row>
    <row r="16" spans="1:21" x14ac:dyDescent="0.25">
      <c r="A16" s="50">
        <v>44879</v>
      </c>
      <c r="B16" s="30">
        <v>21759</v>
      </c>
      <c r="C16" s="51">
        <v>30365</v>
      </c>
      <c r="D16" s="96">
        <v>294014</v>
      </c>
      <c r="E16" s="96">
        <v>282375</v>
      </c>
      <c r="F16" s="96">
        <v>67311</v>
      </c>
      <c r="G16" s="96">
        <v>123456</v>
      </c>
      <c r="H16" s="30">
        <v>62092</v>
      </c>
      <c r="I16" s="120">
        <v>79555</v>
      </c>
      <c r="J16" s="96">
        <v>23773</v>
      </c>
      <c r="K16" s="30">
        <v>1024</v>
      </c>
      <c r="L16" s="96">
        <v>19433</v>
      </c>
      <c r="M16" s="96">
        <v>28454</v>
      </c>
      <c r="N16" s="96">
        <v>8990</v>
      </c>
      <c r="O16" s="30">
        <v>2401</v>
      </c>
      <c r="P16" s="96">
        <v>32521</v>
      </c>
      <c r="Q16" s="96">
        <v>2184</v>
      </c>
      <c r="R16" s="96">
        <v>789</v>
      </c>
    </row>
    <row r="17" spans="1:21" x14ac:dyDescent="0.25">
      <c r="A17" s="50">
        <v>44880</v>
      </c>
      <c r="B17" s="30">
        <v>21869</v>
      </c>
      <c r="C17" s="30">
        <v>30585</v>
      </c>
      <c r="D17" s="96">
        <v>294194</v>
      </c>
      <c r="E17" s="96">
        <v>282449</v>
      </c>
      <c r="F17" s="96">
        <v>67312</v>
      </c>
      <c r="G17" s="96">
        <v>123482</v>
      </c>
      <c r="H17" s="30">
        <v>62092</v>
      </c>
      <c r="I17" s="120">
        <v>79558</v>
      </c>
      <c r="J17" s="96">
        <v>23779</v>
      </c>
      <c r="K17" s="30">
        <v>1024</v>
      </c>
      <c r="L17" s="96">
        <v>19435</v>
      </c>
      <c r="M17" s="96">
        <v>28461</v>
      </c>
      <c r="N17" s="96">
        <v>8992</v>
      </c>
      <c r="O17" s="30">
        <v>2402</v>
      </c>
      <c r="P17" s="96">
        <v>32521</v>
      </c>
      <c r="Q17" s="96">
        <v>2184</v>
      </c>
      <c r="R17" s="96">
        <v>794</v>
      </c>
    </row>
    <row r="18" spans="1:21" x14ac:dyDescent="0.25">
      <c r="A18" s="50">
        <v>44881</v>
      </c>
      <c r="B18" s="30">
        <v>21973</v>
      </c>
      <c r="C18" s="51">
        <v>30789</v>
      </c>
      <c r="D18" s="96">
        <v>294316</v>
      </c>
      <c r="E18" s="96">
        <v>282512</v>
      </c>
      <c r="F18" s="96">
        <v>67317</v>
      </c>
      <c r="G18" s="96">
        <v>123506</v>
      </c>
      <c r="H18" s="30">
        <v>62092</v>
      </c>
      <c r="I18" s="120">
        <v>79572</v>
      </c>
      <c r="J18" s="96">
        <v>23785</v>
      </c>
      <c r="K18" s="30">
        <v>1024</v>
      </c>
      <c r="L18" s="96">
        <v>19438</v>
      </c>
      <c r="M18" s="96">
        <v>28468</v>
      </c>
      <c r="N18" s="96">
        <v>8992</v>
      </c>
      <c r="O18" s="30">
        <v>2403</v>
      </c>
      <c r="P18" s="96">
        <v>32528</v>
      </c>
      <c r="Q18" s="96">
        <v>2185</v>
      </c>
      <c r="R18" s="96">
        <v>797</v>
      </c>
      <c r="U18" s="94"/>
    </row>
    <row r="19" spans="1:21" x14ac:dyDescent="0.25">
      <c r="A19" s="50">
        <v>44882</v>
      </c>
      <c r="B19" s="30">
        <v>22079</v>
      </c>
      <c r="C19" s="30">
        <v>31000</v>
      </c>
      <c r="D19" s="96">
        <v>294480</v>
      </c>
      <c r="E19" s="96">
        <v>282590</v>
      </c>
      <c r="F19" s="96">
        <v>67318</v>
      </c>
      <c r="G19" s="96">
        <v>123526</v>
      </c>
      <c r="H19" s="30">
        <v>62092</v>
      </c>
      <c r="I19" s="120">
        <v>79574</v>
      </c>
      <c r="J19" s="96">
        <v>23790</v>
      </c>
      <c r="K19" s="30">
        <v>1024</v>
      </c>
      <c r="L19" s="96">
        <v>19441</v>
      </c>
      <c r="M19" s="96">
        <v>28475</v>
      </c>
      <c r="N19" s="96">
        <v>8996</v>
      </c>
      <c r="O19" s="30">
        <v>2405</v>
      </c>
      <c r="P19" s="96">
        <v>32523</v>
      </c>
      <c r="Q19" s="96">
        <v>2188</v>
      </c>
      <c r="R19" s="96">
        <v>801</v>
      </c>
    </row>
    <row r="20" spans="1:21" x14ac:dyDescent="0.25">
      <c r="A20" s="50">
        <v>44883</v>
      </c>
      <c r="B20" s="30">
        <v>22188</v>
      </c>
      <c r="C20" s="51">
        <v>31219</v>
      </c>
      <c r="D20" s="97">
        <v>294650</v>
      </c>
      <c r="E20" s="96">
        <v>282650</v>
      </c>
      <c r="F20" s="96">
        <v>67319</v>
      </c>
      <c r="G20" s="96">
        <v>123551</v>
      </c>
      <c r="H20" s="30">
        <v>62092</v>
      </c>
      <c r="I20" s="120">
        <v>79595</v>
      </c>
      <c r="J20" s="96">
        <v>23796</v>
      </c>
      <c r="K20" s="30">
        <v>1024</v>
      </c>
      <c r="L20" s="96">
        <v>19444</v>
      </c>
      <c r="M20" s="96">
        <v>28481</v>
      </c>
      <c r="N20" s="96">
        <v>8998</v>
      </c>
      <c r="O20" s="30">
        <v>2407</v>
      </c>
      <c r="P20" s="96">
        <v>32530</v>
      </c>
      <c r="Q20" s="96">
        <v>2189</v>
      </c>
      <c r="R20" s="96">
        <v>804</v>
      </c>
    </row>
    <row r="21" spans="1:21" x14ac:dyDescent="0.25">
      <c r="A21" s="50">
        <v>44884</v>
      </c>
      <c r="B21" s="30">
        <v>22272</v>
      </c>
      <c r="C21" s="30">
        <v>31388</v>
      </c>
      <c r="D21" s="96">
        <v>294756</v>
      </c>
      <c r="E21" s="96">
        <v>282697</v>
      </c>
      <c r="F21" s="96">
        <v>67320</v>
      </c>
      <c r="G21" s="96">
        <v>123574</v>
      </c>
      <c r="H21" s="30">
        <v>62092</v>
      </c>
      <c r="I21" s="120">
        <v>79609</v>
      </c>
      <c r="J21" s="96">
        <v>23801</v>
      </c>
      <c r="K21" s="30">
        <v>1024</v>
      </c>
      <c r="L21" s="96">
        <v>19449</v>
      </c>
      <c r="M21" s="96">
        <v>28488</v>
      </c>
      <c r="N21" s="96">
        <v>8992</v>
      </c>
      <c r="O21" s="30">
        <v>2409</v>
      </c>
      <c r="P21" s="96">
        <v>32550</v>
      </c>
      <c r="Q21" s="96">
        <v>2190</v>
      </c>
      <c r="R21" s="96">
        <v>810</v>
      </c>
    </row>
    <row r="22" spans="1:21" x14ac:dyDescent="0.25">
      <c r="A22" s="50">
        <v>44885</v>
      </c>
      <c r="B22" s="30">
        <v>22372</v>
      </c>
      <c r="C22" s="51">
        <v>31588</v>
      </c>
      <c r="D22" s="96">
        <v>294902</v>
      </c>
      <c r="E22" s="96">
        <v>282746</v>
      </c>
      <c r="F22" s="96">
        <v>67322</v>
      </c>
      <c r="G22" s="96">
        <v>123593</v>
      </c>
      <c r="H22" s="30">
        <v>62092</v>
      </c>
      <c r="I22" s="120">
        <v>79615</v>
      </c>
      <c r="J22" s="30">
        <v>23806</v>
      </c>
      <c r="K22" s="30">
        <v>1024</v>
      </c>
      <c r="L22" s="96">
        <v>19453</v>
      </c>
      <c r="M22" s="96">
        <v>28494</v>
      </c>
      <c r="N22" s="96">
        <v>8999</v>
      </c>
      <c r="O22" s="30">
        <v>2411</v>
      </c>
      <c r="P22" s="96">
        <v>32550</v>
      </c>
      <c r="Q22" s="96">
        <v>2190</v>
      </c>
      <c r="R22" s="96">
        <v>815</v>
      </c>
    </row>
    <row r="23" spans="1:21" x14ac:dyDescent="0.25">
      <c r="A23" s="50">
        <v>44886</v>
      </c>
      <c r="B23" s="30">
        <v>22470</v>
      </c>
      <c r="C23" s="30">
        <v>31782</v>
      </c>
      <c r="D23" s="96">
        <v>294999</v>
      </c>
      <c r="E23" s="96">
        <v>282840</v>
      </c>
      <c r="F23" s="96">
        <v>67323</v>
      </c>
      <c r="G23" s="96">
        <v>123614</v>
      </c>
      <c r="H23" s="30">
        <v>62092</v>
      </c>
      <c r="I23" s="120">
        <v>79638</v>
      </c>
      <c r="J23" s="30">
        <v>23811</v>
      </c>
      <c r="K23" s="30">
        <v>1024</v>
      </c>
      <c r="L23" s="96">
        <v>19456</v>
      </c>
      <c r="M23" s="96">
        <v>28500</v>
      </c>
      <c r="N23" s="96">
        <v>8999</v>
      </c>
      <c r="O23" s="30">
        <v>2412</v>
      </c>
      <c r="P23" s="96">
        <v>32560</v>
      </c>
      <c r="Q23" s="96">
        <v>2191</v>
      </c>
      <c r="R23" s="96">
        <v>818</v>
      </c>
      <c r="S23" s="10" t="s">
        <v>125</v>
      </c>
    </row>
    <row r="24" spans="1:21" x14ac:dyDescent="0.25">
      <c r="A24" s="50">
        <v>44887</v>
      </c>
      <c r="B24" s="30">
        <v>22588</v>
      </c>
      <c r="C24" s="51">
        <v>32018</v>
      </c>
      <c r="D24" s="96">
        <v>295129</v>
      </c>
      <c r="E24" s="96">
        <v>282925</v>
      </c>
      <c r="F24" s="96">
        <v>67326</v>
      </c>
      <c r="G24" s="96">
        <v>123638</v>
      </c>
      <c r="H24" s="30">
        <v>62092</v>
      </c>
      <c r="I24" s="120">
        <v>79642</v>
      </c>
      <c r="J24" s="96">
        <v>23817</v>
      </c>
      <c r="K24" s="30">
        <v>1024</v>
      </c>
      <c r="L24" s="96">
        <v>19459</v>
      </c>
      <c r="M24" s="96">
        <v>28505</v>
      </c>
      <c r="N24" s="96">
        <v>9001</v>
      </c>
      <c r="O24" s="30">
        <v>2413</v>
      </c>
      <c r="P24" s="96">
        <v>32566</v>
      </c>
      <c r="Q24" s="96">
        <v>2193</v>
      </c>
      <c r="R24" s="96">
        <v>822</v>
      </c>
      <c r="S24" s="10" t="s">
        <v>127</v>
      </c>
    </row>
    <row r="25" spans="1:21" x14ac:dyDescent="0.25">
      <c r="A25" s="50">
        <v>44888</v>
      </c>
      <c r="B25" s="30">
        <v>22700</v>
      </c>
      <c r="C25" s="30">
        <v>32238</v>
      </c>
      <c r="D25" s="96">
        <v>295269</v>
      </c>
      <c r="E25" s="96">
        <v>283016</v>
      </c>
      <c r="F25" s="96">
        <v>67328</v>
      </c>
      <c r="G25" s="96">
        <v>123660</v>
      </c>
      <c r="H25" s="30">
        <v>62092</v>
      </c>
      <c r="I25" s="120">
        <v>79662</v>
      </c>
      <c r="J25" s="96">
        <v>23823</v>
      </c>
      <c r="K25" s="30">
        <v>1024</v>
      </c>
      <c r="L25" s="96">
        <v>19462</v>
      </c>
      <c r="M25" s="96">
        <v>28512</v>
      </c>
      <c r="N25" s="96">
        <v>9002</v>
      </c>
      <c r="O25" s="30">
        <v>2416</v>
      </c>
      <c r="P25" s="96">
        <v>32579</v>
      </c>
      <c r="Q25" s="96">
        <v>2200</v>
      </c>
      <c r="R25" s="96">
        <v>828</v>
      </c>
    </row>
    <row r="26" spans="1:21" x14ac:dyDescent="0.25">
      <c r="A26" s="50">
        <v>44889</v>
      </c>
      <c r="B26" s="30">
        <v>22830</v>
      </c>
      <c r="C26" s="51">
        <v>32493</v>
      </c>
      <c r="D26" s="96">
        <v>295459</v>
      </c>
      <c r="E26" s="96">
        <v>283094</v>
      </c>
      <c r="F26" s="96">
        <v>67329</v>
      </c>
      <c r="G26" s="96">
        <v>123681</v>
      </c>
      <c r="H26" s="30">
        <v>62092</v>
      </c>
      <c r="I26" s="120">
        <v>79676</v>
      </c>
      <c r="J26" s="96">
        <v>23829</v>
      </c>
      <c r="K26" s="30">
        <v>1024</v>
      </c>
      <c r="L26" s="96">
        <v>19464</v>
      </c>
      <c r="M26" s="96">
        <v>28519</v>
      </c>
      <c r="N26" s="96">
        <v>9005</v>
      </c>
      <c r="O26" s="30">
        <v>2417</v>
      </c>
      <c r="P26" s="96">
        <v>32587</v>
      </c>
      <c r="Q26" s="96">
        <v>2203</v>
      </c>
      <c r="R26" s="96">
        <v>832</v>
      </c>
    </row>
    <row r="27" spans="1:21" x14ac:dyDescent="0.25">
      <c r="A27" s="50">
        <v>44890</v>
      </c>
      <c r="B27" s="30">
        <v>22957</v>
      </c>
      <c r="C27" s="30">
        <v>32739</v>
      </c>
      <c r="D27" s="96">
        <v>295636</v>
      </c>
      <c r="E27" s="96">
        <v>283191</v>
      </c>
      <c r="F27" s="96">
        <v>67329</v>
      </c>
      <c r="G27" s="96">
        <v>123704</v>
      </c>
      <c r="H27" s="30">
        <v>62092</v>
      </c>
      <c r="I27" s="120">
        <v>79697</v>
      </c>
      <c r="J27" s="96">
        <v>23835</v>
      </c>
      <c r="K27" s="30">
        <v>1024</v>
      </c>
      <c r="L27" s="96">
        <v>19466</v>
      </c>
      <c r="M27" s="96">
        <v>28526</v>
      </c>
      <c r="N27" s="96">
        <v>9034</v>
      </c>
      <c r="O27" s="30">
        <v>2419</v>
      </c>
      <c r="P27" s="96">
        <v>32602</v>
      </c>
      <c r="Q27" s="96">
        <v>2203</v>
      </c>
      <c r="R27" s="96">
        <v>837</v>
      </c>
    </row>
    <row r="28" spans="1:21" x14ac:dyDescent="0.25">
      <c r="A28" s="50">
        <v>44891</v>
      </c>
      <c r="B28" s="30">
        <v>23054</v>
      </c>
      <c r="C28" s="51">
        <v>32928</v>
      </c>
      <c r="D28" s="96">
        <v>295755</v>
      </c>
      <c r="E28" s="96">
        <v>283262</v>
      </c>
      <c r="F28" s="96">
        <v>67330</v>
      </c>
      <c r="G28" s="96">
        <v>123728</v>
      </c>
      <c r="H28" s="30">
        <v>62092</v>
      </c>
      <c r="I28" s="120">
        <v>79712</v>
      </c>
      <c r="J28" s="96">
        <v>23841</v>
      </c>
      <c r="K28" s="30">
        <v>1024</v>
      </c>
      <c r="L28" s="30">
        <v>19470</v>
      </c>
      <c r="M28" s="96">
        <v>28531</v>
      </c>
      <c r="N28" s="96">
        <v>9036</v>
      </c>
      <c r="O28" s="30">
        <v>2420</v>
      </c>
      <c r="P28" s="96">
        <v>32611</v>
      </c>
      <c r="Q28" s="96">
        <v>2208</v>
      </c>
      <c r="R28" s="96">
        <v>840</v>
      </c>
    </row>
    <row r="29" spans="1:21" x14ac:dyDescent="0.25">
      <c r="A29" s="50">
        <v>44892</v>
      </c>
      <c r="B29" s="30">
        <v>23072</v>
      </c>
      <c r="C29" s="30">
        <v>33081</v>
      </c>
      <c r="D29" s="96">
        <v>295893</v>
      </c>
      <c r="E29" s="96">
        <v>283331</v>
      </c>
      <c r="F29" s="96">
        <v>67332</v>
      </c>
      <c r="G29" s="96">
        <v>123750</v>
      </c>
      <c r="H29" s="30">
        <v>62092</v>
      </c>
      <c r="I29" s="137">
        <v>79717</v>
      </c>
      <c r="J29" s="96">
        <v>23847</v>
      </c>
      <c r="K29" s="30">
        <v>1024</v>
      </c>
      <c r="L29" s="96">
        <v>19473</v>
      </c>
      <c r="M29" s="96">
        <v>28536</v>
      </c>
      <c r="N29" s="96">
        <v>9038</v>
      </c>
      <c r="O29" s="30">
        <v>2420</v>
      </c>
      <c r="P29" s="96">
        <v>32611</v>
      </c>
      <c r="Q29" s="96">
        <v>2212</v>
      </c>
      <c r="R29" s="96">
        <v>845</v>
      </c>
    </row>
    <row r="30" spans="1:21" x14ac:dyDescent="0.25">
      <c r="A30" s="50">
        <v>44893</v>
      </c>
      <c r="B30" s="30"/>
      <c r="C30" s="51"/>
      <c r="D30" s="96"/>
      <c r="E30" s="96"/>
      <c r="F30" s="96"/>
      <c r="G30" s="96"/>
      <c r="H30" s="30"/>
      <c r="I30" s="120"/>
      <c r="J30" s="96"/>
      <c r="K30" s="30"/>
      <c r="L30" s="96"/>
      <c r="M30" s="96"/>
      <c r="N30" s="96"/>
      <c r="O30" s="30"/>
      <c r="P30" s="96"/>
      <c r="Q30" s="96"/>
      <c r="R30" s="96"/>
    </row>
    <row r="31" spans="1:21" x14ac:dyDescent="0.25">
      <c r="A31" s="50">
        <v>44894</v>
      </c>
      <c r="B31" s="30"/>
      <c r="C31" s="30"/>
      <c r="D31" s="30"/>
      <c r="F31" s="30"/>
      <c r="G31" s="30"/>
      <c r="H31" s="30"/>
      <c r="I31" s="30"/>
      <c r="K31" s="30"/>
      <c r="L31" s="30"/>
      <c r="M31" s="30"/>
      <c r="N31" s="30"/>
      <c r="O31" s="30"/>
      <c r="P31" s="30"/>
      <c r="Q31" s="30"/>
      <c r="R31" s="30"/>
    </row>
    <row r="32" spans="1:21" x14ac:dyDescent="0.25">
      <c r="A32" s="50">
        <v>44895</v>
      </c>
      <c r="B32" s="30"/>
      <c r="C32" s="30"/>
      <c r="D32" s="30"/>
      <c r="E32" s="30"/>
      <c r="F32" s="30"/>
      <c r="G32" s="30"/>
      <c r="H32" s="51"/>
      <c r="I32" s="30"/>
      <c r="J32" s="30"/>
      <c r="K32" s="96"/>
      <c r="L32" s="30"/>
      <c r="M32" s="30"/>
      <c r="N32" s="30"/>
      <c r="O32" s="30"/>
      <c r="P32" s="30"/>
      <c r="Q32" s="30"/>
      <c r="R32" s="30"/>
    </row>
    <row r="33" spans="1:18" x14ac:dyDescent="0.25">
      <c r="A33" s="50">
        <v>44896</v>
      </c>
      <c r="B33" s="30"/>
      <c r="C33" s="51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</row>
    <row r="36" spans="1:18" x14ac:dyDescent="0.25">
      <c r="B36" s="94"/>
      <c r="C36" s="94"/>
    </row>
  </sheetData>
  <pageMargins left="0.2" right="0.2" top="0.75" bottom="0.17" header="0.3" footer="0.3"/>
  <pageSetup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1"/>
  <sheetViews>
    <sheetView zoomScale="90" zoomScaleNormal="90" workbookViewId="0">
      <pane ySplit="3" topLeftCell="A4" activePane="bottomLeft" state="frozen"/>
      <selection activeCell="C25" sqref="C25"/>
      <selection pane="bottomLeft" activeCell="K24" sqref="K24"/>
    </sheetView>
  </sheetViews>
  <sheetFormatPr defaultRowHeight="15" x14ac:dyDescent="0.25"/>
  <cols>
    <col min="1" max="1" width="13" style="15" customWidth="1"/>
    <col min="2" max="2" width="14.42578125" style="15" customWidth="1"/>
    <col min="3" max="3" width="15.7109375" style="15" customWidth="1"/>
    <col min="4" max="4" width="16.14062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2" customFormat="1" ht="45" customHeight="1" thickTop="1" x14ac:dyDescent="0.25">
      <c r="A2" s="179" t="s">
        <v>30</v>
      </c>
      <c r="B2" s="180" t="s">
        <v>107</v>
      </c>
      <c r="C2" s="180" t="s">
        <v>108</v>
      </c>
      <c r="D2" s="180"/>
      <c r="E2" s="181" t="s">
        <v>96</v>
      </c>
      <c r="F2" s="178"/>
      <c r="G2" s="175" t="s">
        <v>111</v>
      </c>
      <c r="H2" s="178"/>
      <c r="I2" s="175" t="s">
        <v>109</v>
      </c>
      <c r="J2" s="178"/>
      <c r="K2" s="175" t="s">
        <v>110</v>
      </c>
      <c r="L2" s="178"/>
      <c r="M2" s="175" t="s">
        <v>106</v>
      </c>
      <c r="N2" s="178"/>
      <c r="O2" s="175" t="s">
        <v>105</v>
      </c>
      <c r="P2" s="178"/>
      <c r="Q2" s="175" t="s">
        <v>112</v>
      </c>
      <c r="R2" s="178"/>
      <c r="S2" s="175" t="s">
        <v>113</v>
      </c>
      <c r="T2" s="178"/>
      <c r="U2" s="175" t="s">
        <v>114</v>
      </c>
      <c r="V2" s="178"/>
      <c r="W2" s="175" t="s">
        <v>98</v>
      </c>
      <c r="X2" s="176"/>
      <c r="Y2" s="177" t="s">
        <v>51</v>
      </c>
      <c r="Z2" s="177"/>
    </row>
    <row r="3" spans="1:26" ht="30" x14ac:dyDescent="0.35">
      <c r="A3" s="179"/>
      <c r="B3" s="180"/>
      <c r="C3" s="53" t="s">
        <v>115</v>
      </c>
      <c r="D3" s="53" t="s">
        <v>116</v>
      </c>
      <c r="E3" s="65" t="s">
        <v>115</v>
      </c>
      <c r="F3" s="55" t="s">
        <v>117</v>
      </c>
      <c r="G3" s="54" t="s">
        <v>115</v>
      </c>
      <c r="H3" s="55" t="s">
        <v>117</v>
      </c>
      <c r="I3" s="54" t="s">
        <v>115</v>
      </c>
      <c r="J3" s="55" t="s">
        <v>117</v>
      </c>
      <c r="K3" s="54" t="s">
        <v>115</v>
      </c>
      <c r="L3" s="55" t="s">
        <v>117</v>
      </c>
      <c r="M3" s="54" t="s">
        <v>115</v>
      </c>
      <c r="N3" s="55" t="s">
        <v>117</v>
      </c>
      <c r="O3" s="54" t="s">
        <v>115</v>
      </c>
      <c r="P3" s="55" t="s">
        <v>117</v>
      </c>
      <c r="Q3" s="54" t="s">
        <v>115</v>
      </c>
      <c r="R3" s="55" t="s">
        <v>117</v>
      </c>
      <c r="S3" s="54" t="s">
        <v>115</v>
      </c>
      <c r="T3" s="55" t="s">
        <v>117</v>
      </c>
      <c r="U3" s="54" t="s">
        <v>115</v>
      </c>
      <c r="V3" s="55" t="s">
        <v>117</v>
      </c>
      <c r="W3" s="54" t="s">
        <v>115</v>
      </c>
      <c r="X3" s="56" t="s">
        <v>117</v>
      </c>
      <c r="Y3" s="57" t="s">
        <v>115</v>
      </c>
      <c r="Z3" s="57" t="s">
        <v>117</v>
      </c>
    </row>
    <row r="4" spans="1:26" x14ac:dyDescent="0.25">
      <c r="A4" s="8">
        <f>'Water Reading'!A3</f>
        <v>44866</v>
      </c>
      <c r="B4" s="58">
        <f>TOTAL!I2</f>
        <v>326</v>
      </c>
      <c r="C4" s="59">
        <f>('Water Reading'!B4-'Water Reading'!B3)+('Water Reading'!C4-'Water Reading'!C3)</f>
        <v>452</v>
      </c>
      <c r="D4" s="60">
        <f>C4/B4</f>
        <v>1.3865030674846626</v>
      </c>
      <c r="E4" s="77">
        <f>'Water Reading'!H4-'Water Reading'!H3</f>
        <v>0</v>
      </c>
      <c r="F4" s="78">
        <f>E4/C4</f>
        <v>0</v>
      </c>
      <c r="G4" s="82">
        <f>('Water Reading'!D4-'Water Reading'!D3)-('Water Reading'!R4-'Water Reading'!R3)-('Water Reading'!Q4-'Water Reading'!Q3)</f>
        <v>208</v>
      </c>
      <c r="H4" s="78">
        <f>G4/C4</f>
        <v>0.46017699115044247</v>
      </c>
      <c r="I4" s="79">
        <f>'Water Reading'!P4-'Water Reading'!P3</f>
        <v>13</v>
      </c>
      <c r="J4" s="61">
        <f>I4/C4</f>
        <v>2.8761061946902654E-2</v>
      </c>
      <c r="K4" s="80">
        <f>('Water Reading'!I4-'Water Reading'!I3)-('Water Reading'!P4-'Water Reading'!P3)</f>
        <v>12</v>
      </c>
      <c r="L4" s="61">
        <f>K4/C4</f>
        <v>2.6548672566371681E-2</v>
      </c>
      <c r="M4" s="79">
        <f>'Water Reading'!R4-'Water Reading'!R3</f>
        <v>2</v>
      </c>
      <c r="N4" s="81">
        <f>M4/C4</f>
        <v>4.4247787610619468E-3</v>
      </c>
      <c r="O4" s="79">
        <f>'Water Reading'!Q4-'Water Reading'!Q3</f>
        <v>4</v>
      </c>
      <c r="P4" s="86">
        <f>O4/C4</f>
        <v>8.8495575221238937E-3</v>
      </c>
      <c r="Q4" s="80">
        <f>'Water Reading'!F4-'Water Reading'!F3</f>
        <v>1</v>
      </c>
      <c r="R4" s="87">
        <f>Q4/C4</f>
        <v>2.2123893805309734E-3</v>
      </c>
      <c r="S4" s="79">
        <f>'Water Reading'!E4-'Water Reading'!E3</f>
        <v>91</v>
      </c>
      <c r="T4" s="87">
        <f>S4/C4</f>
        <v>0.20132743362831859</v>
      </c>
      <c r="U4" s="79">
        <f>'Water Reading'!G4-'Water Reading'!G3</f>
        <v>35</v>
      </c>
      <c r="V4" s="87">
        <f>U4/C4</f>
        <v>7.7433628318584066E-2</v>
      </c>
      <c r="W4" s="80">
        <f>'Water Reading'!J4-'Water Reading'!J3</f>
        <v>6</v>
      </c>
      <c r="X4" s="87">
        <f>W4/C4</f>
        <v>1.3274336283185841E-2</v>
      </c>
      <c r="Y4" s="59">
        <f t="shared" ref="Y4:Y33" si="0">E4+I4+K4+M4+O4+G4+Q4+S4+U4+W4</f>
        <v>372</v>
      </c>
      <c r="Z4" s="60">
        <f t="shared" ref="Z4:Z34" si="1">Y4/B4</f>
        <v>1.1411042944785277</v>
      </c>
    </row>
    <row r="5" spans="1:26" x14ac:dyDescent="0.25">
      <c r="A5" s="8">
        <f>'Water Reading'!A4</f>
        <v>44867</v>
      </c>
      <c r="B5" s="58">
        <f>TOTAL!I3</f>
        <v>359</v>
      </c>
      <c r="C5" s="59">
        <f>('Water Reading'!B5-'Water Reading'!B4)+('Water Reading'!C5-'Water Reading'!C4)</f>
        <v>310</v>
      </c>
      <c r="D5" s="60">
        <f t="shared" ref="D5:D33" si="2">C5/B5</f>
        <v>0.86350974930362112</v>
      </c>
      <c r="E5" s="77">
        <f>'Water Reading'!H5-'Water Reading'!H4</f>
        <v>0</v>
      </c>
      <c r="F5" s="78">
        <f t="shared" ref="F5:F33" si="3">E5/C5</f>
        <v>0</v>
      </c>
      <c r="G5" s="82">
        <f>('Water Reading'!D5-'Water Reading'!D4)-('Water Reading'!R5-'Water Reading'!R4)-('Water Reading'!Q5-'Water Reading'!Q4)</f>
        <v>128</v>
      </c>
      <c r="H5" s="78">
        <f t="shared" ref="H5:H33" si="4">G5/C5</f>
        <v>0.41290322580645161</v>
      </c>
      <c r="I5" s="79">
        <f>'Water Reading'!P5-'Water Reading'!P4</f>
        <v>12</v>
      </c>
      <c r="J5" s="61">
        <f t="shared" ref="J5:J33" si="5">I5/C5</f>
        <v>3.870967741935484E-2</v>
      </c>
      <c r="K5" s="80">
        <f>('Water Reading'!I5-'Water Reading'!I4)-('Water Reading'!P5-'Water Reading'!P4)</f>
        <v>7</v>
      </c>
      <c r="L5" s="61">
        <f t="shared" ref="L5:L33" si="6">K5/C5</f>
        <v>2.2580645161290321E-2</v>
      </c>
      <c r="M5" s="79">
        <f>'Water Reading'!R5-'Water Reading'!R4</f>
        <v>2</v>
      </c>
      <c r="N5" s="81">
        <f t="shared" ref="N5:N33" si="7">M5/C5</f>
        <v>6.4516129032258064E-3</v>
      </c>
      <c r="O5" s="79">
        <f>'Water Reading'!Q5-'Water Reading'!Q4</f>
        <v>6</v>
      </c>
      <c r="P5" s="86">
        <f t="shared" ref="P5:P33" si="8">O5/C5</f>
        <v>1.935483870967742E-2</v>
      </c>
      <c r="Q5" s="80">
        <f>'Water Reading'!F5-'Water Reading'!F4</f>
        <v>1</v>
      </c>
      <c r="R5" s="87">
        <f t="shared" ref="R5:R33" si="9">Q5/C5</f>
        <v>3.2258064516129032E-3</v>
      </c>
      <c r="S5" s="79">
        <f>'Water Reading'!E5-'Water Reading'!E4</f>
        <v>74</v>
      </c>
      <c r="T5" s="87">
        <f t="shared" ref="T5:T33" si="10">S5/C5</f>
        <v>0.23870967741935484</v>
      </c>
      <c r="U5" s="79">
        <f>'Water Reading'!G5-'Water Reading'!G4</f>
        <v>27</v>
      </c>
      <c r="V5" s="87">
        <f t="shared" ref="V5:V33" si="11">U5/C5</f>
        <v>8.7096774193548387E-2</v>
      </c>
      <c r="W5" s="80">
        <f>'Water Reading'!J5-'Water Reading'!J4</f>
        <v>6</v>
      </c>
      <c r="X5" s="87">
        <f t="shared" ref="X5:X33" si="12">W5/C5</f>
        <v>1.935483870967742E-2</v>
      </c>
      <c r="Y5" s="59">
        <f t="shared" si="0"/>
        <v>263</v>
      </c>
      <c r="Z5" s="60">
        <f t="shared" si="1"/>
        <v>0.7325905292479109</v>
      </c>
    </row>
    <row r="6" spans="1:26" x14ac:dyDescent="0.25">
      <c r="A6" s="8">
        <f>'Water Reading'!A5</f>
        <v>44868</v>
      </c>
      <c r="B6" s="58">
        <f>TOTAL!I4</f>
        <v>321</v>
      </c>
      <c r="C6" s="59">
        <f>('Water Reading'!B6-'Water Reading'!B5)+('Water Reading'!C6-'Water Reading'!C5)</f>
        <v>357</v>
      </c>
      <c r="D6" s="60">
        <f t="shared" si="2"/>
        <v>1.1121495327102804</v>
      </c>
      <c r="E6" s="77">
        <f>'Water Reading'!H6-'Water Reading'!H5</f>
        <v>0</v>
      </c>
      <c r="F6" s="78">
        <f t="shared" si="3"/>
        <v>0</v>
      </c>
      <c r="G6" s="82">
        <f>('Water Reading'!D6-'Water Reading'!D5)-('Water Reading'!R6-'Water Reading'!R5)-('Water Reading'!Q6-'Water Reading'!Q5)</f>
        <v>156</v>
      </c>
      <c r="H6" s="78">
        <f t="shared" si="4"/>
        <v>0.43697478991596639</v>
      </c>
      <c r="I6" s="79">
        <f>'Water Reading'!P6-'Water Reading'!P5</f>
        <v>15</v>
      </c>
      <c r="J6" s="61">
        <f t="shared" si="5"/>
        <v>4.2016806722689079E-2</v>
      </c>
      <c r="K6" s="80">
        <f>('Water Reading'!I6-'Water Reading'!I5)-('Water Reading'!P6-'Water Reading'!P5)</f>
        <v>11</v>
      </c>
      <c r="L6" s="61">
        <f t="shared" si="6"/>
        <v>3.081232492997199E-2</v>
      </c>
      <c r="M6" s="79">
        <f>'Water Reading'!R6-'Water Reading'!R5</f>
        <v>7</v>
      </c>
      <c r="N6" s="81">
        <f t="shared" si="7"/>
        <v>1.9607843137254902E-2</v>
      </c>
      <c r="O6" s="79">
        <f>'Water Reading'!Q6-'Water Reading'!Q5</f>
        <v>2</v>
      </c>
      <c r="P6" s="86">
        <f t="shared" si="8"/>
        <v>5.6022408963585435E-3</v>
      </c>
      <c r="Q6" s="80">
        <f>'Water Reading'!F6-'Water Reading'!F5</f>
        <v>1</v>
      </c>
      <c r="R6" s="87">
        <f t="shared" si="9"/>
        <v>2.8011204481792717E-3</v>
      </c>
      <c r="S6" s="79">
        <f>'Water Reading'!E6-'Water Reading'!E5</f>
        <v>74</v>
      </c>
      <c r="T6" s="87">
        <f t="shared" si="10"/>
        <v>0.20728291316526612</v>
      </c>
      <c r="U6" s="79">
        <f>'Water Reading'!G6-'Water Reading'!G5</f>
        <v>27</v>
      </c>
      <c r="V6" s="87">
        <f t="shared" si="11"/>
        <v>7.5630252100840331E-2</v>
      </c>
      <c r="W6" s="80">
        <f>'Water Reading'!J6-'Water Reading'!J5</f>
        <v>6</v>
      </c>
      <c r="X6" s="87">
        <f t="shared" si="12"/>
        <v>1.680672268907563E-2</v>
      </c>
      <c r="Y6" s="59">
        <f t="shared" si="0"/>
        <v>299</v>
      </c>
      <c r="Z6" s="60">
        <f t="shared" si="1"/>
        <v>0.93146417445482865</v>
      </c>
    </row>
    <row r="7" spans="1:26" x14ac:dyDescent="0.25">
      <c r="A7" s="8">
        <f>'Water Reading'!A6</f>
        <v>44869</v>
      </c>
      <c r="B7" s="58">
        <f>TOTAL!I5</f>
        <v>335</v>
      </c>
      <c r="C7" s="59">
        <f>('Water Reading'!B7-'Water Reading'!B6)+('Water Reading'!C7-'Water Reading'!C6)</f>
        <v>328</v>
      </c>
      <c r="D7" s="60">
        <f t="shared" si="2"/>
        <v>0.9791044776119403</v>
      </c>
      <c r="E7" s="77">
        <f>'Water Reading'!H7-'Water Reading'!H6</f>
        <v>0</v>
      </c>
      <c r="F7" s="78">
        <f t="shared" si="3"/>
        <v>0</v>
      </c>
      <c r="G7" s="82">
        <f>('Water Reading'!D7-'Water Reading'!D6)-('Water Reading'!R7-'Water Reading'!R6)-('Water Reading'!Q7-'Water Reading'!Q6)</f>
        <v>144</v>
      </c>
      <c r="H7" s="78">
        <f t="shared" si="4"/>
        <v>0.43902439024390244</v>
      </c>
      <c r="I7" s="79">
        <f>'Water Reading'!P7-'Water Reading'!P6</f>
        <v>0</v>
      </c>
      <c r="J7" s="61">
        <f t="shared" si="5"/>
        <v>0</v>
      </c>
      <c r="K7" s="80">
        <f>('Water Reading'!I7-'Water Reading'!I6)-('Water Reading'!P7-'Water Reading'!P6)</f>
        <v>19</v>
      </c>
      <c r="L7" s="61">
        <f t="shared" si="6"/>
        <v>5.7926829268292686E-2</v>
      </c>
      <c r="M7" s="79">
        <f>'Water Reading'!R7-'Water Reading'!R6</f>
        <v>0</v>
      </c>
      <c r="N7" s="81">
        <f t="shared" si="7"/>
        <v>0</v>
      </c>
      <c r="O7" s="79">
        <f>'Water Reading'!Q7-'Water Reading'!Q6</f>
        <v>6</v>
      </c>
      <c r="P7" s="86">
        <f t="shared" si="8"/>
        <v>1.8292682926829267E-2</v>
      </c>
      <c r="Q7" s="80">
        <f>'Water Reading'!F7-'Water Reading'!F6</f>
        <v>1</v>
      </c>
      <c r="R7" s="87">
        <f t="shared" si="9"/>
        <v>3.0487804878048782E-3</v>
      </c>
      <c r="S7" s="79">
        <f>'Water Reading'!E7-'Water Reading'!E6</f>
        <v>68</v>
      </c>
      <c r="T7" s="87">
        <f t="shared" si="10"/>
        <v>0.2073170731707317</v>
      </c>
      <c r="U7" s="79">
        <f>'Water Reading'!G7-'Water Reading'!G6</f>
        <v>22</v>
      </c>
      <c r="V7" s="87">
        <f t="shared" si="11"/>
        <v>6.7073170731707321E-2</v>
      </c>
      <c r="W7" s="80">
        <f>'Water Reading'!J7-'Water Reading'!J6</f>
        <v>5</v>
      </c>
      <c r="X7" s="87">
        <f t="shared" si="12"/>
        <v>1.524390243902439E-2</v>
      </c>
      <c r="Y7" s="59">
        <f t="shared" si="0"/>
        <v>265</v>
      </c>
      <c r="Z7" s="60">
        <f t="shared" si="1"/>
        <v>0.79104477611940294</v>
      </c>
    </row>
    <row r="8" spans="1:26" x14ac:dyDescent="0.25">
      <c r="A8" s="8">
        <f>'Water Reading'!A7</f>
        <v>44870</v>
      </c>
      <c r="B8" s="58">
        <f>TOTAL!I6</f>
        <v>293</v>
      </c>
      <c r="C8" s="59">
        <f>('Water Reading'!B8-'Water Reading'!B7)+('Water Reading'!C8-'Water Reading'!C7)</f>
        <v>318</v>
      </c>
      <c r="D8" s="60">
        <f t="shared" si="2"/>
        <v>1.0853242320819112</v>
      </c>
      <c r="E8" s="77">
        <f>'Water Reading'!H8-'Water Reading'!H7</f>
        <v>0</v>
      </c>
      <c r="F8" s="78">
        <f t="shared" si="3"/>
        <v>0</v>
      </c>
      <c r="G8" s="82">
        <f>('Water Reading'!D8-'Water Reading'!D7)-('Water Reading'!R8-'Water Reading'!R7)-('Water Reading'!Q8-'Water Reading'!Q7)</f>
        <v>128</v>
      </c>
      <c r="H8" s="78">
        <f t="shared" si="4"/>
        <v>0.40251572327044027</v>
      </c>
      <c r="I8" s="79">
        <f>'Water Reading'!P8-'Water Reading'!P7</f>
        <v>21</v>
      </c>
      <c r="J8" s="61">
        <f t="shared" si="5"/>
        <v>6.6037735849056603E-2</v>
      </c>
      <c r="K8" s="80">
        <f>('Water Reading'!I8-'Water Reading'!I7)-('Water Reading'!P8-'Water Reading'!P7)</f>
        <v>0</v>
      </c>
      <c r="L8" s="61">
        <f t="shared" si="6"/>
        <v>0</v>
      </c>
      <c r="M8" s="79">
        <f>'Water Reading'!R8-'Water Reading'!R7</f>
        <v>6</v>
      </c>
      <c r="N8" s="81">
        <f t="shared" si="7"/>
        <v>1.8867924528301886E-2</v>
      </c>
      <c r="O8" s="79">
        <f>'Water Reading'!Q8-'Water Reading'!Q7</f>
        <v>2</v>
      </c>
      <c r="P8" s="86">
        <f t="shared" si="8"/>
        <v>6.2893081761006293E-3</v>
      </c>
      <c r="Q8" s="80">
        <f>'Water Reading'!F8-'Water Reading'!F7</f>
        <v>1</v>
      </c>
      <c r="R8" s="87">
        <f t="shared" si="9"/>
        <v>3.1446540880503146E-3</v>
      </c>
      <c r="S8" s="79">
        <f>'Water Reading'!E8-'Water Reading'!E7</f>
        <v>74</v>
      </c>
      <c r="T8" s="87">
        <f t="shared" si="10"/>
        <v>0.23270440251572327</v>
      </c>
      <c r="U8" s="79">
        <f>'Water Reading'!G8-'Water Reading'!G7</f>
        <v>22</v>
      </c>
      <c r="V8" s="87">
        <f t="shared" si="11"/>
        <v>6.9182389937106917E-2</v>
      </c>
      <c r="W8" s="80">
        <f>'Water Reading'!J8-'Water Reading'!J7</f>
        <v>6</v>
      </c>
      <c r="X8" s="87">
        <f t="shared" si="12"/>
        <v>1.8867924528301886E-2</v>
      </c>
      <c r="Y8" s="59">
        <f t="shared" si="0"/>
        <v>260</v>
      </c>
      <c r="Z8" s="60">
        <f t="shared" si="1"/>
        <v>0.88737201365187712</v>
      </c>
    </row>
    <row r="9" spans="1:26" x14ac:dyDescent="0.25">
      <c r="A9" s="8">
        <f>'Water Reading'!A8</f>
        <v>44871</v>
      </c>
      <c r="B9" s="58">
        <f>TOTAL!I7</f>
        <v>282</v>
      </c>
      <c r="C9" s="59">
        <f>('Water Reading'!B9-'Water Reading'!B8)+('Water Reading'!C9-'Water Reading'!C8)</f>
        <v>320</v>
      </c>
      <c r="D9" s="60">
        <f t="shared" si="2"/>
        <v>1.1347517730496455</v>
      </c>
      <c r="E9" s="77">
        <f>'Water Reading'!H9-'Water Reading'!H8</f>
        <v>0</v>
      </c>
      <c r="F9" s="78">
        <f t="shared" si="3"/>
        <v>0</v>
      </c>
      <c r="G9" s="82">
        <f>('Water Reading'!D9-'Water Reading'!D8)-('Water Reading'!R9-'Water Reading'!R8)-('Water Reading'!Q9-'Water Reading'!Q8)</f>
        <v>123</v>
      </c>
      <c r="H9" s="78">
        <f t="shared" si="4"/>
        <v>0.38437500000000002</v>
      </c>
      <c r="I9" s="79">
        <f>'Water Reading'!P9-'Water Reading'!P8</f>
        <v>12</v>
      </c>
      <c r="J9" s="61">
        <f t="shared" si="5"/>
        <v>3.7499999999999999E-2</v>
      </c>
      <c r="K9" s="80">
        <f>('Water Reading'!I9-'Water Reading'!I8)-('Water Reading'!P9-'Water Reading'!P8)</f>
        <v>6</v>
      </c>
      <c r="L9" s="61">
        <f t="shared" si="6"/>
        <v>1.8749999999999999E-2</v>
      </c>
      <c r="M9" s="124">
        <f>'Water Reading'!R9-'Water Reading'!R8</f>
        <v>3</v>
      </c>
      <c r="N9" s="81">
        <f t="shared" si="7"/>
        <v>9.3749999999999997E-3</v>
      </c>
      <c r="O9" s="79">
        <f>'Water Reading'!Q9-'Water Reading'!Q8</f>
        <v>4</v>
      </c>
      <c r="P9" s="86">
        <f t="shared" si="8"/>
        <v>1.2500000000000001E-2</v>
      </c>
      <c r="Q9" s="80">
        <f>'Water Reading'!F9-'Water Reading'!F8</f>
        <v>0</v>
      </c>
      <c r="R9" s="87">
        <f t="shared" si="9"/>
        <v>0</v>
      </c>
      <c r="S9" s="79">
        <f>'Water Reading'!E9-'Water Reading'!E8</f>
        <v>77</v>
      </c>
      <c r="T9" s="87">
        <f t="shared" si="10"/>
        <v>0.24062500000000001</v>
      </c>
      <c r="U9" s="79">
        <f>'Water Reading'!G9-'Water Reading'!G8</f>
        <v>32</v>
      </c>
      <c r="V9" s="87">
        <f t="shared" si="11"/>
        <v>0.1</v>
      </c>
      <c r="W9" s="80">
        <f>'Water Reading'!J9-'Water Reading'!J8</f>
        <v>6</v>
      </c>
      <c r="X9" s="87">
        <f t="shared" si="12"/>
        <v>1.8749999999999999E-2</v>
      </c>
      <c r="Y9" s="59">
        <f t="shared" si="0"/>
        <v>263</v>
      </c>
      <c r="Z9" s="60">
        <f t="shared" si="1"/>
        <v>0.93262411347517726</v>
      </c>
    </row>
    <row r="10" spans="1:26" x14ac:dyDescent="0.25">
      <c r="A10" s="8">
        <f>'Water Reading'!A9</f>
        <v>44872</v>
      </c>
      <c r="B10" s="58">
        <f>TOTAL!I8</f>
        <v>346</v>
      </c>
      <c r="C10" s="59">
        <f>('Water Reading'!B10-'Water Reading'!B9)+('Water Reading'!C10-'Water Reading'!C9)</f>
        <v>387</v>
      </c>
      <c r="D10" s="60">
        <f t="shared" si="2"/>
        <v>1.1184971098265897</v>
      </c>
      <c r="E10" s="77">
        <f>'Water Reading'!H10-'Water Reading'!H9</f>
        <v>0</v>
      </c>
      <c r="F10" s="78">
        <f t="shared" si="3"/>
        <v>0</v>
      </c>
      <c r="G10" s="82">
        <f>('Water Reading'!D10-'Water Reading'!D9)-('Water Reading'!R10-'Water Reading'!R9)-('Water Reading'!Q10-'Water Reading'!Q9)</f>
        <v>181</v>
      </c>
      <c r="H10" s="78">
        <f t="shared" si="4"/>
        <v>0.46770025839793283</v>
      </c>
      <c r="I10" s="79">
        <f>'Water Reading'!P10-'Water Reading'!P9</f>
        <v>21</v>
      </c>
      <c r="J10" s="61">
        <f t="shared" si="5"/>
        <v>5.4263565891472867E-2</v>
      </c>
      <c r="K10" s="117">
        <f>('Water Reading'!I10-'Water Reading'!I9)-('Water Reading'!P10-'Water Reading'!P9)</f>
        <v>8</v>
      </c>
      <c r="L10" s="61">
        <f t="shared" si="6"/>
        <v>2.0671834625322998E-2</v>
      </c>
      <c r="M10" s="79">
        <f>'Water Reading'!R10-'Water Reading'!R9</f>
        <v>3</v>
      </c>
      <c r="N10" s="81">
        <f t="shared" si="7"/>
        <v>7.7519379844961239E-3</v>
      </c>
      <c r="O10" s="79">
        <f>'Water Reading'!Q10-'Water Reading'!Q9</f>
        <v>5</v>
      </c>
      <c r="P10" s="86">
        <f t="shared" si="8"/>
        <v>1.2919896640826873E-2</v>
      </c>
      <c r="Q10" s="80">
        <f>'Water Reading'!F10-'Water Reading'!F9</f>
        <v>1</v>
      </c>
      <c r="R10" s="87">
        <f t="shared" si="9"/>
        <v>2.5839793281653748E-3</v>
      </c>
      <c r="S10" s="79">
        <f>'Water Reading'!E10-'Water Reading'!E9</f>
        <v>81</v>
      </c>
      <c r="T10" s="87">
        <f t="shared" si="10"/>
        <v>0.20930232558139536</v>
      </c>
      <c r="U10" s="79">
        <f>'Water Reading'!G10-'Water Reading'!G9</f>
        <v>29</v>
      </c>
      <c r="V10" s="87">
        <f t="shared" si="11"/>
        <v>7.4935400516795869E-2</v>
      </c>
      <c r="W10" s="80">
        <f>'Water Reading'!J10-'Water Reading'!J9</f>
        <v>6</v>
      </c>
      <c r="X10" s="87">
        <f t="shared" si="12"/>
        <v>1.5503875968992248E-2</v>
      </c>
      <c r="Y10" s="59">
        <f t="shared" si="0"/>
        <v>335</v>
      </c>
      <c r="Z10" s="60">
        <f t="shared" si="1"/>
        <v>0.96820809248554918</v>
      </c>
    </row>
    <row r="11" spans="1:26" x14ac:dyDescent="0.25">
      <c r="A11" s="8">
        <f>'Water Reading'!A10</f>
        <v>44873</v>
      </c>
      <c r="B11" s="58">
        <f>TOTAL!I9</f>
        <v>334</v>
      </c>
      <c r="C11" s="59">
        <f>('Water Reading'!B11-'Water Reading'!B10)+('Water Reading'!C11-'Water Reading'!C10)</f>
        <v>332</v>
      </c>
      <c r="D11" s="60">
        <f t="shared" si="2"/>
        <v>0.99401197604790414</v>
      </c>
      <c r="E11" s="77">
        <f>'Water Reading'!H11-'Water Reading'!H10</f>
        <v>0</v>
      </c>
      <c r="F11" s="78">
        <f t="shared" si="3"/>
        <v>0</v>
      </c>
      <c r="G11" s="82">
        <f>('Water Reading'!D11-'Water Reading'!D10)-('Water Reading'!R11-'Water Reading'!R10)-('Water Reading'!Q11-'Water Reading'!Q10)</f>
        <v>138</v>
      </c>
      <c r="H11" s="78">
        <f t="shared" si="4"/>
        <v>0.41566265060240964</v>
      </c>
      <c r="I11" s="79">
        <f>'Water Reading'!P11-'Water Reading'!P10</f>
        <v>7</v>
      </c>
      <c r="J11" s="61">
        <f t="shared" si="5"/>
        <v>2.1084337349397589E-2</v>
      </c>
      <c r="K11" s="80">
        <f>('Water Reading'!I11-'Water Reading'!I10)-('Water Reading'!P11-'Water Reading'!P10)</f>
        <v>10</v>
      </c>
      <c r="L11" s="61">
        <f t="shared" si="6"/>
        <v>3.0120481927710843E-2</v>
      </c>
      <c r="M11" s="79">
        <f>'Water Reading'!R11-'Water Reading'!R10</f>
        <v>5</v>
      </c>
      <c r="N11" s="81">
        <f t="shared" si="7"/>
        <v>1.5060240963855422E-2</v>
      </c>
      <c r="O11" s="79">
        <f>'Water Reading'!Q11-'Water Reading'!Q10</f>
        <v>1</v>
      </c>
      <c r="P11" s="86">
        <f t="shared" si="8"/>
        <v>3.0120481927710845E-3</v>
      </c>
      <c r="Q11" s="80">
        <f>'Water Reading'!F11-'Water Reading'!F10</f>
        <v>1</v>
      </c>
      <c r="R11" s="87">
        <f t="shared" si="9"/>
        <v>3.0120481927710845E-3</v>
      </c>
      <c r="S11" s="79">
        <f>'Water Reading'!E11-'Water Reading'!E10</f>
        <v>78</v>
      </c>
      <c r="T11" s="87">
        <f t="shared" si="10"/>
        <v>0.23493975903614459</v>
      </c>
      <c r="U11" s="79">
        <f>'Water Reading'!G11-'Water Reading'!G10</f>
        <v>29</v>
      </c>
      <c r="V11" s="87">
        <f t="shared" si="11"/>
        <v>8.7349397590361449E-2</v>
      </c>
      <c r="W11" s="80">
        <f>'Water Reading'!J11-'Water Reading'!J10</f>
        <v>5</v>
      </c>
      <c r="X11" s="87">
        <f t="shared" si="12"/>
        <v>1.5060240963855422E-2</v>
      </c>
      <c r="Y11" s="59">
        <f t="shared" si="0"/>
        <v>274</v>
      </c>
      <c r="Z11" s="60">
        <f t="shared" si="1"/>
        <v>0.82035928143712578</v>
      </c>
    </row>
    <row r="12" spans="1:26" x14ac:dyDescent="0.25">
      <c r="A12" s="8">
        <f>'Water Reading'!A11</f>
        <v>44874</v>
      </c>
      <c r="B12" s="58">
        <f>TOTAL!I10</f>
        <v>432</v>
      </c>
      <c r="C12" s="59">
        <f>('Water Reading'!B12-'Water Reading'!B11)+('Water Reading'!C12-'Water Reading'!C11)</f>
        <v>351</v>
      </c>
      <c r="D12" s="60">
        <f t="shared" si="2"/>
        <v>0.8125</v>
      </c>
      <c r="E12" s="77">
        <f>'Water Reading'!H12-'Water Reading'!H11</f>
        <v>0</v>
      </c>
      <c r="F12" s="78">
        <f t="shared" si="3"/>
        <v>0</v>
      </c>
      <c r="G12" s="82">
        <f>('Water Reading'!D12-'Water Reading'!D11)-('Water Reading'!R12-'Water Reading'!R11)-('Water Reading'!Q12-'Water Reading'!Q11)</f>
        <v>169</v>
      </c>
      <c r="H12" s="78">
        <f t="shared" si="4"/>
        <v>0.48148148148148145</v>
      </c>
      <c r="I12" s="79">
        <f>'Water Reading'!P12-'Water Reading'!P11</f>
        <v>4</v>
      </c>
      <c r="J12" s="61">
        <f t="shared" si="5"/>
        <v>1.1396011396011397E-2</v>
      </c>
      <c r="K12" s="80">
        <f>('Water Reading'!I12-'Water Reading'!I11)-('Water Reading'!P12-'Water Reading'!P11)</f>
        <v>1</v>
      </c>
      <c r="L12" s="61">
        <f t="shared" si="6"/>
        <v>2.8490028490028491E-3</v>
      </c>
      <c r="M12" s="79">
        <f>'Water Reading'!R12-'Water Reading'!R11</f>
        <v>3</v>
      </c>
      <c r="N12" s="81">
        <f t="shared" si="7"/>
        <v>8.5470085470085479E-3</v>
      </c>
      <c r="O12" s="79">
        <f>'Water Reading'!Q12-'Water Reading'!Q11</f>
        <v>7</v>
      </c>
      <c r="P12" s="86">
        <f t="shared" si="8"/>
        <v>1.9943019943019943E-2</v>
      </c>
      <c r="Q12" s="80">
        <f>'Water Reading'!F12-'Water Reading'!F11</f>
        <v>0</v>
      </c>
      <c r="R12" s="87">
        <f t="shared" si="9"/>
        <v>0</v>
      </c>
      <c r="S12" s="79">
        <f>'Water Reading'!E12-'Water Reading'!E11</f>
        <v>85</v>
      </c>
      <c r="T12" s="87">
        <f t="shared" si="10"/>
        <v>0.24216524216524216</v>
      </c>
      <c r="U12" s="79">
        <f>'Water Reading'!G12-'Water Reading'!G11</f>
        <v>31</v>
      </c>
      <c r="V12" s="87">
        <f t="shared" si="11"/>
        <v>8.8319088319088315E-2</v>
      </c>
      <c r="W12" s="80">
        <f>'Water Reading'!J12-'Water Reading'!J11</f>
        <v>6</v>
      </c>
      <c r="X12" s="87">
        <f t="shared" si="12"/>
        <v>1.7094017094017096E-2</v>
      </c>
      <c r="Y12" s="59">
        <f t="shared" si="0"/>
        <v>306</v>
      </c>
      <c r="Z12" s="60">
        <f t="shared" si="1"/>
        <v>0.70833333333333337</v>
      </c>
    </row>
    <row r="13" spans="1:26" x14ac:dyDescent="0.25">
      <c r="A13" s="8">
        <f>'Water Reading'!A12</f>
        <v>44875</v>
      </c>
      <c r="B13" s="58">
        <f>TOTAL!I11</f>
        <v>192</v>
      </c>
      <c r="C13" s="59">
        <f>('Water Reading'!B13-'Water Reading'!B12)+('Water Reading'!C13-'Water Reading'!C12)</f>
        <v>299</v>
      </c>
      <c r="D13" s="60">
        <f t="shared" si="2"/>
        <v>1.5572916666666667</v>
      </c>
      <c r="E13" s="77">
        <f>'Water Reading'!H13-'Water Reading'!H12</f>
        <v>0</v>
      </c>
      <c r="F13" s="78">
        <f t="shared" si="3"/>
        <v>0</v>
      </c>
      <c r="G13" s="82">
        <f>('Water Reading'!D13-'Water Reading'!D12)-('Water Reading'!R13-'Water Reading'!R12)-('Water Reading'!Q13-'Water Reading'!Q12)</f>
        <v>123</v>
      </c>
      <c r="H13" s="78">
        <f t="shared" si="4"/>
        <v>0.41137123745819398</v>
      </c>
      <c r="I13" s="79">
        <f>'Water Reading'!P13-'Water Reading'!P12</f>
        <v>14</v>
      </c>
      <c r="J13" s="61">
        <f t="shared" si="5"/>
        <v>4.6822742474916385E-2</v>
      </c>
      <c r="K13" s="80">
        <f>('Water Reading'!I13-'Water Reading'!I12)-('Water Reading'!P13-'Water Reading'!P12)</f>
        <v>6</v>
      </c>
      <c r="L13" s="61">
        <f t="shared" si="6"/>
        <v>2.0066889632107024E-2</v>
      </c>
      <c r="M13" s="79">
        <f>'Water Reading'!R13-'Water Reading'!R12</f>
        <v>5</v>
      </c>
      <c r="N13" s="81">
        <f t="shared" si="7"/>
        <v>1.6722408026755852E-2</v>
      </c>
      <c r="O13" s="79">
        <f>'Water Reading'!Q13-'Water Reading'!Q12</f>
        <v>0</v>
      </c>
      <c r="P13" s="86">
        <f t="shared" si="8"/>
        <v>0</v>
      </c>
      <c r="Q13" s="80">
        <f>'Water Reading'!F13-'Water Reading'!F12</f>
        <v>1</v>
      </c>
      <c r="R13" s="87">
        <f t="shared" si="9"/>
        <v>3.3444816053511705E-3</v>
      </c>
      <c r="S13" s="79">
        <f>'Water Reading'!E13-'Water Reading'!E12</f>
        <v>66</v>
      </c>
      <c r="T13" s="87">
        <f t="shared" si="10"/>
        <v>0.22073578595317725</v>
      </c>
      <c r="U13" s="79">
        <f>'Water Reading'!G13-'Water Reading'!G12</f>
        <v>26</v>
      </c>
      <c r="V13" s="87">
        <f t="shared" si="11"/>
        <v>8.6956521739130432E-2</v>
      </c>
      <c r="W13" s="80">
        <f>'Water Reading'!J13-'Water Reading'!J12</f>
        <v>7</v>
      </c>
      <c r="X13" s="87">
        <f t="shared" si="12"/>
        <v>2.3411371237458192E-2</v>
      </c>
      <c r="Y13" s="59">
        <f t="shared" si="0"/>
        <v>248</v>
      </c>
      <c r="Z13" s="60">
        <f t="shared" si="1"/>
        <v>1.2916666666666667</v>
      </c>
    </row>
    <row r="14" spans="1:26" x14ac:dyDescent="0.25">
      <c r="A14" s="8">
        <f>'Water Reading'!A13</f>
        <v>44876</v>
      </c>
      <c r="B14" s="58">
        <f>TOTAL!I12</f>
        <v>223</v>
      </c>
      <c r="C14" s="59">
        <f>('Water Reading'!B14-'Water Reading'!B13)+('Water Reading'!C14-'Water Reading'!C13)</f>
        <v>281</v>
      </c>
      <c r="D14" s="60">
        <f t="shared" si="2"/>
        <v>1.2600896860986548</v>
      </c>
      <c r="E14" s="77">
        <f>'Water Reading'!H14-'Water Reading'!H13</f>
        <v>0</v>
      </c>
      <c r="F14" s="78">
        <f t="shared" si="3"/>
        <v>0</v>
      </c>
      <c r="G14" s="82">
        <f>('Water Reading'!D14-'Water Reading'!D13)-('Water Reading'!R14-'Water Reading'!R13)-('Water Reading'!Q14-'Water Reading'!Q13)</f>
        <v>113</v>
      </c>
      <c r="H14" s="78">
        <f t="shared" si="4"/>
        <v>0.40213523131672596</v>
      </c>
      <c r="I14" s="79">
        <f>'Water Reading'!P14-'Water Reading'!P13</f>
        <v>6</v>
      </c>
      <c r="J14" s="61">
        <f t="shared" si="5"/>
        <v>2.1352313167259787E-2</v>
      </c>
      <c r="K14" s="80">
        <f>('Water Reading'!I14-'Water Reading'!I13)-('Water Reading'!P14-'Water Reading'!P13)</f>
        <v>5</v>
      </c>
      <c r="L14" s="61">
        <f t="shared" si="6"/>
        <v>1.7793594306049824E-2</v>
      </c>
      <c r="M14" s="79">
        <f>'Water Reading'!R14-'Water Reading'!R13</f>
        <v>0</v>
      </c>
      <c r="N14" s="81">
        <f t="shared" si="7"/>
        <v>0</v>
      </c>
      <c r="O14" s="79">
        <f>'Water Reading'!Q14-'Water Reading'!Q13</f>
        <v>2</v>
      </c>
      <c r="P14" s="86">
        <f t="shared" si="8"/>
        <v>7.1174377224199285E-3</v>
      </c>
      <c r="Q14" s="80">
        <f>'Water Reading'!F14-'Water Reading'!F13</f>
        <v>1</v>
      </c>
      <c r="R14" s="87">
        <f t="shared" si="9"/>
        <v>3.5587188612099642E-3</v>
      </c>
      <c r="S14" s="79">
        <f>'Water Reading'!E14-'Water Reading'!E13</f>
        <v>73</v>
      </c>
      <c r="T14" s="87">
        <f t="shared" si="10"/>
        <v>0.2597864768683274</v>
      </c>
      <c r="U14" s="79">
        <f>'Water Reading'!G14-'Water Reading'!G13</f>
        <v>26</v>
      </c>
      <c r="V14" s="87">
        <f t="shared" si="11"/>
        <v>9.2526690391459068E-2</v>
      </c>
      <c r="W14" s="80">
        <f>'Water Reading'!J14-'Water Reading'!J13</f>
        <v>6</v>
      </c>
      <c r="X14" s="87">
        <f t="shared" si="12"/>
        <v>2.1352313167259787E-2</v>
      </c>
      <c r="Y14" s="59">
        <f t="shared" si="0"/>
        <v>232</v>
      </c>
      <c r="Z14" s="60">
        <f t="shared" si="1"/>
        <v>1.0403587443946187</v>
      </c>
    </row>
    <row r="15" spans="1:26" s="119" customFormat="1" x14ac:dyDescent="0.25">
      <c r="A15" s="127">
        <f>'Water Reading'!A14</f>
        <v>44877</v>
      </c>
      <c r="B15" s="128">
        <f>TOTAL!I13</f>
        <v>272</v>
      </c>
      <c r="C15" s="129">
        <f>('Water Reading'!B15-'Water Reading'!B14)+('Water Reading'!C15-'Water Reading'!C14)</f>
        <v>321</v>
      </c>
      <c r="D15" s="130">
        <f t="shared" si="2"/>
        <v>1.1801470588235294</v>
      </c>
      <c r="E15" s="131">
        <f>'Water Reading'!H15-'Water Reading'!H14</f>
        <v>0</v>
      </c>
      <c r="F15" s="132">
        <f t="shared" si="3"/>
        <v>0</v>
      </c>
      <c r="G15" s="82">
        <f>('Water Reading'!D15-'Water Reading'!D14)-('Water Reading'!R15-'Water Reading'!R14)-('Water Reading'!Q15-'Water Reading'!Q14)</f>
        <v>167</v>
      </c>
      <c r="H15" s="132">
        <f t="shared" si="4"/>
        <v>0.52024922118380057</v>
      </c>
      <c r="I15" s="124">
        <f>'Water Reading'!P15-'Water Reading'!P14</f>
        <v>0</v>
      </c>
      <c r="J15" s="125">
        <f t="shared" si="5"/>
        <v>0</v>
      </c>
      <c r="K15" s="117">
        <f>('Water Reading'!I15-'Water Reading'!I14)-('Water Reading'!P15-'Water Reading'!P14)</f>
        <v>4</v>
      </c>
      <c r="L15" s="125">
        <f t="shared" si="6"/>
        <v>1.2461059190031152E-2</v>
      </c>
      <c r="M15" s="124">
        <f>'Water Reading'!R15-'Water Reading'!R14</f>
        <v>3</v>
      </c>
      <c r="N15" s="133">
        <f t="shared" si="7"/>
        <v>9.3457943925233638E-3</v>
      </c>
      <c r="O15" s="124">
        <f>'Water Reading'!Q15-'Water Reading'!Q14</f>
        <v>5</v>
      </c>
      <c r="P15" s="134">
        <f t="shared" si="8"/>
        <v>1.5576323987538941E-2</v>
      </c>
      <c r="Q15" s="117">
        <f>'Water Reading'!F15-'Water Reading'!F14</f>
        <v>1</v>
      </c>
      <c r="R15" s="135">
        <f t="shared" si="9"/>
        <v>3.1152647975077881E-3</v>
      </c>
      <c r="S15" s="124">
        <f>'Water Reading'!E15-'Water Reading'!E14</f>
        <v>69</v>
      </c>
      <c r="T15" s="135">
        <f t="shared" si="10"/>
        <v>0.21495327102803738</v>
      </c>
      <c r="U15" s="124">
        <f>'Water Reading'!G15-'Water Reading'!G14</f>
        <v>23</v>
      </c>
      <c r="V15" s="135">
        <f t="shared" si="11"/>
        <v>7.1651090342679122E-2</v>
      </c>
      <c r="W15" s="117">
        <f>'Water Reading'!J15-'Water Reading'!J14</f>
        <v>5</v>
      </c>
      <c r="X15" s="135">
        <f t="shared" si="12"/>
        <v>1.5576323987538941E-2</v>
      </c>
      <c r="Y15" s="129">
        <f t="shared" si="0"/>
        <v>277</v>
      </c>
      <c r="Z15" s="130">
        <f t="shared" si="1"/>
        <v>1.0183823529411764</v>
      </c>
    </row>
    <row r="16" spans="1:26" x14ac:dyDescent="0.25">
      <c r="A16" s="8">
        <f>'Water Reading'!A15</f>
        <v>44878</v>
      </c>
      <c r="B16" s="58">
        <f>TOTAL!I14</f>
        <v>196</v>
      </c>
      <c r="C16" s="59">
        <f>('Water Reading'!B16-'Water Reading'!B15)+('Water Reading'!C16-'Water Reading'!C15)</f>
        <v>304</v>
      </c>
      <c r="D16" s="60">
        <f t="shared" si="2"/>
        <v>1.5510204081632653</v>
      </c>
      <c r="E16" s="77">
        <f>'Water Reading'!H16-'Water Reading'!H15</f>
        <v>0</v>
      </c>
      <c r="F16" s="78">
        <f t="shared" si="3"/>
        <v>0</v>
      </c>
      <c r="G16" s="82">
        <f>('Water Reading'!D16-'Water Reading'!D15)-('Water Reading'!R16-'Water Reading'!R15)-('Water Reading'!Q16-'Water Reading'!Q15)</f>
        <v>141</v>
      </c>
      <c r="H16" s="78">
        <f t="shared" si="4"/>
        <v>0.46381578947368424</v>
      </c>
      <c r="I16" s="79">
        <f>'Water Reading'!P16-'Water Reading'!P15</f>
        <v>17</v>
      </c>
      <c r="J16" s="61">
        <f t="shared" si="5"/>
        <v>5.5921052631578948E-2</v>
      </c>
      <c r="K16" s="80">
        <f>('Water Reading'!I16-'Water Reading'!I15)-('Water Reading'!P16-'Water Reading'!P15)</f>
        <v>7</v>
      </c>
      <c r="L16" s="61">
        <f t="shared" si="6"/>
        <v>2.3026315789473683E-2</v>
      </c>
      <c r="M16" s="79">
        <f>'Water Reading'!R16-'Water Reading'!R15</f>
        <v>2</v>
      </c>
      <c r="N16" s="81">
        <f t="shared" si="7"/>
        <v>6.5789473684210523E-3</v>
      </c>
      <c r="O16" s="79">
        <f>'Water Reading'!Q16-'Water Reading'!Q15</f>
        <v>1</v>
      </c>
      <c r="P16" s="86">
        <f t="shared" si="8"/>
        <v>3.2894736842105261E-3</v>
      </c>
      <c r="Q16" s="80">
        <f>'Water Reading'!F16-'Water Reading'!F15</f>
        <v>0</v>
      </c>
      <c r="R16" s="87">
        <f t="shared" si="9"/>
        <v>0</v>
      </c>
      <c r="S16" s="79">
        <f>'Water Reading'!E16-'Water Reading'!E15</f>
        <v>70</v>
      </c>
      <c r="T16" s="87">
        <f t="shared" si="10"/>
        <v>0.23026315789473684</v>
      </c>
      <c r="U16" s="79">
        <f>'Water Reading'!G16-'Water Reading'!G15</f>
        <v>17</v>
      </c>
      <c r="V16" s="87">
        <f t="shared" si="11"/>
        <v>5.5921052631578948E-2</v>
      </c>
      <c r="W16" s="80">
        <f>'Water Reading'!J16-'Water Reading'!J15</f>
        <v>6</v>
      </c>
      <c r="X16" s="87">
        <f t="shared" si="12"/>
        <v>1.9736842105263157E-2</v>
      </c>
      <c r="Y16" s="59">
        <f t="shared" si="0"/>
        <v>261</v>
      </c>
      <c r="Z16" s="60">
        <f t="shared" si="1"/>
        <v>1.3316326530612246</v>
      </c>
    </row>
    <row r="17" spans="1:26" x14ac:dyDescent="0.25">
      <c r="A17" s="8">
        <f>'Water Reading'!A16</f>
        <v>44879</v>
      </c>
      <c r="B17" s="58">
        <f>TOTAL!I15</f>
        <v>302</v>
      </c>
      <c r="C17" s="59">
        <f>('Water Reading'!B17-'Water Reading'!B16)+('Water Reading'!C17-'Water Reading'!C16)</f>
        <v>330</v>
      </c>
      <c r="D17" s="60">
        <f t="shared" si="2"/>
        <v>1.0927152317880795</v>
      </c>
      <c r="E17" s="77">
        <f>'Water Reading'!H17-'Water Reading'!H16</f>
        <v>0</v>
      </c>
      <c r="F17" s="78">
        <f t="shared" si="3"/>
        <v>0</v>
      </c>
      <c r="G17" s="82">
        <f>('Water Reading'!D17-'Water Reading'!D16)-('Water Reading'!R17-'Water Reading'!R16)-('Water Reading'!Q17-'Water Reading'!Q16)</f>
        <v>175</v>
      </c>
      <c r="H17" s="78">
        <f t="shared" si="4"/>
        <v>0.53030303030303028</v>
      </c>
      <c r="I17" s="79">
        <f>'Water Reading'!P17-'Water Reading'!P16</f>
        <v>0</v>
      </c>
      <c r="J17" s="125">
        <f t="shared" si="5"/>
        <v>0</v>
      </c>
      <c r="K17" s="80">
        <f>('Water Reading'!I17-'Water Reading'!I16)-('Water Reading'!P17-'Water Reading'!P16)</f>
        <v>3</v>
      </c>
      <c r="L17" s="61">
        <f t="shared" si="6"/>
        <v>9.0909090909090905E-3</v>
      </c>
      <c r="M17" s="79">
        <f>'Water Reading'!R17-'Water Reading'!R16</f>
        <v>5</v>
      </c>
      <c r="N17" s="81">
        <f t="shared" si="7"/>
        <v>1.5151515151515152E-2</v>
      </c>
      <c r="O17" s="79">
        <f>'Water Reading'!Q17-'Water Reading'!Q16</f>
        <v>0</v>
      </c>
      <c r="P17" s="86">
        <f t="shared" si="8"/>
        <v>0</v>
      </c>
      <c r="Q17" s="80">
        <f>'Water Reading'!F17-'Water Reading'!F16</f>
        <v>1</v>
      </c>
      <c r="R17" s="87">
        <f t="shared" si="9"/>
        <v>3.0303030303030303E-3</v>
      </c>
      <c r="S17" s="79">
        <f>'Water Reading'!E17-'Water Reading'!E16</f>
        <v>74</v>
      </c>
      <c r="T17" s="87">
        <f t="shared" si="10"/>
        <v>0.22424242424242424</v>
      </c>
      <c r="U17" s="79">
        <f>'Water Reading'!G17-'Water Reading'!G16</f>
        <v>26</v>
      </c>
      <c r="V17" s="87">
        <f t="shared" si="11"/>
        <v>7.8787878787878782E-2</v>
      </c>
      <c r="W17" s="80">
        <f>'Water Reading'!J17-'Water Reading'!J16</f>
        <v>6</v>
      </c>
      <c r="X17" s="87">
        <f t="shared" si="12"/>
        <v>1.8181818181818181E-2</v>
      </c>
      <c r="Y17" s="59">
        <f t="shared" si="0"/>
        <v>290</v>
      </c>
      <c r="Z17" s="60">
        <f t="shared" si="1"/>
        <v>0.96026490066225167</v>
      </c>
    </row>
    <row r="18" spans="1:26" x14ac:dyDescent="0.25">
      <c r="A18" s="8">
        <f>'Water Reading'!A17</f>
        <v>44880</v>
      </c>
      <c r="B18" s="58">
        <f>TOTAL!I16</f>
        <v>388</v>
      </c>
      <c r="C18" s="59">
        <f>('Water Reading'!B18-'Water Reading'!B17)+('Water Reading'!C18-'Water Reading'!C17)</f>
        <v>308</v>
      </c>
      <c r="D18" s="60">
        <f t="shared" si="2"/>
        <v>0.79381443298969068</v>
      </c>
      <c r="E18" s="77">
        <f>'Water Reading'!H18-'Water Reading'!H17</f>
        <v>0</v>
      </c>
      <c r="F18" s="78">
        <f t="shared" si="3"/>
        <v>0</v>
      </c>
      <c r="G18" s="82">
        <f>('Water Reading'!D18-'Water Reading'!D17)-('Water Reading'!R18-'Water Reading'!R17)-('Water Reading'!Q18-'Water Reading'!Q17)</f>
        <v>118</v>
      </c>
      <c r="H18" s="78">
        <f t="shared" si="4"/>
        <v>0.38311688311688313</v>
      </c>
      <c r="I18" s="79">
        <f>'Water Reading'!P18-'Water Reading'!P17</f>
        <v>7</v>
      </c>
      <c r="J18" s="61">
        <f t="shared" si="5"/>
        <v>2.2727272727272728E-2</v>
      </c>
      <c r="K18" s="80">
        <f>('Water Reading'!I18-'Water Reading'!I17)-('Water Reading'!P18-'Water Reading'!P17)</f>
        <v>7</v>
      </c>
      <c r="L18" s="61">
        <f t="shared" si="6"/>
        <v>2.2727272727272728E-2</v>
      </c>
      <c r="M18" s="79">
        <f>'Water Reading'!R18-'Water Reading'!R17</f>
        <v>3</v>
      </c>
      <c r="N18" s="81">
        <f t="shared" si="7"/>
        <v>9.74025974025974E-3</v>
      </c>
      <c r="O18" s="79">
        <f>'Water Reading'!Q18-'Water Reading'!Q17</f>
        <v>1</v>
      </c>
      <c r="P18" s="86">
        <f t="shared" si="8"/>
        <v>3.246753246753247E-3</v>
      </c>
      <c r="Q18" s="80">
        <f>'Water Reading'!F18-'Water Reading'!F17</f>
        <v>5</v>
      </c>
      <c r="R18" s="87">
        <f t="shared" si="9"/>
        <v>1.6233766233766232E-2</v>
      </c>
      <c r="S18" s="79">
        <f>'Water Reading'!E18-'Water Reading'!E17</f>
        <v>63</v>
      </c>
      <c r="T18" s="87">
        <f t="shared" si="10"/>
        <v>0.20454545454545456</v>
      </c>
      <c r="U18" s="79">
        <f>'Water Reading'!G18-'Water Reading'!G17</f>
        <v>24</v>
      </c>
      <c r="V18" s="87">
        <f t="shared" si="11"/>
        <v>7.792207792207792E-2</v>
      </c>
      <c r="W18" s="80">
        <f>'Water Reading'!J18-'Water Reading'!J17</f>
        <v>6</v>
      </c>
      <c r="X18" s="87">
        <f t="shared" si="12"/>
        <v>1.948051948051948E-2</v>
      </c>
      <c r="Y18" s="59">
        <f t="shared" si="0"/>
        <v>234</v>
      </c>
      <c r="Z18" s="60">
        <f t="shared" si="1"/>
        <v>0.60309278350515461</v>
      </c>
    </row>
    <row r="19" spans="1:26" x14ac:dyDescent="0.25">
      <c r="A19" s="8">
        <f>'Water Reading'!A18</f>
        <v>44881</v>
      </c>
      <c r="B19" s="58">
        <f>TOTAL!I17</f>
        <v>305</v>
      </c>
      <c r="C19" s="59">
        <f>('Water Reading'!B19-'Water Reading'!B18)+('Water Reading'!C19-'Water Reading'!C18)</f>
        <v>317</v>
      </c>
      <c r="D19" s="60">
        <f t="shared" si="2"/>
        <v>1.0393442622950819</v>
      </c>
      <c r="E19" s="77">
        <f>'Water Reading'!H19-'Water Reading'!H18</f>
        <v>0</v>
      </c>
      <c r="F19" s="78">
        <f t="shared" si="3"/>
        <v>0</v>
      </c>
      <c r="G19" s="82">
        <f>('Water Reading'!D19-'Water Reading'!D18)-('Water Reading'!R19-'Water Reading'!R18)-('Water Reading'!Q19-'Water Reading'!Q18)</f>
        <v>157</v>
      </c>
      <c r="H19" s="78">
        <f t="shared" si="4"/>
        <v>0.4952681388012618</v>
      </c>
      <c r="I19" s="79">
        <f>'Water Reading'!P19-'Water Reading'!P18</f>
        <v>-5</v>
      </c>
      <c r="J19" s="61">
        <f t="shared" si="5"/>
        <v>-1.5772870662460567E-2</v>
      </c>
      <c r="K19" s="80">
        <f>('Water Reading'!I19-'Water Reading'!I18)-('Water Reading'!P19-'Water Reading'!P18)</f>
        <v>7</v>
      </c>
      <c r="L19" s="61">
        <f t="shared" si="6"/>
        <v>2.2082018927444796E-2</v>
      </c>
      <c r="M19" s="79">
        <f>'Water Reading'!R19-'Water Reading'!R18</f>
        <v>4</v>
      </c>
      <c r="N19" s="81">
        <f t="shared" si="7"/>
        <v>1.2618296529968454E-2</v>
      </c>
      <c r="O19" s="79">
        <f>'Water Reading'!Q19-'Water Reading'!Q18</f>
        <v>3</v>
      </c>
      <c r="P19" s="86">
        <f t="shared" si="8"/>
        <v>9.4637223974763408E-3</v>
      </c>
      <c r="Q19" s="80">
        <f>'Water Reading'!F19-'Water Reading'!F18</f>
        <v>1</v>
      </c>
      <c r="R19" s="87">
        <f t="shared" si="9"/>
        <v>3.1545741324921135E-3</v>
      </c>
      <c r="S19" s="79">
        <f>'Water Reading'!E19-'Water Reading'!E18</f>
        <v>78</v>
      </c>
      <c r="T19" s="87">
        <f t="shared" si="10"/>
        <v>0.24605678233438485</v>
      </c>
      <c r="U19" s="79">
        <f>'Water Reading'!G19-'Water Reading'!G18</f>
        <v>20</v>
      </c>
      <c r="V19" s="87">
        <f t="shared" si="11"/>
        <v>6.3091482649842268E-2</v>
      </c>
      <c r="W19" s="80">
        <f>'Water Reading'!J19-'Water Reading'!J18</f>
        <v>5</v>
      </c>
      <c r="X19" s="87">
        <f t="shared" si="12"/>
        <v>1.5772870662460567E-2</v>
      </c>
      <c r="Y19" s="59">
        <f t="shared" si="0"/>
        <v>270</v>
      </c>
      <c r="Z19" s="60">
        <f t="shared" si="1"/>
        <v>0.88524590163934425</v>
      </c>
    </row>
    <row r="20" spans="1:26" x14ac:dyDescent="0.25">
      <c r="A20" s="8">
        <f>'Water Reading'!A19</f>
        <v>44882</v>
      </c>
      <c r="B20" s="58">
        <f>TOTAL!I18</f>
        <v>295</v>
      </c>
      <c r="C20" s="59">
        <f>('Water Reading'!B20-'Water Reading'!B19)+('Water Reading'!C20-'Water Reading'!C19)</f>
        <v>328</v>
      </c>
      <c r="D20" s="60">
        <f t="shared" si="2"/>
        <v>1.111864406779661</v>
      </c>
      <c r="E20" s="77">
        <f>'Water Reading'!H20-'Water Reading'!H19</f>
        <v>0</v>
      </c>
      <c r="F20" s="78">
        <f t="shared" si="3"/>
        <v>0</v>
      </c>
      <c r="G20" s="82">
        <f>('Water Reading'!D20-'Water Reading'!D19)-('Water Reading'!R20-'Water Reading'!R19)-('Water Reading'!Q20-'Water Reading'!Q19)</f>
        <v>166</v>
      </c>
      <c r="H20" s="78">
        <f t="shared" si="4"/>
        <v>0.50609756097560976</v>
      </c>
      <c r="I20" s="79">
        <f>'Water Reading'!P20-'Water Reading'!P19</f>
        <v>7</v>
      </c>
      <c r="J20" s="61">
        <f t="shared" si="5"/>
        <v>2.1341463414634148E-2</v>
      </c>
      <c r="K20" s="80">
        <f>('Water Reading'!I20-'Water Reading'!I19)-('Water Reading'!P20-'Water Reading'!P19)</f>
        <v>14</v>
      </c>
      <c r="L20" s="61">
        <f t="shared" si="6"/>
        <v>4.2682926829268296E-2</v>
      </c>
      <c r="M20" s="79">
        <f>'Water Reading'!R20-'Water Reading'!R19</f>
        <v>3</v>
      </c>
      <c r="N20" s="81">
        <f t="shared" si="7"/>
        <v>9.1463414634146336E-3</v>
      </c>
      <c r="O20" s="79">
        <f>'Water Reading'!Q20-'Water Reading'!Q19</f>
        <v>1</v>
      </c>
      <c r="P20" s="86">
        <f t="shared" si="8"/>
        <v>3.0487804878048782E-3</v>
      </c>
      <c r="Q20" s="80">
        <f>'Water Reading'!F20-'Water Reading'!F19</f>
        <v>1</v>
      </c>
      <c r="R20" s="87">
        <f t="shared" si="9"/>
        <v>3.0487804878048782E-3</v>
      </c>
      <c r="S20" s="79">
        <f>'Water Reading'!E20-'Water Reading'!E19</f>
        <v>60</v>
      </c>
      <c r="T20" s="87">
        <f t="shared" si="10"/>
        <v>0.18292682926829268</v>
      </c>
      <c r="U20" s="79">
        <f>'Water Reading'!G20-'Water Reading'!G19</f>
        <v>25</v>
      </c>
      <c r="V20" s="87">
        <f t="shared" si="11"/>
        <v>7.621951219512195E-2</v>
      </c>
      <c r="W20" s="117">
        <f>'Water Reading'!J20-'Water Reading'!J19</f>
        <v>6</v>
      </c>
      <c r="X20" s="87">
        <f t="shared" si="12"/>
        <v>1.8292682926829267E-2</v>
      </c>
      <c r="Y20" s="59">
        <f t="shared" si="0"/>
        <v>283</v>
      </c>
      <c r="Z20" s="60">
        <f t="shared" si="1"/>
        <v>0.95932203389830506</v>
      </c>
    </row>
    <row r="21" spans="1:26" x14ac:dyDescent="0.25">
      <c r="A21" s="8">
        <f>'Water Reading'!A20</f>
        <v>44883</v>
      </c>
      <c r="B21" s="58">
        <f>TOTAL!I19</f>
        <v>288</v>
      </c>
      <c r="C21" s="59">
        <f>('Water Reading'!B21-'Water Reading'!B20)+('Water Reading'!C21-'Water Reading'!C20)</f>
        <v>253</v>
      </c>
      <c r="D21" s="60">
        <f t="shared" si="2"/>
        <v>0.87847222222222221</v>
      </c>
      <c r="E21" s="77">
        <f>'Water Reading'!H21-'Water Reading'!H20</f>
        <v>0</v>
      </c>
      <c r="F21" s="78">
        <f t="shared" si="3"/>
        <v>0</v>
      </c>
      <c r="G21" s="82">
        <f>('Water Reading'!D21-'Water Reading'!D20)-('Water Reading'!R21-'Water Reading'!R20)-('Water Reading'!Q21-'Water Reading'!Q20)</f>
        <v>99</v>
      </c>
      <c r="H21" s="78">
        <f t="shared" si="4"/>
        <v>0.39130434782608697</v>
      </c>
      <c r="I21" s="79">
        <f>'Water Reading'!P21-'Water Reading'!P20</f>
        <v>20</v>
      </c>
      <c r="J21" s="61">
        <f t="shared" si="5"/>
        <v>7.9051383399209488E-2</v>
      </c>
      <c r="K21" s="80">
        <f>('Water Reading'!I21-'Water Reading'!I20)-('Water Reading'!P21-'Water Reading'!P20)</f>
        <v>-6</v>
      </c>
      <c r="L21" s="61">
        <f t="shared" si="6"/>
        <v>-2.3715415019762844E-2</v>
      </c>
      <c r="M21" s="79">
        <f>'Water Reading'!R21-'Water Reading'!R20</f>
        <v>6</v>
      </c>
      <c r="N21" s="81">
        <f t="shared" si="7"/>
        <v>2.3715415019762844E-2</v>
      </c>
      <c r="O21" s="79">
        <f>'Water Reading'!Q21-'Water Reading'!Q20</f>
        <v>1</v>
      </c>
      <c r="P21" s="86">
        <f t="shared" si="8"/>
        <v>3.952569169960474E-3</v>
      </c>
      <c r="Q21" s="80">
        <f>'Water Reading'!F21-'Water Reading'!F20</f>
        <v>1</v>
      </c>
      <c r="R21" s="87">
        <f t="shared" si="9"/>
        <v>3.952569169960474E-3</v>
      </c>
      <c r="S21" s="79">
        <f>'Water Reading'!E21-'Water Reading'!E20</f>
        <v>47</v>
      </c>
      <c r="T21" s="87">
        <f t="shared" si="10"/>
        <v>0.1857707509881423</v>
      </c>
      <c r="U21" s="79">
        <f>'Water Reading'!G21-'Water Reading'!G20</f>
        <v>23</v>
      </c>
      <c r="V21" s="87">
        <f t="shared" si="11"/>
        <v>9.0909090909090912E-2</v>
      </c>
      <c r="W21" s="80">
        <f>'Water Reading'!J21-'Water Reading'!J20</f>
        <v>5</v>
      </c>
      <c r="X21" s="87">
        <f t="shared" si="12"/>
        <v>1.9762845849802372E-2</v>
      </c>
      <c r="Y21" s="59">
        <f t="shared" si="0"/>
        <v>196</v>
      </c>
      <c r="Z21" s="60">
        <f t="shared" si="1"/>
        <v>0.68055555555555558</v>
      </c>
    </row>
    <row r="22" spans="1:26" x14ac:dyDescent="0.25">
      <c r="A22" s="8">
        <f>'Water Reading'!A21</f>
        <v>44884</v>
      </c>
      <c r="B22" s="58">
        <f>TOTAL!I20</f>
        <v>275</v>
      </c>
      <c r="C22" s="59">
        <f>('Water Reading'!B22-'Water Reading'!B21)+('Water Reading'!C22-'Water Reading'!C21)</f>
        <v>300</v>
      </c>
      <c r="D22" s="60">
        <f t="shared" si="2"/>
        <v>1.0909090909090908</v>
      </c>
      <c r="E22" s="77">
        <f>'Water Reading'!H22-'Water Reading'!H21</f>
        <v>0</v>
      </c>
      <c r="F22" s="78">
        <f t="shared" si="3"/>
        <v>0</v>
      </c>
      <c r="G22" s="82">
        <f>('Water Reading'!D22-'Water Reading'!D21)-('Water Reading'!R22-'Water Reading'!R21)-('Water Reading'!Q22-'Water Reading'!Q21)</f>
        <v>141</v>
      </c>
      <c r="H22" s="78">
        <f t="shared" si="4"/>
        <v>0.47</v>
      </c>
      <c r="I22" s="124">
        <f>'Water Reading'!P22-'Water Reading'!P21</f>
        <v>0</v>
      </c>
      <c r="J22" s="61">
        <f t="shared" si="5"/>
        <v>0</v>
      </c>
      <c r="K22" s="80">
        <f>('Water Reading'!I22-'Water Reading'!I21)-('Water Reading'!P22-'Water Reading'!P21)</f>
        <v>6</v>
      </c>
      <c r="L22" s="61">
        <f t="shared" si="6"/>
        <v>0.02</v>
      </c>
      <c r="M22" s="79">
        <f>'Water Reading'!R22-'Water Reading'!R21</f>
        <v>5</v>
      </c>
      <c r="N22" s="81">
        <f t="shared" si="7"/>
        <v>1.6666666666666666E-2</v>
      </c>
      <c r="O22" s="79">
        <f>'Water Reading'!Q22-'Water Reading'!Q21</f>
        <v>0</v>
      </c>
      <c r="P22" s="86">
        <f t="shared" si="8"/>
        <v>0</v>
      </c>
      <c r="Q22" s="80">
        <f>'Water Reading'!F22-'Water Reading'!F21</f>
        <v>2</v>
      </c>
      <c r="R22" s="87">
        <f t="shared" si="9"/>
        <v>6.6666666666666671E-3</v>
      </c>
      <c r="S22" s="79">
        <f>'Water Reading'!E22-'Water Reading'!E21</f>
        <v>49</v>
      </c>
      <c r="T22" s="87">
        <f t="shared" si="10"/>
        <v>0.16333333333333333</v>
      </c>
      <c r="U22" s="79">
        <f>'Water Reading'!G22-'Water Reading'!G21</f>
        <v>19</v>
      </c>
      <c r="V22" s="87">
        <f t="shared" si="11"/>
        <v>6.3333333333333339E-2</v>
      </c>
      <c r="W22" s="80">
        <f>'Water Reading'!J22-'Water Reading'!J21</f>
        <v>5</v>
      </c>
      <c r="X22" s="87">
        <f t="shared" si="12"/>
        <v>1.6666666666666666E-2</v>
      </c>
      <c r="Y22" s="59">
        <f t="shared" si="0"/>
        <v>227</v>
      </c>
      <c r="Z22" s="60">
        <f t="shared" si="1"/>
        <v>0.82545454545454544</v>
      </c>
    </row>
    <row r="23" spans="1:26" x14ac:dyDescent="0.25">
      <c r="A23" s="8">
        <f>'Water Reading'!A22</f>
        <v>44885</v>
      </c>
      <c r="B23" s="58">
        <f>TOTAL!I21</f>
        <v>270</v>
      </c>
      <c r="C23" s="59">
        <f>('Water Reading'!B23-'Water Reading'!B22)+('Water Reading'!C23-'Water Reading'!C22)</f>
        <v>292</v>
      </c>
      <c r="D23" s="60">
        <f t="shared" si="2"/>
        <v>1.0814814814814815</v>
      </c>
      <c r="E23" s="77">
        <f>'Water Reading'!H23-'Water Reading'!H22</f>
        <v>0</v>
      </c>
      <c r="F23" s="78">
        <f t="shared" si="3"/>
        <v>0</v>
      </c>
      <c r="G23" s="82">
        <f>('Water Reading'!D23-'Water Reading'!D22)-('Water Reading'!R23-'Water Reading'!R22)-('Water Reading'!Q23-'Water Reading'!Q22)</f>
        <v>93</v>
      </c>
      <c r="H23" s="78">
        <f t="shared" si="4"/>
        <v>0.3184931506849315</v>
      </c>
      <c r="I23" s="124">
        <f>'Water Reading'!P23-'Water Reading'!P22</f>
        <v>10</v>
      </c>
      <c r="J23" s="61">
        <f t="shared" si="5"/>
        <v>3.4246575342465752E-2</v>
      </c>
      <c r="K23" s="80">
        <f>('Water Reading'!I23-'Water Reading'!I22)-('Water Reading'!P23-'Water Reading'!P22)</f>
        <v>13</v>
      </c>
      <c r="L23" s="61">
        <f t="shared" si="6"/>
        <v>4.4520547945205477E-2</v>
      </c>
      <c r="M23" s="79">
        <f>'Water Reading'!R23-'Water Reading'!R22</f>
        <v>3</v>
      </c>
      <c r="N23" s="81">
        <f t="shared" si="7"/>
        <v>1.0273972602739725E-2</v>
      </c>
      <c r="O23" s="124">
        <f>'Water Reading'!Q23-'Water Reading'!Q22</f>
        <v>1</v>
      </c>
      <c r="P23" s="86">
        <f t="shared" si="8"/>
        <v>3.4246575342465752E-3</v>
      </c>
      <c r="Q23" s="80">
        <f>'Water Reading'!F23-'Water Reading'!F22</f>
        <v>1</v>
      </c>
      <c r="R23" s="87">
        <f t="shared" si="9"/>
        <v>3.4246575342465752E-3</v>
      </c>
      <c r="S23" s="79">
        <f>'Water Reading'!E23-'Water Reading'!E22</f>
        <v>94</v>
      </c>
      <c r="T23" s="87">
        <f t="shared" si="10"/>
        <v>0.32191780821917809</v>
      </c>
      <c r="U23" s="79">
        <f>'Water Reading'!G23-'Water Reading'!G22</f>
        <v>21</v>
      </c>
      <c r="V23" s="87">
        <f t="shared" si="11"/>
        <v>7.1917808219178078E-2</v>
      </c>
      <c r="W23" s="80">
        <f>'Water Reading'!J23-'Water Reading'!J22</f>
        <v>5</v>
      </c>
      <c r="X23" s="87">
        <f t="shared" si="12"/>
        <v>1.7123287671232876E-2</v>
      </c>
      <c r="Y23" s="59">
        <f t="shared" si="0"/>
        <v>241</v>
      </c>
      <c r="Z23" s="60">
        <f t="shared" si="1"/>
        <v>0.8925925925925926</v>
      </c>
    </row>
    <row r="24" spans="1:26" x14ac:dyDescent="0.25">
      <c r="A24" s="8">
        <f>'Water Reading'!A23</f>
        <v>44886</v>
      </c>
      <c r="B24" s="58">
        <f>TOTAL!I22</f>
        <v>359</v>
      </c>
      <c r="C24" s="59">
        <f>('Water Reading'!B24-'Water Reading'!B23)+('Water Reading'!C24-'Water Reading'!C23)</f>
        <v>354</v>
      </c>
      <c r="D24" s="60">
        <f t="shared" si="2"/>
        <v>0.98607242339832868</v>
      </c>
      <c r="E24" s="77">
        <f>'Water Reading'!H24-'Water Reading'!H23</f>
        <v>0</v>
      </c>
      <c r="F24" s="78">
        <f t="shared" si="3"/>
        <v>0</v>
      </c>
      <c r="G24" s="82">
        <f>('Water Reading'!D24-'Water Reading'!D23)-('Water Reading'!R24-'Water Reading'!R23)-('Water Reading'!Q24-'Water Reading'!Q23)</f>
        <v>124</v>
      </c>
      <c r="H24" s="78">
        <f t="shared" si="4"/>
        <v>0.35028248587570621</v>
      </c>
      <c r="I24" s="79">
        <f>'Water Reading'!P24-'Water Reading'!P23</f>
        <v>6</v>
      </c>
      <c r="J24" s="61">
        <f t="shared" si="5"/>
        <v>1.6949152542372881E-2</v>
      </c>
      <c r="K24" s="80">
        <f>('Water Reading'!I24-'Water Reading'!I23)-('Water Reading'!P24-'Water Reading'!P23)</f>
        <v>-2</v>
      </c>
      <c r="L24" s="61">
        <f t="shared" si="6"/>
        <v>-5.6497175141242938E-3</v>
      </c>
      <c r="M24" s="79">
        <f>'Water Reading'!R24-'Water Reading'!R23</f>
        <v>4</v>
      </c>
      <c r="N24" s="81">
        <f t="shared" si="7"/>
        <v>1.1299435028248588E-2</v>
      </c>
      <c r="O24" s="79">
        <f>'Water Reading'!Q24-'Water Reading'!Q23</f>
        <v>2</v>
      </c>
      <c r="P24" s="86">
        <f t="shared" si="8"/>
        <v>5.6497175141242938E-3</v>
      </c>
      <c r="Q24" s="80">
        <f>'Water Reading'!F24-'Water Reading'!F23</f>
        <v>3</v>
      </c>
      <c r="R24" s="87">
        <f t="shared" si="9"/>
        <v>8.4745762711864406E-3</v>
      </c>
      <c r="S24" s="79">
        <f>'Water Reading'!E24-'Water Reading'!E23</f>
        <v>85</v>
      </c>
      <c r="T24" s="87">
        <f t="shared" si="10"/>
        <v>0.24011299435028249</v>
      </c>
      <c r="U24" s="79">
        <f>'Water Reading'!G24-'Water Reading'!G23</f>
        <v>24</v>
      </c>
      <c r="V24" s="87">
        <f t="shared" si="11"/>
        <v>6.7796610169491525E-2</v>
      </c>
      <c r="W24" s="80">
        <f>'Water Reading'!J24-'Water Reading'!J23</f>
        <v>6</v>
      </c>
      <c r="X24" s="87">
        <f t="shared" si="12"/>
        <v>1.6949152542372881E-2</v>
      </c>
      <c r="Y24" s="59">
        <f t="shared" si="0"/>
        <v>252</v>
      </c>
      <c r="Z24" s="60">
        <f t="shared" si="1"/>
        <v>0.70194986072423393</v>
      </c>
    </row>
    <row r="25" spans="1:26" x14ac:dyDescent="0.25">
      <c r="A25" s="8">
        <f>'Water Reading'!A24</f>
        <v>44887</v>
      </c>
      <c r="B25" s="58">
        <f>TOTAL!I23</f>
        <v>259</v>
      </c>
      <c r="C25" s="59">
        <f>('Water Reading'!B25-'Water Reading'!B24)+('Water Reading'!C25-'Water Reading'!C24)</f>
        <v>332</v>
      </c>
      <c r="D25" s="60">
        <f t="shared" si="2"/>
        <v>1.281853281853282</v>
      </c>
      <c r="E25" s="77">
        <f>'Water Reading'!H25-'Water Reading'!H24</f>
        <v>0</v>
      </c>
      <c r="F25" s="78">
        <f t="shared" si="3"/>
        <v>0</v>
      </c>
      <c r="G25" s="82">
        <f>('Water Reading'!D25-'Water Reading'!D24)-('Water Reading'!R25-'Water Reading'!R24)-('Water Reading'!Q25-'Water Reading'!Q24)</f>
        <v>127</v>
      </c>
      <c r="H25" s="78">
        <f t="shared" si="4"/>
        <v>0.38253012048192769</v>
      </c>
      <c r="I25" s="79">
        <f>'Water Reading'!P25-'Water Reading'!P24</f>
        <v>13</v>
      </c>
      <c r="J25" s="61">
        <f t="shared" si="5"/>
        <v>3.9156626506024098E-2</v>
      </c>
      <c r="K25" s="80">
        <f>('Water Reading'!I25-'Water Reading'!I24)-('Water Reading'!P25-'Water Reading'!P24)</f>
        <v>7</v>
      </c>
      <c r="L25" s="61">
        <f t="shared" si="6"/>
        <v>2.1084337349397589E-2</v>
      </c>
      <c r="M25" s="79">
        <f>'Water Reading'!R25-'Water Reading'!R24</f>
        <v>6</v>
      </c>
      <c r="N25" s="81">
        <f t="shared" si="7"/>
        <v>1.8072289156626505E-2</v>
      </c>
      <c r="O25" s="79">
        <f>'Water Reading'!Q25-'Water Reading'!Q24</f>
        <v>7</v>
      </c>
      <c r="P25" s="86">
        <f t="shared" si="8"/>
        <v>2.1084337349397589E-2</v>
      </c>
      <c r="Q25" s="80">
        <f>'Water Reading'!F25-'Water Reading'!F24</f>
        <v>2</v>
      </c>
      <c r="R25" s="87">
        <f t="shared" si="9"/>
        <v>6.024096385542169E-3</v>
      </c>
      <c r="S25" s="79">
        <f>'Water Reading'!E25-'Water Reading'!E24</f>
        <v>91</v>
      </c>
      <c r="T25" s="87">
        <f t="shared" si="10"/>
        <v>0.2740963855421687</v>
      </c>
      <c r="U25" s="79">
        <f>'Water Reading'!G25-'Water Reading'!G24</f>
        <v>22</v>
      </c>
      <c r="V25" s="87">
        <f t="shared" si="11"/>
        <v>6.6265060240963861E-2</v>
      </c>
      <c r="W25" s="117">
        <f>'Water Reading'!J25-'Water Reading'!J24</f>
        <v>6</v>
      </c>
      <c r="X25" s="87">
        <f t="shared" si="12"/>
        <v>1.8072289156626505E-2</v>
      </c>
      <c r="Y25" s="59">
        <f t="shared" si="0"/>
        <v>281</v>
      </c>
      <c r="Z25" s="60">
        <f t="shared" si="1"/>
        <v>1.084942084942085</v>
      </c>
    </row>
    <row r="26" spans="1:26" x14ac:dyDescent="0.25">
      <c r="A26" s="8">
        <f>'Water Reading'!A25</f>
        <v>44888</v>
      </c>
      <c r="B26" s="58">
        <f>TOTAL!I24</f>
        <v>421</v>
      </c>
      <c r="C26" s="59">
        <f>('Water Reading'!B26-'Water Reading'!B25)+('Water Reading'!C26-'Water Reading'!C25)</f>
        <v>385</v>
      </c>
      <c r="D26" s="60">
        <f t="shared" si="2"/>
        <v>0.91448931116389554</v>
      </c>
      <c r="E26" s="77">
        <f>'Water Reading'!H26-'Water Reading'!H25</f>
        <v>0</v>
      </c>
      <c r="F26" s="78">
        <f t="shared" si="3"/>
        <v>0</v>
      </c>
      <c r="G26" s="82">
        <f>('Water Reading'!D26-'Water Reading'!D25)-('Water Reading'!R26-'Water Reading'!R25)-('Water Reading'!Q26-'Water Reading'!Q25)</f>
        <v>183</v>
      </c>
      <c r="H26" s="78">
        <f t="shared" si="4"/>
        <v>0.47532467532467532</v>
      </c>
      <c r="I26" s="79">
        <f>'Water Reading'!P26-'Water Reading'!P25</f>
        <v>8</v>
      </c>
      <c r="J26" s="61">
        <f t="shared" si="5"/>
        <v>2.0779220779220779E-2</v>
      </c>
      <c r="K26" s="80">
        <f>('Water Reading'!I26-'Water Reading'!I25)-('Water Reading'!P26-'Water Reading'!P25)</f>
        <v>6</v>
      </c>
      <c r="L26" s="61">
        <f t="shared" si="6"/>
        <v>1.5584415584415584E-2</v>
      </c>
      <c r="M26" s="79">
        <f>'Water Reading'!R26-'Water Reading'!R25</f>
        <v>4</v>
      </c>
      <c r="N26" s="81">
        <f t="shared" si="7"/>
        <v>1.038961038961039E-2</v>
      </c>
      <c r="O26" s="79">
        <f>'Water Reading'!Q26-'Water Reading'!Q25</f>
        <v>3</v>
      </c>
      <c r="P26" s="86">
        <f t="shared" si="8"/>
        <v>7.7922077922077922E-3</v>
      </c>
      <c r="Q26" s="80">
        <f>'Water Reading'!F26-'Water Reading'!F25</f>
        <v>1</v>
      </c>
      <c r="R26" s="87">
        <f t="shared" si="9"/>
        <v>2.5974025974025974E-3</v>
      </c>
      <c r="S26" s="79">
        <f>'Water Reading'!E26-'Water Reading'!E25</f>
        <v>78</v>
      </c>
      <c r="T26" s="87">
        <f t="shared" si="10"/>
        <v>0.20259740259740261</v>
      </c>
      <c r="U26" s="79">
        <f>'Water Reading'!G26-'Water Reading'!G25</f>
        <v>21</v>
      </c>
      <c r="V26" s="87">
        <f t="shared" si="11"/>
        <v>5.4545454545454543E-2</v>
      </c>
      <c r="W26" s="80">
        <f>'Water Reading'!J26-'Water Reading'!J25</f>
        <v>6</v>
      </c>
      <c r="X26" s="87">
        <f t="shared" si="12"/>
        <v>1.5584415584415584E-2</v>
      </c>
      <c r="Y26" s="59">
        <f t="shared" si="0"/>
        <v>310</v>
      </c>
      <c r="Z26" s="60">
        <f t="shared" si="1"/>
        <v>0.73634204275534443</v>
      </c>
    </row>
    <row r="27" spans="1:26" x14ac:dyDescent="0.25">
      <c r="A27" s="8">
        <f>'Water Reading'!A26</f>
        <v>44889</v>
      </c>
      <c r="B27" s="58">
        <f>TOTAL!I25</f>
        <v>323</v>
      </c>
      <c r="C27" s="59">
        <f>('Water Reading'!B27-'Water Reading'!B26)+('Water Reading'!C27-'Water Reading'!C26)</f>
        <v>373</v>
      </c>
      <c r="D27" s="60">
        <f t="shared" si="2"/>
        <v>1.1547987616099071</v>
      </c>
      <c r="E27" s="77">
        <f>'Water Reading'!H27-'Water Reading'!H26</f>
        <v>0</v>
      </c>
      <c r="F27" s="78">
        <f t="shared" si="3"/>
        <v>0</v>
      </c>
      <c r="G27" s="82">
        <f>('Water Reading'!D27-'Water Reading'!D26)-('Water Reading'!R27-'Water Reading'!R26)-('Water Reading'!Q27-'Water Reading'!Q26)</f>
        <v>172</v>
      </c>
      <c r="H27" s="78">
        <f t="shared" si="4"/>
        <v>0.46112600536193027</v>
      </c>
      <c r="I27" s="79">
        <f>'Water Reading'!P27-'Water Reading'!P26</f>
        <v>15</v>
      </c>
      <c r="J27" s="61">
        <f t="shared" si="5"/>
        <v>4.0214477211796246E-2</v>
      </c>
      <c r="K27" s="80">
        <f>('Water Reading'!I27-'Water Reading'!I26)-('Water Reading'!P27-'Water Reading'!P26)</f>
        <v>6</v>
      </c>
      <c r="L27" s="61">
        <f t="shared" si="6"/>
        <v>1.6085790884718499E-2</v>
      </c>
      <c r="M27" s="79">
        <f>'Water Reading'!R27-'Water Reading'!R26</f>
        <v>5</v>
      </c>
      <c r="N27" s="81">
        <f t="shared" si="7"/>
        <v>1.3404825737265416E-2</v>
      </c>
      <c r="O27" s="79">
        <f>'Water Reading'!Q27-'Water Reading'!Q26</f>
        <v>0</v>
      </c>
      <c r="P27" s="86">
        <f t="shared" si="8"/>
        <v>0</v>
      </c>
      <c r="Q27" s="80">
        <f>'Water Reading'!F27-'Water Reading'!F26</f>
        <v>0</v>
      </c>
      <c r="R27" s="87">
        <f t="shared" si="9"/>
        <v>0</v>
      </c>
      <c r="S27" s="79">
        <f>'Water Reading'!E27-'Water Reading'!E26</f>
        <v>97</v>
      </c>
      <c r="T27" s="87">
        <f t="shared" si="10"/>
        <v>0.26005361930294907</v>
      </c>
      <c r="U27" s="79">
        <f>'Water Reading'!G27-'Water Reading'!G26</f>
        <v>23</v>
      </c>
      <c r="V27" s="87">
        <f t="shared" si="11"/>
        <v>6.1662198391420911E-2</v>
      </c>
      <c r="W27" s="80">
        <f>'Water Reading'!J27-'Water Reading'!J26</f>
        <v>6</v>
      </c>
      <c r="X27" s="87">
        <f t="shared" si="12"/>
        <v>1.6085790884718499E-2</v>
      </c>
      <c r="Y27" s="59">
        <f t="shared" si="0"/>
        <v>324</v>
      </c>
      <c r="Z27" s="60">
        <f t="shared" si="1"/>
        <v>1.0030959752321982</v>
      </c>
    </row>
    <row r="28" spans="1:26" x14ac:dyDescent="0.25">
      <c r="A28" s="8">
        <f>'Water Reading'!A27</f>
        <v>44890</v>
      </c>
      <c r="B28" s="58">
        <f>TOTAL!I26</f>
        <v>322</v>
      </c>
      <c r="C28" s="59">
        <f>('Water Reading'!B28-'Water Reading'!B27)+('Water Reading'!C28-'Water Reading'!C27)</f>
        <v>286</v>
      </c>
      <c r="D28" s="60">
        <f t="shared" si="2"/>
        <v>0.88819875776397517</v>
      </c>
      <c r="E28" s="77">
        <f>'Water Reading'!H28-'Water Reading'!H27</f>
        <v>0</v>
      </c>
      <c r="F28" s="78">
        <f t="shared" si="3"/>
        <v>0</v>
      </c>
      <c r="G28" s="82">
        <f>('Water Reading'!D28-'Water Reading'!D27)-('Water Reading'!R28-'Water Reading'!R27)-('Water Reading'!Q28-'Water Reading'!Q27)</f>
        <v>111</v>
      </c>
      <c r="H28" s="78">
        <f t="shared" si="4"/>
        <v>0.38811188811188813</v>
      </c>
      <c r="I28" s="79">
        <f>'Water Reading'!P28-'Water Reading'!P27</f>
        <v>9</v>
      </c>
      <c r="J28" s="61">
        <f t="shared" si="5"/>
        <v>3.1468531468531472E-2</v>
      </c>
      <c r="K28" s="117">
        <f>('Water Reading'!I28-'Water Reading'!I27)-('Water Reading'!P28-'Water Reading'!P27)</f>
        <v>6</v>
      </c>
      <c r="L28" s="125">
        <f t="shared" si="6"/>
        <v>2.097902097902098E-2</v>
      </c>
      <c r="M28" s="79">
        <f>'Water Reading'!R28-'Water Reading'!R27</f>
        <v>3</v>
      </c>
      <c r="N28" s="81">
        <f t="shared" si="7"/>
        <v>1.048951048951049E-2</v>
      </c>
      <c r="O28" s="79">
        <f>'Water Reading'!Q28-'Water Reading'!Q27</f>
        <v>5</v>
      </c>
      <c r="P28" s="86">
        <f t="shared" si="8"/>
        <v>1.7482517482517484E-2</v>
      </c>
      <c r="Q28" s="117">
        <f>'Water Reading'!F28-'Water Reading'!F27</f>
        <v>1</v>
      </c>
      <c r="R28" s="87">
        <f t="shared" si="9"/>
        <v>3.4965034965034965E-3</v>
      </c>
      <c r="S28" s="79">
        <f>'Water Reading'!E28-'Water Reading'!E27</f>
        <v>71</v>
      </c>
      <c r="T28" s="87">
        <f t="shared" si="10"/>
        <v>0.24825174825174826</v>
      </c>
      <c r="U28" s="79">
        <f>'Water Reading'!G28-'Water Reading'!G27</f>
        <v>24</v>
      </c>
      <c r="V28" s="87">
        <f t="shared" si="11"/>
        <v>8.3916083916083919E-2</v>
      </c>
      <c r="W28" s="80">
        <f>'Water Reading'!J28-'Water Reading'!J27</f>
        <v>6</v>
      </c>
      <c r="X28" s="87">
        <f t="shared" si="12"/>
        <v>2.097902097902098E-2</v>
      </c>
      <c r="Y28" s="59">
        <f t="shared" si="0"/>
        <v>236</v>
      </c>
      <c r="Z28" s="60">
        <f t="shared" si="1"/>
        <v>0.73291925465838514</v>
      </c>
    </row>
    <row r="29" spans="1:26" x14ac:dyDescent="0.25">
      <c r="A29" s="8">
        <f>'Water Reading'!A28</f>
        <v>44891</v>
      </c>
      <c r="B29" s="58">
        <f>TOTAL!I27</f>
        <v>265</v>
      </c>
      <c r="C29" s="59">
        <f>('Water Reading'!B29-'Water Reading'!B28)+('Water Reading'!C29-'Water Reading'!C28)</f>
        <v>171</v>
      </c>
      <c r="D29" s="60">
        <f t="shared" si="2"/>
        <v>0.6452830188679245</v>
      </c>
      <c r="E29" s="77">
        <f>'Water Reading'!H29-'Water Reading'!H28</f>
        <v>0</v>
      </c>
      <c r="F29" s="78">
        <f t="shared" si="3"/>
        <v>0</v>
      </c>
      <c r="G29" s="82">
        <f>('Water Reading'!D29-'Water Reading'!D28)-('Water Reading'!R29-'Water Reading'!R28)-('Water Reading'!Q29-'Water Reading'!Q28)</f>
        <v>129</v>
      </c>
      <c r="H29" s="78">
        <f t="shared" si="4"/>
        <v>0.75438596491228072</v>
      </c>
      <c r="I29" s="79">
        <f>'Water Reading'!P29-'Water Reading'!P28</f>
        <v>0</v>
      </c>
      <c r="J29" s="61">
        <f t="shared" si="5"/>
        <v>0</v>
      </c>
      <c r="K29" s="80">
        <f>('Water Reading'!I29-'Water Reading'!I28)-('Water Reading'!P29-'Water Reading'!P28)</f>
        <v>5</v>
      </c>
      <c r="L29" s="61">
        <f t="shared" si="6"/>
        <v>2.9239766081871343E-2</v>
      </c>
      <c r="M29" s="79">
        <f>'Water Reading'!R29-'Water Reading'!R28</f>
        <v>5</v>
      </c>
      <c r="N29" s="81">
        <f t="shared" si="7"/>
        <v>2.9239766081871343E-2</v>
      </c>
      <c r="O29" s="79">
        <f>'Water Reading'!Q29-'Water Reading'!Q28</f>
        <v>4</v>
      </c>
      <c r="P29" s="86">
        <f t="shared" si="8"/>
        <v>2.3391812865497075E-2</v>
      </c>
      <c r="Q29" s="80">
        <f>'Water Reading'!F29-'Water Reading'!F28</f>
        <v>2</v>
      </c>
      <c r="R29" s="87">
        <f t="shared" si="9"/>
        <v>1.1695906432748537E-2</v>
      </c>
      <c r="S29" s="79">
        <f>'Water Reading'!E29-'Water Reading'!E28</f>
        <v>69</v>
      </c>
      <c r="T29" s="87">
        <f t="shared" si="10"/>
        <v>0.40350877192982454</v>
      </c>
      <c r="U29" s="79">
        <f>'Water Reading'!G29-'Water Reading'!G28</f>
        <v>22</v>
      </c>
      <c r="V29" s="87">
        <f t="shared" si="11"/>
        <v>0.12865497076023391</v>
      </c>
      <c r="W29" s="80">
        <f>'Water Reading'!J29-'Water Reading'!J28</f>
        <v>6</v>
      </c>
      <c r="X29" s="87">
        <f t="shared" si="12"/>
        <v>3.5087719298245612E-2</v>
      </c>
      <c r="Y29" s="59">
        <f t="shared" si="0"/>
        <v>242</v>
      </c>
      <c r="Z29" s="60">
        <f t="shared" si="1"/>
        <v>0.91320754716981134</v>
      </c>
    </row>
    <row r="30" spans="1:26" x14ac:dyDescent="0.25">
      <c r="A30" s="8">
        <f>'Water Reading'!A29</f>
        <v>44892</v>
      </c>
      <c r="B30" s="58">
        <f>TOTAL!I28</f>
        <v>281</v>
      </c>
      <c r="C30" s="59">
        <f>('Water Reading'!B30-'Water Reading'!B29)+('Water Reading'!C30-'Water Reading'!C29)</f>
        <v>-56153</v>
      </c>
      <c r="D30" s="60">
        <f t="shared" si="2"/>
        <v>-199.83274021352312</v>
      </c>
      <c r="E30" s="77">
        <f>'Water Reading'!H30-'Water Reading'!H29</f>
        <v>-62092</v>
      </c>
      <c r="F30" s="78">
        <f t="shared" si="3"/>
        <v>1.1057646074118925</v>
      </c>
      <c r="G30" s="82">
        <f>('Water Reading'!D30-'Water Reading'!D29)-('Water Reading'!R30-'Water Reading'!R29)-('Water Reading'!Q30-'Water Reading'!Q29)</f>
        <v>-292836</v>
      </c>
      <c r="H30" s="78">
        <f t="shared" si="4"/>
        <v>5.21496625291614</v>
      </c>
      <c r="I30" s="79">
        <f>'Water Reading'!P30-'Water Reading'!P29</f>
        <v>-32611</v>
      </c>
      <c r="J30" s="61">
        <f t="shared" si="5"/>
        <v>0.58075258668281304</v>
      </c>
      <c r="K30" s="80">
        <f>('Water Reading'!I30-'Water Reading'!I29)-('Water Reading'!P30-'Water Reading'!P29)</f>
        <v>-47106</v>
      </c>
      <c r="L30" s="61">
        <f t="shared" si="6"/>
        <v>0.83888661335992731</v>
      </c>
      <c r="M30" s="79">
        <f>'Water Reading'!R30-'Water Reading'!R29</f>
        <v>-845</v>
      </c>
      <c r="N30" s="81">
        <f t="shared" si="7"/>
        <v>1.5048171958755543E-2</v>
      </c>
      <c r="O30" s="79">
        <f>'Water Reading'!Q30-'Water Reading'!Q29</f>
        <v>-2212</v>
      </c>
      <c r="P30" s="86">
        <f t="shared" si="8"/>
        <v>3.9392374405641729E-2</v>
      </c>
      <c r="Q30" s="80">
        <f>'Water Reading'!F30-'Water Reading'!F29</f>
        <v>-67332</v>
      </c>
      <c r="R30" s="87">
        <f t="shared" si="9"/>
        <v>1.1990810820437021</v>
      </c>
      <c r="S30" s="79">
        <f>'Water Reading'!E30-'Water Reading'!E29</f>
        <v>-283331</v>
      </c>
      <c r="T30" s="87">
        <f t="shared" si="10"/>
        <v>5.0456965789895465</v>
      </c>
      <c r="U30" s="79">
        <f>'Water Reading'!G30-'Water Reading'!G29</f>
        <v>-123750</v>
      </c>
      <c r="V30" s="87">
        <f t="shared" si="11"/>
        <v>2.203800331237868</v>
      </c>
      <c r="W30" s="80">
        <f>'Water Reading'!J30-'Water Reading'!J29</f>
        <v>-23847</v>
      </c>
      <c r="X30" s="87">
        <f t="shared" si="12"/>
        <v>0.42467900201235909</v>
      </c>
      <c r="Y30" s="59">
        <f t="shared" si="0"/>
        <v>-935962</v>
      </c>
      <c r="Z30" s="60">
        <f t="shared" si="1"/>
        <v>-3330.8256227758006</v>
      </c>
    </row>
    <row r="31" spans="1:26" x14ac:dyDescent="0.25">
      <c r="A31" s="8">
        <f>'Water Reading'!A30</f>
        <v>44893</v>
      </c>
      <c r="B31" s="58">
        <f>TOTAL!I29</f>
        <v>0</v>
      </c>
      <c r="C31" s="59">
        <f>('Water Reading'!B31-'Water Reading'!B30)+('Water Reading'!C31-'Water Reading'!C30)</f>
        <v>0</v>
      </c>
      <c r="D31" s="60" t="e">
        <f t="shared" si="2"/>
        <v>#DIV/0!</v>
      </c>
      <c r="E31" s="77">
        <f>'Water Reading'!H31-'Water Reading'!H30</f>
        <v>0</v>
      </c>
      <c r="F31" s="78" t="e">
        <f t="shared" si="3"/>
        <v>#DIV/0!</v>
      </c>
      <c r="G31" s="82">
        <f>('Water Reading'!D31-'Water Reading'!D30)-('Water Reading'!R31-'Water Reading'!R30)-('Water Reading'!Q31-'Water Reading'!Q30)</f>
        <v>0</v>
      </c>
      <c r="H31" s="78" t="e">
        <f t="shared" si="4"/>
        <v>#DIV/0!</v>
      </c>
      <c r="I31" s="79">
        <f>'Water Reading'!P31-'Water Reading'!P30</f>
        <v>0</v>
      </c>
      <c r="J31" s="61" t="e">
        <f t="shared" si="5"/>
        <v>#DIV/0!</v>
      </c>
      <c r="K31" s="80">
        <f>('Water Reading'!I31-'Water Reading'!I30)-('Water Reading'!P31-'Water Reading'!P30)</f>
        <v>0</v>
      </c>
      <c r="L31" s="61" t="e">
        <f t="shared" si="6"/>
        <v>#DIV/0!</v>
      </c>
      <c r="M31" s="79">
        <f>'Water Reading'!R31-'Water Reading'!R30</f>
        <v>0</v>
      </c>
      <c r="N31" s="81" t="e">
        <f t="shared" si="7"/>
        <v>#DIV/0!</v>
      </c>
      <c r="O31" s="79">
        <f>'Water Reading'!Q31-'Water Reading'!Q30</f>
        <v>0</v>
      </c>
      <c r="P31" s="86" t="e">
        <f t="shared" si="8"/>
        <v>#DIV/0!</v>
      </c>
      <c r="Q31" s="80">
        <f>'Water Reading'!F31-'Water Reading'!F30</f>
        <v>0</v>
      </c>
      <c r="R31" s="87" t="e">
        <f t="shared" si="9"/>
        <v>#DIV/0!</v>
      </c>
      <c r="S31" s="79">
        <f>'Water Reading'!E31-'Water Reading'!E30</f>
        <v>0</v>
      </c>
      <c r="T31" s="87" t="e">
        <f t="shared" si="10"/>
        <v>#DIV/0!</v>
      </c>
      <c r="U31" s="79">
        <f>'Water Reading'!G31-'Water Reading'!G30</f>
        <v>0</v>
      </c>
      <c r="V31" s="87" t="e">
        <f t="shared" si="11"/>
        <v>#DIV/0!</v>
      </c>
      <c r="W31" s="80">
        <f>'Water Reading'!J31-'Water Reading'!J30</f>
        <v>0</v>
      </c>
      <c r="X31" s="87" t="e">
        <f t="shared" si="12"/>
        <v>#DIV/0!</v>
      </c>
      <c r="Y31" s="59">
        <f t="shared" si="0"/>
        <v>0</v>
      </c>
      <c r="Z31" s="60" t="e">
        <f t="shared" si="1"/>
        <v>#DIV/0!</v>
      </c>
    </row>
    <row r="32" spans="1:26" x14ac:dyDescent="0.25">
      <c r="A32" s="8">
        <f>'Water Reading'!A31</f>
        <v>44894</v>
      </c>
      <c r="B32" s="58">
        <f>TOTAL!I30</f>
        <v>0</v>
      </c>
      <c r="C32" s="59">
        <f>('Water Reading'!B32-'Water Reading'!B31)+('Water Reading'!C32-'Water Reading'!C31)</f>
        <v>0</v>
      </c>
      <c r="D32" s="60" t="e">
        <f t="shared" si="2"/>
        <v>#DIV/0!</v>
      </c>
      <c r="E32" s="77">
        <f>'Water Reading'!H32-'Water Reading'!H31</f>
        <v>0</v>
      </c>
      <c r="F32" s="78" t="e">
        <f t="shared" si="3"/>
        <v>#DIV/0!</v>
      </c>
      <c r="G32" s="82">
        <f>('Water Reading'!D32-'Water Reading'!D31)-('Water Reading'!R32-'Water Reading'!R31)-('Water Reading'!Q32-'Water Reading'!Q31)</f>
        <v>0</v>
      </c>
      <c r="H32" s="78" t="e">
        <f t="shared" si="4"/>
        <v>#DIV/0!</v>
      </c>
      <c r="I32" s="79">
        <f>'Water Reading'!P32-'Water Reading'!P31</f>
        <v>0</v>
      </c>
      <c r="J32" s="61" t="e">
        <f t="shared" si="5"/>
        <v>#DIV/0!</v>
      </c>
      <c r="K32" s="80">
        <f>('Water Reading'!I32-'Water Reading'!I31)-('Water Reading'!P32-'Water Reading'!P31)</f>
        <v>0</v>
      </c>
      <c r="L32" s="61" t="e">
        <f t="shared" si="6"/>
        <v>#DIV/0!</v>
      </c>
      <c r="M32" s="79">
        <f>'Water Reading'!R32-'Water Reading'!R31</f>
        <v>0</v>
      </c>
      <c r="N32" s="81" t="e">
        <f t="shared" si="7"/>
        <v>#DIV/0!</v>
      </c>
      <c r="O32" s="79">
        <f>'Water Reading'!Q32-'Water Reading'!Q31</f>
        <v>0</v>
      </c>
      <c r="P32" s="86" t="e">
        <f t="shared" si="8"/>
        <v>#DIV/0!</v>
      </c>
      <c r="Q32" s="80">
        <f>'Water Reading'!F32-'Water Reading'!F31</f>
        <v>0</v>
      </c>
      <c r="R32" s="87" t="e">
        <f t="shared" si="9"/>
        <v>#DIV/0!</v>
      </c>
      <c r="S32" s="79">
        <f>'Water Reading'!E32-'Water Reading'!E31</f>
        <v>0</v>
      </c>
      <c r="T32" s="87" t="e">
        <f t="shared" si="10"/>
        <v>#DIV/0!</v>
      </c>
      <c r="U32" s="79">
        <f>'Water Reading'!G32-'Water Reading'!G31</f>
        <v>0</v>
      </c>
      <c r="V32" s="87" t="e">
        <f t="shared" si="11"/>
        <v>#DIV/0!</v>
      </c>
      <c r="W32" s="80">
        <f>'Water Reading'!J32-'Water Reading'!J31</f>
        <v>0</v>
      </c>
      <c r="X32" s="87" t="e">
        <f t="shared" si="12"/>
        <v>#DIV/0!</v>
      </c>
      <c r="Y32" s="59">
        <f t="shared" si="0"/>
        <v>0</v>
      </c>
      <c r="Z32" s="60" t="e">
        <f t="shared" si="1"/>
        <v>#DIV/0!</v>
      </c>
    </row>
    <row r="33" spans="1:26" x14ac:dyDescent="0.25">
      <c r="A33" s="8">
        <f>'Water Reading'!A32</f>
        <v>44895</v>
      </c>
      <c r="B33" s="58">
        <f>TOTAL!I31</f>
        <v>0</v>
      </c>
      <c r="C33" s="59">
        <f>('Water Reading'!B33-'Water Reading'!B32)+('Water Reading'!C33-'Water Reading'!C32)</f>
        <v>0</v>
      </c>
      <c r="D33" s="60" t="e">
        <f t="shared" si="2"/>
        <v>#DIV/0!</v>
      </c>
      <c r="E33" s="77">
        <f>'Water Reading'!H33-'Water Reading'!H32</f>
        <v>0</v>
      </c>
      <c r="F33" s="78" t="e">
        <f t="shared" si="3"/>
        <v>#DIV/0!</v>
      </c>
      <c r="G33" s="82">
        <f>('Water Reading'!D33-'Water Reading'!D32)-('Water Reading'!R33-'Water Reading'!R32)-('Water Reading'!Q33-'Water Reading'!Q32)</f>
        <v>0</v>
      </c>
      <c r="H33" s="78" t="e">
        <f t="shared" si="4"/>
        <v>#DIV/0!</v>
      </c>
      <c r="I33" s="79">
        <f>'Water Reading'!P33-'Water Reading'!P32</f>
        <v>0</v>
      </c>
      <c r="J33" s="61" t="e">
        <f t="shared" si="5"/>
        <v>#DIV/0!</v>
      </c>
      <c r="K33" s="80">
        <f>('Water Reading'!I33-'Water Reading'!I32)-('Water Reading'!P33-'Water Reading'!P32)</f>
        <v>0</v>
      </c>
      <c r="L33" s="61" t="e">
        <f t="shared" si="6"/>
        <v>#DIV/0!</v>
      </c>
      <c r="M33" s="79">
        <f>'Water Reading'!R33-'Water Reading'!R32</f>
        <v>0</v>
      </c>
      <c r="N33" s="81" t="e">
        <f t="shared" si="7"/>
        <v>#DIV/0!</v>
      </c>
      <c r="O33" s="79">
        <f>'Water Reading'!Q33-'Water Reading'!Q32</f>
        <v>0</v>
      </c>
      <c r="P33" s="86" t="e">
        <f t="shared" si="8"/>
        <v>#DIV/0!</v>
      </c>
      <c r="Q33" s="80">
        <f>'Water Reading'!F33-'Water Reading'!F32</f>
        <v>0</v>
      </c>
      <c r="R33" s="87" t="e">
        <f t="shared" si="9"/>
        <v>#DIV/0!</v>
      </c>
      <c r="S33" s="79">
        <f>'Water Reading'!E33-'Water Reading'!E32</f>
        <v>0</v>
      </c>
      <c r="T33" s="87" t="e">
        <f t="shared" si="10"/>
        <v>#DIV/0!</v>
      </c>
      <c r="U33" s="79">
        <f>'Water Reading'!G33-'Water Reading'!G32</f>
        <v>0</v>
      </c>
      <c r="V33" s="87" t="e">
        <f t="shared" si="11"/>
        <v>#DIV/0!</v>
      </c>
      <c r="W33" s="80">
        <f>'Water Reading'!J33-'Water Reading'!J32</f>
        <v>0</v>
      </c>
      <c r="X33" s="87" t="e">
        <f t="shared" si="12"/>
        <v>#DIV/0!</v>
      </c>
      <c r="Y33" s="59">
        <f t="shared" si="0"/>
        <v>0</v>
      </c>
      <c r="Z33" s="60" t="e">
        <f t="shared" si="1"/>
        <v>#DIV/0!</v>
      </c>
    </row>
    <row r="34" spans="1:26" ht="24" customHeight="1" x14ac:dyDescent="0.25">
      <c r="A34" s="62" t="s">
        <v>51</v>
      </c>
      <c r="B34" s="85" t="s">
        <v>127</v>
      </c>
      <c r="C34" s="66">
        <f>SUM(C4:C33)</f>
        <v>-47764</v>
      </c>
      <c r="D34" s="84" t="e">
        <f>C34/B34</f>
        <v>#VALUE!</v>
      </c>
      <c r="E34" s="7">
        <f>SUM(E4:E33)</f>
        <v>-62092</v>
      </c>
      <c r="F34" s="83">
        <f>E34/C34</f>
        <v>1.2999748764760071</v>
      </c>
      <c r="G34" s="66">
        <f>SUM(G4:G33)</f>
        <v>-289122</v>
      </c>
      <c r="H34" s="83">
        <f>G34/C34</f>
        <v>6.0531362532451221</v>
      </c>
      <c r="I34" s="7">
        <f>SUM(I4:I33)</f>
        <v>-32379</v>
      </c>
      <c r="J34" s="83">
        <f>I34/C34</f>
        <v>0.67789548614018924</v>
      </c>
      <c r="K34" s="7">
        <f>SUM(K4:K33)</f>
        <v>-46938</v>
      </c>
      <c r="L34" s="83">
        <f>K34/C34</f>
        <v>0.98270664098484217</v>
      </c>
      <c r="M34" s="7">
        <f>SUM(M4:M33)</f>
        <v>-748</v>
      </c>
      <c r="N34" s="83">
        <f>M34/C34</f>
        <v>1.5660329955615108E-2</v>
      </c>
      <c r="O34" s="7">
        <f>SUM(O4:O33)</f>
        <v>-2139</v>
      </c>
      <c r="P34" s="83">
        <f>O34/C34</f>
        <v>4.478268151746085E-2</v>
      </c>
      <c r="Q34" s="7">
        <f>SUM(Q4:Q33)</f>
        <v>-67301</v>
      </c>
      <c r="R34" s="83">
        <f>Q34/C34</f>
        <v>1.4090319068754711</v>
      </c>
      <c r="S34" s="66">
        <f>SUM(S4:S33)</f>
        <v>-281395</v>
      </c>
      <c r="T34" s="83">
        <f>S34/C34</f>
        <v>5.8913616950004188</v>
      </c>
      <c r="U34" s="7">
        <f>SUM(U4:U33)</f>
        <v>-123110</v>
      </c>
      <c r="V34" s="83">
        <f>U34/C34</f>
        <v>2.5774641989783098</v>
      </c>
      <c r="W34" s="7">
        <f>SUM(W4:W33)</f>
        <v>-23697</v>
      </c>
      <c r="X34" s="83">
        <f>W34/C34</f>
        <v>0.49612679005108451</v>
      </c>
      <c r="Y34" s="66">
        <f>SUM(Y4:Y33)</f>
        <v>-928921</v>
      </c>
      <c r="Z34" s="83" t="e">
        <f t="shared" si="1"/>
        <v>#VALUE!</v>
      </c>
    </row>
    <row r="43" spans="1:26" x14ac:dyDescent="0.25">
      <c r="Y43" s="72"/>
    </row>
    <row r="63" spans="4:4" x14ac:dyDescent="0.25">
      <c r="D63" s="63"/>
    </row>
    <row r="64" spans="4:4" x14ac:dyDescent="0.25">
      <c r="D64" s="63"/>
    </row>
    <row r="65" spans="4:4" x14ac:dyDescent="0.25">
      <c r="D65" s="63"/>
    </row>
    <row r="66" spans="4:4" x14ac:dyDescent="0.25">
      <c r="D66" s="63"/>
    </row>
    <row r="67" spans="4:4" x14ac:dyDescent="0.25">
      <c r="D67" s="63"/>
    </row>
    <row r="68" spans="4:4" x14ac:dyDescent="0.25">
      <c r="D68" s="63"/>
    </row>
    <row r="69" spans="4:4" x14ac:dyDescent="0.25">
      <c r="D69" s="63"/>
    </row>
    <row r="70" spans="4:4" x14ac:dyDescent="0.25">
      <c r="D70" s="63"/>
    </row>
    <row r="71" spans="4:4" x14ac:dyDescent="0.25">
      <c r="D71" s="63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ignoredErrors>
    <ignoredError sqref="D4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Monthly Budget 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2022-11-28T06:11:20Z</dcterms:modified>
  <cp:category/>
  <cp:contentStatus/>
</cp:coreProperties>
</file>