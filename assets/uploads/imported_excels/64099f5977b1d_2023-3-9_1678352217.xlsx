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1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1" l="1"/>
  <c r="P7" i="51"/>
  <c r="P8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5" i="51"/>
  <c r="I6" i="51"/>
  <c r="I7" i="51"/>
  <c r="I8" i="51"/>
  <c r="I9" i="51"/>
  <c r="I10" i="51"/>
  <c r="I11" i="51"/>
  <c r="I12" i="51"/>
  <c r="I13" i="51"/>
  <c r="I14" i="51"/>
  <c r="I15" i="51"/>
  <c r="I16" i="51"/>
  <c r="I17" i="51"/>
  <c r="I18" i="51"/>
  <c r="I19" i="51"/>
  <c r="I20" i="51"/>
  <c r="I21" i="51"/>
  <c r="I22" i="51"/>
  <c r="I23" i="51"/>
  <c r="I24" i="51"/>
  <c r="I25" i="51"/>
  <c r="I26" i="51"/>
  <c r="I27" i="51"/>
  <c r="I28" i="51"/>
  <c r="I29" i="51"/>
  <c r="I30" i="51"/>
  <c r="I31" i="51"/>
  <c r="I32" i="51"/>
  <c r="I33" i="51"/>
  <c r="I34" i="51"/>
  <c r="I5" i="51"/>
  <c r="N6" i="51" l="1"/>
  <c r="N7" i="51"/>
  <c r="N8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27" i="51"/>
  <c r="N28" i="51"/>
  <c r="N29" i="51"/>
  <c r="N30" i="51"/>
  <c r="N31" i="51"/>
  <c r="N32" i="51"/>
  <c r="N33" i="51"/>
  <c r="N34" i="51"/>
  <c r="N5" i="51"/>
  <c r="L2" i="36" s="1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R36" i="51"/>
  <c r="K36" i="51"/>
  <c r="S34" i="51"/>
  <c r="T34" i="51" s="1"/>
  <c r="Q34" i="51"/>
  <c r="O34" i="51"/>
  <c r="M34" i="51"/>
  <c r="L34" i="51"/>
  <c r="J34" i="51"/>
  <c r="G34" i="51"/>
  <c r="F34" i="51"/>
  <c r="H34" i="51" s="1"/>
  <c r="E34" i="51"/>
  <c r="Q33" i="51"/>
  <c r="S33" i="51" s="1"/>
  <c r="T33" i="51" s="1"/>
  <c r="M33" i="51"/>
  <c r="L33" i="51"/>
  <c r="O33" i="51" s="1"/>
  <c r="J33" i="51"/>
  <c r="G33" i="51"/>
  <c r="F33" i="51"/>
  <c r="E33" i="51"/>
  <c r="H33" i="51" s="1"/>
  <c r="Q32" i="51"/>
  <c r="S32" i="51" s="1"/>
  <c r="T32" i="51" s="1"/>
  <c r="M32" i="51"/>
  <c r="L32" i="51"/>
  <c r="O32" i="51" s="1"/>
  <c r="J32" i="51"/>
  <c r="G32" i="51"/>
  <c r="H32" i="51" s="1"/>
  <c r="F32" i="51"/>
  <c r="E32" i="51"/>
  <c r="T31" i="51"/>
  <c r="S31" i="51"/>
  <c r="Q31" i="51"/>
  <c r="M31" i="51"/>
  <c r="L31" i="51"/>
  <c r="O31" i="51" s="1"/>
  <c r="J31" i="51"/>
  <c r="G31" i="51"/>
  <c r="H31" i="51" s="1"/>
  <c r="F31" i="51"/>
  <c r="E31" i="51"/>
  <c r="T30" i="51"/>
  <c r="S30" i="51"/>
  <c r="Q30" i="51"/>
  <c r="M30" i="51"/>
  <c r="L30" i="51"/>
  <c r="O30" i="51" s="1"/>
  <c r="J30" i="51"/>
  <c r="G30" i="51"/>
  <c r="F30" i="51"/>
  <c r="E30" i="51"/>
  <c r="H30" i="51" s="1"/>
  <c r="U30" i="51" s="1"/>
  <c r="S29" i="51"/>
  <c r="T29" i="51" s="1"/>
  <c r="Q29" i="51"/>
  <c r="M29" i="51"/>
  <c r="L29" i="51"/>
  <c r="O29" i="51" s="1"/>
  <c r="J29" i="51"/>
  <c r="H29" i="51"/>
  <c r="G29" i="51"/>
  <c r="F29" i="51"/>
  <c r="E29" i="51"/>
  <c r="Q28" i="51"/>
  <c r="S28" i="51" s="1"/>
  <c r="T28" i="51" s="1"/>
  <c r="M28" i="51"/>
  <c r="L28" i="51"/>
  <c r="O28" i="51" s="1"/>
  <c r="J28" i="51"/>
  <c r="H28" i="51"/>
  <c r="U28" i="51" s="1"/>
  <c r="G28" i="51"/>
  <c r="F28" i="51"/>
  <c r="E28" i="51"/>
  <c r="T27" i="51"/>
  <c r="S27" i="51"/>
  <c r="Q27" i="51"/>
  <c r="O27" i="51"/>
  <c r="M27" i="51"/>
  <c r="L27" i="51"/>
  <c r="J27" i="51"/>
  <c r="G27" i="51"/>
  <c r="H27" i="51" s="1"/>
  <c r="U27" i="51" s="1"/>
  <c r="F27" i="51"/>
  <c r="E27" i="51"/>
  <c r="S26" i="51"/>
  <c r="T26" i="51" s="1"/>
  <c r="Q26" i="51"/>
  <c r="O26" i="51"/>
  <c r="M26" i="51"/>
  <c r="L26" i="51"/>
  <c r="J26" i="51"/>
  <c r="G26" i="51"/>
  <c r="F26" i="51"/>
  <c r="H26" i="51" s="1"/>
  <c r="E26" i="51"/>
  <c r="Q25" i="51"/>
  <c r="S25" i="51" s="1"/>
  <c r="T25" i="51" s="1"/>
  <c r="M25" i="51"/>
  <c r="L25" i="51"/>
  <c r="O25" i="51" s="1"/>
  <c r="J25" i="51"/>
  <c r="G25" i="51"/>
  <c r="F25" i="51"/>
  <c r="E25" i="51"/>
  <c r="H25" i="51" s="1"/>
  <c r="Q24" i="51"/>
  <c r="S24" i="51" s="1"/>
  <c r="T24" i="51" s="1"/>
  <c r="M24" i="51"/>
  <c r="L24" i="51"/>
  <c r="O24" i="51" s="1"/>
  <c r="J24" i="51"/>
  <c r="G24" i="51"/>
  <c r="H24" i="51" s="1"/>
  <c r="F24" i="51"/>
  <c r="E24" i="51"/>
  <c r="T23" i="51"/>
  <c r="S23" i="51"/>
  <c r="Q23" i="51"/>
  <c r="M23" i="51"/>
  <c r="L23" i="51"/>
  <c r="O23" i="51" s="1"/>
  <c r="J23" i="51"/>
  <c r="G23" i="51"/>
  <c r="H23" i="51" s="1"/>
  <c r="F23" i="51"/>
  <c r="E23" i="51"/>
  <c r="T22" i="51"/>
  <c r="S22" i="51"/>
  <c r="Q22" i="51"/>
  <c r="M22" i="51"/>
  <c r="L22" i="51"/>
  <c r="O22" i="51" s="1"/>
  <c r="J22" i="51"/>
  <c r="G22" i="51"/>
  <c r="F22" i="51"/>
  <c r="E22" i="51"/>
  <c r="H22" i="51" s="1"/>
  <c r="U22" i="51" s="1"/>
  <c r="S21" i="51"/>
  <c r="T21" i="51" s="1"/>
  <c r="Q21" i="51"/>
  <c r="M21" i="51"/>
  <c r="L21" i="51"/>
  <c r="O21" i="51" s="1"/>
  <c r="J21" i="51"/>
  <c r="U21" i="51"/>
  <c r="H21" i="51"/>
  <c r="G21" i="51"/>
  <c r="F21" i="51"/>
  <c r="E21" i="51"/>
  <c r="Q20" i="51"/>
  <c r="S20" i="51" s="1"/>
  <c r="T20" i="51" s="1"/>
  <c r="M20" i="51"/>
  <c r="L20" i="51"/>
  <c r="O20" i="51" s="1"/>
  <c r="J20" i="51"/>
  <c r="H20" i="51"/>
  <c r="U20" i="51" s="1"/>
  <c r="G20" i="51"/>
  <c r="F20" i="51"/>
  <c r="E20" i="51"/>
  <c r="Q19" i="51"/>
  <c r="S19" i="51" s="1"/>
  <c r="T19" i="51" s="1"/>
  <c r="O19" i="51"/>
  <c r="M19" i="51"/>
  <c r="L19" i="51"/>
  <c r="J19" i="51"/>
  <c r="G19" i="51"/>
  <c r="H19" i="51" s="1"/>
  <c r="U19" i="51" s="1"/>
  <c r="F19" i="51"/>
  <c r="E19" i="51"/>
  <c r="S18" i="51"/>
  <c r="T18" i="51" s="1"/>
  <c r="Q18" i="51"/>
  <c r="O18" i="51"/>
  <c r="M18" i="51"/>
  <c r="L18" i="51"/>
  <c r="J18" i="51"/>
  <c r="G18" i="51"/>
  <c r="H18" i="51" s="1"/>
  <c r="F18" i="51"/>
  <c r="E18" i="51"/>
  <c r="Q17" i="51"/>
  <c r="S17" i="51" s="1"/>
  <c r="T17" i="51" s="1"/>
  <c r="M17" i="51"/>
  <c r="L17" i="51"/>
  <c r="O17" i="51" s="1"/>
  <c r="J17" i="51"/>
  <c r="G17" i="51"/>
  <c r="F17" i="51"/>
  <c r="E17" i="51"/>
  <c r="H17" i="51" s="1"/>
  <c r="Q16" i="51"/>
  <c r="S16" i="51" s="1"/>
  <c r="T16" i="51" s="1"/>
  <c r="M16" i="51"/>
  <c r="L16" i="51"/>
  <c r="O16" i="51" s="1"/>
  <c r="J16" i="51"/>
  <c r="G16" i="51"/>
  <c r="H16" i="51" s="1"/>
  <c r="F16" i="51"/>
  <c r="E16" i="51"/>
  <c r="T15" i="51"/>
  <c r="S15" i="51"/>
  <c r="Q15" i="51"/>
  <c r="M15" i="51"/>
  <c r="L15" i="51"/>
  <c r="O15" i="51" s="1"/>
  <c r="J15" i="51"/>
  <c r="G15" i="51"/>
  <c r="H15" i="51" s="1"/>
  <c r="F15" i="51"/>
  <c r="E15" i="51"/>
  <c r="T14" i="51"/>
  <c r="S14" i="51"/>
  <c r="Q14" i="51"/>
  <c r="M14" i="51"/>
  <c r="L14" i="51"/>
  <c r="O14" i="51" s="1"/>
  <c r="J14" i="51"/>
  <c r="G14" i="51"/>
  <c r="F14" i="51"/>
  <c r="E14" i="51"/>
  <c r="H14" i="51" s="1"/>
  <c r="U14" i="51" s="1"/>
  <c r="S13" i="51"/>
  <c r="T13" i="51" s="1"/>
  <c r="Q13" i="51"/>
  <c r="M13" i="51"/>
  <c r="L13" i="51"/>
  <c r="O13" i="51" s="1"/>
  <c r="J13" i="51"/>
  <c r="H13" i="51"/>
  <c r="G13" i="51"/>
  <c r="F13" i="51"/>
  <c r="E13" i="51"/>
  <c r="Q12" i="51"/>
  <c r="S12" i="51" s="1"/>
  <c r="T12" i="51" s="1"/>
  <c r="M12" i="51"/>
  <c r="L12" i="51"/>
  <c r="O12" i="51" s="1"/>
  <c r="J12" i="51"/>
  <c r="H12" i="51"/>
  <c r="U12" i="51" s="1"/>
  <c r="G12" i="51"/>
  <c r="F12" i="51"/>
  <c r="E12" i="51"/>
  <c r="Q11" i="51"/>
  <c r="S11" i="51" s="1"/>
  <c r="T11" i="51" s="1"/>
  <c r="O11" i="51"/>
  <c r="M11" i="51"/>
  <c r="L11" i="51"/>
  <c r="J11" i="51"/>
  <c r="G11" i="51"/>
  <c r="H11" i="51" s="1"/>
  <c r="U11" i="51" s="1"/>
  <c r="F11" i="51"/>
  <c r="E11" i="51"/>
  <c r="S10" i="51"/>
  <c r="T10" i="51" s="1"/>
  <c r="Q10" i="51"/>
  <c r="O10" i="51"/>
  <c r="M10" i="51"/>
  <c r="L10" i="51"/>
  <c r="J10" i="51"/>
  <c r="G10" i="51"/>
  <c r="H10" i="51" s="1"/>
  <c r="F10" i="51"/>
  <c r="E10" i="51"/>
  <c r="Q9" i="51"/>
  <c r="S9" i="51" s="1"/>
  <c r="T9" i="51" s="1"/>
  <c r="M9" i="51"/>
  <c r="L9" i="51"/>
  <c r="O9" i="51" s="1"/>
  <c r="J9" i="51"/>
  <c r="G9" i="51"/>
  <c r="F9" i="51"/>
  <c r="E9" i="51"/>
  <c r="H9" i="51" s="1"/>
  <c r="Q8" i="51"/>
  <c r="S8" i="51" s="1"/>
  <c r="T8" i="51" s="1"/>
  <c r="M8" i="51"/>
  <c r="L8" i="51"/>
  <c r="O8" i="51" s="1"/>
  <c r="J8" i="51"/>
  <c r="G8" i="51"/>
  <c r="H8" i="51" s="1"/>
  <c r="F8" i="51"/>
  <c r="E8" i="51"/>
  <c r="T7" i="51"/>
  <c r="S7" i="51"/>
  <c r="Q7" i="51"/>
  <c r="M7" i="51"/>
  <c r="L7" i="51"/>
  <c r="O7" i="51" s="1"/>
  <c r="J7" i="51"/>
  <c r="G7" i="51"/>
  <c r="H7" i="51" s="1"/>
  <c r="U7" i="51" s="1"/>
  <c r="F7" i="51"/>
  <c r="E7" i="51"/>
  <c r="T6" i="51"/>
  <c r="S6" i="51"/>
  <c r="Q6" i="51"/>
  <c r="M6" i="51"/>
  <c r="L6" i="51"/>
  <c r="O6" i="51" s="1"/>
  <c r="J6" i="51"/>
  <c r="G6" i="51"/>
  <c r="F6" i="51"/>
  <c r="E6" i="51"/>
  <c r="H6" i="51" s="1"/>
  <c r="U6" i="51" s="1"/>
  <c r="S5" i="51"/>
  <c r="Q5" i="51"/>
  <c r="Q36" i="51" s="1"/>
  <c r="M5" i="51"/>
  <c r="M36" i="51" s="1"/>
  <c r="L5" i="51"/>
  <c r="L36" i="51" s="1"/>
  <c r="J5" i="51"/>
  <c r="J36" i="51" s="1"/>
  <c r="H5" i="51"/>
  <c r="G5" i="51"/>
  <c r="F5" i="51"/>
  <c r="F36" i="51" s="1"/>
  <c r="E5" i="51"/>
  <c r="E36" i="51" s="1"/>
  <c r="H36" i="51" l="1"/>
  <c r="I36" i="51"/>
  <c r="U9" i="51"/>
  <c r="U13" i="51"/>
  <c r="U17" i="51"/>
  <c r="U25" i="51"/>
  <c r="U26" i="51"/>
  <c r="U10" i="51"/>
  <c r="U15" i="51"/>
  <c r="U18" i="51"/>
  <c r="U23" i="51"/>
  <c r="U29" i="51"/>
  <c r="U33" i="51"/>
  <c r="U8" i="51"/>
  <c r="U16" i="51"/>
  <c r="U24" i="51"/>
  <c r="U34" i="51"/>
  <c r="U31" i="51"/>
  <c r="S36" i="51"/>
  <c r="U32" i="51"/>
  <c r="G36" i="51"/>
  <c r="T5" i="51"/>
  <c r="T36" i="51" s="1"/>
  <c r="N36" i="51"/>
  <c r="O5" i="51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P36" i="51" l="1"/>
  <c r="O36" i="51"/>
  <c r="O2" i="36"/>
  <c r="O3" i="36"/>
  <c r="F6" i="36"/>
  <c r="O5" i="36"/>
  <c r="O4" i="36"/>
  <c r="U5" i="51" l="1"/>
  <c r="U36" i="51" s="1"/>
  <c r="F7" i="36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</calcChain>
</file>

<file path=xl/sharedStrings.xml><?xml version="1.0" encoding="utf-8"?>
<sst xmlns="http://schemas.openxmlformats.org/spreadsheetml/2006/main" count="111" uniqueCount="72">
  <si>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</si>
  <si>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</si>
  <si>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</si>
  <si>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</si>
  <si>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</si>
  <si>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</si>
  <si>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</si>
  <si>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</si>
  <si>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</si>
  <si>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</si>
  <si>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</si>
  <si>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</si>
  <si>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</si>
  <si>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</si>
  <si>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</si>
  <si>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</si>
  <si>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</si>
  <si>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</si>
  <si>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</si>
  <si>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</si>
  <si>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</si>
  <si>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</si>
  <si>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</si>
  <si>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</si>
  <si>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</si>
  <si>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</si>
  <si>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</si>
  <si>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</si>
  <si>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</si>
  <si>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</si>
  <si>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</si>
  <si>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</si>
  <si>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</si>
  <si>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</si>
  <si>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</si>
  <si>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</si>
  <si>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</si>
  <si>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</si>
  <si>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</si>
  <si>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</si>
  <si>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</si>
  <si>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</si>
  <si>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</si>
  <si>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</si>
  <si>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t>22/28</t>
    <phoneticPr fontId="2" type="noConversion"/>
  </si>
  <si>
    <t>22/30</t>
    <phoneticPr fontId="2" type="noConversion"/>
  </si>
  <si>
    <t>16/22</t>
    <phoneticPr fontId="2" type="noConversion"/>
  </si>
  <si>
    <t>19/29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</si>
  <si>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</si>
  <si>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13/24</t>
    <phoneticPr fontId="2" type="noConversion"/>
  </si>
  <si>
    <t>13/26</t>
    <phoneticPr fontId="2" type="noConversion"/>
  </si>
  <si>
    <t>15/27</t>
    <phoneticPr fontId="2" type="noConversion"/>
  </si>
  <si>
    <t>17/29</t>
    <phoneticPr fontId="2" type="noConversion"/>
  </si>
  <si>
    <t>19/30</t>
    <phoneticPr fontId="2" type="noConversion"/>
  </si>
  <si>
    <t>18/30</t>
    <phoneticPr fontId="2" type="noConversion"/>
  </si>
  <si>
    <t>17/31</t>
    <phoneticPr fontId="2" type="noConversion"/>
  </si>
  <si>
    <t>19/31</t>
    <phoneticPr fontId="2" type="noConversion"/>
  </si>
  <si>
    <t>18/31</t>
    <phoneticPr fontId="2" type="noConversion"/>
  </si>
  <si>
    <t>20/30</t>
    <phoneticPr fontId="2" type="noConversion"/>
  </si>
  <si>
    <t>17/27</t>
    <phoneticPr fontId="2" type="noConversion"/>
  </si>
  <si>
    <t>18/29</t>
    <phoneticPr fontId="2" type="noConversion"/>
  </si>
  <si>
    <t>21/26</t>
    <phoneticPr fontId="2" type="noConversion"/>
  </si>
  <si>
    <t>18/26</t>
    <phoneticPr fontId="2" type="noConversion"/>
  </si>
  <si>
    <t>17/23</t>
    <phoneticPr fontId="2" type="noConversion"/>
  </si>
  <si>
    <t>15/29</t>
    <phoneticPr fontId="2" type="noConversion"/>
  </si>
  <si>
    <t>26/33</t>
    <phoneticPr fontId="2" type="noConversion"/>
  </si>
  <si>
    <t>24/32</t>
    <phoneticPr fontId="2" type="noConversion"/>
  </si>
  <si>
    <t>24/31</t>
    <phoneticPr fontId="2" type="noConversion"/>
  </si>
  <si>
    <t>23/27</t>
    <phoneticPr fontId="2" type="noConversion"/>
  </si>
  <si>
    <t>General Gas               总天然气               (RMB3.76/m³)</t>
  </si>
  <si>
    <t>General electricity总电量       (RMB0.7044/Kwh)</t>
  </si>
  <si>
    <r>
      <t xml:space="preserve">UTILITIES CONSUMPTION REPORT(2022-4)    </t>
    </r>
    <r>
      <rPr>
        <b/>
        <sz val="10"/>
        <rFont val="仿宋"/>
        <family val="3"/>
        <charset val="134"/>
      </rPr>
      <t>电费从2022年4月1号开始改为0.7044/Kwh，天然气从2022年4月15号开始改为4.36/m³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</si>
</sst>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8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5" borderId="29" xfId="0" applyNumberFormat="1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24999.999999997726</v>
          </cell>
        </row>
        <row r="8">
          <cell r="F8">
            <v>22699.999999999818</v>
          </cell>
        </row>
        <row r="9">
          <cell r="F9">
            <v>25300.000000002001</v>
          </cell>
        </row>
        <row r="10">
          <cell r="F10">
            <v>26700.000000000728</v>
          </cell>
        </row>
        <row r="11">
          <cell r="F11">
            <v>27100.000000000364</v>
          </cell>
        </row>
        <row r="12">
          <cell r="F12">
            <v>26800.000000000637</v>
          </cell>
        </row>
        <row r="13">
          <cell r="F13">
            <v>27500</v>
          </cell>
        </row>
        <row r="14">
          <cell r="F14">
            <v>27699.999999995271</v>
          </cell>
        </row>
        <row r="15">
          <cell r="F15">
            <v>27200.000000002547</v>
          </cell>
        </row>
        <row r="16">
          <cell r="F16">
            <v>25799.999999999272</v>
          </cell>
        </row>
        <row r="17">
          <cell r="F17">
            <v>26100.000000001273</v>
          </cell>
        </row>
        <row r="18">
          <cell r="F18">
            <v>26199.999999996635</v>
          </cell>
        </row>
        <row r="19">
          <cell r="F19">
            <v>27200.000000002547</v>
          </cell>
        </row>
        <row r="20">
          <cell r="F20">
            <v>25200.000000002092</v>
          </cell>
        </row>
        <row r="21">
          <cell r="F21">
            <v>25299.999999997453</v>
          </cell>
        </row>
        <row r="22">
          <cell r="F22">
            <v>24199.999999998454</v>
          </cell>
        </row>
        <row r="23">
          <cell r="F23">
            <v>22500</v>
          </cell>
        </row>
        <row r="24">
          <cell r="F24">
            <v>22600.000000004457</v>
          </cell>
        </row>
        <row r="25">
          <cell r="F25">
            <v>22199.999999995725</v>
          </cell>
        </row>
        <row r="26">
          <cell r="F26">
            <v>21800.00000000291</v>
          </cell>
        </row>
        <row r="27">
          <cell r="F27">
            <v>23799.999999998818</v>
          </cell>
        </row>
        <row r="28">
          <cell r="F28">
            <v>24400.000000000546</v>
          </cell>
        </row>
        <row r="29">
          <cell r="F29">
            <v>25099.999999997635</v>
          </cell>
        </row>
        <row r="30">
          <cell r="F30">
            <v>27600.000000002183</v>
          </cell>
        </row>
        <row r="31">
          <cell r="F31">
            <v>28099.999999997181</v>
          </cell>
        </row>
        <row r="32">
          <cell r="F32">
            <v>29300.000000000637</v>
          </cell>
        </row>
        <row r="33">
          <cell r="F33">
            <v>31299.999999998818</v>
          </cell>
        </row>
        <row r="34">
          <cell r="F34">
            <v>32000.000000002728</v>
          </cell>
        </row>
        <row r="35">
          <cell r="F35">
            <v>32899.999999997366</v>
          </cell>
        </row>
        <row r="36">
          <cell r="F36">
            <v>32000.000000002728</v>
          </cell>
        </row>
      </sheetData>
      <sheetData sheetId="2"/>
      <sheetData sheetId="3">
        <row r="7">
          <cell r="C7">
            <v>374</v>
          </cell>
        </row>
        <row r="8">
          <cell r="C8">
            <v>414</v>
          </cell>
        </row>
        <row r="9">
          <cell r="C9">
            <v>365</v>
          </cell>
        </row>
        <row r="10">
          <cell r="C10">
            <v>592</v>
          </cell>
        </row>
        <row r="11">
          <cell r="C11">
            <v>331</v>
          </cell>
        </row>
        <row r="12">
          <cell r="C12">
            <v>377</v>
          </cell>
        </row>
        <row r="13">
          <cell r="C13">
            <v>424</v>
          </cell>
        </row>
        <row r="14">
          <cell r="C14">
            <v>372</v>
          </cell>
        </row>
        <row r="15">
          <cell r="C15">
            <v>425</v>
          </cell>
        </row>
        <row r="16">
          <cell r="C16">
            <v>254</v>
          </cell>
        </row>
        <row r="17">
          <cell r="C17">
            <v>322</v>
          </cell>
        </row>
        <row r="18">
          <cell r="C18">
            <v>455</v>
          </cell>
        </row>
        <row r="19">
          <cell r="C19">
            <v>222</v>
          </cell>
        </row>
        <row r="20">
          <cell r="C20">
            <v>200</v>
          </cell>
        </row>
        <row r="21">
          <cell r="C21">
            <v>338</v>
          </cell>
        </row>
        <row r="22">
          <cell r="C22">
            <v>205</v>
          </cell>
        </row>
        <row r="23">
          <cell r="C23">
            <v>151</v>
          </cell>
        </row>
        <row r="24">
          <cell r="C24">
            <v>269</v>
          </cell>
        </row>
        <row r="25">
          <cell r="C25">
            <v>378</v>
          </cell>
        </row>
        <row r="26">
          <cell r="C26">
            <v>299</v>
          </cell>
        </row>
        <row r="27">
          <cell r="C27">
            <v>176</v>
          </cell>
        </row>
        <row r="28">
          <cell r="C28">
            <v>201</v>
          </cell>
        </row>
        <row r="29">
          <cell r="C29">
            <v>437</v>
          </cell>
        </row>
        <row r="30">
          <cell r="C30">
            <v>103</v>
          </cell>
        </row>
        <row r="31">
          <cell r="C31">
            <v>359</v>
          </cell>
        </row>
        <row r="32">
          <cell r="C32">
            <v>352</v>
          </cell>
        </row>
        <row r="33">
          <cell r="C33">
            <v>472</v>
          </cell>
        </row>
        <row r="34">
          <cell r="C34">
            <v>382</v>
          </cell>
        </row>
        <row r="35">
          <cell r="C35">
            <v>498</v>
          </cell>
        </row>
        <row r="36">
          <cell r="C36">
            <v>569</v>
          </cell>
        </row>
      </sheetData>
      <sheetData sheetId="4"/>
      <sheetData sheetId="5">
        <row r="7">
          <cell r="C7">
            <v>921</v>
          </cell>
          <cell r="H7">
            <v>604</v>
          </cell>
        </row>
        <row r="8">
          <cell r="C8">
            <v>868</v>
          </cell>
          <cell r="H8">
            <v>672</v>
          </cell>
        </row>
        <row r="9">
          <cell r="C9">
            <v>812</v>
          </cell>
          <cell r="H9">
            <v>755</v>
          </cell>
        </row>
        <row r="10">
          <cell r="C10">
            <v>976</v>
          </cell>
          <cell r="H10">
            <v>746</v>
          </cell>
        </row>
        <row r="11">
          <cell r="C11">
            <v>915</v>
          </cell>
          <cell r="H11">
            <v>653</v>
          </cell>
        </row>
        <row r="12">
          <cell r="C12">
            <v>945</v>
          </cell>
          <cell r="H12">
            <v>333</v>
          </cell>
        </row>
        <row r="13">
          <cell r="C13">
            <v>935</v>
          </cell>
          <cell r="H13">
            <v>477</v>
          </cell>
        </row>
        <row r="14">
          <cell r="C14">
            <v>877</v>
          </cell>
          <cell r="H14">
            <v>342</v>
          </cell>
        </row>
        <row r="15">
          <cell r="C15">
            <v>858</v>
          </cell>
          <cell r="H15">
            <v>340</v>
          </cell>
        </row>
        <row r="16">
          <cell r="C16">
            <v>869</v>
          </cell>
          <cell r="H16">
            <v>302</v>
          </cell>
        </row>
        <row r="17">
          <cell r="C17">
            <v>793</v>
          </cell>
          <cell r="H17">
            <v>0</v>
          </cell>
        </row>
        <row r="18">
          <cell r="C18">
            <v>894</v>
          </cell>
          <cell r="H18">
            <v>0</v>
          </cell>
        </row>
        <row r="19">
          <cell r="C19">
            <v>504</v>
          </cell>
          <cell r="H19">
            <v>0</v>
          </cell>
        </row>
        <row r="20">
          <cell r="C20">
            <v>330</v>
          </cell>
          <cell r="H20">
            <v>0</v>
          </cell>
        </row>
        <row r="21">
          <cell r="C21">
            <v>758</v>
          </cell>
          <cell r="H21">
            <v>0</v>
          </cell>
        </row>
        <row r="22">
          <cell r="C22">
            <v>455</v>
          </cell>
          <cell r="H22">
            <v>0</v>
          </cell>
        </row>
        <row r="23">
          <cell r="C23">
            <v>142</v>
          </cell>
          <cell r="H23">
            <v>0</v>
          </cell>
        </row>
        <row r="24">
          <cell r="C24">
            <v>638</v>
          </cell>
          <cell r="H24">
            <v>0</v>
          </cell>
        </row>
        <row r="25">
          <cell r="C25">
            <v>667</v>
          </cell>
          <cell r="H25">
            <v>0</v>
          </cell>
        </row>
        <row r="26">
          <cell r="C26">
            <v>446</v>
          </cell>
          <cell r="H26">
            <v>0</v>
          </cell>
        </row>
        <row r="27">
          <cell r="C27">
            <v>329</v>
          </cell>
          <cell r="H27">
            <v>0</v>
          </cell>
        </row>
        <row r="28">
          <cell r="C28">
            <v>735</v>
          </cell>
          <cell r="H28">
            <v>0</v>
          </cell>
        </row>
        <row r="29">
          <cell r="C29">
            <v>406</v>
          </cell>
          <cell r="H29">
            <v>0</v>
          </cell>
        </row>
        <row r="30">
          <cell r="C30">
            <v>0</v>
          </cell>
          <cell r="H30">
            <v>0</v>
          </cell>
        </row>
        <row r="31">
          <cell r="C31">
            <v>595</v>
          </cell>
          <cell r="H31">
            <v>0</v>
          </cell>
        </row>
        <row r="32">
          <cell r="C32">
            <v>795</v>
          </cell>
          <cell r="H32">
            <v>0</v>
          </cell>
        </row>
        <row r="33">
          <cell r="C33">
            <v>740</v>
          </cell>
          <cell r="H33">
            <v>0</v>
          </cell>
        </row>
        <row r="34">
          <cell r="C34">
            <v>803</v>
          </cell>
          <cell r="H34">
            <v>0</v>
          </cell>
        </row>
        <row r="35">
          <cell r="C35">
            <v>826</v>
          </cell>
          <cell r="H35">
            <v>0</v>
          </cell>
        </row>
        <row r="36">
          <cell r="C36">
            <v>957</v>
          </cell>
          <cell r="H36">
            <v>0</v>
          </cell>
        </row>
      </sheetData>
      <sheetData sheetId="6"/>
      <sheetData sheetId="7">
        <row r="7">
          <cell r="BH7">
            <v>429</v>
          </cell>
        </row>
        <row r="8">
          <cell r="BH8">
            <v>419</v>
          </cell>
        </row>
        <row r="9">
          <cell r="BH9">
            <v>427</v>
          </cell>
        </row>
        <row r="10">
          <cell r="BH10">
            <v>438</v>
          </cell>
        </row>
        <row r="11">
          <cell r="BH11">
            <v>439</v>
          </cell>
        </row>
        <row r="12">
          <cell r="BH12">
            <v>372</v>
          </cell>
        </row>
        <row r="13">
          <cell r="BH13">
            <v>427</v>
          </cell>
        </row>
        <row r="14">
          <cell r="BH14">
            <v>435</v>
          </cell>
        </row>
        <row r="15">
          <cell r="BH15">
            <v>390</v>
          </cell>
        </row>
        <row r="16">
          <cell r="BH16">
            <v>365</v>
          </cell>
        </row>
        <row r="17">
          <cell r="BH17">
            <v>325</v>
          </cell>
        </row>
        <row r="18">
          <cell r="BH18">
            <v>345</v>
          </cell>
        </row>
        <row r="19">
          <cell r="BH19">
            <v>352</v>
          </cell>
        </row>
        <row r="20">
          <cell r="BH20">
            <v>325</v>
          </cell>
        </row>
        <row r="21">
          <cell r="BH21">
            <v>329</v>
          </cell>
        </row>
        <row r="22">
          <cell r="BH22">
            <v>390</v>
          </cell>
        </row>
        <row r="23">
          <cell r="BH23">
            <v>344</v>
          </cell>
        </row>
        <row r="24">
          <cell r="BH24">
            <v>363</v>
          </cell>
        </row>
        <row r="25">
          <cell r="BH25">
            <v>369</v>
          </cell>
        </row>
        <row r="26">
          <cell r="BH26">
            <v>318</v>
          </cell>
        </row>
        <row r="27">
          <cell r="BH27">
            <v>328</v>
          </cell>
        </row>
        <row r="28">
          <cell r="BH28">
            <v>347</v>
          </cell>
        </row>
        <row r="29">
          <cell r="BH29">
            <v>383</v>
          </cell>
        </row>
        <row r="30">
          <cell r="BH30">
            <v>449</v>
          </cell>
        </row>
        <row r="31">
          <cell r="BH31">
            <v>381</v>
          </cell>
        </row>
        <row r="32">
          <cell r="BH32">
            <v>409</v>
          </cell>
        </row>
        <row r="33">
          <cell r="BH33">
            <v>441</v>
          </cell>
        </row>
        <row r="34">
          <cell r="BH34">
            <v>476</v>
          </cell>
        </row>
        <row r="35">
          <cell r="BH35">
            <v>585</v>
          </cell>
        </row>
        <row r="36">
          <cell r="BH36">
            <v>478</v>
          </cell>
        </row>
      </sheetData>
      <sheetData sheetId="8">
        <row r="4">
          <cell r="V4">
            <v>4428</v>
          </cell>
        </row>
        <row r="5">
          <cell r="V5">
            <v>2076</v>
          </cell>
        </row>
        <row r="6">
          <cell r="V6">
            <v>3925</v>
          </cell>
        </row>
        <row r="7">
          <cell r="V7">
            <v>4511</v>
          </cell>
        </row>
        <row r="8">
          <cell r="V8">
            <v>4827</v>
          </cell>
        </row>
        <row r="9">
          <cell r="V9">
            <v>5054</v>
          </cell>
        </row>
        <row r="10">
          <cell r="V10">
            <v>5493</v>
          </cell>
        </row>
        <row r="11">
          <cell r="V11">
            <v>5425</v>
          </cell>
        </row>
        <row r="12">
          <cell r="V12">
            <v>5106</v>
          </cell>
        </row>
        <row r="13">
          <cell r="V13">
            <v>5353</v>
          </cell>
        </row>
        <row r="14">
          <cell r="V14">
            <v>6152</v>
          </cell>
        </row>
        <row r="15">
          <cell r="V15">
            <v>7477</v>
          </cell>
        </row>
        <row r="16">
          <cell r="V16">
            <v>6157</v>
          </cell>
        </row>
        <row r="17">
          <cell r="V17">
            <v>6214</v>
          </cell>
        </row>
        <row r="18">
          <cell r="V18">
            <v>5225</v>
          </cell>
        </row>
        <row r="19">
          <cell r="V19">
            <v>4678</v>
          </cell>
        </row>
        <row r="20">
          <cell r="V20">
            <v>3654</v>
          </cell>
        </row>
        <row r="21">
          <cell r="V21">
            <v>3460</v>
          </cell>
        </row>
        <row r="22">
          <cell r="V22">
            <v>3125</v>
          </cell>
        </row>
        <row r="23">
          <cell r="V23">
            <v>3365</v>
          </cell>
        </row>
        <row r="24">
          <cell r="V24">
            <v>4506</v>
          </cell>
        </row>
        <row r="25">
          <cell r="V25">
            <v>5296</v>
          </cell>
        </row>
        <row r="26">
          <cell r="V26">
            <v>5967</v>
          </cell>
        </row>
        <row r="27">
          <cell r="V27">
            <v>7316</v>
          </cell>
        </row>
        <row r="28">
          <cell r="V28">
            <v>7323</v>
          </cell>
        </row>
        <row r="29">
          <cell r="V29">
            <v>7924</v>
          </cell>
        </row>
        <row r="30">
          <cell r="V30">
            <v>9634</v>
          </cell>
        </row>
        <row r="31">
          <cell r="V31">
            <v>9986</v>
          </cell>
        </row>
        <row r="32">
          <cell r="V32">
            <v>9712</v>
          </cell>
        </row>
        <row r="33">
          <cell r="V33">
            <v>8897</v>
          </cell>
        </row>
      </sheetData>
      <sheetData sheetId="9">
        <row r="4">
          <cell r="L4">
            <v>12</v>
          </cell>
        </row>
        <row r="5">
          <cell r="L5">
            <v>6</v>
          </cell>
        </row>
        <row r="6">
          <cell r="L6">
            <v>8</v>
          </cell>
        </row>
        <row r="7">
          <cell r="L7">
            <v>8</v>
          </cell>
        </row>
        <row r="8">
          <cell r="L8">
            <v>7</v>
          </cell>
        </row>
        <row r="9">
          <cell r="L9">
            <v>11</v>
          </cell>
        </row>
        <row r="10">
          <cell r="L10">
            <v>10</v>
          </cell>
        </row>
        <row r="11">
          <cell r="L11">
            <v>13</v>
          </cell>
        </row>
        <row r="12">
          <cell r="L12">
            <v>9</v>
          </cell>
        </row>
        <row r="13">
          <cell r="L13">
            <v>9</v>
          </cell>
        </row>
        <row r="14">
          <cell r="L14">
            <v>11</v>
          </cell>
        </row>
        <row r="15">
          <cell r="L15">
            <v>14</v>
          </cell>
        </row>
        <row r="16">
          <cell r="L16">
            <v>12</v>
          </cell>
        </row>
        <row r="17">
          <cell r="L17">
            <v>12</v>
          </cell>
        </row>
        <row r="18">
          <cell r="L18">
            <v>11</v>
          </cell>
        </row>
        <row r="19">
          <cell r="L19">
            <v>11</v>
          </cell>
        </row>
        <row r="20">
          <cell r="L20">
            <v>9</v>
          </cell>
        </row>
        <row r="21">
          <cell r="L21">
            <v>10</v>
          </cell>
        </row>
        <row r="22">
          <cell r="L22">
            <v>9</v>
          </cell>
        </row>
        <row r="23">
          <cell r="L23">
            <v>9</v>
          </cell>
        </row>
        <row r="24">
          <cell r="L24">
            <v>10</v>
          </cell>
        </row>
        <row r="25">
          <cell r="L25">
            <v>12</v>
          </cell>
        </row>
        <row r="26">
          <cell r="L26">
            <v>13</v>
          </cell>
        </row>
        <row r="27">
          <cell r="L27">
            <v>12</v>
          </cell>
        </row>
        <row r="28">
          <cell r="L28">
            <v>16</v>
          </cell>
        </row>
        <row r="29">
          <cell r="L29">
            <v>20</v>
          </cell>
        </row>
        <row r="30">
          <cell r="L30">
            <v>16</v>
          </cell>
        </row>
        <row r="31">
          <cell r="L31">
            <v>18</v>
          </cell>
        </row>
        <row r="32">
          <cell r="L32">
            <v>22</v>
          </cell>
        </row>
        <row r="33">
          <cell r="L33">
            <v>18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E1" zoomScale="85" zoomScaleNormal="85" workbookViewId="0">
      <selection activeCell="Q10" sqref="Q10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4</v>
      </c>
      <c r="D2" s="10">
        <v>2022</v>
      </c>
      <c r="E2" s="11">
        <f>总计!O5</f>
        <v>33385.99999999773</v>
      </c>
      <c r="F2" s="16">
        <v>0.70440000000000003</v>
      </c>
      <c r="G2" s="11">
        <f>总计!H5</f>
        <v>1954</v>
      </c>
      <c r="H2" s="16">
        <v>3.76</v>
      </c>
      <c r="I2" s="11">
        <f>总计!S5</f>
        <v>409</v>
      </c>
      <c r="J2" s="16">
        <v>4.8600000000000003</v>
      </c>
      <c r="K2" s="72">
        <f>总计!M5*1000</f>
        <v>12000</v>
      </c>
      <c r="L2" s="16">
        <f>总计!N5/TOTAL!K2</f>
        <v>0.41699999999999998</v>
      </c>
      <c r="M2" s="11">
        <f>(总计!D5/100)*344</f>
        <v>118.98960000000001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4</v>
      </c>
      <c r="D3" s="10">
        <v>2022</v>
      </c>
      <c r="E3" s="11">
        <f>总计!O6</f>
        <v>31085.999999999818</v>
      </c>
      <c r="F3" s="16">
        <f>F2</f>
        <v>0.70440000000000003</v>
      </c>
      <c r="G3" s="11">
        <f>总计!H6</f>
        <v>1959</v>
      </c>
      <c r="H3" s="16">
        <f>H2</f>
        <v>3.76</v>
      </c>
      <c r="I3" s="11">
        <f>总计!S6</f>
        <v>449</v>
      </c>
      <c r="J3" s="16">
        <f>J2</f>
        <v>4.8600000000000003</v>
      </c>
      <c r="K3" s="72">
        <f>总计!M6*1000</f>
        <v>6000</v>
      </c>
      <c r="L3" s="16">
        <f>总计!N6/TOTAL!K3</f>
        <v>0.41699999999999998</v>
      </c>
      <c r="M3" s="11">
        <f>(总计!D6/100)*344</f>
        <v>165.01680000000002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1" si="0">B3+1</f>
        <v>3</v>
      </c>
      <c r="C4" s="9">
        <v>4</v>
      </c>
      <c r="D4" s="10">
        <v>2022</v>
      </c>
      <c r="E4" s="11">
        <f>总计!O7</f>
        <v>33686.000000002001</v>
      </c>
      <c r="F4" s="16">
        <f t="shared" ref="F4:F31" si="1">F3</f>
        <v>0.70440000000000003</v>
      </c>
      <c r="G4" s="11">
        <f>总计!H7</f>
        <v>1994</v>
      </c>
      <c r="H4" s="16">
        <f t="shared" ref="H4:H31" si="2">H3</f>
        <v>3.76</v>
      </c>
      <c r="I4" s="11">
        <f>总计!S7</f>
        <v>400</v>
      </c>
      <c r="J4" s="16">
        <f t="shared" ref="J4:J31" si="3">J3</f>
        <v>4.8600000000000003</v>
      </c>
      <c r="K4" s="72">
        <f>总计!M7*1000</f>
        <v>8000</v>
      </c>
      <c r="L4" s="16">
        <f>总计!N7/TOTAL!K4</f>
        <v>0.41699999999999998</v>
      </c>
      <c r="M4" s="11">
        <f>(总计!D7/100)*344</f>
        <v>243.0016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4</v>
      </c>
      <c r="D5" s="10">
        <v>2022</v>
      </c>
      <c r="E5" s="11">
        <f>总计!O8</f>
        <v>35086.000000000728</v>
      </c>
      <c r="F5" s="16">
        <f t="shared" si="1"/>
        <v>0.70440000000000003</v>
      </c>
      <c r="G5" s="11">
        <f>总计!H8</f>
        <v>2160</v>
      </c>
      <c r="H5" s="16">
        <f t="shared" si="2"/>
        <v>3.76</v>
      </c>
      <c r="I5" s="11">
        <f>总计!S8</f>
        <v>627</v>
      </c>
      <c r="J5" s="16">
        <f t="shared" si="3"/>
        <v>4.8600000000000003</v>
      </c>
      <c r="K5" s="72">
        <f>总计!M8*1000</f>
        <v>8000</v>
      </c>
      <c r="L5" s="16">
        <f>总计!N8/TOTAL!K5</f>
        <v>0.41699999999999998</v>
      </c>
      <c r="M5" s="11">
        <f>(总计!D8/100)*344</f>
        <v>245.99440000000001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4</v>
      </c>
      <c r="D6" s="10">
        <v>2022</v>
      </c>
      <c r="E6" s="11">
        <f>总计!O9</f>
        <v>35486.000000000364</v>
      </c>
      <c r="F6" s="16">
        <f t="shared" si="1"/>
        <v>0.70440000000000003</v>
      </c>
      <c r="G6" s="11">
        <f>总计!H9</f>
        <v>2007</v>
      </c>
      <c r="H6" s="16">
        <f t="shared" si="2"/>
        <v>3.76</v>
      </c>
      <c r="I6" s="11">
        <f>总计!S9</f>
        <v>366</v>
      </c>
      <c r="J6" s="16">
        <f t="shared" si="3"/>
        <v>4.8600000000000003</v>
      </c>
      <c r="K6" s="72">
        <f>总计!M9*1000</f>
        <v>7000</v>
      </c>
      <c r="L6" s="16">
        <f>总计!N9/TOTAL!K6</f>
        <v>0.41699999999999998</v>
      </c>
      <c r="M6" s="11">
        <f>(总计!D9/100)*344</f>
        <v>75.989599999999996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4</v>
      </c>
      <c r="D7" s="10">
        <v>2022</v>
      </c>
      <c r="E7" s="11">
        <f>总计!O10</f>
        <v>35186.00000000064</v>
      </c>
      <c r="F7" s="16">
        <f t="shared" si="1"/>
        <v>0.70440000000000003</v>
      </c>
      <c r="G7" s="11">
        <f>总计!H10</f>
        <v>1650</v>
      </c>
      <c r="H7" s="16">
        <f t="shared" si="2"/>
        <v>3.76</v>
      </c>
      <c r="I7" s="11">
        <f>总计!S10</f>
        <v>412</v>
      </c>
      <c r="J7" s="16">
        <f t="shared" si="3"/>
        <v>4.8600000000000003</v>
      </c>
      <c r="K7" s="72">
        <f>总计!M10*1000</f>
        <v>11000</v>
      </c>
      <c r="L7" s="16">
        <f>总计!N10/TOTAL!K7</f>
        <v>0.41699999999999998</v>
      </c>
      <c r="M7" s="11">
        <f>(总计!D10/100)*344</f>
        <v>109.01360000000001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4</v>
      </c>
      <c r="D8" s="10">
        <v>2022</v>
      </c>
      <c r="E8" s="11">
        <f>总计!O11</f>
        <v>35886</v>
      </c>
      <c r="F8" s="16">
        <f t="shared" si="1"/>
        <v>0.70440000000000003</v>
      </c>
      <c r="G8" s="11">
        <f>总计!H11</f>
        <v>1839</v>
      </c>
      <c r="H8" s="16">
        <f t="shared" si="2"/>
        <v>3.76</v>
      </c>
      <c r="I8" s="11">
        <f>总计!S11</f>
        <v>459</v>
      </c>
      <c r="J8" s="16">
        <f t="shared" si="3"/>
        <v>4.8600000000000003</v>
      </c>
      <c r="K8" s="72">
        <f>总计!M11*1000</f>
        <v>10000</v>
      </c>
      <c r="L8" s="16">
        <f>总计!N11/TOTAL!K8</f>
        <v>0.41699999999999998</v>
      </c>
      <c r="M8" s="11">
        <f>(总计!D11/100)*344</f>
        <v>138.0128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4</v>
      </c>
      <c r="D9" s="10">
        <v>2022</v>
      </c>
      <c r="E9" s="11">
        <f>总计!O12</f>
        <v>36085.999999995271</v>
      </c>
      <c r="F9" s="16">
        <f t="shared" si="1"/>
        <v>0.70440000000000003</v>
      </c>
      <c r="G9" s="11">
        <f>总计!H12</f>
        <v>1654</v>
      </c>
      <c r="H9" s="16">
        <f t="shared" si="2"/>
        <v>3.76</v>
      </c>
      <c r="I9" s="11">
        <f>总计!S12</f>
        <v>407</v>
      </c>
      <c r="J9" s="16">
        <f t="shared" si="3"/>
        <v>4.8600000000000003</v>
      </c>
      <c r="K9" s="72">
        <f>总计!M12*1000</f>
        <v>13000</v>
      </c>
      <c r="L9" s="16">
        <f>总计!N12/TOTAL!K9</f>
        <v>0.41699999999999998</v>
      </c>
      <c r="M9" s="11">
        <f>(总计!D12/100)*344</f>
        <v>127.0048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4</v>
      </c>
      <c r="D10" s="10">
        <v>2022</v>
      </c>
      <c r="E10" s="11">
        <f>总计!O13</f>
        <v>35586.000000002547</v>
      </c>
      <c r="F10" s="16">
        <f t="shared" si="1"/>
        <v>0.70440000000000003</v>
      </c>
      <c r="G10" s="11">
        <f>总计!H13</f>
        <v>1588</v>
      </c>
      <c r="H10" s="16">
        <f t="shared" si="2"/>
        <v>3.76</v>
      </c>
      <c r="I10" s="11">
        <f>总计!S13</f>
        <v>460</v>
      </c>
      <c r="J10" s="16">
        <f t="shared" si="3"/>
        <v>4.8600000000000003</v>
      </c>
      <c r="K10" s="72">
        <f>总计!M13*1000</f>
        <v>9000</v>
      </c>
      <c r="L10" s="16">
        <f>总计!N13/TOTAL!K10</f>
        <v>0.41699999999999998</v>
      </c>
      <c r="M10" s="11">
        <f>(总计!D13/100)*344</f>
        <v>111.00880000000001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4</v>
      </c>
      <c r="D11" s="10">
        <v>2022</v>
      </c>
      <c r="E11" s="11">
        <f>总计!O14</f>
        <v>34185.999999999272</v>
      </c>
      <c r="F11" s="16">
        <f t="shared" si="1"/>
        <v>0.70440000000000003</v>
      </c>
      <c r="G11" s="11">
        <f>总计!H14</f>
        <v>1536</v>
      </c>
      <c r="H11" s="16">
        <f t="shared" si="2"/>
        <v>3.76</v>
      </c>
      <c r="I11" s="11">
        <f>总计!S14</f>
        <v>289</v>
      </c>
      <c r="J11" s="16">
        <f t="shared" si="3"/>
        <v>4.8600000000000003</v>
      </c>
      <c r="K11" s="72">
        <f>总计!M14*1000</f>
        <v>9000</v>
      </c>
      <c r="L11" s="16">
        <f>总计!N14/TOTAL!K11</f>
        <v>0.41699999999999998</v>
      </c>
      <c r="M11" s="11">
        <f>(总计!D14/100)*344</f>
        <v>68.008799999999994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4</v>
      </c>
      <c r="D12" s="10">
        <v>2022</v>
      </c>
      <c r="E12" s="11">
        <f>总计!O15</f>
        <v>34486.000000001273</v>
      </c>
      <c r="F12" s="16">
        <f t="shared" si="1"/>
        <v>0.70440000000000003</v>
      </c>
      <c r="G12" s="11">
        <f>总计!H15</f>
        <v>1118</v>
      </c>
      <c r="H12" s="16">
        <f t="shared" si="2"/>
        <v>3.76</v>
      </c>
      <c r="I12" s="11">
        <f>总计!S15</f>
        <v>357</v>
      </c>
      <c r="J12" s="16">
        <f t="shared" si="3"/>
        <v>4.8600000000000003</v>
      </c>
      <c r="K12" s="72">
        <f>总计!M15*1000</f>
        <v>11000</v>
      </c>
      <c r="L12" s="16">
        <f>总计!N15/TOTAL!K12</f>
        <v>0.41699999999999998</v>
      </c>
      <c r="M12" s="11">
        <f>(总计!D15/100)*344</f>
        <v>55.005600000000008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4</v>
      </c>
      <c r="D13" s="10">
        <v>2022</v>
      </c>
      <c r="E13" s="11">
        <f>总计!O16</f>
        <v>34585.999999996639</v>
      </c>
      <c r="F13" s="16">
        <f t="shared" si="1"/>
        <v>0.70440000000000003</v>
      </c>
      <c r="G13" s="11">
        <f>总计!H16</f>
        <v>1239</v>
      </c>
      <c r="H13" s="16">
        <f t="shared" si="2"/>
        <v>3.76</v>
      </c>
      <c r="I13" s="11">
        <f>总计!S16</f>
        <v>490</v>
      </c>
      <c r="J13" s="16">
        <f t="shared" si="3"/>
        <v>4.8600000000000003</v>
      </c>
      <c r="K13" s="72">
        <f>总计!M16*1000</f>
        <v>14000</v>
      </c>
      <c r="L13" s="16">
        <f>总计!N16/TOTAL!K13</f>
        <v>0.41699999999999998</v>
      </c>
      <c r="M13" s="11">
        <f>(总计!D16/100)*344</f>
        <v>47.987999999999992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4</v>
      </c>
      <c r="D14" s="10">
        <v>2022</v>
      </c>
      <c r="E14" s="11">
        <f>总计!O17</f>
        <v>35586.000000002547</v>
      </c>
      <c r="F14" s="16">
        <f t="shared" si="1"/>
        <v>0.70440000000000003</v>
      </c>
      <c r="G14" s="11">
        <f>总计!H17</f>
        <v>856</v>
      </c>
      <c r="H14" s="16">
        <f t="shared" si="2"/>
        <v>3.76</v>
      </c>
      <c r="I14" s="11">
        <f>总计!S17</f>
        <v>257</v>
      </c>
      <c r="J14" s="16">
        <f t="shared" si="3"/>
        <v>4.8600000000000003</v>
      </c>
      <c r="K14" s="72">
        <f>总计!M17*1000</f>
        <v>12000</v>
      </c>
      <c r="L14" s="16">
        <f>总计!N17/TOTAL!K14</f>
        <v>0.41699999999999998</v>
      </c>
      <c r="M14" s="11">
        <f>(总计!D17/100)*344</f>
        <v>46.990400000000001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4</v>
      </c>
      <c r="D15" s="10">
        <v>2022</v>
      </c>
      <c r="E15" s="11">
        <f>总计!O18</f>
        <v>33586.000000002095</v>
      </c>
      <c r="F15" s="16">
        <f t="shared" si="1"/>
        <v>0.70440000000000003</v>
      </c>
      <c r="G15" s="11">
        <f>总计!H18</f>
        <v>655</v>
      </c>
      <c r="H15" s="16">
        <f t="shared" si="2"/>
        <v>3.76</v>
      </c>
      <c r="I15" s="11">
        <f>总计!S18</f>
        <v>235</v>
      </c>
      <c r="J15" s="16">
        <f t="shared" si="3"/>
        <v>4.8600000000000003</v>
      </c>
      <c r="K15" s="72">
        <f>总计!M18*1000</f>
        <v>12000</v>
      </c>
      <c r="L15" s="16">
        <f>总计!N18/TOTAL!K15</f>
        <v>0.41699999999999998</v>
      </c>
      <c r="M15" s="11">
        <f>(总计!D18/100)*344</f>
        <v>51.015199999999993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4</v>
      </c>
      <c r="D16" s="10">
        <v>2022</v>
      </c>
      <c r="E16" s="11">
        <f>总计!O19</f>
        <v>33685.999999997453</v>
      </c>
      <c r="F16" s="16">
        <f t="shared" si="1"/>
        <v>0.70440000000000003</v>
      </c>
      <c r="G16" s="11">
        <f>总计!H19</f>
        <v>1087</v>
      </c>
      <c r="H16" s="16">
        <f t="shared" si="2"/>
        <v>3.76</v>
      </c>
      <c r="I16" s="11">
        <f>总计!S19</f>
        <v>373</v>
      </c>
      <c r="J16" s="16">
        <f t="shared" si="3"/>
        <v>4.8600000000000003</v>
      </c>
      <c r="K16" s="72">
        <f>总计!M19*1000</f>
        <v>11000</v>
      </c>
      <c r="L16" s="16">
        <f>总计!N19/TOTAL!K16</f>
        <v>0.41699999999999998</v>
      </c>
      <c r="M16" s="11">
        <f>(总计!D19/100)*344</f>
        <v>38.115200000000002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4</v>
      </c>
      <c r="D17" s="10">
        <v>2022</v>
      </c>
      <c r="E17" s="11">
        <f>总计!O20</f>
        <v>32585.999999998454</v>
      </c>
      <c r="F17" s="16">
        <f t="shared" si="1"/>
        <v>0.70440000000000003</v>
      </c>
      <c r="G17" s="11">
        <f>总计!H20</f>
        <v>845</v>
      </c>
      <c r="H17" s="16">
        <f t="shared" si="2"/>
        <v>3.76</v>
      </c>
      <c r="I17" s="11">
        <f>总计!S20</f>
        <v>240</v>
      </c>
      <c r="J17" s="16">
        <f t="shared" si="3"/>
        <v>4.8600000000000003</v>
      </c>
      <c r="K17" s="72">
        <f>总计!M20*1000</f>
        <v>11000</v>
      </c>
      <c r="L17" s="16">
        <f>总计!N20/TOTAL!K17</f>
        <v>0.41699999999999998</v>
      </c>
      <c r="M17" s="11">
        <f>(总计!D20/100)*344</f>
        <v>38.012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4</v>
      </c>
      <c r="D18" s="10">
        <v>2022</v>
      </c>
      <c r="E18" s="11">
        <f>总计!O21</f>
        <v>30886</v>
      </c>
      <c r="F18" s="16">
        <f t="shared" si="1"/>
        <v>0.70440000000000003</v>
      </c>
      <c r="G18" s="11">
        <f>总计!H21</f>
        <v>486</v>
      </c>
      <c r="H18" s="16">
        <f t="shared" si="2"/>
        <v>3.76</v>
      </c>
      <c r="I18" s="11">
        <f>总计!S21</f>
        <v>186</v>
      </c>
      <c r="J18" s="16">
        <f t="shared" si="3"/>
        <v>4.8600000000000003</v>
      </c>
      <c r="K18" s="72">
        <f>总计!M21*1000</f>
        <v>9000</v>
      </c>
      <c r="L18" s="16">
        <f>总计!N21/TOTAL!K18</f>
        <v>0.41699999999999998</v>
      </c>
      <c r="M18" s="11">
        <f>(总计!D21/100)*344</f>
        <v>33.987200000000001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4</v>
      </c>
      <c r="D19" s="10">
        <v>2022</v>
      </c>
      <c r="E19" s="11">
        <f>总计!O22</f>
        <v>30986.000000004457</v>
      </c>
      <c r="F19" s="16">
        <f t="shared" si="1"/>
        <v>0.70440000000000003</v>
      </c>
      <c r="G19" s="11">
        <f>总计!H22</f>
        <v>1001</v>
      </c>
      <c r="H19" s="16">
        <f t="shared" si="2"/>
        <v>3.76</v>
      </c>
      <c r="I19" s="11">
        <f>总计!S22</f>
        <v>304</v>
      </c>
      <c r="J19" s="16">
        <f t="shared" si="3"/>
        <v>4.8600000000000003</v>
      </c>
      <c r="K19" s="72">
        <f>总计!M22*1000</f>
        <v>10000</v>
      </c>
      <c r="L19" s="16">
        <f>总计!N22/TOTAL!K19</f>
        <v>0.41699999999999998</v>
      </c>
      <c r="M19" s="11">
        <f>(总计!D22/100)*344</f>
        <v>43.997599999999998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4</v>
      </c>
      <c r="D20" s="10">
        <v>2022</v>
      </c>
      <c r="E20" s="11">
        <f>总计!O23</f>
        <v>30585.999999995725</v>
      </c>
      <c r="F20" s="16">
        <f t="shared" si="1"/>
        <v>0.70440000000000003</v>
      </c>
      <c r="G20" s="11">
        <f>总计!H23</f>
        <v>1036</v>
      </c>
      <c r="H20" s="16">
        <f t="shared" si="2"/>
        <v>3.76</v>
      </c>
      <c r="I20" s="11">
        <f>总计!S23</f>
        <v>413</v>
      </c>
      <c r="J20" s="16">
        <f t="shared" si="3"/>
        <v>4.8600000000000003</v>
      </c>
      <c r="K20" s="72">
        <f>总计!M23*1000</f>
        <v>9000</v>
      </c>
      <c r="L20" s="16">
        <f>总计!N23/TOTAL!K20</f>
        <v>0.41699999999999998</v>
      </c>
      <c r="M20" s="11">
        <f>(总计!D23/100)*344</f>
        <v>40.007200000000005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4</v>
      </c>
      <c r="D21" s="10">
        <v>2022</v>
      </c>
      <c r="E21" s="11">
        <f>总计!O24</f>
        <v>30186.00000000291</v>
      </c>
      <c r="F21" s="16">
        <f t="shared" si="1"/>
        <v>0.70440000000000003</v>
      </c>
      <c r="G21" s="11">
        <f>总计!H24</f>
        <v>764</v>
      </c>
      <c r="H21" s="16">
        <f t="shared" si="2"/>
        <v>3.76</v>
      </c>
      <c r="I21" s="11">
        <f>总计!S24</f>
        <v>334</v>
      </c>
      <c r="J21" s="16">
        <f t="shared" si="3"/>
        <v>4.8600000000000003</v>
      </c>
      <c r="K21" s="72">
        <f>总计!M24*1000</f>
        <v>9000</v>
      </c>
      <c r="L21" s="16">
        <f>总计!N24/TOTAL!K21</f>
        <v>0.41699999999999998</v>
      </c>
      <c r="M21" s="11">
        <f>(总计!D24/100)*344</f>
        <v>37.014400000000002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4</v>
      </c>
      <c r="D22" s="10">
        <v>2022</v>
      </c>
      <c r="E22" s="11">
        <f>总计!O25</f>
        <v>32185.999999998818</v>
      </c>
      <c r="F22" s="16">
        <f t="shared" si="1"/>
        <v>0.70440000000000003</v>
      </c>
      <c r="G22" s="11">
        <f>总计!H25</f>
        <v>657</v>
      </c>
      <c r="H22" s="16">
        <f t="shared" si="2"/>
        <v>3.76</v>
      </c>
      <c r="I22" s="11">
        <f>总计!S25</f>
        <v>211</v>
      </c>
      <c r="J22" s="16">
        <f t="shared" si="3"/>
        <v>4.8600000000000003</v>
      </c>
      <c r="K22" s="72">
        <f>总计!M25*1000</f>
        <v>10000</v>
      </c>
      <c r="L22" s="16">
        <f>总计!N25/TOTAL!K22</f>
        <v>0.41699999999999998</v>
      </c>
      <c r="M22" s="11">
        <f>(总计!D25/100)*344</f>
        <v>43.997599999999998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4</v>
      </c>
      <c r="D23" s="10">
        <v>2022</v>
      </c>
      <c r="E23" s="11">
        <f>总计!O26</f>
        <v>32786.000000000546</v>
      </c>
      <c r="F23" s="16">
        <f t="shared" si="1"/>
        <v>0.70440000000000003</v>
      </c>
      <c r="G23" s="11">
        <f>总计!H26</f>
        <v>1082</v>
      </c>
      <c r="H23" s="16">
        <f t="shared" si="2"/>
        <v>3.76</v>
      </c>
      <c r="I23" s="11">
        <f>总计!S26</f>
        <v>236</v>
      </c>
      <c r="J23" s="16">
        <f t="shared" si="3"/>
        <v>4.8600000000000003</v>
      </c>
      <c r="K23" s="72">
        <f>总计!M26*1000</f>
        <v>12000</v>
      </c>
      <c r="L23" s="16">
        <f>总计!N26/TOTAL!K23</f>
        <v>0.41699999999999998</v>
      </c>
      <c r="M23" s="11">
        <f>(总计!D26/100)*344</f>
        <v>54.008000000000003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4</v>
      </c>
      <c r="D24" s="10">
        <v>2022</v>
      </c>
      <c r="E24" s="11">
        <f>总计!O27</f>
        <v>33485.999999997635</v>
      </c>
      <c r="F24" s="16">
        <f t="shared" si="1"/>
        <v>0.70440000000000003</v>
      </c>
      <c r="G24" s="11">
        <f>总计!H27</f>
        <v>789</v>
      </c>
      <c r="H24" s="16">
        <f t="shared" si="2"/>
        <v>3.76</v>
      </c>
      <c r="I24" s="11">
        <f>总计!S27</f>
        <v>472</v>
      </c>
      <c r="J24" s="16">
        <f t="shared" si="3"/>
        <v>4.8600000000000003</v>
      </c>
      <c r="K24" s="72">
        <f>总计!M27*1000</f>
        <v>13000</v>
      </c>
      <c r="L24" s="16">
        <f>总计!N27/TOTAL!K24</f>
        <v>0.41699999999999998</v>
      </c>
      <c r="M24" s="11">
        <f>(总计!D27/100)*344</f>
        <v>97.007999999999996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4</v>
      </c>
      <c r="D25" s="10">
        <v>2022</v>
      </c>
      <c r="E25" s="11">
        <f>总计!O28</f>
        <v>35986.000000002183</v>
      </c>
      <c r="F25" s="16">
        <f t="shared" si="1"/>
        <v>0.70440000000000003</v>
      </c>
      <c r="G25" s="11">
        <f>总计!H28</f>
        <v>449</v>
      </c>
      <c r="H25" s="16">
        <f t="shared" si="2"/>
        <v>3.76</v>
      </c>
      <c r="I25" s="11">
        <f>总计!S28</f>
        <v>138</v>
      </c>
      <c r="J25" s="16">
        <f t="shared" si="3"/>
        <v>4.8600000000000003</v>
      </c>
      <c r="K25" s="72">
        <f>总计!M28*1000</f>
        <v>12000</v>
      </c>
      <c r="L25" s="16">
        <f>总计!N28/TOTAL!K25</f>
        <v>0.41699999999999998</v>
      </c>
      <c r="M25" s="11">
        <f>(总计!D28/100)*344</f>
        <v>82.009600000000006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4</v>
      </c>
      <c r="D26" s="10">
        <v>2022</v>
      </c>
      <c r="E26" s="11">
        <f>总计!O29</f>
        <v>36485.999999997177</v>
      </c>
      <c r="F26" s="16">
        <f t="shared" si="1"/>
        <v>0.70440000000000003</v>
      </c>
      <c r="G26" s="11">
        <f>总计!H29</f>
        <v>976</v>
      </c>
      <c r="H26" s="16">
        <f t="shared" si="2"/>
        <v>3.76</v>
      </c>
      <c r="I26" s="11">
        <f>总计!S29</f>
        <v>394</v>
      </c>
      <c r="J26" s="16">
        <f t="shared" si="3"/>
        <v>4.8600000000000003</v>
      </c>
      <c r="K26" s="72">
        <f>总计!M29*1000</f>
        <v>16000</v>
      </c>
      <c r="L26" s="16">
        <f>总计!N29/TOTAL!K26</f>
        <v>0.41699999999999998</v>
      </c>
      <c r="M26" s="11">
        <f>(总计!D29/100)*344</f>
        <v>86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4</v>
      </c>
      <c r="D27" s="10">
        <v>2022</v>
      </c>
      <c r="E27" s="11">
        <f>总计!O30</f>
        <v>37686.00000000064</v>
      </c>
      <c r="F27" s="16">
        <f t="shared" si="1"/>
        <v>0.70440000000000003</v>
      </c>
      <c r="G27" s="11">
        <f>总计!H30</f>
        <v>1204</v>
      </c>
      <c r="H27" s="16">
        <f t="shared" si="2"/>
        <v>3.76</v>
      </c>
      <c r="I27" s="11">
        <f>总计!S30</f>
        <v>387</v>
      </c>
      <c r="J27" s="16">
        <f t="shared" si="3"/>
        <v>4.8600000000000003</v>
      </c>
      <c r="K27" s="72">
        <f>总计!M30*1000</f>
        <v>20000</v>
      </c>
      <c r="L27" s="16">
        <f>总计!N30/TOTAL!K27</f>
        <v>0.41699999999999998</v>
      </c>
      <c r="M27" s="11">
        <f>(总计!D30/100)*344</f>
        <v>120.98480000000001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4</v>
      </c>
      <c r="D28" s="10">
        <v>2022</v>
      </c>
      <c r="E28" s="11">
        <f>总计!O31</f>
        <v>39685.999999998821</v>
      </c>
      <c r="F28" s="16">
        <f t="shared" si="1"/>
        <v>0.70440000000000003</v>
      </c>
      <c r="G28" s="11">
        <f>总计!H31</f>
        <v>1181</v>
      </c>
      <c r="H28" s="16">
        <f t="shared" si="2"/>
        <v>3.76</v>
      </c>
      <c r="I28" s="11">
        <f>总计!S31</f>
        <v>507</v>
      </c>
      <c r="J28" s="16">
        <f t="shared" si="3"/>
        <v>4.8600000000000003</v>
      </c>
      <c r="K28" s="72">
        <f>总计!M31*1000</f>
        <v>16000</v>
      </c>
      <c r="L28" s="16">
        <f>总计!N31/TOTAL!K28</f>
        <v>0.41699999999999998</v>
      </c>
      <c r="M28" s="11">
        <f>(总计!D31/100)*344</f>
        <v>133.988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4</v>
      </c>
      <c r="D29" s="10">
        <v>2022</v>
      </c>
      <c r="E29" s="11">
        <f>总计!O32</f>
        <v>40386.000000002728</v>
      </c>
      <c r="F29" s="16">
        <f t="shared" si="1"/>
        <v>0.70440000000000003</v>
      </c>
      <c r="G29" s="11">
        <f>总计!H32</f>
        <v>1279</v>
      </c>
      <c r="H29" s="16">
        <f t="shared" si="2"/>
        <v>3.76</v>
      </c>
      <c r="I29" s="11">
        <f>总计!S32</f>
        <v>417</v>
      </c>
      <c r="J29" s="16">
        <f t="shared" si="3"/>
        <v>4.8600000000000003</v>
      </c>
      <c r="K29" s="72">
        <f>总计!M32*1000</f>
        <v>18000</v>
      </c>
      <c r="L29" s="16">
        <f>总计!N32/TOTAL!K29</f>
        <v>0.41699999999999998</v>
      </c>
      <c r="M29" s="11">
        <f>(总计!D32/100)*344</f>
        <v>130.99519999999998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4</v>
      </c>
      <c r="D30" s="10">
        <v>2022</v>
      </c>
      <c r="E30" s="11">
        <f>总计!O33</f>
        <v>41285.999999997366</v>
      </c>
      <c r="F30" s="16">
        <f t="shared" si="1"/>
        <v>0.70440000000000003</v>
      </c>
      <c r="G30" s="11">
        <f>总计!H33</f>
        <v>1411</v>
      </c>
      <c r="H30" s="16">
        <f t="shared" si="2"/>
        <v>3.76</v>
      </c>
      <c r="I30" s="11">
        <f>总计!S33</f>
        <v>533</v>
      </c>
      <c r="J30" s="16">
        <f t="shared" si="3"/>
        <v>4.8600000000000003</v>
      </c>
      <c r="K30" s="72">
        <f>总计!M33*1000</f>
        <v>22000</v>
      </c>
      <c r="L30" s="16">
        <f>总计!N33/TOTAL!K30</f>
        <v>0.41699999999999998</v>
      </c>
      <c r="M30" s="11">
        <f>(总计!D33/100)*344</f>
        <v>111.00880000000001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4</v>
      </c>
      <c r="D31" s="10">
        <v>2022</v>
      </c>
      <c r="E31" s="11">
        <f>总计!O34</f>
        <v>40386.000000002728</v>
      </c>
      <c r="F31" s="16">
        <f t="shared" si="1"/>
        <v>0.70440000000000003</v>
      </c>
      <c r="G31" s="11">
        <f>总计!H34</f>
        <v>1435</v>
      </c>
      <c r="H31" s="16">
        <f t="shared" si="2"/>
        <v>3.76</v>
      </c>
      <c r="I31" s="11">
        <f>总计!S34</f>
        <v>604</v>
      </c>
      <c r="J31" s="16">
        <f t="shared" si="3"/>
        <v>4.8600000000000003</v>
      </c>
      <c r="K31" s="72">
        <f>总计!M34*1000</f>
        <v>18000</v>
      </c>
      <c r="L31" s="16">
        <f>总计!N34/TOTAL!K31</f>
        <v>0.41699999999999998</v>
      </c>
      <c r="M31" s="11">
        <f>(总计!D34/100)*344</f>
        <v>160.99199999999999</v>
      </c>
      <c r="N31" s="11">
        <v>0</v>
      </c>
      <c r="O3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15" zoomScale="89" zoomScaleNormal="89" workbookViewId="0">
      <selection activeCell="N37" sqref="N37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53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6" width="11" style="20" customWidth="1"/>
    <col min="17" max="17" width="8.625" style="20" customWidth="1"/>
    <col min="18" max="19" width="8.625" style="54" customWidth="1"/>
    <col min="20" max="20" width="10.625" style="54" customWidth="1"/>
    <col min="21" max="21" width="16.625" style="52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8.62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8.62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8.62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8.62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8.62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8.62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8.62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8.62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8.62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8.62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8.62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8.62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8.62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8.62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8.62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8.62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8.62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8.62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8.62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8.62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8.62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8.62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8.62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8.62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8.62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8.62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8.62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8.62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8.62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8.62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8.62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8.62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8.62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8.62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8.62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8.62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8.62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8.62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8.62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8.62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8.62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8.62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8.62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8.62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8.62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8.62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8.62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8.62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8.62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8.62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8.62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8.62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8.62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8.62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8.62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8.62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8.62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8.62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8.62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8.62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8.62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8.62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8.62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98" t="s">
        <v>71</v>
      </c>
      <c r="B1" s="98"/>
      <c r="C1" s="98"/>
      <c r="D1" s="98"/>
      <c r="E1" s="98"/>
      <c r="F1" s="99"/>
      <c r="G1" s="98"/>
      <c r="H1" s="98"/>
      <c r="I1" s="98"/>
      <c r="J1" s="98"/>
      <c r="K1" s="98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1" s="21" customFormat="1" ht="21.6" customHeight="1" x14ac:dyDescent="0.15">
      <c r="A2" s="101" t="s">
        <v>16</v>
      </c>
      <c r="B2" s="104" t="s">
        <v>26</v>
      </c>
      <c r="C2" s="107" t="s">
        <v>17</v>
      </c>
      <c r="D2" s="101" t="s">
        <v>18</v>
      </c>
      <c r="E2" s="110" t="s">
        <v>27</v>
      </c>
      <c r="F2" s="112" t="s">
        <v>28</v>
      </c>
      <c r="G2" s="101" t="s">
        <v>29</v>
      </c>
      <c r="H2" s="112" t="s">
        <v>69</v>
      </c>
      <c r="I2" s="115"/>
      <c r="J2" s="88" t="s">
        <v>30</v>
      </c>
      <c r="K2" s="88" t="s">
        <v>43</v>
      </c>
      <c r="L2" s="90" t="s">
        <v>41</v>
      </c>
      <c r="M2" s="92" t="s">
        <v>48</v>
      </c>
      <c r="N2" s="93"/>
      <c r="O2" s="77" t="s">
        <v>70</v>
      </c>
      <c r="P2" s="96"/>
      <c r="Q2" s="77" t="s">
        <v>31</v>
      </c>
      <c r="R2" s="88" t="s">
        <v>42</v>
      </c>
      <c r="S2" s="77" t="s">
        <v>32</v>
      </c>
      <c r="T2" s="78"/>
      <c r="U2" s="81" t="s">
        <v>19</v>
      </c>
    </row>
    <row r="3" spans="1:21" s="22" customFormat="1" ht="21.6" customHeight="1" thickBot="1" x14ac:dyDescent="0.2">
      <c r="A3" s="102"/>
      <c r="B3" s="105"/>
      <c r="C3" s="108"/>
      <c r="D3" s="102"/>
      <c r="E3" s="111"/>
      <c r="F3" s="113"/>
      <c r="G3" s="114"/>
      <c r="H3" s="116"/>
      <c r="I3" s="117"/>
      <c r="J3" s="89"/>
      <c r="K3" s="89"/>
      <c r="L3" s="91"/>
      <c r="M3" s="94"/>
      <c r="N3" s="95"/>
      <c r="O3" s="79"/>
      <c r="P3" s="97"/>
      <c r="Q3" s="79"/>
      <c r="R3" s="89"/>
      <c r="S3" s="79"/>
      <c r="T3" s="80"/>
      <c r="U3" s="82"/>
    </row>
    <row r="4" spans="1:21" s="21" customFormat="1" ht="21.6" customHeight="1" thickBot="1" x14ac:dyDescent="0.2">
      <c r="A4" s="103"/>
      <c r="B4" s="106"/>
      <c r="C4" s="109"/>
      <c r="D4" s="103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83"/>
    </row>
    <row r="5" spans="1:21" s="38" customFormat="1" ht="21.6" customHeight="1" thickBot="1" x14ac:dyDescent="0.2">
      <c r="A5" s="28">
        <v>1</v>
      </c>
      <c r="B5" s="29" t="s">
        <v>49</v>
      </c>
      <c r="C5" s="30">
        <v>6</v>
      </c>
      <c r="D5" s="31">
        <v>34.590000000000003</v>
      </c>
      <c r="E5" s="32">
        <f>SUM([2]厨房燃气!BH7)</f>
        <v>429</v>
      </c>
      <c r="F5" s="33">
        <f>SUM('[2]B1 &amp; 102F 锅炉房'!C7)</f>
        <v>921</v>
      </c>
      <c r="G5" s="41">
        <f>SUM('[2]B1 &amp; 102F 锅炉房'!H7)</f>
        <v>604</v>
      </c>
      <c r="H5" s="33">
        <f t="shared" ref="H5:H20" si="0">SUM(G5+F5+E5)</f>
        <v>1954</v>
      </c>
      <c r="I5" s="34">
        <f>IF(H5&gt;0,H5*3.76,0)</f>
        <v>7347.04</v>
      </c>
      <c r="J5" s="32">
        <f>SUM([2]主塔楼空调用电量!V4)</f>
        <v>4428</v>
      </c>
      <c r="K5" s="41">
        <v>8386</v>
      </c>
      <c r="L5" s="33">
        <f>SUM('[2]68F 高压F13&amp;F30'!F7)</f>
        <v>24999.999999997726</v>
      </c>
      <c r="M5" s="33">
        <f>SUM([2]裙楼空调用量!L4)</f>
        <v>12</v>
      </c>
      <c r="N5" s="73">
        <f>IF(M5*417&gt;0,M5*417,0)</f>
        <v>5004</v>
      </c>
      <c r="O5" s="74">
        <f>K5+L5</f>
        <v>33385.99999999773</v>
      </c>
      <c r="P5" s="35">
        <f>O5*0.7044</f>
        <v>23517.098399998402</v>
      </c>
      <c r="Q5" s="32">
        <f>SUM('[2]B4 水表'!C7)</f>
        <v>374</v>
      </c>
      <c r="R5" s="33">
        <v>35</v>
      </c>
      <c r="S5" s="33">
        <f>Q5+R5</f>
        <v>409</v>
      </c>
      <c r="T5" s="36">
        <f>S5*4.86</f>
        <v>1987.7400000000002</v>
      </c>
      <c r="U5" s="37">
        <f>SUM(I5+N5+P5+T5)</f>
        <v>37855.878399998401</v>
      </c>
    </row>
    <row r="6" spans="1:21" s="38" customFormat="1" ht="21.6" customHeight="1" thickBot="1" x14ac:dyDescent="0.2">
      <c r="A6" s="39">
        <v>2</v>
      </c>
      <c r="B6" s="29" t="s">
        <v>50</v>
      </c>
      <c r="C6" s="30">
        <v>5</v>
      </c>
      <c r="D6" s="31">
        <v>47.97</v>
      </c>
      <c r="E6" s="40">
        <f>SUM([2]厨房燃气!BH8)</f>
        <v>419</v>
      </c>
      <c r="F6" s="41">
        <f>SUM('[2]B1 &amp; 102F 锅炉房'!C8)</f>
        <v>868</v>
      </c>
      <c r="G6" s="41">
        <f>SUM('[2]B1 &amp; 102F 锅炉房'!H8)</f>
        <v>672</v>
      </c>
      <c r="H6" s="41">
        <f t="shared" si="0"/>
        <v>1959</v>
      </c>
      <c r="I6" s="34">
        <f t="shared" ref="I6:I34" si="1">IF(H6&gt;0,H6*3.76,0)</f>
        <v>7365.8399999999992</v>
      </c>
      <c r="J6" s="40">
        <f>SUM([2]主塔楼空调用电量!V5)</f>
        <v>2076</v>
      </c>
      <c r="K6" s="41">
        <v>8386</v>
      </c>
      <c r="L6" s="41">
        <f>SUM('[2]68F 高压F13&amp;F30'!F8)</f>
        <v>22699.999999999818</v>
      </c>
      <c r="M6" s="41">
        <f>SUM([2]裙楼空调用量!L5)</f>
        <v>6</v>
      </c>
      <c r="N6" s="73">
        <f t="shared" ref="N6:N34" si="2">IF(M6*417&gt;0,M6*417,0)</f>
        <v>2502</v>
      </c>
      <c r="O6" s="68">
        <f t="shared" ref="O6:O34" si="3">K6+L6</f>
        <v>31085.999999999818</v>
      </c>
      <c r="P6" s="35">
        <f t="shared" ref="P6:P34" si="4">O6*0.7044</f>
        <v>21896.978399999873</v>
      </c>
      <c r="Q6" s="40">
        <f>SUM('[2]B4 水表'!C8)</f>
        <v>414</v>
      </c>
      <c r="R6" s="41">
        <v>35</v>
      </c>
      <c r="S6" s="41">
        <f t="shared" ref="S6:S33" si="5">Q6+R6</f>
        <v>449</v>
      </c>
      <c r="T6" s="42">
        <f t="shared" ref="T6:T33" si="6">S6*4.86</f>
        <v>2182.1400000000003</v>
      </c>
      <c r="U6" s="37">
        <f t="shared" ref="U6:U34" si="7">SUM(I6+N6+P6+T6)</f>
        <v>33946.958399999872</v>
      </c>
    </row>
    <row r="7" spans="1:21" s="38" customFormat="1" ht="21.6" customHeight="1" thickBot="1" x14ac:dyDescent="0.2">
      <c r="A7" s="39">
        <v>3</v>
      </c>
      <c r="B7" s="29" t="s">
        <v>50</v>
      </c>
      <c r="C7" s="30">
        <v>0</v>
      </c>
      <c r="D7" s="31">
        <v>70.64</v>
      </c>
      <c r="E7" s="40">
        <f>SUM([2]厨房燃气!BH9)</f>
        <v>427</v>
      </c>
      <c r="F7" s="41">
        <f>SUM('[2]B1 &amp; 102F 锅炉房'!C9)</f>
        <v>812</v>
      </c>
      <c r="G7" s="41">
        <f>SUM('[2]B1 &amp; 102F 锅炉房'!H9)</f>
        <v>755</v>
      </c>
      <c r="H7" s="41">
        <f t="shared" si="0"/>
        <v>1994</v>
      </c>
      <c r="I7" s="34">
        <f t="shared" si="1"/>
        <v>7497.44</v>
      </c>
      <c r="J7" s="40">
        <f>SUM([2]主塔楼空调用电量!V6)</f>
        <v>3925</v>
      </c>
      <c r="K7" s="41">
        <v>8386</v>
      </c>
      <c r="L7" s="41">
        <f>SUM('[2]68F 高压F13&amp;F30'!F9)</f>
        <v>25300.000000002001</v>
      </c>
      <c r="M7" s="41">
        <f>SUM([2]裙楼空调用量!L6)</f>
        <v>8</v>
      </c>
      <c r="N7" s="73">
        <f t="shared" si="2"/>
        <v>3336</v>
      </c>
      <c r="O7" s="68">
        <f t="shared" si="3"/>
        <v>33686.000000002001</v>
      </c>
      <c r="P7" s="35">
        <f t="shared" si="4"/>
        <v>23728.41840000141</v>
      </c>
      <c r="Q7" s="40">
        <f>SUM('[2]B4 水表'!C9)</f>
        <v>365</v>
      </c>
      <c r="R7" s="41">
        <v>35</v>
      </c>
      <c r="S7" s="41">
        <f t="shared" si="5"/>
        <v>400</v>
      </c>
      <c r="T7" s="42">
        <f t="shared" si="6"/>
        <v>1944.0000000000002</v>
      </c>
      <c r="U7" s="37">
        <f t="shared" si="7"/>
        <v>36505.858400001409</v>
      </c>
    </row>
    <row r="8" spans="1:21" s="38" customFormat="1" ht="21.6" customHeight="1" thickBot="1" x14ac:dyDescent="0.2">
      <c r="A8" s="39">
        <v>4</v>
      </c>
      <c r="B8" s="29" t="s">
        <v>51</v>
      </c>
      <c r="C8" s="30">
        <v>0</v>
      </c>
      <c r="D8" s="31">
        <v>71.510000000000005</v>
      </c>
      <c r="E8" s="40">
        <f>SUM([2]厨房燃气!BH10)</f>
        <v>438</v>
      </c>
      <c r="F8" s="41">
        <f>SUM('[2]B1 &amp; 102F 锅炉房'!C10)</f>
        <v>976</v>
      </c>
      <c r="G8" s="41">
        <f>SUM('[2]B1 &amp; 102F 锅炉房'!H10)</f>
        <v>746</v>
      </c>
      <c r="H8" s="41">
        <f t="shared" si="0"/>
        <v>2160</v>
      </c>
      <c r="I8" s="34">
        <f t="shared" si="1"/>
        <v>8121.5999999999995</v>
      </c>
      <c r="J8" s="40">
        <f>SUM([2]主塔楼空调用电量!V7)</f>
        <v>4511</v>
      </c>
      <c r="K8" s="41">
        <v>8386</v>
      </c>
      <c r="L8" s="41">
        <f>SUM('[2]68F 高压F13&amp;F30'!F10)</f>
        <v>26700.000000000728</v>
      </c>
      <c r="M8" s="69">
        <f>SUM([2]裙楼空调用量!L7)</f>
        <v>8</v>
      </c>
      <c r="N8" s="73">
        <f t="shared" si="2"/>
        <v>3336</v>
      </c>
      <c r="O8" s="68">
        <f t="shared" si="3"/>
        <v>35086.000000000728</v>
      </c>
      <c r="P8" s="35">
        <f t="shared" si="4"/>
        <v>24714.578400000515</v>
      </c>
      <c r="Q8" s="40">
        <f>SUM('[2]B4 水表'!C10)</f>
        <v>592</v>
      </c>
      <c r="R8" s="41">
        <v>35</v>
      </c>
      <c r="S8" s="41">
        <f t="shared" si="5"/>
        <v>627</v>
      </c>
      <c r="T8" s="42">
        <f t="shared" si="6"/>
        <v>3047.2200000000003</v>
      </c>
      <c r="U8" s="37">
        <f t="shared" si="7"/>
        <v>39219.398400000515</v>
      </c>
    </row>
    <row r="9" spans="1:21" s="38" customFormat="1" ht="21.6" customHeight="1" thickBot="1" x14ac:dyDescent="0.2">
      <c r="A9" s="39">
        <v>5</v>
      </c>
      <c r="B9" s="29" t="s">
        <v>52</v>
      </c>
      <c r="C9" s="30">
        <v>48</v>
      </c>
      <c r="D9" s="31">
        <v>22.09</v>
      </c>
      <c r="E9" s="40">
        <f>SUM([2]厨房燃气!BH11)</f>
        <v>439</v>
      </c>
      <c r="F9" s="41">
        <f>SUM('[2]B1 &amp; 102F 锅炉房'!C11)</f>
        <v>915</v>
      </c>
      <c r="G9" s="41">
        <f>SUM('[2]B1 &amp; 102F 锅炉房'!H11)</f>
        <v>653</v>
      </c>
      <c r="H9" s="41">
        <f t="shared" si="0"/>
        <v>2007</v>
      </c>
      <c r="I9" s="34">
        <f t="shared" si="1"/>
        <v>7546.32</v>
      </c>
      <c r="J9" s="40">
        <f>SUM([2]主塔楼空调用电量!V8)</f>
        <v>4827</v>
      </c>
      <c r="K9" s="41">
        <v>8386</v>
      </c>
      <c r="L9" s="41">
        <f>SUM('[2]68F 高压F13&amp;F30'!F11)</f>
        <v>27100.000000000364</v>
      </c>
      <c r="M9" s="41">
        <f>SUM([2]裙楼空调用量!L8)</f>
        <v>7</v>
      </c>
      <c r="N9" s="73">
        <f t="shared" si="2"/>
        <v>2919</v>
      </c>
      <c r="O9" s="68">
        <f t="shared" si="3"/>
        <v>35486.000000000364</v>
      </c>
      <c r="P9" s="35">
        <f t="shared" si="4"/>
        <v>24996.338400000259</v>
      </c>
      <c r="Q9" s="40">
        <f>SUM('[2]B4 水表'!C11)</f>
        <v>331</v>
      </c>
      <c r="R9" s="41">
        <v>35</v>
      </c>
      <c r="S9" s="41">
        <f t="shared" si="5"/>
        <v>366</v>
      </c>
      <c r="T9" s="42">
        <f t="shared" si="6"/>
        <v>1778.7600000000002</v>
      </c>
      <c r="U9" s="37">
        <f t="shared" si="7"/>
        <v>37240.418400000264</v>
      </c>
    </row>
    <row r="10" spans="1:21" s="38" customFormat="1" ht="21.6" customHeight="1" thickBot="1" x14ac:dyDescent="0.2">
      <c r="A10" s="39">
        <v>6</v>
      </c>
      <c r="B10" s="29" t="s">
        <v>53</v>
      </c>
      <c r="C10" s="30">
        <v>40</v>
      </c>
      <c r="D10" s="31">
        <v>31.69</v>
      </c>
      <c r="E10" s="40">
        <f>SUM([2]厨房燃气!BH12)</f>
        <v>372</v>
      </c>
      <c r="F10" s="41">
        <f>SUM('[2]B1 &amp; 102F 锅炉房'!C12)</f>
        <v>945</v>
      </c>
      <c r="G10" s="41">
        <f>SUM('[2]B1 &amp; 102F 锅炉房'!H12)</f>
        <v>333</v>
      </c>
      <c r="H10" s="41">
        <f t="shared" si="0"/>
        <v>1650</v>
      </c>
      <c r="I10" s="34">
        <f t="shared" si="1"/>
        <v>6204</v>
      </c>
      <c r="J10" s="40">
        <f>SUM([2]主塔楼空调用电量!V9)</f>
        <v>5054</v>
      </c>
      <c r="K10" s="41">
        <v>8386</v>
      </c>
      <c r="L10" s="41">
        <f>SUM('[2]68F 高压F13&amp;F30'!F12)</f>
        <v>26800.000000000637</v>
      </c>
      <c r="M10" s="41">
        <f>SUM([2]裙楼空调用量!L9)</f>
        <v>11</v>
      </c>
      <c r="N10" s="73">
        <f t="shared" si="2"/>
        <v>4587</v>
      </c>
      <c r="O10" s="68">
        <f t="shared" si="3"/>
        <v>35186.00000000064</v>
      </c>
      <c r="P10" s="35">
        <f t="shared" si="4"/>
        <v>24785.018400000452</v>
      </c>
      <c r="Q10" s="40">
        <f>SUM('[2]B4 水表'!C12)</f>
        <v>377</v>
      </c>
      <c r="R10" s="41">
        <v>35</v>
      </c>
      <c r="S10" s="41">
        <f t="shared" si="5"/>
        <v>412</v>
      </c>
      <c r="T10" s="42">
        <f t="shared" si="6"/>
        <v>2002.3200000000002</v>
      </c>
      <c r="U10" s="37">
        <f t="shared" si="7"/>
        <v>37578.338400000452</v>
      </c>
    </row>
    <row r="11" spans="1:21" s="38" customFormat="1" ht="21.6" customHeight="1" thickBot="1" x14ac:dyDescent="0.2">
      <c r="A11" s="39">
        <v>7</v>
      </c>
      <c r="B11" s="29" t="s">
        <v>54</v>
      </c>
      <c r="C11" s="30">
        <v>100</v>
      </c>
      <c r="D11" s="31">
        <v>40.119999999999997</v>
      </c>
      <c r="E11" s="40">
        <f>SUM([2]厨房燃气!BH13)</f>
        <v>427</v>
      </c>
      <c r="F11" s="41">
        <f>SUM('[2]B1 &amp; 102F 锅炉房'!C13)</f>
        <v>935</v>
      </c>
      <c r="G11" s="41">
        <f>SUM('[2]B1 &amp; 102F 锅炉房'!H13)</f>
        <v>477</v>
      </c>
      <c r="H11" s="41">
        <f t="shared" si="0"/>
        <v>1839</v>
      </c>
      <c r="I11" s="34">
        <f t="shared" si="1"/>
        <v>6914.6399999999994</v>
      </c>
      <c r="J11" s="40">
        <f>SUM([2]主塔楼空调用电量!V10)</f>
        <v>5493</v>
      </c>
      <c r="K11" s="41">
        <v>8386</v>
      </c>
      <c r="L11" s="41">
        <f>SUM('[2]68F 高压F13&amp;F30'!F13)</f>
        <v>27500</v>
      </c>
      <c r="M11" s="41">
        <f>SUM([2]裙楼空调用量!L10)</f>
        <v>10</v>
      </c>
      <c r="N11" s="73">
        <f t="shared" si="2"/>
        <v>4170</v>
      </c>
      <c r="O11" s="68">
        <f t="shared" si="3"/>
        <v>35886</v>
      </c>
      <c r="P11" s="35">
        <f t="shared" si="4"/>
        <v>25278.098400000003</v>
      </c>
      <c r="Q11" s="40">
        <f>SUM('[2]B4 水表'!C13)</f>
        <v>424</v>
      </c>
      <c r="R11" s="41">
        <v>35</v>
      </c>
      <c r="S11" s="41">
        <f t="shared" si="5"/>
        <v>459</v>
      </c>
      <c r="T11" s="42">
        <f t="shared" si="6"/>
        <v>2230.7400000000002</v>
      </c>
      <c r="U11" s="37">
        <f t="shared" si="7"/>
        <v>38593.4784</v>
      </c>
    </row>
    <row r="12" spans="1:21" s="38" customFormat="1" ht="21.6" customHeight="1" thickBot="1" x14ac:dyDescent="0.2">
      <c r="A12" s="39">
        <v>8</v>
      </c>
      <c r="B12" s="29" t="s">
        <v>55</v>
      </c>
      <c r="C12" s="30">
        <v>158</v>
      </c>
      <c r="D12" s="31">
        <v>36.92</v>
      </c>
      <c r="E12" s="40">
        <f>SUM([2]厨房燃气!BH14)</f>
        <v>435</v>
      </c>
      <c r="F12" s="41">
        <f>SUM('[2]B1 &amp; 102F 锅炉房'!C14)</f>
        <v>877</v>
      </c>
      <c r="G12" s="41">
        <f>SUM('[2]B1 &amp; 102F 锅炉房'!H14)</f>
        <v>342</v>
      </c>
      <c r="H12" s="41">
        <f t="shared" si="0"/>
        <v>1654</v>
      </c>
      <c r="I12" s="34">
        <f t="shared" si="1"/>
        <v>6219.04</v>
      </c>
      <c r="J12" s="40">
        <f>SUM([2]主塔楼空调用电量!V11)</f>
        <v>5425</v>
      </c>
      <c r="K12" s="41">
        <v>8386</v>
      </c>
      <c r="L12" s="41">
        <f>SUM('[2]68F 高压F13&amp;F30'!F14)</f>
        <v>27699.999999995271</v>
      </c>
      <c r="M12" s="41">
        <f>SUM([2]裙楼空调用量!L11)</f>
        <v>13</v>
      </c>
      <c r="N12" s="73">
        <f t="shared" si="2"/>
        <v>5421</v>
      </c>
      <c r="O12" s="68">
        <f t="shared" si="3"/>
        <v>36085.999999995271</v>
      </c>
      <c r="P12" s="35">
        <f t="shared" si="4"/>
        <v>25418.978399996671</v>
      </c>
      <c r="Q12" s="40">
        <f>SUM('[2]B4 水表'!C14)</f>
        <v>372</v>
      </c>
      <c r="R12" s="41">
        <v>35</v>
      </c>
      <c r="S12" s="41">
        <f t="shared" si="5"/>
        <v>407</v>
      </c>
      <c r="T12" s="42">
        <f t="shared" si="6"/>
        <v>1978.0200000000002</v>
      </c>
      <c r="U12" s="37">
        <f t="shared" si="7"/>
        <v>39037.038399996665</v>
      </c>
    </row>
    <row r="13" spans="1:21" s="38" customFormat="1" ht="21.6" customHeight="1" thickBot="1" x14ac:dyDescent="0.2">
      <c r="A13" s="39">
        <v>9</v>
      </c>
      <c r="B13" s="29" t="s">
        <v>56</v>
      </c>
      <c r="C13" s="30">
        <v>0</v>
      </c>
      <c r="D13" s="31">
        <v>32.270000000000003</v>
      </c>
      <c r="E13" s="40">
        <f>SUM([2]厨房燃气!BH15)</f>
        <v>390</v>
      </c>
      <c r="F13" s="41">
        <f>SUM('[2]B1 &amp; 102F 锅炉房'!C15)</f>
        <v>858</v>
      </c>
      <c r="G13" s="41">
        <f>SUM('[2]B1 &amp; 102F 锅炉房'!H15)</f>
        <v>340</v>
      </c>
      <c r="H13" s="41">
        <f t="shared" si="0"/>
        <v>1588</v>
      </c>
      <c r="I13" s="34">
        <f t="shared" si="1"/>
        <v>5970.88</v>
      </c>
      <c r="J13" s="40">
        <f>SUM([2]主塔楼空调用电量!V12)</f>
        <v>5106</v>
      </c>
      <c r="K13" s="41">
        <v>8386</v>
      </c>
      <c r="L13" s="41">
        <f>SUM('[2]68F 高压F13&amp;F30'!F15)</f>
        <v>27200.000000002547</v>
      </c>
      <c r="M13" s="69">
        <f>SUM([2]裙楼空调用量!L12)</f>
        <v>9</v>
      </c>
      <c r="N13" s="73">
        <f t="shared" si="2"/>
        <v>3753</v>
      </c>
      <c r="O13" s="68">
        <f t="shared" si="3"/>
        <v>35586.000000002547</v>
      </c>
      <c r="P13" s="35">
        <f t="shared" si="4"/>
        <v>25066.778400001796</v>
      </c>
      <c r="Q13" s="40">
        <f>SUM('[2]B4 水表'!C15)</f>
        <v>425</v>
      </c>
      <c r="R13" s="41">
        <v>35</v>
      </c>
      <c r="S13" s="41">
        <f t="shared" si="5"/>
        <v>460</v>
      </c>
      <c r="T13" s="42">
        <f t="shared" si="6"/>
        <v>2235.6000000000004</v>
      </c>
      <c r="U13" s="37">
        <f t="shared" si="7"/>
        <v>37026.258400001796</v>
      </c>
    </row>
    <row r="14" spans="1:21" s="38" customFormat="1" ht="21.6" customHeight="1" thickBot="1" x14ac:dyDescent="0.2">
      <c r="A14" s="39">
        <v>10</v>
      </c>
      <c r="B14" s="29" t="s">
        <v>57</v>
      </c>
      <c r="C14" s="30">
        <v>32</v>
      </c>
      <c r="D14" s="31">
        <v>19.77</v>
      </c>
      <c r="E14" s="40">
        <f>SUM([2]厨房燃气!BH16)</f>
        <v>365</v>
      </c>
      <c r="F14" s="41">
        <f>SUM('[2]B1 &amp; 102F 锅炉房'!C16)</f>
        <v>869</v>
      </c>
      <c r="G14" s="41">
        <f>SUM('[2]B1 &amp; 102F 锅炉房'!H16)</f>
        <v>302</v>
      </c>
      <c r="H14" s="41">
        <f t="shared" si="0"/>
        <v>1536</v>
      </c>
      <c r="I14" s="34">
        <f t="shared" si="1"/>
        <v>5775.36</v>
      </c>
      <c r="J14" s="40">
        <f>SUM([2]主塔楼空调用电量!V13)</f>
        <v>5353</v>
      </c>
      <c r="K14" s="41">
        <v>8386</v>
      </c>
      <c r="L14" s="41">
        <f>SUM('[2]68F 高压F13&amp;F30'!F16)</f>
        <v>25799.999999999272</v>
      </c>
      <c r="M14" s="41">
        <f>SUM([2]裙楼空调用量!L13)</f>
        <v>9</v>
      </c>
      <c r="N14" s="73">
        <f t="shared" si="2"/>
        <v>3753</v>
      </c>
      <c r="O14" s="68">
        <f t="shared" si="3"/>
        <v>34185.999999999272</v>
      </c>
      <c r="P14" s="35">
        <f t="shared" si="4"/>
        <v>24080.61839999949</v>
      </c>
      <c r="Q14" s="40">
        <f>SUM('[2]B4 水表'!C16)</f>
        <v>254</v>
      </c>
      <c r="R14" s="41">
        <v>35</v>
      </c>
      <c r="S14" s="41">
        <f t="shared" si="5"/>
        <v>289</v>
      </c>
      <c r="T14" s="42">
        <f t="shared" si="6"/>
        <v>1404.5400000000002</v>
      </c>
      <c r="U14" s="37">
        <f t="shared" si="7"/>
        <v>35013.518399999492</v>
      </c>
    </row>
    <row r="15" spans="1:21" s="38" customFormat="1" ht="21.6" customHeight="1" thickBot="1" x14ac:dyDescent="0.2">
      <c r="A15" s="39">
        <v>11</v>
      </c>
      <c r="B15" s="29" t="s">
        <v>58</v>
      </c>
      <c r="C15" s="30">
        <v>9</v>
      </c>
      <c r="D15" s="31">
        <v>15.99</v>
      </c>
      <c r="E15" s="40">
        <f>SUM([2]厨房燃气!BH17)</f>
        <v>325</v>
      </c>
      <c r="F15" s="41">
        <f>SUM('[2]B1 &amp; 102F 锅炉房'!C17)</f>
        <v>793</v>
      </c>
      <c r="G15" s="41">
        <f>SUM('[2]B1 &amp; 102F 锅炉房'!H17)</f>
        <v>0</v>
      </c>
      <c r="H15" s="41">
        <f t="shared" si="0"/>
        <v>1118</v>
      </c>
      <c r="I15" s="34">
        <f t="shared" si="1"/>
        <v>4203.6799999999994</v>
      </c>
      <c r="J15" s="40">
        <f>SUM([2]主塔楼空调用电量!V14)</f>
        <v>6152</v>
      </c>
      <c r="K15" s="41">
        <v>8386</v>
      </c>
      <c r="L15" s="41">
        <f>SUM('[2]68F 高压F13&amp;F30'!F17)</f>
        <v>26100.000000001273</v>
      </c>
      <c r="M15" s="41">
        <f>SUM([2]裙楼空调用量!L14)</f>
        <v>11</v>
      </c>
      <c r="N15" s="73">
        <f t="shared" si="2"/>
        <v>4587</v>
      </c>
      <c r="O15" s="68">
        <f t="shared" si="3"/>
        <v>34486.000000001273</v>
      </c>
      <c r="P15" s="35">
        <f t="shared" si="4"/>
        <v>24291.938400000898</v>
      </c>
      <c r="Q15" s="40">
        <f>SUM('[2]B4 水表'!C17)</f>
        <v>322</v>
      </c>
      <c r="R15" s="41">
        <v>35</v>
      </c>
      <c r="S15" s="41">
        <f t="shared" si="5"/>
        <v>357</v>
      </c>
      <c r="T15" s="42">
        <f t="shared" si="6"/>
        <v>1735.0200000000002</v>
      </c>
      <c r="U15" s="37">
        <f t="shared" si="7"/>
        <v>34817.638400000891</v>
      </c>
    </row>
    <row r="16" spans="1:21" s="38" customFormat="1" ht="21.6" customHeight="1" thickBot="1" x14ac:dyDescent="0.2">
      <c r="A16" s="39">
        <v>12</v>
      </c>
      <c r="B16" s="29" t="s">
        <v>59</v>
      </c>
      <c r="C16" s="30">
        <v>8</v>
      </c>
      <c r="D16" s="31">
        <v>13.95</v>
      </c>
      <c r="E16" s="40">
        <f>SUM([2]厨房燃气!BH18)</f>
        <v>345</v>
      </c>
      <c r="F16" s="41">
        <f>SUM('[2]B1 &amp; 102F 锅炉房'!C18)</f>
        <v>894</v>
      </c>
      <c r="G16" s="41">
        <f>SUM('[2]B1 &amp; 102F 锅炉房'!H18)</f>
        <v>0</v>
      </c>
      <c r="H16" s="41">
        <f t="shared" si="0"/>
        <v>1239</v>
      </c>
      <c r="I16" s="34">
        <f t="shared" si="1"/>
        <v>4658.6399999999994</v>
      </c>
      <c r="J16" s="40">
        <f>SUM([2]主塔楼空调用电量!V15)</f>
        <v>7477</v>
      </c>
      <c r="K16" s="41">
        <v>8386</v>
      </c>
      <c r="L16" s="41">
        <f>SUM('[2]68F 高压F13&amp;F30'!F18)</f>
        <v>26199.999999996635</v>
      </c>
      <c r="M16" s="41">
        <f>SUM([2]裙楼空调用量!L15)</f>
        <v>14</v>
      </c>
      <c r="N16" s="73">
        <f t="shared" si="2"/>
        <v>5838</v>
      </c>
      <c r="O16" s="68">
        <f t="shared" si="3"/>
        <v>34585.999999996639</v>
      </c>
      <c r="P16" s="35">
        <f t="shared" si="4"/>
        <v>24362.378399997633</v>
      </c>
      <c r="Q16" s="40">
        <f>SUM('[2]B4 水表'!C18)</f>
        <v>455</v>
      </c>
      <c r="R16" s="41">
        <v>35</v>
      </c>
      <c r="S16" s="41">
        <f t="shared" si="5"/>
        <v>490</v>
      </c>
      <c r="T16" s="42">
        <f t="shared" si="6"/>
        <v>2381.4</v>
      </c>
      <c r="U16" s="37">
        <f t="shared" si="7"/>
        <v>37240.41839999763</v>
      </c>
    </row>
    <row r="17" spans="1:21" s="38" customFormat="1" ht="21.6" customHeight="1" thickBot="1" x14ac:dyDescent="0.2">
      <c r="A17" s="39">
        <v>13</v>
      </c>
      <c r="B17" s="29" t="s">
        <v>60</v>
      </c>
      <c r="C17" s="30">
        <v>0</v>
      </c>
      <c r="D17" s="31">
        <v>13.66</v>
      </c>
      <c r="E17" s="40">
        <f>SUM([2]厨房燃气!BH19)</f>
        <v>352</v>
      </c>
      <c r="F17" s="41">
        <f>SUM('[2]B1 &amp; 102F 锅炉房'!C19)</f>
        <v>504</v>
      </c>
      <c r="G17" s="41">
        <f>SUM('[2]B1 &amp; 102F 锅炉房'!H19)</f>
        <v>0</v>
      </c>
      <c r="H17" s="41">
        <f t="shared" si="0"/>
        <v>856</v>
      </c>
      <c r="I17" s="34">
        <f t="shared" si="1"/>
        <v>3218.56</v>
      </c>
      <c r="J17" s="40">
        <f>SUM([2]主塔楼空调用电量!V16)</f>
        <v>6157</v>
      </c>
      <c r="K17" s="41">
        <v>8386</v>
      </c>
      <c r="L17" s="41">
        <f>SUM('[2]68F 高压F13&amp;F30'!F19)</f>
        <v>27200.000000002547</v>
      </c>
      <c r="M17" s="41">
        <f>SUM([2]裙楼空调用量!L16)</f>
        <v>12</v>
      </c>
      <c r="N17" s="73">
        <f t="shared" si="2"/>
        <v>5004</v>
      </c>
      <c r="O17" s="68">
        <f t="shared" si="3"/>
        <v>35586.000000002547</v>
      </c>
      <c r="P17" s="35">
        <f t="shared" si="4"/>
        <v>25066.778400001796</v>
      </c>
      <c r="Q17" s="40">
        <f>SUM('[2]B4 水表'!C19)</f>
        <v>222</v>
      </c>
      <c r="R17" s="41">
        <v>35</v>
      </c>
      <c r="S17" s="41">
        <f t="shared" si="5"/>
        <v>257</v>
      </c>
      <c r="T17" s="42">
        <f t="shared" si="6"/>
        <v>1249.02</v>
      </c>
      <c r="U17" s="37">
        <f t="shared" si="7"/>
        <v>34538.358400001795</v>
      </c>
    </row>
    <row r="18" spans="1:21" s="38" customFormat="1" ht="21.6" customHeight="1" thickBot="1" x14ac:dyDescent="0.2">
      <c r="A18" s="39">
        <v>14</v>
      </c>
      <c r="B18" s="29" t="s">
        <v>56</v>
      </c>
      <c r="C18" s="30">
        <v>16</v>
      </c>
      <c r="D18" s="31">
        <v>14.83</v>
      </c>
      <c r="E18" s="40">
        <f>SUM([2]厨房燃气!BH20)</f>
        <v>325</v>
      </c>
      <c r="F18" s="41">
        <f>SUM('[2]B1 &amp; 102F 锅炉房'!C20)</f>
        <v>330</v>
      </c>
      <c r="G18" s="41">
        <f>SUM('[2]B1 &amp; 102F 锅炉房'!H20)</f>
        <v>0</v>
      </c>
      <c r="H18" s="41">
        <f t="shared" si="0"/>
        <v>655</v>
      </c>
      <c r="I18" s="34">
        <f t="shared" si="1"/>
        <v>2462.7999999999997</v>
      </c>
      <c r="J18" s="40">
        <f>SUM([2]主塔楼空调用电量!V17)</f>
        <v>6214</v>
      </c>
      <c r="K18" s="41">
        <v>8386</v>
      </c>
      <c r="L18" s="41">
        <f>SUM('[2]68F 高压F13&amp;F30'!F20)</f>
        <v>25200.000000002092</v>
      </c>
      <c r="M18" s="41">
        <f>SUM([2]裙楼空调用量!L17)</f>
        <v>12</v>
      </c>
      <c r="N18" s="73">
        <f t="shared" si="2"/>
        <v>5004</v>
      </c>
      <c r="O18" s="68">
        <f t="shared" si="3"/>
        <v>33586.000000002095</v>
      </c>
      <c r="P18" s="35">
        <f t="shared" si="4"/>
        <v>23657.978400001477</v>
      </c>
      <c r="Q18" s="40">
        <f>SUM('[2]B4 水表'!C20)</f>
        <v>200</v>
      </c>
      <c r="R18" s="41">
        <v>35</v>
      </c>
      <c r="S18" s="41">
        <f t="shared" si="5"/>
        <v>235</v>
      </c>
      <c r="T18" s="42">
        <f t="shared" si="6"/>
        <v>1142.1000000000001</v>
      </c>
      <c r="U18" s="37">
        <f t="shared" si="7"/>
        <v>32266.878400001475</v>
      </c>
    </row>
    <row r="19" spans="1:21" s="38" customFormat="1" ht="21.6" customHeight="1" thickBot="1" x14ac:dyDescent="0.2">
      <c r="A19" s="39">
        <v>15</v>
      </c>
      <c r="B19" s="29" t="s">
        <v>61</v>
      </c>
      <c r="C19" s="30">
        <v>5</v>
      </c>
      <c r="D19" s="31">
        <v>11.08</v>
      </c>
      <c r="E19" s="40">
        <f>SUM([2]厨房燃气!BH21)</f>
        <v>329</v>
      </c>
      <c r="F19" s="41">
        <f>SUM('[2]B1 &amp; 102F 锅炉房'!C21)</f>
        <v>758</v>
      </c>
      <c r="G19" s="41">
        <f>SUM('[2]B1 &amp; 102F 锅炉房'!H21)</f>
        <v>0</v>
      </c>
      <c r="H19" s="41">
        <f t="shared" si="0"/>
        <v>1087</v>
      </c>
      <c r="I19" s="34">
        <f t="shared" si="1"/>
        <v>4087.12</v>
      </c>
      <c r="J19" s="40">
        <f>SUM([2]主塔楼空调用电量!V18)</f>
        <v>5225</v>
      </c>
      <c r="K19" s="41">
        <v>8386</v>
      </c>
      <c r="L19" s="41">
        <f>SUM('[2]68F 高压F13&amp;F30'!F21)</f>
        <v>25299.999999997453</v>
      </c>
      <c r="M19" s="41">
        <f>SUM([2]裙楼空调用量!L18)</f>
        <v>11</v>
      </c>
      <c r="N19" s="73">
        <f t="shared" si="2"/>
        <v>4587</v>
      </c>
      <c r="O19" s="68">
        <f t="shared" si="3"/>
        <v>33685.999999997453</v>
      </c>
      <c r="P19" s="35">
        <f t="shared" si="4"/>
        <v>23728.418399998209</v>
      </c>
      <c r="Q19" s="40">
        <f>SUM('[2]B4 水表'!C21)</f>
        <v>338</v>
      </c>
      <c r="R19" s="41">
        <v>35</v>
      </c>
      <c r="S19" s="41">
        <f t="shared" si="5"/>
        <v>373</v>
      </c>
      <c r="T19" s="42">
        <f t="shared" si="6"/>
        <v>1812.7800000000002</v>
      </c>
      <c r="U19" s="37">
        <f t="shared" si="7"/>
        <v>34215.318399998207</v>
      </c>
    </row>
    <row r="20" spans="1:21" s="38" customFormat="1" ht="21.6" customHeight="1" thickBot="1" x14ac:dyDescent="0.2">
      <c r="A20" s="39">
        <v>16</v>
      </c>
      <c r="B20" s="29" t="s">
        <v>62</v>
      </c>
      <c r="C20" s="30">
        <v>0</v>
      </c>
      <c r="D20" s="31">
        <v>11.05</v>
      </c>
      <c r="E20" s="40">
        <f>SUM([2]厨房燃气!BH22)</f>
        <v>390</v>
      </c>
      <c r="F20" s="41">
        <f>SUM('[2]B1 &amp; 102F 锅炉房'!C22)</f>
        <v>455</v>
      </c>
      <c r="G20" s="41">
        <f>SUM('[2]B1 &amp; 102F 锅炉房'!H22)</f>
        <v>0</v>
      </c>
      <c r="H20" s="41">
        <f t="shared" si="0"/>
        <v>845</v>
      </c>
      <c r="I20" s="34">
        <f t="shared" si="1"/>
        <v>3177.2</v>
      </c>
      <c r="J20" s="40">
        <f>SUM([2]主塔楼空调用电量!V19)</f>
        <v>4678</v>
      </c>
      <c r="K20" s="41">
        <v>8386</v>
      </c>
      <c r="L20" s="41">
        <f>SUM('[2]68F 高压F13&amp;F30'!F22)</f>
        <v>24199.999999998454</v>
      </c>
      <c r="M20" s="41">
        <f>SUM([2]裙楼空调用量!L19)</f>
        <v>11</v>
      </c>
      <c r="N20" s="73">
        <f t="shared" si="2"/>
        <v>4587</v>
      </c>
      <c r="O20" s="68">
        <f t="shared" si="3"/>
        <v>32585.999999998454</v>
      </c>
      <c r="P20" s="35">
        <f t="shared" si="4"/>
        <v>22953.578399998911</v>
      </c>
      <c r="Q20" s="40">
        <f>SUM('[2]B4 水表'!C22)</f>
        <v>205</v>
      </c>
      <c r="R20" s="41">
        <v>35</v>
      </c>
      <c r="S20" s="41">
        <f t="shared" si="5"/>
        <v>240</v>
      </c>
      <c r="T20" s="42">
        <f t="shared" si="6"/>
        <v>1166.4000000000001</v>
      </c>
      <c r="U20" s="37">
        <f t="shared" si="7"/>
        <v>31884.178399998913</v>
      </c>
    </row>
    <row r="21" spans="1:21" s="38" customFormat="1" ht="21.6" customHeight="1" thickBot="1" x14ac:dyDescent="0.2">
      <c r="A21" s="39">
        <v>17</v>
      </c>
      <c r="B21" s="29" t="s">
        <v>63</v>
      </c>
      <c r="C21" s="30">
        <v>16</v>
      </c>
      <c r="D21" s="31">
        <v>9.8800000000000008</v>
      </c>
      <c r="E21" s="40">
        <f>SUM([2]厨房燃气!BH23)</f>
        <v>344</v>
      </c>
      <c r="F21" s="41">
        <f>SUM('[2]B1 &amp; 102F 锅炉房'!C23)</f>
        <v>142</v>
      </c>
      <c r="G21" s="41">
        <f>SUM('[2]B1 &amp; 102F 锅炉房'!H23)</f>
        <v>0</v>
      </c>
      <c r="H21" s="41">
        <f>SUM(E21+F21+G21)</f>
        <v>486</v>
      </c>
      <c r="I21" s="34">
        <f t="shared" si="1"/>
        <v>1827.36</v>
      </c>
      <c r="J21" s="40">
        <f>SUM([2]主塔楼空调用电量!V20)</f>
        <v>3654</v>
      </c>
      <c r="K21" s="41">
        <v>8386</v>
      </c>
      <c r="L21" s="41">
        <f>SUM('[2]68F 高压F13&amp;F30'!F23)</f>
        <v>22500</v>
      </c>
      <c r="M21" s="41">
        <f>SUM([2]裙楼空调用量!L20)</f>
        <v>9</v>
      </c>
      <c r="N21" s="73">
        <f t="shared" si="2"/>
        <v>3753</v>
      </c>
      <c r="O21" s="68">
        <f t="shared" si="3"/>
        <v>30886</v>
      </c>
      <c r="P21" s="35">
        <f t="shared" si="4"/>
        <v>21756.098400000003</v>
      </c>
      <c r="Q21" s="45">
        <f>SUM('[2]B4 水表'!C23)</f>
        <v>151</v>
      </c>
      <c r="R21" s="41">
        <v>35</v>
      </c>
      <c r="S21" s="41">
        <f t="shared" si="5"/>
        <v>186</v>
      </c>
      <c r="T21" s="42">
        <f t="shared" si="6"/>
        <v>903.96</v>
      </c>
      <c r="U21" s="37">
        <f t="shared" si="7"/>
        <v>28240.418400000002</v>
      </c>
    </row>
    <row r="22" spans="1:21" s="38" customFormat="1" ht="21.6" customHeight="1" thickBot="1" x14ac:dyDescent="0.2">
      <c r="A22" s="39">
        <v>18</v>
      </c>
      <c r="B22" s="29" t="s">
        <v>64</v>
      </c>
      <c r="C22" s="30">
        <v>42</v>
      </c>
      <c r="D22" s="31">
        <v>12.79</v>
      </c>
      <c r="E22" s="40">
        <f>SUM([2]厨房燃气!BH24)</f>
        <v>363</v>
      </c>
      <c r="F22" s="41">
        <f>SUM('[2]B1 &amp; 102F 锅炉房'!C24)</f>
        <v>638</v>
      </c>
      <c r="G22" s="41">
        <f>SUM('[2]B1 &amp; 102F 锅炉房'!H24)</f>
        <v>0</v>
      </c>
      <c r="H22" s="41">
        <f t="shared" ref="H22:H33" si="8">SUM(G22+F22+E22)</f>
        <v>1001</v>
      </c>
      <c r="I22" s="34">
        <f t="shared" si="1"/>
        <v>3763.7599999999998</v>
      </c>
      <c r="J22" s="40">
        <f>SUM([2]主塔楼空调用电量!V21)</f>
        <v>3460</v>
      </c>
      <c r="K22" s="41">
        <v>8386</v>
      </c>
      <c r="L22" s="41">
        <f>SUM('[2]68F 高压F13&amp;F30'!F24)</f>
        <v>22600.000000004457</v>
      </c>
      <c r="M22" s="41">
        <f>SUM([2]裙楼空调用量!L21)</f>
        <v>10</v>
      </c>
      <c r="N22" s="73">
        <f t="shared" si="2"/>
        <v>4170</v>
      </c>
      <c r="O22" s="68">
        <f t="shared" si="3"/>
        <v>30986.000000004457</v>
      </c>
      <c r="P22" s="35">
        <f t="shared" si="4"/>
        <v>21826.538400003141</v>
      </c>
      <c r="Q22" s="45">
        <f>SUM('[2]B4 水表'!C24)</f>
        <v>269</v>
      </c>
      <c r="R22" s="41">
        <v>35</v>
      </c>
      <c r="S22" s="41">
        <f t="shared" si="5"/>
        <v>304</v>
      </c>
      <c r="T22" s="42">
        <f t="shared" si="6"/>
        <v>1477.44</v>
      </c>
      <c r="U22" s="37">
        <f t="shared" si="7"/>
        <v>31237.738400003142</v>
      </c>
    </row>
    <row r="23" spans="1:21" s="38" customFormat="1" ht="21.6" customHeight="1" thickBot="1" x14ac:dyDescent="0.2">
      <c r="A23" s="39">
        <v>19</v>
      </c>
      <c r="B23" s="29" t="s">
        <v>47</v>
      </c>
      <c r="C23" s="30">
        <v>68</v>
      </c>
      <c r="D23" s="31">
        <v>11.63</v>
      </c>
      <c r="E23" s="43">
        <f>SUM([2]厨房燃气!BH25)</f>
        <v>369</v>
      </c>
      <c r="F23" s="44">
        <f>SUM('[2]B1 &amp; 102F 锅炉房'!C25)</f>
        <v>667</v>
      </c>
      <c r="G23" s="44">
        <f>SUM('[2]B1 &amp; 102F 锅炉房'!H25)</f>
        <v>0</v>
      </c>
      <c r="H23" s="44">
        <f t="shared" si="8"/>
        <v>1036</v>
      </c>
      <c r="I23" s="34">
        <f t="shared" si="1"/>
        <v>3895.3599999999997</v>
      </c>
      <c r="J23" s="43">
        <f>SUM([2]主塔楼空调用电量!V22)</f>
        <v>3125</v>
      </c>
      <c r="K23" s="41">
        <v>8386</v>
      </c>
      <c r="L23" s="44">
        <f>SUM('[2]68F 高压F13&amp;F30'!F25)</f>
        <v>22199.999999995725</v>
      </c>
      <c r="M23" s="44">
        <f>SUM([2]裙楼空调用量!L22)</f>
        <v>9</v>
      </c>
      <c r="N23" s="73">
        <f t="shared" si="2"/>
        <v>3753</v>
      </c>
      <c r="O23" s="68">
        <f t="shared" si="3"/>
        <v>30585.999999995725</v>
      </c>
      <c r="P23" s="35">
        <f t="shared" si="4"/>
        <v>21544.778399996991</v>
      </c>
      <c r="Q23" s="43">
        <f>SUM('[2]B4 水表'!C25)</f>
        <v>378</v>
      </c>
      <c r="R23" s="41">
        <v>35</v>
      </c>
      <c r="S23" s="44">
        <f t="shared" si="5"/>
        <v>413</v>
      </c>
      <c r="T23" s="42">
        <f t="shared" si="6"/>
        <v>2007.18</v>
      </c>
      <c r="U23" s="37">
        <f t="shared" si="7"/>
        <v>31200.318399996992</v>
      </c>
    </row>
    <row r="24" spans="1:21" s="38" customFormat="1" ht="21.6" customHeight="1" thickBot="1" x14ac:dyDescent="0.2">
      <c r="A24" s="39">
        <v>20</v>
      </c>
      <c r="B24" s="29" t="s">
        <v>45</v>
      </c>
      <c r="C24" s="30">
        <v>0</v>
      </c>
      <c r="D24" s="31">
        <v>10.76</v>
      </c>
      <c r="E24" s="40">
        <f>SUM([2]厨房燃气!BH26)</f>
        <v>318</v>
      </c>
      <c r="F24" s="41">
        <f>SUM('[2]B1 &amp; 102F 锅炉房'!C26)</f>
        <v>446</v>
      </c>
      <c r="G24" s="41">
        <f>SUM('[2]B1 &amp; 102F 锅炉房'!H26)</f>
        <v>0</v>
      </c>
      <c r="H24" s="41">
        <f t="shared" si="8"/>
        <v>764</v>
      </c>
      <c r="I24" s="34">
        <f t="shared" si="1"/>
        <v>2872.64</v>
      </c>
      <c r="J24" s="40">
        <f>SUM([2]主塔楼空调用电量!V23)</f>
        <v>3365</v>
      </c>
      <c r="K24" s="41">
        <v>8386</v>
      </c>
      <c r="L24" s="41">
        <f>SUM('[2]68F 高压F13&amp;F30'!F26)</f>
        <v>21800.00000000291</v>
      </c>
      <c r="M24" s="41">
        <f>SUM([2]裙楼空调用量!L23)</f>
        <v>9</v>
      </c>
      <c r="N24" s="73">
        <f t="shared" si="2"/>
        <v>3753</v>
      </c>
      <c r="O24" s="68">
        <f t="shared" si="3"/>
        <v>30186.00000000291</v>
      </c>
      <c r="P24" s="35">
        <f t="shared" si="4"/>
        <v>21263.018400002053</v>
      </c>
      <c r="Q24" s="40">
        <f>SUM('[2]B4 水表'!C26)</f>
        <v>299</v>
      </c>
      <c r="R24" s="41">
        <v>35</v>
      </c>
      <c r="S24" s="41">
        <f t="shared" si="5"/>
        <v>334</v>
      </c>
      <c r="T24" s="42">
        <f t="shared" si="6"/>
        <v>1623.24</v>
      </c>
      <c r="U24" s="37">
        <f t="shared" si="7"/>
        <v>29511.898400002054</v>
      </c>
    </row>
    <row r="25" spans="1:21" s="38" customFormat="1" ht="21.6" customHeight="1" thickBot="1" x14ac:dyDescent="0.2">
      <c r="A25" s="39">
        <v>21</v>
      </c>
      <c r="B25" s="29" t="s">
        <v>44</v>
      </c>
      <c r="C25" s="30">
        <v>35</v>
      </c>
      <c r="D25" s="31">
        <v>12.79</v>
      </c>
      <c r="E25" s="40">
        <f>SUM([2]厨房燃气!BH27)</f>
        <v>328</v>
      </c>
      <c r="F25" s="41">
        <f>SUM('[2]B1 &amp; 102F 锅炉房'!C27)</f>
        <v>329</v>
      </c>
      <c r="G25" s="41">
        <f>SUM('[2]B1 &amp; 102F 锅炉房'!H27)</f>
        <v>0</v>
      </c>
      <c r="H25" s="41">
        <f t="shared" si="8"/>
        <v>657</v>
      </c>
      <c r="I25" s="34">
        <f t="shared" si="1"/>
        <v>2470.3199999999997</v>
      </c>
      <c r="J25" s="40">
        <f>SUM([2]主塔楼空调用电量!V24)</f>
        <v>4506</v>
      </c>
      <c r="K25" s="41">
        <v>8386</v>
      </c>
      <c r="L25" s="41">
        <f>SUM('[2]68F 高压F13&amp;F30'!F27)</f>
        <v>23799.999999998818</v>
      </c>
      <c r="M25" s="41">
        <f>SUM([2]裙楼空调用量!L24)</f>
        <v>10</v>
      </c>
      <c r="N25" s="73">
        <f t="shared" si="2"/>
        <v>4170</v>
      </c>
      <c r="O25" s="68">
        <f t="shared" si="3"/>
        <v>32185.999999998818</v>
      </c>
      <c r="P25" s="35">
        <f t="shared" si="4"/>
        <v>22671.818399999167</v>
      </c>
      <c r="Q25" s="40">
        <f>SUM('[2]B4 水表'!C27)</f>
        <v>176</v>
      </c>
      <c r="R25" s="41">
        <v>35</v>
      </c>
      <c r="S25" s="41">
        <f t="shared" si="5"/>
        <v>211</v>
      </c>
      <c r="T25" s="42">
        <f t="shared" si="6"/>
        <v>1025.46</v>
      </c>
      <c r="U25" s="37">
        <f t="shared" si="7"/>
        <v>30337.598399999166</v>
      </c>
    </row>
    <row r="26" spans="1:21" s="38" customFormat="1" ht="21.6" customHeight="1" thickBot="1" x14ac:dyDescent="0.2">
      <c r="A26" s="39">
        <v>22</v>
      </c>
      <c r="B26" s="29" t="s">
        <v>45</v>
      </c>
      <c r="C26" s="30">
        <v>37</v>
      </c>
      <c r="D26" s="31">
        <v>15.7</v>
      </c>
      <c r="E26" s="40">
        <f>SUM([2]厨房燃气!BH28)</f>
        <v>347</v>
      </c>
      <c r="F26" s="41">
        <f>SUM('[2]B1 &amp; 102F 锅炉房'!C28)</f>
        <v>735</v>
      </c>
      <c r="G26" s="41">
        <f>SUM('[2]B1 &amp; 102F 锅炉房'!H28)</f>
        <v>0</v>
      </c>
      <c r="H26" s="41">
        <f t="shared" si="8"/>
        <v>1082</v>
      </c>
      <c r="I26" s="34">
        <f t="shared" si="1"/>
        <v>4068.3199999999997</v>
      </c>
      <c r="J26" s="40">
        <f>SUM([2]主塔楼空调用电量!V25)</f>
        <v>5296</v>
      </c>
      <c r="K26" s="41">
        <v>8386</v>
      </c>
      <c r="L26" s="41">
        <f>SUM('[2]68F 高压F13&amp;F30'!F28)</f>
        <v>24400.000000000546</v>
      </c>
      <c r="M26" s="41">
        <f>SUM([2]裙楼空调用量!L25)</f>
        <v>12</v>
      </c>
      <c r="N26" s="73">
        <f t="shared" si="2"/>
        <v>5004</v>
      </c>
      <c r="O26" s="68">
        <f t="shared" si="3"/>
        <v>32786.000000000546</v>
      </c>
      <c r="P26" s="35">
        <f t="shared" si="4"/>
        <v>23094.458400000385</v>
      </c>
      <c r="Q26" s="40">
        <f>SUM('[2]B4 水表'!C28)</f>
        <v>201</v>
      </c>
      <c r="R26" s="41">
        <v>35</v>
      </c>
      <c r="S26" s="41">
        <f t="shared" si="5"/>
        <v>236</v>
      </c>
      <c r="T26" s="42">
        <f t="shared" si="6"/>
        <v>1146.96</v>
      </c>
      <c r="U26" s="37">
        <f t="shared" si="7"/>
        <v>33313.738400000388</v>
      </c>
    </row>
    <row r="27" spans="1:21" s="38" customFormat="1" ht="21.6" customHeight="1" thickBot="1" x14ac:dyDescent="0.2">
      <c r="A27" s="39">
        <v>23</v>
      </c>
      <c r="B27" s="29" t="s">
        <v>45</v>
      </c>
      <c r="C27" s="30">
        <v>0</v>
      </c>
      <c r="D27" s="31">
        <v>28.2</v>
      </c>
      <c r="E27" s="40">
        <f>SUM([2]厨房燃气!BH29)</f>
        <v>383</v>
      </c>
      <c r="F27" s="41">
        <f>SUM('[2]B1 &amp; 102F 锅炉房'!C29)</f>
        <v>406</v>
      </c>
      <c r="G27" s="41">
        <f>SUM('[2]B1 &amp; 102F 锅炉房'!H29)</f>
        <v>0</v>
      </c>
      <c r="H27" s="41">
        <f t="shared" si="8"/>
        <v>789</v>
      </c>
      <c r="I27" s="34">
        <f t="shared" si="1"/>
        <v>2966.64</v>
      </c>
      <c r="J27" s="40">
        <f>SUM([2]主塔楼空调用电量!V26)</f>
        <v>5967</v>
      </c>
      <c r="K27" s="41">
        <v>8386</v>
      </c>
      <c r="L27" s="41">
        <f>SUM('[2]68F 高压F13&amp;F30'!F29)</f>
        <v>25099.999999997635</v>
      </c>
      <c r="M27" s="41">
        <f>SUM([2]裙楼空调用量!L26)</f>
        <v>13</v>
      </c>
      <c r="N27" s="73">
        <f t="shared" si="2"/>
        <v>5421</v>
      </c>
      <c r="O27" s="68">
        <f t="shared" si="3"/>
        <v>33485.999999997635</v>
      </c>
      <c r="P27" s="35">
        <f t="shared" si="4"/>
        <v>23587.538399998335</v>
      </c>
      <c r="Q27" s="40">
        <f>SUM('[2]B4 水表'!C29)</f>
        <v>437</v>
      </c>
      <c r="R27" s="41">
        <v>35</v>
      </c>
      <c r="S27" s="41">
        <f t="shared" si="5"/>
        <v>472</v>
      </c>
      <c r="T27" s="42">
        <f t="shared" si="6"/>
        <v>2293.92</v>
      </c>
      <c r="U27" s="37">
        <f t="shared" si="7"/>
        <v>34269.098399998336</v>
      </c>
    </row>
    <row r="28" spans="1:21" s="38" customFormat="1" ht="21.6" customHeight="1" thickBot="1" x14ac:dyDescent="0.2">
      <c r="A28" s="39">
        <v>24</v>
      </c>
      <c r="B28" s="29" t="s">
        <v>65</v>
      </c>
      <c r="C28" s="30">
        <v>0</v>
      </c>
      <c r="D28" s="31">
        <v>23.84</v>
      </c>
      <c r="E28" s="40">
        <f>SUM([2]厨房燃气!BH30)</f>
        <v>449</v>
      </c>
      <c r="F28" s="41">
        <f>SUM('[2]B1 &amp; 102F 锅炉房'!C30)</f>
        <v>0</v>
      </c>
      <c r="G28" s="41">
        <f>SUM('[2]B1 &amp; 102F 锅炉房'!H30)</f>
        <v>0</v>
      </c>
      <c r="H28" s="41">
        <f t="shared" si="8"/>
        <v>449</v>
      </c>
      <c r="I28" s="34">
        <f t="shared" si="1"/>
        <v>1688.24</v>
      </c>
      <c r="J28" s="40">
        <f>SUM([2]主塔楼空调用电量!V27)</f>
        <v>7316</v>
      </c>
      <c r="K28" s="41">
        <v>8386</v>
      </c>
      <c r="L28" s="41">
        <f>SUM('[2]68F 高压F13&amp;F30'!F30)</f>
        <v>27600.000000002183</v>
      </c>
      <c r="M28" s="41">
        <f>SUM([2]裙楼空调用量!L27)</f>
        <v>12</v>
      </c>
      <c r="N28" s="73">
        <f t="shared" si="2"/>
        <v>5004</v>
      </c>
      <c r="O28" s="68">
        <f t="shared" si="3"/>
        <v>35986.000000002183</v>
      </c>
      <c r="P28" s="35">
        <f t="shared" si="4"/>
        <v>25348.53840000154</v>
      </c>
      <c r="Q28" s="40">
        <f>SUM('[2]B4 水表'!C30)</f>
        <v>103</v>
      </c>
      <c r="R28" s="41">
        <v>35</v>
      </c>
      <c r="S28" s="41">
        <f t="shared" si="5"/>
        <v>138</v>
      </c>
      <c r="T28" s="42">
        <f t="shared" si="6"/>
        <v>670.68000000000006</v>
      </c>
      <c r="U28" s="37">
        <f t="shared" si="7"/>
        <v>32711.458400001538</v>
      </c>
    </row>
    <row r="29" spans="1:21" s="38" customFormat="1" ht="21.6" customHeight="1" thickBot="1" x14ac:dyDescent="0.2">
      <c r="A29" s="39">
        <v>25</v>
      </c>
      <c r="B29" s="29" t="s">
        <v>66</v>
      </c>
      <c r="C29" s="30">
        <v>60</v>
      </c>
      <c r="D29" s="31">
        <v>25</v>
      </c>
      <c r="E29" s="40">
        <f>SUM([2]厨房燃气!BH31)</f>
        <v>381</v>
      </c>
      <c r="F29" s="41">
        <f>SUM('[2]B1 &amp; 102F 锅炉房'!C31)</f>
        <v>595</v>
      </c>
      <c r="G29" s="41">
        <f>SUM('[2]B1 &amp; 102F 锅炉房'!H31)</f>
        <v>0</v>
      </c>
      <c r="H29" s="41">
        <f t="shared" si="8"/>
        <v>976</v>
      </c>
      <c r="I29" s="34">
        <f t="shared" si="1"/>
        <v>3669.7599999999998</v>
      </c>
      <c r="J29" s="40">
        <f>SUM([2]主塔楼空调用电量!V28)</f>
        <v>7323</v>
      </c>
      <c r="K29" s="41">
        <v>8386</v>
      </c>
      <c r="L29" s="41">
        <f>SUM('[2]68F 高压F13&amp;F30'!F31)</f>
        <v>28099.999999997181</v>
      </c>
      <c r="M29" s="41">
        <f>SUM([2]裙楼空调用量!L28)</f>
        <v>16</v>
      </c>
      <c r="N29" s="73">
        <f t="shared" si="2"/>
        <v>6672</v>
      </c>
      <c r="O29" s="68">
        <f t="shared" si="3"/>
        <v>36485.999999997177</v>
      </c>
      <c r="P29" s="35">
        <f t="shared" si="4"/>
        <v>25700.738399998012</v>
      </c>
      <c r="Q29" s="40">
        <f>SUM('[2]B4 水表'!C31)</f>
        <v>359</v>
      </c>
      <c r="R29" s="41">
        <v>35</v>
      </c>
      <c r="S29" s="41">
        <f t="shared" si="5"/>
        <v>394</v>
      </c>
      <c r="T29" s="42">
        <f t="shared" si="6"/>
        <v>1914.8400000000001</v>
      </c>
      <c r="U29" s="37">
        <f t="shared" si="7"/>
        <v>37957.338399998014</v>
      </c>
    </row>
    <row r="30" spans="1:21" s="38" customFormat="1" ht="21.6" customHeight="1" thickBot="1" x14ac:dyDescent="0.2">
      <c r="A30" s="39">
        <v>26</v>
      </c>
      <c r="B30" s="29" t="s">
        <v>65</v>
      </c>
      <c r="C30" s="30">
        <v>100</v>
      </c>
      <c r="D30" s="31">
        <v>35.17</v>
      </c>
      <c r="E30" s="40">
        <f>SUM([2]厨房燃气!BH32)</f>
        <v>409</v>
      </c>
      <c r="F30" s="41">
        <f>SUM('[2]B1 &amp; 102F 锅炉房'!C32)</f>
        <v>795</v>
      </c>
      <c r="G30" s="41">
        <f>SUM('[2]B1 &amp; 102F 锅炉房'!H32)</f>
        <v>0</v>
      </c>
      <c r="H30" s="41">
        <f t="shared" si="8"/>
        <v>1204</v>
      </c>
      <c r="I30" s="34">
        <f t="shared" si="1"/>
        <v>4527.04</v>
      </c>
      <c r="J30" s="40">
        <f>SUM([2]主塔楼空调用电量!V29)</f>
        <v>7924</v>
      </c>
      <c r="K30" s="41">
        <v>8386</v>
      </c>
      <c r="L30" s="41">
        <f>SUM('[2]68F 高压F13&amp;F30'!F32)</f>
        <v>29300.000000000637</v>
      </c>
      <c r="M30" s="41">
        <f>SUM([2]裙楼空调用量!L29)</f>
        <v>20</v>
      </c>
      <c r="N30" s="73">
        <f t="shared" si="2"/>
        <v>8340</v>
      </c>
      <c r="O30" s="68">
        <f t="shared" si="3"/>
        <v>37686.00000000064</v>
      </c>
      <c r="P30" s="35">
        <f t="shared" si="4"/>
        <v>26546.018400000452</v>
      </c>
      <c r="Q30" s="40">
        <f>SUM('[2]B4 水表'!C32)</f>
        <v>352</v>
      </c>
      <c r="R30" s="41">
        <v>35</v>
      </c>
      <c r="S30" s="41">
        <f t="shared" si="5"/>
        <v>387</v>
      </c>
      <c r="T30" s="42">
        <f t="shared" si="6"/>
        <v>1880.8200000000002</v>
      </c>
      <c r="U30" s="37">
        <f t="shared" si="7"/>
        <v>41293.878400000453</v>
      </c>
    </row>
    <row r="31" spans="1:21" s="38" customFormat="1" ht="21.6" customHeight="1" thickBot="1" x14ac:dyDescent="0.2">
      <c r="A31" s="39">
        <v>27</v>
      </c>
      <c r="B31" s="29" t="s">
        <v>65</v>
      </c>
      <c r="C31" s="30">
        <v>150</v>
      </c>
      <c r="D31" s="31">
        <v>38.950000000000003</v>
      </c>
      <c r="E31" s="40">
        <f>SUM([2]厨房燃气!BH33)</f>
        <v>441</v>
      </c>
      <c r="F31" s="41">
        <f>SUM('[2]B1 &amp; 102F 锅炉房'!C33)</f>
        <v>740</v>
      </c>
      <c r="G31" s="41">
        <f>SUM('[2]B1 &amp; 102F 锅炉房'!H33)</f>
        <v>0</v>
      </c>
      <c r="H31" s="41">
        <f t="shared" si="8"/>
        <v>1181</v>
      </c>
      <c r="I31" s="34">
        <f t="shared" si="1"/>
        <v>4440.5599999999995</v>
      </c>
      <c r="J31" s="40">
        <f>SUM([2]主塔楼空调用电量!V30)</f>
        <v>9634</v>
      </c>
      <c r="K31" s="41">
        <v>8386</v>
      </c>
      <c r="L31" s="41">
        <f>SUM('[2]68F 高压F13&amp;F30'!F33)</f>
        <v>31299.999999998818</v>
      </c>
      <c r="M31" s="41">
        <f>SUM([2]裙楼空调用量!L30)</f>
        <v>16</v>
      </c>
      <c r="N31" s="73">
        <f t="shared" si="2"/>
        <v>6672</v>
      </c>
      <c r="O31" s="68">
        <f t="shared" si="3"/>
        <v>39685.999999998821</v>
      </c>
      <c r="P31" s="35">
        <f t="shared" si="4"/>
        <v>27954.818399999171</v>
      </c>
      <c r="Q31" s="40">
        <f>SUM('[2]B4 水表'!C33)</f>
        <v>472</v>
      </c>
      <c r="R31" s="41">
        <v>35</v>
      </c>
      <c r="S31" s="41">
        <f t="shared" si="5"/>
        <v>507</v>
      </c>
      <c r="T31" s="42">
        <f t="shared" si="6"/>
        <v>2464.02</v>
      </c>
      <c r="U31" s="37">
        <f t="shared" si="7"/>
        <v>41531.398399999169</v>
      </c>
    </row>
    <row r="32" spans="1:21" s="38" customFormat="1" ht="21.6" customHeight="1" thickBot="1" x14ac:dyDescent="0.2">
      <c r="A32" s="39">
        <v>28</v>
      </c>
      <c r="B32" s="29" t="s">
        <v>67</v>
      </c>
      <c r="C32" s="30">
        <v>520</v>
      </c>
      <c r="D32" s="31">
        <v>38.08</v>
      </c>
      <c r="E32" s="40">
        <f>SUM([2]厨房燃气!BH34)</f>
        <v>476</v>
      </c>
      <c r="F32" s="41">
        <f>SUM('[2]B1 &amp; 102F 锅炉房'!C34)</f>
        <v>803</v>
      </c>
      <c r="G32" s="41">
        <f>SUM('[2]B1 &amp; 102F 锅炉房'!H34)</f>
        <v>0</v>
      </c>
      <c r="H32" s="41">
        <f t="shared" si="8"/>
        <v>1279</v>
      </c>
      <c r="I32" s="34">
        <f t="shared" si="1"/>
        <v>4809.04</v>
      </c>
      <c r="J32" s="40">
        <f>SUM([2]主塔楼空调用电量!V31)</f>
        <v>9986</v>
      </c>
      <c r="K32" s="41">
        <v>8386</v>
      </c>
      <c r="L32" s="41">
        <f>SUM('[2]68F 高压F13&amp;F30'!F34)</f>
        <v>32000.000000002728</v>
      </c>
      <c r="M32" s="41">
        <f>SUM([2]裙楼空调用量!L31)</f>
        <v>18</v>
      </c>
      <c r="N32" s="73">
        <f t="shared" si="2"/>
        <v>7506</v>
      </c>
      <c r="O32" s="68">
        <f t="shared" si="3"/>
        <v>40386.000000002728</v>
      </c>
      <c r="P32" s="35">
        <f t="shared" si="4"/>
        <v>28447.898400001923</v>
      </c>
      <c r="Q32" s="40">
        <f>SUM('[2]B4 水表'!C34)</f>
        <v>382</v>
      </c>
      <c r="R32" s="41">
        <v>35</v>
      </c>
      <c r="S32" s="41">
        <f t="shared" si="5"/>
        <v>417</v>
      </c>
      <c r="T32" s="42">
        <f t="shared" si="6"/>
        <v>2026.6200000000001</v>
      </c>
      <c r="U32" s="37">
        <f t="shared" si="7"/>
        <v>42789.558400001923</v>
      </c>
    </row>
    <row r="33" spans="1:21" s="38" customFormat="1" ht="21.6" customHeight="1" thickBot="1" x14ac:dyDescent="0.2">
      <c r="A33" s="39">
        <v>29</v>
      </c>
      <c r="B33" s="29" t="s">
        <v>68</v>
      </c>
      <c r="C33" s="30">
        <v>0</v>
      </c>
      <c r="D33" s="31">
        <v>32.270000000000003</v>
      </c>
      <c r="E33" s="40">
        <f>SUM([2]厨房燃气!BH35)</f>
        <v>585</v>
      </c>
      <c r="F33" s="41">
        <f>SUM('[2]B1 &amp; 102F 锅炉房'!C35)</f>
        <v>826</v>
      </c>
      <c r="G33" s="41">
        <f>SUM('[2]B1 &amp; 102F 锅炉房'!H35)</f>
        <v>0</v>
      </c>
      <c r="H33" s="41">
        <f t="shared" si="8"/>
        <v>1411</v>
      </c>
      <c r="I33" s="34">
        <f t="shared" si="1"/>
        <v>5305.36</v>
      </c>
      <c r="J33" s="40">
        <f>SUM([2]主塔楼空调用电量!V32)</f>
        <v>9712</v>
      </c>
      <c r="K33" s="41">
        <v>8386</v>
      </c>
      <c r="L33" s="41">
        <f>SUM('[2]68F 高压F13&amp;F30'!F35)</f>
        <v>32899.999999997366</v>
      </c>
      <c r="M33" s="41">
        <f>SUM([2]裙楼空调用量!L32)</f>
        <v>22</v>
      </c>
      <c r="N33" s="73">
        <f t="shared" si="2"/>
        <v>9174</v>
      </c>
      <c r="O33" s="68">
        <f t="shared" si="3"/>
        <v>41285.999999997366</v>
      </c>
      <c r="P33" s="35">
        <f t="shared" si="4"/>
        <v>29081.858399998146</v>
      </c>
      <c r="Q33" s="40">
        <f>SUM('[2]B4 水表'!C35)</f>
        <v>498</v>
      </c>
      <c r="R33" s="41">
        <v>35</v>
      </c>
      <c r="S33" s="41">
        <f t="shared" si="5"/>
        <v>533</v>
      </c>
      <c r="T33" s="42">
        <f t="shared" si="6"/>
        <v>2590.38</v>
      </c>
      <c r="U33" s="37">
        <f t="shared" si="7"/>
        <v>46151.598399998147</v>
      </c>
    </row>
    <row r="34" spans="1:21" s="38" customFormat="1" ht="21.6" customHeight="1" x14ac:dyDescent="0.15">
      <c r="A34" s="39">
        <v>30</v>
      </c>
      <c r="B34" s="29" t="s">
        <v>46</v>
      </c>
      <c r="C34" s="30">
        <v>180</v>
      </c>
      <c r="D34" s="31">
        <v>46.8</v>
      </c>
      <c r="E34" s="57">
        <f>SUM([2]厨房燃气!BH36)</f>
        <v>478</v>
      </c>
      <c r="F34" s="58">
        <f>SUM('[2]B1 &amp; 102F 锅炉房'!C36)</f>
        <v>957</v>
      </c>
      <c r="G34" s="58">
        <f>SUM('[2]B1 &amp; 102F 锅炉房'!H36)</f>
        <v>0</v>
      </c>
      <c r="H34" s="58">
        <f>SUM(G34+F34+E34)</f>
        <v>1435</v>
      </c>
      <c r="I34" s="34">
        <f t="shared" si="1"/>
        <v>5395.5999999999995</v>
      </c>
      <c r="J34" s="57">
        <f>SUM([2]主塔楼空调用电量!V33)</f>
        <v>8897</v>
      </c>
      <c r="K34" s="55">
        <v>8386</v>
      </c>
      <c r="L34" s="58">
        <f>SUM('[2]68F 高压F13&amp;F30'!F36)</f>
        <v>32000.000000002728</v>
      </c>
      <c r="M34" s="76">
        <f>SUM([2]裙楼空调用量!L33)</f>
        <v>18</v>
      </c>
      <c r="N34" s="73">
        <f t="shared" si="2"/>
        <v>7506</v>
      </c>
      <c r="O34" s="68">
        <f t="shared" si="3"/>
        <v>40386.000000002728</v>
      </c>
      <c r="P34" s="35">
        <f t="shared" si="4"/>
        <v>28447.898400001923</v>
      </c>
      <c r="Q34" s="57">
        <f>SUM('[2]B4 水表'!C36)</f>
        <v>569</v>
      </c>
      <c r="R34" s="41">
        <v>35</v>
      </c>
      <c r="S34" s="58">
        <f>Q34+R34</f>
        <v>604</v>
      </c>
      <c r="T34" s="59">
        <f>S34*4.86</f>
        <v>2935.44</v>
      </c>
      <c r="U34" s="37">
        <f t="shared" si="7"/>
        <v>44284.93840000192</v>
      </c>
    </row>
    <row r="35" spans="1:21" s="38" customFormat="1" ht="21.6" customHeight="1" thickBot="1" x14ac:dyDescent="0.2">
      <c r="A35" s="84" t="s">
        <v>24</v>
      </c>
      <c r="B35" s="85"/>
      <c r="C35" s="70"/>
      <c r="D35" s="71"/>
      <c r="E35" s="60"/>
      <c r="F35" s="61"/>
      <c r="G35" s="61"/>
      <c r="H35" s="62"/>
      <c r="I35" s="63"/>
      <c r="J35" s="60"/>
      <c r="K35" s="64"/>
      <c r="L35" s="64"/>
      <c r="M35" s="64"/>
      <c r="N35" s="64"/>
      <c r="O35" s="64"/>
      <c r="P35" s="65"/>
      <c r="Q35" s="66"/>
      <c r="R35" s="64"/>
      <c r="S35" s="64"/>
      <c r="T35" s="65"/>
      <c r="U35" s="67"/>
    </row>
    <row r="36" spans="1:21" s="38" customFormat="1" ht="21.6" customHeight="1" thickBot="1" x14ac:dyDescent="0.2">
      <c r="A36" s="86" t="s">
        <v>25</v>
      </c>
      <c r="B36" s="87"/>
      <c r="C36" s="56"/>
      <c r="D36" s="56"/>
      <c r="E36" s="75">
        <f>SUM(E5:E34)</f>
        <v>11878</v>
      </c>
      <c r="F36" s="75">
        <f>SUM(F5:F34)</f>
        <v>20789</v>
      </c>
      <c r="G36" s="75">
        <f>SUM(G5:G34)</f>
        <v>5224</v>
      </c>
      <c r="H36" s="75">
        <f>SUM(H5:H34)</f>
        <v>37891</v>
      </c>
      <c r="I36" s="46">
        <f>SUM(I5:I34)</f>
        <v>142470.15999999997</v>
      </c>
      <c r="J36" s="75">
        <f>SUM(J3:J34)</f>
        <v>172266</v>
      </c>
      <c r="K36" s="75">
        <f>SUM(K3:K34)</f>
        <v>251580</v>
      </c>
      <c r="L36" s="75">
        <f>SUM(L3:L34)</f>
        <v>791599.99999999849</v>
      </c>
      <c r="M36" s="75">
        <f>SUM(M3:M34)</f>
        <v>358</v>
      </c>
      <c r="N36" s="46">
        <f>SUM(N5:N34)</f>
        <v>149286</v>
      </c>
      <c r="O36" s="75">
        <f>SUM(O5:O34)</f>
        <v>1043179.9999999985</v>
      </c>
      <c r="P36" s="46">
        <f>SUM(P5:P34)</f>
        <v>734815.99199999915</v>
      </c>
      <c r="Q36" s="46">
        <f>SUM(Q5:Q34)</f>
        <v>10316</v>
      </c>
      <c r="R36" s="47">
        <f>SUM('[2]B4 水表'!D38)</f>
        <v>0</v>
      </c>
      <c r="S36" s="47">
        <f>SUM(S5:S34)</f>
        <v>11366</v>
      </c>
      <c r="T36" s="47">
        <f>SUM(T5:T34)</f>
        <v>55238.759999999995</v>
      </c>
      <c r="U36" s="48">
        <f>SUM(U5:U34)</f>
        <v>1081810.9119999988</v>
      </c>
    </row>
    <row r="37" spans="1:21" ht="19.5" customHeight="1" x14ac:dyDescent="0.15">
      <c r="E37" s="49"/>
      <c r="F37" s="50"/>
      <c r="R37" s="20"/>
      <c r="S37" s="20"/>
      <c r="T37" s="20"/>
      <c r="U37" s="20"/>
    </row>
    <row r="38" spans="1:21" ht="18.95" customHeight="1" x14ac:dyDescent="0.15">
      <c r="E38" s="51"/>
      <c r="F38" s="50"/>
      <c r="R38" s="20"/>
      <c r="S38" s="20"/>
      <c r="T38" s="20"/>
      <c r="U38" s="20"/>
    </row>
    <row r="39" spans="1:21" ht="18.95" customHeight="1" x14ac:dyDescent="0.15">
      <c r="E39" s="52"/>
      <c r="R39" s="20"/>
      <c r="S39" s="20"/>
      <c r="T39" s="20"/>
      <c r="U39" s="20"/>
    </row>
    <row r="40" spans="1:21" ht="18.95" customHeight="1" x14ac:dyDescent="0.15"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/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5:B35"/>
    <mergeCell ref="A36:B36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