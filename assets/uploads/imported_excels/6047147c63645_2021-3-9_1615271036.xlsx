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7" i="2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2"/>
  <c r="H13" s="1"/>
  <c r="H14" s="1"/>
  <c r="H15" s="1"/>
  <c r="H16" s="1"/>
  <c r="H17" s="1"/>
  <c r="H18" s="1"/>
  <c r="F1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11" i="3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4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3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11" i="2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1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1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1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1" i="2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1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U8" i="2" l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Y36" s="1"/>
  <c r="AR36" s="1"/>
  <c r="V36"/>
  <c r="W36" s="1"/>
  <c r="I29" i="1"/>
  <c r="K12" i="5"/>
  <c r="X35" i="7" l="1"/>
  <c r="AR35"/>
  <c r="AS35" s="1"/>
  <c r="AX35" s="1"/>
  <c r="X36"/>
  <c r="I30" i="1"/>
  <c r="K13" i="5"/>
  <c r="AQ35" i="7" l="1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Q13" i="76" s="1"/>
  <c r="AS14" i="7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AY12"/>
  <c r="Q10" i="76"/>
  <c r="AY15" i="7" l="1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S34" l="1"/>
  <c r="AX34" s="1"/>
  <c r="AY34" s="1"/>
  <c r="AR33"/>
  <c r="BC36" s="1"/>
  <c r="B34" i="65"/>
  <c r="X33" i="7"/>
  <c r="Q32" i="76" l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G4" s="1"/>
  <c r="AK4"/>
  <c r="AC11" i="5"/>
  <c r="AD10"/>
  <c r="AT7" i="1"/>
  <c r="AU7" s="1"/>
  <c r="I4" i="81" s="1"/>
  <c r="AP10" i="1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C14" i="5" l="1"/>
  <c r="AD13"/>
  <c r="J10" i="3"/>
  <c r="K9"/>
  <c r="Q9"/>
  <c r="AN12" i="1"/>
  <c r="AO11"/>
  <c r="AU9"/>
  <c r="I6" i="81" s="1"/>
  <c r="N8" i="3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AT12" i="1" l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G9" s="1"/>
  <c r="AR14" i="1"/>
  <c r="AS13"/>
  <c r="AC16" i="5"/>
  <c r="AD15"/>
  <c r="AT13" i="1" l="1"/>
  <c r="AU13" s="1"/>
  <c r="I10" i="81" s="1"/>
  <c r="AR15" i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l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s="1"/>
  <c r="AT15" i="1" l="1"/>
  <c r="AU15" s="1"/>
  <c r="I12" i="81" s="1"/>
  <c r="AC19" i="5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Z13" i="3"/>
  <c r="N13"/>
  <c r="AB13" s="1"/>
  <c r="AT16" i="1" l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1" l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8"/>
  <c r="U8"/>
  <c r="AA8" s="1"/>
  <c r="AC8" s="1"/>
  <c r="AH8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<sst xmlns="http://schemas.openxmlformats.org/spreadsheetml/2006/main" count="652" uniqueCount="417">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</sst>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1198848"/>
        <c:axId val="141200384"/>
      </c:lineChart>
      <c:catAx>
        <c:axId val="14119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00384"/>
        <c:crosses val="autoZero"/>
        <c:auto val="1"/>
        <c:lblAlgn val="ctr"/>
        <c:lblOffset val="100"/>
      </c:catAx>
      <c:valAx>
        <c:axId val="141200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9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1229056"/>
        <c:axId val="101384960"/>
      </c:lineChart>
      <c:catAx>
        <c:axId val="14122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4960"/>
        <c:crosses val="autoZero"/>
        <c:auto val="1"/>
        <c:lblAlgn val="ctr"/>
        <c:lblOffset val="100"/>
      </c:catAx>
      <c:valAx>
        <c:axId val="10138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2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1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1413248"/>
        <c:axId val="101414784"/>
      </c:lineChart>
      <c:catAx>
        <c:axId val="1014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14784"/>
        <c:crosses val="autoZero"/>
        <c:auto val="1"/>
        <c:lblAlgn val="ctr"/>
        <c:lblOffset val="100"/>
      </c:catAx>
      <c:valAx>
        <c:axId val="1014147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73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1443072"/>
        <c:axId val="101444608"/>
      </c:lineChart>
      <c:catAx>
        <c:axId val="10144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4608"/>
        <c:crosses val="autoZero"/>
        <c:auto val="1"/>
        <c:lblAlgn val="ctr"/>
        <c:lblOffset val="100"/>
      </c:catAx>
      <c:valAx>
        <c:axId val="101444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2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1849728"/>
        <c:axId val="101876096"/>
      </c:lineChart>
      <c:catAx>
        <c:axId val="10184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76096"/>
        <c:crosses val="autoZero"/>
        <c:auto val="1"/>
        <c:lblAlgn val="ctr"/>
        <c:lblOffset val="100"/>
      </c:catAx>
      <c:valAx>
        <c:axId val="101876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8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1946112"/>
        <c:axId val="101947648"/>
      </c:lineChart>
      <c:catAx>
        <c:axId val="10194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47648"/>
        <c:crosses val="autoZero"/>
        <c:auto val="1"/>
        <c:lblAlgn val="ctr"/>
        <c:lblOffset val="100"/>
      </c:catAx>
      <c:valAx>
        <c:axId val="10194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4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246272"/>
        <c:axId val="102247808"/>
      </c:lineChart>
      <c:catAx>
        <c:axId val="10224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7808"/>
        <c:crosses val="autoZero"/>
        <c:auto val="1"/>
        <c:lblAlgn val="ctr"/>
        <c:lblOffset val="100"/>
      </c:catAx>
      <c:valAx>
        <c:axId val="10224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263424"/>
        <c:axId val="102269312"/>
      </c:lineChart>
      <c:catAx>
        <c:axId val="1022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9312"/>
        <c:crosses val="autoZero"/>
        <c:auto val="1"/>
        <c:lblAlgn val="ctr"/>
        <c:lblOffset val="100"/>
      </c:catAx>
      <c:valAx>
        <c:axId val="10226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170624"/>
        <c:axId val="102172160"/>
      </c:lineChart>
      <c:catAx>
        <c:axId val="10217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2160"/>
        <c:crosses val="autoZero"/>
        <c:auto val="1"/>
        <c:lblAlgn val="ctr"/>
        <c:lblOffset val="100"/>
      </c:catAx>
      <c:valAx>
        <c:axId val="102172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272"/>
          <c:w val="0.1272403315177395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212736"/>
        <c:axId val="102214272"/>
      </c:lineChart>
      <c:catAx>
        <c:axId val="10221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4272"/>
        <c:crosses val="autoZero"/>
        <c:auto val="1"/>
        <c:lblAlgn val="ctr"/>
        <c:lblOffset val="100"/>
      </c:catAx>
      <c:valAx>
        <c:axId val="10221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2385920"/>
        <c:axId val="102387712"/>
      </c:lineChart>
      <c:catAx>
        <c:axId val="10238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7712"/>
        <c:crosses val="autoZero"/>
        <c:auto val="1"/>
        <c:lblAlgn val="ctr"/>
        <c:lblOffset val="100"/>
      </c:catAx>
      <c:valAx>
        <c:axId val="10238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272"/>
          <c:w val="0.135416885389356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395264"/>
        <c:axId val="102425728"/>
      </c:lineChart>
      <c:catAx>
        <c:axId val="10239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5728"/>
        <c:crosses val="autoZero"/>
        <c:auto val="1"/>
        <c:lblAlgn val="ctr"/>
        <c:lblOffset val="100"/>
      </c:catAx>
      <c:valAx>
        <c:axId val="102425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9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27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2323328"/>
        <c:axId val="102324864"/>
      </c:lineChart>
      <c:catAx>
        <c:axId val="10232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24864"/>
        <c:crosses val="autoZero"/>
        <c:auto val="1"/>
        <c:lblAlgn val="ctr"/>
        <c:lblOffset val="100"/>
      </c:catAx>
      <c:valAx>
        <c:axId val="102324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2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2353152"/>
        <c:axId val="102363136"/>
      </c:lineChart>
      <c:catAx>
        <c:axId val="1023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63136"/>
        <c:crosses val="autoZero"/>
        <c:auto val="1"/>
        <c:lblAlgn val="ctr"/>
        <c:lblOffset val="100"/>
      </c:catAx>
      <c:valAx>
        <c:axId val="10236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272"/>
          <c:w val="0.135416885389356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440320"/>
        <c:axId val="102458496"/>
      </c:lineChart>
      <c:catAx>
        <c:axId val="10244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58496"/>
        <c:crosses val="autoZero"/>
        <c:auto val="1"/>
        <c:lblAlgn val="ctr"/>
        <c:lblOffset val="100"/>
      </c:catAx>
      <c:valAx>
        <c:axId val="102458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901"/>
          <c:y val="0.54325368498487869"/>
          <c:w val="0.11458355205599259"/>
          <c:h val="4.49826989619498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494976"/>
        <c:axId val="102496512"/>
      </c:lineChart>
      <c:catAx>
        <c:axId val="1024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6512"/>
        <c:crosses val="autoZero"/>
        <c:auto val="1"/>
        <c:lblAlgn val="ctr"/>
        <c:lblOffset val="100"/>
      </c:catAx>
      <c:valAx>
        <c:axId val="102496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48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586624"/>
        <c:axId val="102612992"/>
      </c:lineChart>
      <c:catAx>
        <c:axId val="10258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12992"/>
        <c:crosses val="autoZero"/>
        <c:auto val="1"/>
        <c:lblAlgn val="ctr"/>
        <c:lblOffset val="100"/>
      </c:catAx>
      <c:valAx>
        <c:axId val="10261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8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620544"/>
        <c:axId val="102630528"/>
      </c:lineChart>
      <c:catAx>
        <c:axId val="10262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30528"/>
        <c:crosses val="autoZero"/>
        <c:auto val="1"/>
        <c:lblAlgn val="ctr"/>
        <c:lblOffset val="100"/>
      </c:catAx>
      <c:valAx>
        <c:axId val="102630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2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679296"/>
        <c:axId val="102680832"/>
      </c:lineChart>
      <c:catAx>
        <c:axId val="1026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0832"/>
        <c:crosses val="autoZero"/>
        <c:auto val="1"/>
        <c:lblAlgn val="ctr"/>
        <c:lblOffset val="100"/>
      </c:catAx>
      <c:valAx>
        <c:axId val="102680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709120"/>
        <c:axId val="102710656"/>
      </c:lineChart>
      <c:catAx>
        <c:axId val="1027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0656"/>
        <c:crosses val="autoZero"/>
        <c:auto val="1"/>
        <c:lblAlgn val="ctr"/>
        <c:lblOffset val="100"/>
      </c:catAx>
      <c:valAx>
        <c:axId val="10271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95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730752"/>
        <c:axId val="102740736"/>
      </c:lineChart>
      <c:catAx>
        <c:axId val="10273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40736"/>
        <c:crosses val="autoZero"/>
        <c:auto val="1"/>
        <c:lblAlgn val="ctr"/>
        <c:lblOffset val="100"/>
      </c:catAx>
      <c:valAx>
        <c:axId val="10274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3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27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773120"/>
        <c:axId val="102774656"/>
      </c:lineChart>
      <c:catAx>
        <c:axId val="10277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74656"/>
        <c:crosses val="autoZero"/>
        <c:auto val="1"/>
        <c:lblAlgn val="ctr"/>
        <c:lblOffset val="100"/>
      </c:catAx>
      <c:valAx>
        <c:axId val="10277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7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285"/>
          <c:w val="0.123431181980931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2811904"/>
        <c:axId val="102817792"/>
      </c:lineChart>
      <c:catAx>
        <c:axId val="102811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7792"/>
        <c:crosses val="autoZero"/>
        <c:auto val="1"/>
        <c:lblAlgn val="ctr"/>
        <c:lblOffset val="100"/>
      </c:catAx>
      <c:valAx>
        <c:axId val="102817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06"/>
          <c:w val="0.1569039853282206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824960"/>
        <c:axId val="102859520"/>
      </c:lineChart>
      <c:catAx>
        <c:axId val="10282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59520"/>
        <c:crosses val="autoZero"/>
        <c:auto val="1"/>
        <c:lblAlgn val="ctr"/>
        <c:lblOffset val="100"/>
      </c:catAx>
      <c:valAx>
        <c:axId val="102859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2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027456"/>
        <c:axId val="103028992"/>
      </c:lineChart>
      <c:catAx>
        <c:axId val="10302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28992"/>
        <c:crosses val="autoZero"/>
        <c:auto val="1"/>
        <c:lblAlgn val="ctr"/>
        <c:lblOffset val="100"/>
      </c:catAx>
      <c:valAx>
        <c:axId val="10302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2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49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806848"/>
        <c:axId val="103808384"/>
      </c:lineChart>
      <c:catAx>
        <c:axId val="10380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08384"/>
        <c:crosses val="autoZero"/>
        <c:auto val="1"/>
        <c:lblAlgn val="ctr"/>
        <c:lblOffset val="100"/>
      </c:catAx>
      <c:valAx>
        <c:axId val="103808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0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3533952"/>
        <c:axId val="103564416"/>
      </c:lineChart>
      <c:catAx>
        <c:axId val="10353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64416"/>
        <c:crosses val="autoZero"/>
        <c:auto val="1"/>
        <c:lblAlgn val="ctr"/>
        <c:lblOffset val="100"/>
      </c:catAx>
      <c:valAx>
        <c:axId val="103564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3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48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4146816"/>
        <c:axId val="104148352"/>
      </c:lineChart>
      <c:catAx>
        <c:axId val="1041468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48352"/>
        <c:crosses val="autoZero"/>
        <c:auto val="1"/>
        <c:lblAlgn val="ctr"/>
        <c:lblOffset val="100"/>
      </c:catAx>
      <c:valAx>
        <c:axId val="1041483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0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Z33">
            <v>98681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 refreshError="1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 refreshError="1"/>
      <sheetData sheetId="9" refreshError="1"/>
      <sheetData sheetId="10" refreshError="1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0.29691551736921279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0.19346639300156979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0.1867697276796576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0.18329352892890272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5.7264162240986141E-2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0.18653433079118942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0.120149246564318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0.1558454819596499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N1" zoomScale="85" zoomScaleNormal="85" zoomScaleSheetLayoutView="100" workbookViewId="0">
      <pane ySplit="1" topLeftCell="A2" activePane="bottomLeft" state="frozen"/>
      <selection activeCell="C1" sqref="C1"/>
      <selection pane="bottomLeft" activeCell="AE10" sqref="AE1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f t="shared" ref="D10:D33" si="26">D10</f>
        <v>32664458</v>
      </c>
      <c r="E11" s="311">
        <f t="shared" si="13"/>
        <v>0</v>
      </c>
      <c r="F11" s="445">
        <f t="shared" ref="F10:F33" si="27">F10</f>
        <v>3976419</v>
      </c>
      <c r="G11" s="312">
        <f t="shared" si="0"/>
        <v>0</v>
      </c>
      <c r="H11" s="445">
        <f t="shared" ref="H10:H33" si="28">H10</f>
        <v>17810886</v>
      </c>
      <c r="I11" s="312">
        <f t="shared" si="14"/>
        <v>0</v>
      </c>
      <c r="J11" s="445">
        <f t="shared" ref="J10:J33" si="29">J10</f>
        <v>28929882</v>
      </c>
      <c r="K11" s="312">
        <f t="shared" si="15"/>
        <v>0</v>
      </c>
      <c r="L11" s="445">
        <f t="shared" ref="L10:L33" si="30">L10</f>
        <v>24069270</v>
      </c>
      <c r="M11" s="312">
        <f t="shared" si="16"/>
        <v>0</v>
      </c>
      <c r="N11" s="310">
        <f>M11+K11+I11+G11+E11</f>
        <v>0</v>
      </c>
      <c r="O11" s="467">
        <f t="shared" si="24"/>
        <v>0</v>
      </c>
      <c r="P11" s="591">
        <f t="shared" ref="P10:P33" si="31">P10</f>
        <v>16715.519</v>
      </c>
      <c r="Q11" s="449">
        <f t="shared" si="2"/>
        <v>0</v>
      </c>
      <c r="R11" s="449">
        <f t="shared" si="21"/>
        <v>0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f t="shared" ref="AA10:AA33" si="32">AA10</f>
        <v>35727</v>
      </c>
      <c r="AB11" s="449">
        <f t="shared" si="19"/>
        <v>0</v>
      </c>
      <c r="AC11" s="445">
        <f t="shared" ref="AC10:AC33" si="33">AC10</f>
        <v>921652</v>
      </c>
      <c r="AD11" s="449">
        <f t="shared" si="20"/>
        <v>0</v>
      </c>
      <c r="AE11" s="472">
        <f t="shared" si="11"/>
        <v>0</v>
      </c>
      <c r="AF11" s="473">
        <f t="shared" si="12"/>
        <v>0</v>
      </c>
      <c r="AG11" s="465">
        <f t="shared" si="25"/>
        <v>0</v>
      </c>
      <c r="AI11" s="466">
        <f>R11-'EDl log'!B9</f>
        <v>-914077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f t="shared" si="26"/>
        <v>32664458</v>
      </c>
      <c r="E12" s="311">
        <f t="shared" si="13"/>
        <v>0</v>
      </c>
      <c r="F12" s="445">
        <f t="shared" si="27"/>
        <v>3976419</v>
      </c>
      <c r="G12" s="312">
        <f t="shared" si="0"/>
        <v>0</v>
      </c>
      <c r="H12" s="445">
        <f t="shared" si="28"/>
        <v>17810886</v>
      </c>
      <c r="I12" s="312">
        <f t="shared" si="14"/>
        <v>0</v>
      </c>
      <c r="J12" s="445">
        <f t="shared" si="29"/>
        <v>28929882</v>
      </c>
      <c r="K12" s="312">
        <f t="shared" si="15"/>
        <v>0</v>
      </c>
      <c r="L12" s="445">
        <f t="shared" si="30"/>
        <v>24069270</v>
      </c>
      <c r="M12" s="312">
        <f t="shared" si="16"/>
        <v>0</v>
      </c>
      <c r="N12" s="310">
        <f>M12+K12+I12+G12+E12</f>
        <v>0</v>
      </c>
      <c r="O12" s="467">
        <f t="shared" si="24"/>
        <v>0</v>
      </c>
      <c r="P12" s="591">
        <f t="shared" si="31"/>
        <v>16715.519</v>
      </c>
      <c r="Q12" s="449">
        <f t="shared" si="2"/>
        <v>0</v>
      </c>
      <c r="R12" s="449">
        <f t="shared" si="21"/>
        <v>0</v>
      </c>
      <c r="S12" s="445">
        <f t="shared" si="7"/>
        <v>10128</v>
      </c>
      <c r="T12" s="469">
        <f t="shared" si="3"/>
        <v>0</v>
      </c>
      <c r="U12" s="445">
        <f t="shared" si="8"/>
        <v>422437</v>
      </c>
      <c r="V12" s="449">
        <f t="shared" si="18"/>
        <v>0</v>
      </c>
      <c r="W12" s="445">
        <f t="shared" si="9"/>
        <v>32246</v>
      </c>
      <c r="X12" s="449">
        <f t="shared" si="23"/>
        <v>0</v>
      </c>
      <c r="Y12" s="445">
        <f t="shared" si="10"/>
        <v>708475</v>
      </c>
      <c r="Z12" s="449">
        <f t="shared" si="22"/>
        <v>0</v>
      </c>
      <c r="AA12" s="445">
        <f t="shared" si="32"/>
        <v>35727</v>
      </c>
      <c r="AB12" s="449">
        <f t="shared" si="19"/>
        <v>0</v>
      </c>
      <c r="AC12" s="445">
        <f t="shared" si="33"/>
        <v>921652</v>
      </c>
      <c r="AD12" s="449">
        <f t="shared" si="20"/>
        <v>0</v>
      </c>
      <c r="AE12" s="472">
        <f t="shared" si="11"/>
        <v>0</v>
      </c>
      <c r="AF12" s="473">
        <f t="shared" si="12"/>
        <v>0</v>
      </c>
      <c r="AG12" s="465">
        <f t="shared" si="25"/>
        <v>0</v>
      </c>
      <c r="AI12" s="466">
        <f>R12-'EDl log'!B10</f>
        <v>-916365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si="26"/>
        <v>32664458</v>
      </c>
      <c r="E13" s="311">
        <f t="shared" si="13"/>
        <v>0</v>
      </c>
      <c r="F13" s="445">
        <f t="shared" si="27"/>
        <v>3976419</v>
      </c>
      <c r="G13" s="312">
        <f t="shared" si="0"/>
        <v>0</v>
      </c>
      <c r="H13" s="445">
        <f t="shared" si="28"/>
        <v>17810886</v>
      </c>
      <c r="I13" s="312">
        <f t="shared" si="14"/>
        <v>0</v>
      </c>
      <c r="J13" s="445">
        <f t="shared" si="29"/>
        <v>28929882</v>
      </c>
      <c r="K13" s="312">
        <f t="shared" si="15"/>
        <v>0</v>
      </c>
      <c r="L13" s="445">
        <f t="shared" si="30"/>
        <v>24069270</v>
      </c>
      <c r="M13" s="312">
        <f t="shared" si="16"/>
        <v>0</v>
      </c>
      <c r="N13" s="310">
        <f t="shared" si="17"/>
        <v>0</v>
      </c>
      <c r="O13" s="467">
        <f t="shared" si="24"/>
        <v>0</v>
      </c>
      <c r="P13" s="591">
        <f t="shared" si="31"/>
        <v>16715.519</v>
      </c>
      <c r="Q13" s="449">
        <f>(P13-P12)*1000</f>
        <v>0</v>
      </c>
      <c r="R13" s="449">
        <f t="shared" ref="R13" si="34">N13-Q13</f>
        <v>0</v>
      </c>
      <c r="S13" s="445">
        <f t="shared" si="7"/>
        <v>10128</v>
      </c>
      <c r="T13" s="469">
        <f t="shared" si="3"/>
        <v>0</v>
      </c>
      <c r="U13" s="445">
        <f t="shared" si="8"/>
        <v>422437</v>
      </c>
      <c r="V13" s="449">
        <f t="shared" si="18"/>
        <v>0</v>
      </c>
      <c r="W13" s="445">
        <f t="shared" si="9"/>
        <v>32246</v>
      </c>
      <c r="X13" s="449">
        <f t="shared" si="23"/>
        <v>0</v>
      </c>
      <c r="Y13" s="445">
        <f t="shared" si="10"/>
        <v>708475</v>
      </c>
      <c r="Z13" s="449">
        <f t="shared" si="22"/>
        <v>0</v>
      </c>
      <c r="AA13" s="445">
        <f t="shared" si="32"/>
        <v>35727</v>
      </c>
      <c r="AB13" s="449">
        <f t="shared" si="19"/>
        <v>0</v>
      </c>
      <c r="AC13" s="445">
        <f t="shared" si="33"/>
        <v>921652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25"/>
        <v>0</v>
      </c>
      <c r="AI13" s="466">
        <f>R13-'EDl log'!B11</f>
        <v>-918520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6"/>
        <v>32664458</v>
      </c>
      <c r="E14" s="311">
        <f t="shared" si="13"/>
        <v>0</v>
      </c>
      <c r="F14" s="445">
        <f t="shared" si="27"/>
        <v>3976419</v>
      </c>
      <c r="G14" s="312">
        <f t="shared" si="0"/>
        <v>0</v>
      </c>
      <c r="H14" s="445">
        <f t="shared" si="28"/>
        <v>17810886</v>
      </c>
      <c r="I14" s="312">
        <f t="shared" si="14"/>
        <v>0</v>
      </c>
      <c r="J14" s="445">
        <f t="shared" si="29"/>
        <v>28929882</v>
      </c>
      <c r="K14" s="312">
        <f t="shared" si="15"/>
        <v>0</v>
      </c>
      <c r="L14" s="445">
        <f t="shared" si="30"/>
        <v>24069270</v>
      </c>
      <c r="M14" s="312">
        <f t="shared" si="16"/>
        <v>0</v>
      </c>
      <c r="N14" s="310">
        <f t="shared" si="17"/>
        <v>0</v>
      </c>
      <c r="O14" s="467">
        <f t="shared" si="24"/>
        <v>0</v>
      </c>
      <c r="P14" s="591">
        <f t="shared" si="31"/>
        <v>16715.519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10128</v>
      </c>
      <c r="T14" s="469">
        <f t="shared" si="3"/>
        <v>0</v>
      </c>
      <c r="U14" s="445">
        <f t="shared" si="8"/>
        <v>422437</v>
      </c>
      <c r="V14" s="449">
        <f t="shared" si="18"/>
        <v>0</v>
      </c>
      <c r="W14" s="445">
        <f t="shared" si="9"/>
        <v>32246</v>
      </c>
      <c r="X14" s="449">
        <f t="shared" si="23"/>
        <v>0</v>
      </c>
      <c r="Y14" s="445">
        <f t="shared" si="10"/>
        <v>708475</v>
      </c>
      <c r="Z14" s="449">
        <f t="shared" si="22"/>
        <v>0</v>
      </c>
      <c r="AA14" s="445">
        <f t="shared" si="32"/>
        <v>35727</v>
      </c>
      <c r="AB14" s="449">
        <f t="shared" si="19"/>
        <v>0</v>
      </c>
      <c r="AC14" s="445">
        <f t="shared" si="33"/>
        <v>921652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25"/>
        <v>0</v>
      </c>
      <c r="AI14" s="466">
        <f>R14-'EDl log'!B12</f>
        <v>-918520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6"/>
        <v>32664458</v>
      </c>
      <c r="E15" s="311">
        <f t="shared" si="13"/>
        <v>0</v>
      </c>
      <c r="F15" s="445">
        <f t="shared" si="27"/>
        <v>3976419</v>
      </c>
      <c r="G15" s="312">
        <f t="shared" si="0"/>
        <v>0</v>
      </c>
      <c r="H15" s="445">
        <f t="shared" si="28"/>
        <v>17810886</v>
      </c>
      <c r="I15" s="312">
        <f t="shared" si="14"/>
        <v>0</v>
      </c>
      <c r="J15" s="445">
        <f t="shared" si="29"/>
        <v>28929882</v>
      </c>
      <c r="K15" s="312">
        <f t="shared" si="15"/>
        <v>0</v>
      </c>
      <c r="L15" s="445">
        <f t="shared" si="30"/>
        <v>24069270</v>
      </c>
      <c r="M15" s="312">
        <f t="shared" si="16"/>
        <v>0</v>
      </c>
      <c r="N15" s="310">
        <f t="shared" si="17"/>
        <v>0</v>
      </c>
      <c r="O15" s="467">
        <f t="shared" si="24"/>
        <v>0</v>
      </c>
      <c r="P15" s="591">
        <f t="shared" si="31"/>
        <v>16715.519</v>
      </c>
      <c r="Q15" s="449">
        <f t="shared" si="35"/>
        <v>0</v>
      </c>
      <c r="R15" s="449">
        <f t="shared" si="36"/>
        <v>0</v>
      </c>
      <c r="S15" s="445">
        <f t="shared" si="7"/>
        <v>10128</v>
      </c>
      <c r="T15" s="469">
        <f t="shared" si="3"/>
        <v>0</v>
      </c>
      <c r="U15" s="445">
        <f t="shared" si="8"/>
        <v>422437</v>
      </c>
      <c r="V15" s="449">
        <f t="shared" si="18"/>
        <v>0</v>
      </c>
      <c r="W15" s="445">
        <f t="shared" si="9"/>
        <v>32246</v>
      </c>
      <c r="X15" s="449">
        <f t="shared" si="23"/>
        <v>0</v>
      </c>
      <c r="Y15" s="445">
        <f t="shared" si="10"/>
        <v>708475</v>
      </c>
      <c r="Z15" s="449">
        <f t="shared" si="22"/>
        <v>0</v>
      </c>
      <c r="AA15" s="445">
        <f t="shared" si="32"/>
        <v>35727</v>
      </c>
      <c r="AB15" s="449">
        <f t="shared" si="19"/>
        <v>0</v>
      </c>
      <c r="AC15" s="445">
        <f t="shared" si="33"/>
        <v>921652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25"/>
        <v>0</v>
      </c>
      <c r="AI15" s="466">
        <f>R15-'EDl log'!B13</f>
        <v>-918520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6"/>
        <v>32664458</v>
      </c>
      <c r="E16" s="311">
        <f t="shared" si="13"/>
        <v>0</v>
      </c>
      <c r="F16" s="445">
        <f t="shared" si="27"/>
        <v>3976419</v>
      </c>
      <c r="G16" s="312">
        <f t="shared" si="0"/>
        <v>0</v>
      </c>
      <c r="H16" s="445">
        <f t="shared" si="28"/>
        <v>17810886</v>
      </c>
      <c r="I16" s="312">
        <f t="shared" si="14"/>
        <v>0</v>
      </c>
      <c r="J16" s="445">
        <f t="shared" si="29"/>
        <v>28929882</v>
      </c>
      <c r="K16" s="312">
        <f t="shared" si="15"/>
        <v>0</v>
      </c>
      <c r="L16" s="445">
        <f t="shared" si="30"/>
        <v>24069270</v>
      </c>
      <c r="M16" s="312">
        <f t="shared" si="16"/>
        <v>0</v>
      </c>
      <c r="N16" s="310">
        <f t="shared" si="17"/>
        <v>0</v>
      </c>
      <c r="O16" s="467">
        <f t="shared" si="24"/>
        <v>0</v>
      </c>
      <c r="P16" s="591">
        <f t="shared" si="31"/>
        <v>16715.519</v>
      </c>
      <c r="Q16" s="449">
        <f t="shared" si="35"/>
        <v>0</v>
      </c>
      <c r="R16" s="449">
        <f t="shared" si="36"/>
        <v>0</v>
      </c>
      <c r="S16" s="445">
        <f t="shared" si="7"/>
        <v>10128</v>
      </c>
      <c r="T16" s="469">
        <f t="shared" si="3"/>
        <v>0</v>
      </c>
      <c r="U16" s="445">
        <f t="shared" si="8"/>
        <v>422437</v>
      </c>
      <c r="V16" s="449">
        <f t="shared" si="18"/>
        <v>0</v>
      </c>
      <c r="W16" s="445">
        <f t="shared" si="9"/>
        <v>32246</v>
      </c>
      <c r="X16" s="449">
        <f>W16-W15</f>
        <v>0</v>
      </c>
      <c r="Y16" s="445">
        <f t="shared" si="10"/>
        <v>708475</v>
      </c>
      <c r="Z16" s="449">
        <f>Y16-Y15</f>
        <v>0</v>
      </c>
      <c r="AA16" s="445">
        <f t="shared" si="32"/>
        <v>35727</v>
      </c>
      <c r="AB16" s="449">
        <f>AA16-AA15</f>
        <v>0</v>
      </c>
      <c r="AC16" s="445">
        <f t="shared" si="33"/>
        <v>921652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25"/>
        <v>0</v>
      </c>
      <c r="AI16" s="466">
        <f>R16-'EDl log'!B14</f>
        <v>-918520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6"/>
        <v>32664458</v>
      </c>
      <c r="E17" s="311">
        <f t="shared" si="13"/>
        <v>0</v>
      </c>
      <c r="F17" s="445">
        <f t="shared" si="27"/>
        <v>3976419</v>
      </c>
      <c r="G17" s="312">
        <f t="shared" si="0"/>
        <v>0</v>
      </c>
      <c r="H17" s="445">
        <f t="shared" si="28"/>
        <v>17810886</v>
      </c>
      <c r="I17" s="312">
        <f t="shared" si="14"/>
        <v>0</v>
      </c>
      <c r="J17" s="445">
        <f t="shared" si="29"/>
        <v>28929882</v>
      </c>
      <c r="K17" s="312">
        <f t="shared" si="15"/>
        <v>0</v>
      </c>
      <c r="L17" s="445">
        <f t="shared" si="30"/>
        <v>24069270</v>
      </c>
      <c r="M17" s="312">
        <f t="shared" si="16"/>
        <v>0</v>
      </c>
      <c r="N17" s="310">
        <f t="shared" si="17"/>
        <v>0</v>
      </c>
      <c r="O17" s="467">
        <f t="shared" si="24"/>
        <v>0</v>
      </c>
      <c r="P17" s="591">
        <f t="shared" si="31"/>
        <v>16715.519</v>
      </c>
      <c r="Q17" s="449">
        <f t="shared" si="35"/>
        <v>0</v>
      </c>
      <c r="R17" s="449">
        <f t="shared" si="36"/>
        <v>0</v>
      </c>
      <c r="S17" s="445">
        <f t="shared" si="7"/>
        <v>10128</v>
      </c>
      <c r="T17" s="469">
        <f t="shared" si="3"/>
        <v>0</v>
      </c>
      <c r="U17" s="445">
        <f t="shared" si="8"/>
        <v>422437</v>
      </c>
      <c r="V17" s="449">
        <f t="shared" si="18"/>
        <v>0</v>
      </c>
      <c r="W17" s="445">
        <f t="shared" si="9"/>
        <v>32246</v>
      </c>
      <c r="X17" s="449">
        <f t="shared" si="23"/>
        <v>0</v>
      </c>
      <c r="Y17" s="445">
        <f t="shared" si="10"/>
        <v>708475</v>
      </c>
      <c r="Z17" s="449">
        <f t="shared" si="22"/>
        <v>0</v>
      </c>
      <c r="AA17" s="445">
        <f t="shared" si="32"/>
        <v>35727</v>
      </c>
      <c r="AB17" s="449">
        <f t="shared" si="19"/>
        <v>0</v>
      </c>
      <c r="AC17" s="445">
        <f t="shared" si="33"/>
        <v>921652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25"/>
        <v>0</v>
      </c>
      <c r="AI17" s="466">
        <f>R17-'EDl log'!B15</f>
        <v>-918520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6"/>
        <v>32664458</v>
      </c>
      <c r="E18" s="311">
        <f t="shared" si="13"/>
        <v>0</v>
      </c>
      <c r="F18" s="445">
        <f t="shared" si="27"/>
        <v>3976419</v>
      </c>
      <c r="G18" s="312">
        <f t="shared" si="0"/>
        <v>0</v>
      </c>
      <c r="H18" s="445">
        <f t="shared" si="28"/>
        <v>17810886</v>
      </c>
      <c r="I18" s="312">
        <f t="shared" si="14"/>
        <v>0</v>
      </c>
      <c r="J18" s="445">
        <f t="shared" si="29"/>
        <v>28929882</v>
      </c>
      <c r="K18" s="312">
        <f t="shared" si="15"/>
        <v>0</v>
      </c>
      <c r="L18" s="445">
        <f t="shared" si="30"/>
        <v>24069270</v>
      </c>
      <c r="M18" s="312">
        <f t="shared" si="16"/>
        <v>0</v>
      </c>
      <c r="N18" s="310">
        <f t="shared" si="17"/>
        <v>0</v>
      </c>
      <c r="O18" s="467">
        <f t="shared" si="24"/>
        <v>0</v>
      </c>
      <c r="P18" s="591">
        <f t="shared" si="31"/>
        <v>16715.519</v>
      </c>
      <c r="Q18" s="449">
        <f t="shared" si="35"/>
        <v>0</v>
      </c>
      <c r="R18" s="449">
        <f t="shared" si="36"/>
        <v>0</v>
      </c>
      <c r="S18" s="445">
        <f t="shared" si="7"/>
        <v>10128</v>
      </c>
      <c r="T18" s="469">
        <f t="shared" si="3"/>
        <v>0</v>
      </c>
      <c r="U18" s="445">
        <f t="shared" si="8"/>
        <v>422437</v>
      </c>
      <c r="V18" s="449">
        <f t="shared" si="18"/>
        <v>0</v>
      </c>
      <c r="W18" s="445">
        <f t="shared" si="9"/>
        <v>32246</v>
      </c>
      <c r="X18" s="449">
        <f t="shared" si="23"/>
        <v>0</v>
      </c>
      <c r="Y18" s="445">
        <f t="shared" si="10"/>
        <v>708475</v>
      </c>
      <c r="Z18" s="449">
        <f t="shared" si="22"/>
        <v>0</v>
      </c>
      <c r="AA18" s="445">
        <f t="shared" si="32"/>
        <v>35727</v>
      </c>
      <c r="AB18" s="449">
        <f t="shared" si="19"/>
        <v>0</v>
      </c>
      <c r="AC18" s="445">
        <f t="shared" si="33"/>
        <v>921652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25"/>
        <v>0</v>
      </c>
      <c r="AI18" s="466">
        <f>R18-'EDl log'!B16</f>
        <v>-918520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6"/>
        <v>32664458</v>
      </c>
      <c r="E19" s="311">
        <f t="shared" si="13"/>
        <v>0</v>
      </c>
      <c r="F19" s="445">
        <f t="shared" si="27"/>
        <v>3976419</v>
      </c>
      <c r="G19" s="312">
        <f t="shared" si="0"/>
        <v>0</v>
      </c>
      <c r="H19" s="445">
        <f t="shared" si="28"/>
        <v>17810886</v>
      </c>
      <c r="I19" s="312">
        <f t="shared" si="14"/>
        <v>0</v>
      </c>
      <c r="J19" s="445">
        <f t="shared" si="29"/>
        <v>28929882</v>
      </c>
      <c r="K19" s="312">
        <f t="shared" si="15"/>
        <v>0</v>
      </c>
      <c r="L19" s="445">
        <f t="shared" si="30"/>
        <v>24069270</v>
      </c>
      <c r="M19" s="312">
        <f t="shared" si="16"/>
        <v>0</v>
      </c>
      <c r="N19" s="310">
        <f t="shared" si="17"/>
        <v>0</v>
      </c>
      <c r="O19" s="467">
        <f t="shared" si="24"/>
        <v>0</v>
      </c>
      <c r="P19" s="591">
        <f t="shared" si="31"/>
        <v>16715.519</v>
      </c>
      <c r="Q19" s="449">
        <f t="shared" si="35"/>
        <v>0</v>
      </c>
      <c r="R19" s="449">
        <f t="shared" si="36"/>
        <v>0</v>
      </c>
      <c r="S19" s="445">
        <f t="shared" si="7"/>
        <v>10128</v>
      </c>
      <c r="T19" s="469">
        <f t="shared" si="3"/>
        <v>0</v>
      </c>
      <c r="U19" s="445">
        <f t="shared" si="8"/>
        <v>422437</v>
      </c>
      <c r="V19" s="449">
        <f t="shared" si="18"/>
        <v>0</v>
      </c>
      <c r="W19" s="445">
        <f t="shared" si="9"/>
        <v>32246</v>
      </c>
      <c r="X19" s="449">
        <f t="shared" si="23"/>
        <v>0</v>
      </c>
      <c r="Y19" s="445">
        <f t="shared" si="10"/>
        <v>708475</v>
      </c>
      <c r="Z19" s="449">
        <f t="shared" si="22"/>
        <v>0</v>
      </c>
      <c r="AA19" s="445">
        <f t="shared" si="32"/>
        <v>35727</v>
      </c>
      <c r="AB19" s="449">
        <f t="shared" si="19"/>
        <v>0</v>
      </c>
      <c r="AC19" s="445">
        <f t="shared" si="33"/>
        <v>921652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25"/>
        <v>0</v>
      </c>
      <c r="AI19" s="466">
        <f>R19-'EDl log'!B17</f>
        <v>-918520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6"/>
        <v>32664458</v>
      </c>
      <c r="E20" s="311">
        <f t="shared" si="13"/>
        <v>0</v>
      </c>
      <c r="F20" s="445">
        <f t="shared" si="27"/>
        <v>3976419</v>
      </c>
      <c r="G20" s="312">
        <f t="shared" si="0"/>
        <v>0</v>
      </c>
      <c r="H20" s="445">
        <f t="shared" si="28"/>
        <v>17810886</v>
      </c>
      <c r="I20" s="312">
        <f t="shared" si="14"/>
        <v>0</v>
      </c>
      <c r="J20" s="445">
        <f t="shared" si="29"/>
        <v>28929882</v>
      </c>
      <c r="K20" s="312">
        <f t="shared" si="15"/>
        <v>0</v>
      </c>
      <c r="L20" s="445">
        <f t="shared" si="30"/>
        <v>24069270</v>
      </c>
      <c r="M20" s="312">
        <f t="shared" si="16"/>
        <v>0</v>
      </c>
      <c r="N20" s="310">
        <f t="shared" si="17"/>
        <v>0</v>
      </c>
      <c r="O20" s="467">
        <f t="shared" si="24"/>
        <v>0</v>
      </c>
      <c r="P20" s="591">
        <f t="shared" si="31"/>
        <v>16715.519</v>
      </c>
      <c r="Q20" s="449">
        <f t="shared" si="35"/>
        <v>0</v>
      </c>
      <c r="R20" s="449">
        <f t="shared" si="36"/>
        <v>0</v>
      </c>
      <c r="S20" s="445">
        <f t="shared" si="7"/>
        <v>10128</v>
      </c>
      <c r="T20" s="469">
        <f t="shared" si="3"/>
        <v>0</v>
      </c>
      <c r="U20" s="445">
        <f t="shared" si="8"/>
        <v>422437</v>
      </c>
      <c r="V20" s="449">
        <f t="shared" si="18"/>
        <v>0</v>
      </c>
      <c r="W20" s="445">
        <f t="shared" si="9"/>
        <v>32246</v>
      </c>
      <c r="X20" s="449">
        <f t="shared" si="23"/>
        <v>0</v>
      </c>
      <c r="Y20" s="445">
        <f t="shared" si="10"/>
        <v>708475</v>
      </c>
      <c r="Z20" s="449">
        <f t="shared" si="22"/>
        <v>0</v>
      </c>
      <c r="AA20" s="445">
        <f t="shared" si="32"/>
        <v>35727</v>
      </c>
      <c r="AB20" s="449">
        <f t="shared" si="19"/>
        <v>0</v>
      </c>
      <c r="AC20" s="445">
        <f t="shared" si="33"/>
        <v>921652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25"/>
        <v>0</v>
      </c>
      <c r="AI20" s="466">
        <f>R20-'EDl log'!B18</f>
        <v>-918520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6"/>
        <v>32664458</v>
      </c>
      <c r="E21" s="311">
        <f t="shared" si="13"/>
        <v>0</v>
      </c>
      <c r="F21" s="445">
        <f t="shared" si="27"/>
        <v>3976419</v>
      </c>
      <c r="G21" s="312">
        <f t="shared" si="0"/>
        <v>0</v>
      </c>
      <c r="H21" s="445">
        <f t="shared" si="28"/>
        <v>17810886</v>
      </c>
      <c r="I21" s="312">
        <f t="shared" si="14"/>
        <v>0</v>
      </c>
      <c r="J21" s="445">
        <f t="shared" si="29"/>
        <v>28929882</v>
      </c>
      <c r="K21" s="312">
        <f t="shared" si="15"/>
        <v>0</v>
      </c>
      <c r="L21" s="445">
        <f t="shared" si="30"/>
        <v>24069270</v>
      </c>
      <c r="M21" s="312">
        <f t="shared" si="16"/>
        <v>0</v>
      </c>
      <c r="N21" s="310">
        <f t="shared" si="17"/>
        <v>0</v>
      </c>
      <c r="O21" s="467">
        <f t="shared" si="24"/>
        <v>0</v>
      </c>
      <c r="P21" s="591">
        <f t="shared" si="31"/>
        <v>16715.519</v>
      </c>
      <c r="Q21" s="449">
        <f t="shared" si="35"/>
        <v>0</v>
      </c>
      <c r="R21" s="449">
        <f t="shared" si="36"/>
        <v>0</v>
      </c>
      <c r="S21" s="445">
        <f t="shared" si="7"/>
        <v>10128</v>
      </c>
      <c r="T21" s="469">
        <f t="shared" si="3"/>
        <v>0</v>
      </c>
      <c r="U21" s="445">
        <f t="shared" si="8"/>
        <v>422437</v>
      </c>
      <c r="V21" s="449">
        <f t="shared" si="18"/>
        <v>0</v>
      </c>
      <c r="W21" s="445">
        <f t="shared" si="9"/>
        <v>32246</v>
      </c>
      <c r="X21" s="449">
        <f t="shared" si="23"/>
        <v>0</v>
      </c>
      <c r="Y21" s="445">
        <f t="shared" si="10"/>
        <v>708475</v>
      </c>
      <c r="Z21" s="449">
        <f t="shared" si="22"/>
        <v>0</v>
      </c>
      <c r="AA21" s="445">
        <f t="shared" si="32"/>
        <v>35727</v>
      </c>
      <c r="AB21" s="449">
        <f t="shared" si="19"/>
        <v>0</v>
      </c>
      <c r="AC21" s="445">
        <f t="shared" si="33"/>
        <v>921652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25"/>
        <v>0</v>
      </c>
      <c r="AI21" s="466">
        <f>R21-'EDl log'!B19</f>
        <v>-918520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6"/>
        <v>32664458</v>
      </c>
      <c r="E22" s="311">
        <f t="shared" si="13"/>
        <v>0</v>
      </c>
      <c r="F22" s="445">
        <f t="shared" si="27"/>
        <v>3976419</v>
      </c>
      <c r="G22" s="312">
        <f t="shared" si="0"/>
        <v>0</v>
      </c>
      <c r="H22" s="445">
        <f t="shared" si="28"/>
        <v>17810886</v>
      </c>
      <c r="I22" s="312">
        <f t="shared" si="14"/>
        <v>0</v>
      </c>
      <c r="J22" s="445">
        <f t="shared" si="29"/>
        <v>28929882</v>
      </c>
      <c r="K22" s="312">
        <f t="shared" si="15"/>
        <v>0</v>
      </c>
      <c r="L22" s="445">
        <f t="shared" si="30"/>
        <v>24069270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si="31"/>
        <v>16715.519</v>
      </c>
      <c r="Q22" s="449">
        <f t="shared" si="35"/>
        <v>0</v>
      </c>
      <c r="R22" s="449">
        <f t="shared" si="36"/>
        <v>0</v>
      </c>
      <c r="S22" s="445">
        <f t="shared" si="7"/>
        <v>10128</v>
      </c>
      <c r="T22" s="469">
        <f t="shared" si="3"/>
        <v>0</v>
      </c>
      <c r="U22" s="445">
        <f t="shared" si="8"/>
        <v>422437</v>
      </c>
      <c r="V22" s="449">
        <f t="shared" si="18"/>
        <v>0</v>
      </c>
      <c r="W22" s="445">
        <f t="shared" si="9"/>
        <v>32246</v>
      </c>
      <c r="X22" s="449">
        <f t="shared" si="23"/>
        <v>0</v>
      </c>
      <c r="Y22" s="445">
        <f t="shared" si="10"/>
        <v>708475</v>
      </c>
      <c r="Z22" s="449">
        <f t="shared" si="22"/>
        <v>0</v>
      </c>
      <c r="AA22" s="445">
        <f t="shared" si="32"/>
        <v>35727</v>
      </c>
      <c r="AB22" s="449">
        <f t="shared" si="19"/>
        <v>0</v>
      </c>
      <c r="AC22" s="445">
        <f t="shared" si="33"/>
        <v>921652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-918520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6"/>
        <v>32664458</v>
      </c>
      <c r="E23" s="311">
        <f t="shared" si="13"/>
        <v>0</v>
      </c>
      <c r="F23" s="445">
        <f t="shared" si="27"/>
        <v>3976419</v>
      </c>
      <c r="G23" s="312">
        <f t="shared" si="0"/>
        <v>0</v>
      </c>
      <c r="H23" s="445">
        <f t="shared" si="28"/>
        <v>17810886</v>
      </c>
      <c r="I23" s="438">
        <f t="shared" si="14"/>
        <v>0</v>
      </c>
      <c r="J23" s="445">
        <f t="shared" si="29"/>
        <v>28929882</v>
      </c>
      <c r="K23" s="312">
        <f t="shared" si="15"/>
        <v>0</v>
      </c>
      <c r="L23" s="445">
        <f t="shared" si="30"/>
        <v>24069270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1"/>
        <v>16715.519</v>
      </c>
      <c r="Q23" s="449">
        <f t="shared" si="35"/>
        <v>0</v>
      </c>
      <c r="R23" s="449">
        <f t="shared" si="36"/>
        <v>0</v>
      </c>
      <c r="S23" s="445">
        <f t="shared" si="7"/>
        <v>10128</v>
      </c>
      <c r="T23" s="469">
        <f t="shared" si="3"/>
        <v>0</v>
      </c>
      <c r="U23" s="445">
        <f t="shared" si="8"/>
        <v>422437</v>
      </c>
      <c r="V23" s="449">
        <f t="shared" si="18"/>
        <v>0</v>
      </c>
      <c r="W23" s="445">
        <f t="shared" si="9"/>
        <v>32246</v>
      </c>
      <c r="X23" s="449">
        <f t="shared" si="23"/>
        <v>0</v>
      </c>
      <c r="Y23" s="445">
        <f t="shared" si="10"/>
        <v>708475</v>
      </c>
      <c r="Z23" s="449">
        <f t="shared" si="22"/>
        <v>0</v>
      </c>
      <c r="AA23" s="445">
        <f t="shared" si="32"/>
        <v>35727</v>
      </c>
      <c r="AB23" s="449">
        <f t="shared" si="19"/>
        <v>0</v>
      </c>
      <c r="AC23" s="445">
        <f t="shared" si="33"/>
        <v>921652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-918520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6"/>
        <v>32664458</v>
      </c>
      <c r="E24" s="311">
        <f t="shared" si="13"/>
        <v>0</v>
      </c>
      <c r="F24" s="445">
        <f t="shared" si="27"/>
        <v>3976419</v>
      </c>
      <c r="G24" s="312">
        <f t="shared" si="0"/>
        <v>0</v>
      </c>
      <c r="H24" s="445">
        <f t="shared" si="28"/>
        <v>17810886</v>
      </c>
      <c r="I24" s="312">
        <f t="shared" si="14"/>
        <v>0</v>
      </c>
      <c r="J24" s="445">
        <f t="shared" si="29"/>
        <v>28929882</v>
      </c>
      <c r="K24" s="312">
        <f t="shared" si="15"/>
        <v>0</v>
      </c>
      <c r="L24" s="445">
        <f t="shared" si="30"/>
        <v>24069270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1"/>
        <v>16715.519</v>
      </c>
      <c r="Q24" s="449">
        <f t="shared" si="35"/>
        <v>0</v>
      </c>
      <c r="R24" s="449">
        <f t="shared" si="36"/>
        <v>0</v>
      </c>
      <c r="S24" s="445">
        <f t="shared" si="7"/>
        <v>10128</v>
      </c>
      <c r="T24" s="469">
        <f t="shared" si="3"/>
        <v>0</v>
      </c>
      <c r="U24" s="445">
        <f t="shared" si="8"/>
        <v>422437</v>
      </c>
      <c r="V24" s="449">
        <f t="shared" si="18"/>
        <v>0</v>
      </c>
      <c r="W24" s="445">
        <f t="shared" si="9"/>
        <v>32246</v>
      </c>
      <c r="X24" s="449">
        <f t="shared" si="23"/>
        <v>0</v>
      </c>
      <c r="Y24" s="445">
        <f t="shared" si="10"/>
        <v>708475</v>
      </c>
      <c r="Z24" s="449">
        <f t="shared" si="22"/>
        <v>0</v>
      </c>
      <c r="AA24" s="445">
        <f t="shared" si="32"/>
        <v>35727</v>
      </c>
      <c r="AB24" s="449">
        <f t="shared" si="19"/>
        <v>0</v>
      </c>
      <c r="AC24" s="445">
        <f t="shared" si="33"/>
        <v>921652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-918520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6"/>
        <v>32664458</v>
      </c>
      <c r="E25" s="311">
        <f t="shared" si="13"/>
        <v>0</v>
      </c>
      <c r="F25" s="445">
        <f t="shared" si="27"/>
        <v>3976419</v>
      </c>
      <c r="G25" s="312">
        <f t="shared" si="0"/>
        <v>0</v>
      </c>
      <c r="H25" s="445">
        <f t="shared" si="28"/>
        <v>17810886</v>
      </c>
      <c r="I25" s="312">
        <f t="shared" si="14"/>
        <v>0</v>
      </c>
      <c r="J25" s="445">
        <f t="shared" si="29"/>
        <v>28929882</v>
      </c>
      <c r="K25" s="312">
        <f t="shared" si="15"/>
        <v>0</v>
      </c>
      <c r="L25" s="445">
        <f t="shared" si="30"/>
        <v>24069270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1"/>
        <v>16715.519</v>
      </c>
      <c r="Q25" s="449">
        <f t="shared" si="35"/>
        <v>0</v>
      </c>
      <c r="R25" s="449">
        <f t="shared" si="36"/>
        <v>0</v>
      </c>
      <c r="S25" s="445">
        <f t="shared" si="7"/>
        <v>10128</v>
      </c>
      <c r="T25" s="469">
        <f t="shared" si="3"/>
        <v>0</v>
      </c>
      <c r="U25" s="445">
        <f t="shared" si="8"/>
        <v>422437</v>
      </c>
      <c r="V25" s="449">
        <f t="shared" si="18"/>
        <v>0</v>
      </c>
      <c r="W25" s="445">
        <f t="shared" si="9"/>
        <v>32246</v>
      </c>
      <c r="X25" s="449">
        <f t="shared" si="23"/>
        <v>0</v>
      </c>
      <c r="Y25" s="445">
        <f t="shared" si="10"/>
        <v>708475</v>
      </c>
      <c r="Z25" s="449">
        <f t="shared" si="22"/>
        <v>0</v>
      </c>
      <c r="AA25" s="445">
        <f t="shared" si="32"/>
        <v>35727</v>
      </c>
      <c r="AB25" s="449">
        <f t="shared" si="19"/>
        <v>0</v>
      </c>
      <c r="AC25" s="445">
        <f t="shared" si="33"/>
        <v>921652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-918520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6"/>
        <v>32664458</v>
      </c>
      <c r="E26" s="311">
        <f t="shared" si="13"/>
        <v>0</v>
      </c>
      <c r="F26" s="445">
        <f t="shared" si="27"/>
        <v>3976419</v>
      </c>
      <c r="G26" s="312">
        <f t="shared" si="0"/>
        <v>0</v>
      </c>
      <c r="H26" s="445">
        <f t="shared" si="28"/>
        <v>17810886</v>
      </c>
      <c r="I26" s="312">
        <f t="shared" si="14"/>
        <v>0</v>
      </c>
      <c r="J26" s="445">
        <f t="shared" si="29"/>
        <v>28929882</v>
      </c>
      <c r="K26" s="312">
        <f t="shared" si="15"/>
        <v>0</v>
      </c>
      <c r="L26" s="445">
        <f t="shared" si="30"/>
        <v>24069270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1"/>
        <v>16715.519</v>
      </c>
      <c r="Q26" s="449">
        <f t="shared" si="35"/>
        <v>0</v>
      </c>
      <c r="R26" s="449">
        <f t="shared" si="36"/>
        <v>0</v>
      </c>
      <c r="S26" s="445">
        <f t="shared" si="7"/>
        <v>10128</v>
      </c>
      <c r="T26" s="469">
        <f t="shared" si="3"/>
        <v>0</v>
      </c>
      <c r="U26" s="445">
        <f t="shared" si="8"/>
        <v>422437</v>
      </c>
      <c r="V26" s="449">
        <f t="shared" si="18"/>
        <v>0</v>
      </c>
      <c r="W26" s="445">
        <f t="shared" si="9"/>
        <v>32246</v>
      </c>
      <c r="X26" s="449">
        <f t="shared" si="23"/>
        <v>0</v>
      </c>
      <c r="Y26" s="445">
        <f t="shared" si="10"/>
        <v>708475</v>
      </c>
      <c r="Z26" s="449">
        <f t="shared" si="22"/>
        <v>0</v>
      </c>
      <c r="AA26" s="445">
        <f t="shared" si="32"/>
        <v>35727</v>
      </c>
      <c r="AB26" s="449">
        <f t="shared" si="19"/>
        <v>0</v>
      </c>
      <c r="AC26" s="445">
        <f t="shared" si="33"/>
        <v>921652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-918520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6"/>
        <v>32664458</v>
      </c>
      <c r="E27" s="311">
        <f t="shared" si="13"/>
        <v>0</v>
      </c>
      <c r="F27" s="445">
        <f t="shared" si="27"/>
        <v>3976419</v>
      </c>
      <c r="G27" s="312">
        <f>F27-F26</f>
        <v>0</v>
      </c>
      <c r="H27" s="445">
        <f t="shared" si="28"/>
        <v>17810886</v>
      </c>
      <c r="I27" s="312">
        <f t="shared" si="14"/>
        <v>0</v>
      </c>
      <c r="J27" s="445">
        <f t="shared" si="29"/>
        <v>28929882</v>
      </c>
      <c r="K27" s="312">
        <f t="shared" si="15"/>
        <v>0</v>
      </c>
      <c r="L27" s="445">
        <f t="shared" si="30"/>
        <v>24069270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1"/>
        <v>16715.519</v>
      </c>
      <c r="Q27" s="449">
        <f t="shared" si="35"/>
        <v>0</v>
      </c>
      <c r="R27" s="449">
        <f t="shared" si="36"/>
        <v>0</v>
      </c>
      <c r="S27" s="445">
        <f t="shared" si="7"/>
        <v>10128</v>
      </c>
      <c r="T27" s="469">
        <f t="shared" si="3"/>
        <v>0</v>
      </c>
      <c r="U27" s="445">
        <f t="shared" si="8"/>
        <v>422437</v>
      </c>
      <c r="V27" s="449">
        <f t="shared" si="18"/>
        <v>0</v>
      </c>
      <c r="W27" s="445">
        <f t="shared" si="9"/>
        <v>32246</v>
      </c>
      <c r="X27" s="449">
        <f t="shared" si="23"/>
        <v>0</v>
      </c>
      <c r="Y27" s="445">
        <f t="shared" si="10"/>
        <v>708475</v>
      </c>
      <c r="Z27" s="449">
        <f t="shared" si="22"/>
        <v>0</v>
      </c>
      <c r="AA27" s="445">
        <f t="shared" si="32"/>
        <v>35727</v>
      </c>
      <c r="AB27" s="449">
        <f t="shared" si="19"/>
        <v>0</v>
      </c>
      <c r="AC27" s="445">
        <f t="shared" si="33"/>
        <v>921652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-918520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6"/>
        <v>32664458</v>
      </c>
      <c r="E28" s="311">
        <f t="shared" si="13"/>
        <v>0</v>
      </c>
      <c r="F28" s="445">
        <f t="shared" si="27"/>
        <v>3976419</v>
      </c>
      <c r="G28" s="312">
        <f t="shared" si="0"/>
        <v>0</v>
      </c>
      <c r="H28" s="445">
        <f t="shared" si="28"/>
        <v>17810886</v>
      </c>
      <c r="I28" s="312">
        <f t="shared" si="14"/>
        <v>0</v>
      </c>
      <c r="J28" s="445">
        <f t="shared" si="29"/>
        <v>28929882</v>
      </c>
      <c r="K28" s="312">
        <f t="shared" si="15"/>
        <v>0</v>
      </c>
      <c r="L28" s="445">
        <f t="shared" si="30"/>
        <v>24069270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1"/>
        <v>16715.519</v>
      </c>
      <c r="Q28" s="449">
        <f t="shared" si="35"/>
        <v>0</v>
      </c>
      <c r="R28" s="449">
        <f t="shared" si="36"/>
        <v>0</v>
      </c>
      <c r="S28" s="445">
        <f t="shared" si="7"/>
        <v>10128</v>
      </c>
      <c r="T28" s="469">
        <f t="shared" si="3"/>
        <v>0</v>
      </c>
      <c r="U28" s="445">
        <f t="shared" si="8"/>
        <v>422437</v>
      </c>
      <c r="V28" s="449">
        <f t="shared" si="18"/>
        <v>0</v>
      </c>
      <c r="W28" s="445">
        <f t="shared" si="9"/>
        <v>32246</v>
      </c>
      <c r="X28" s="449">
        <f t="shared" si="23"/>
        <v>0</v>
      </c>
      <c r="Y28" s="445">
        <f t="shared" si="10"/>
        <v>708475</v>
      </c>
      <c r="Z28" s="449">
        <f t="shared" si="22"/>
        <v>0</v>
      </c>
      <c r="AA28" s="445">
        <f t="shared" si="32"/>
        <v>35727</v>
      </c>
      <c r="AB28" s="449">
        <f t="shared" si="19"/>
        <v>0</v>
      </c>
      <c r="AC28" s="445">
        <f t="shared" si="33"/>
        <v>921652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-918520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6"/>
        <v>32664458</v>
      </c>
      <c r="E29" s="311">
        <f t="shared" si="13"/>
        <v>0</v>
      </c>
      <c r="F29" s="445">
        <f t="shared" si="27"/>
        <v>3976419</v>
      </c>
      <c r="G29" s="312">
        <f t="shared" si="0"/>
        <v>0</v>
      </c>
      <c r="H29" s="445">
        <f t="shared" si="28"/>
        <v>17810886</v>
      </c>
      <c r="I29" s="312">
        <f t="shared" si="14"/>
        <v>0</v>
      </c>
      <c r="J29" s="445">
        <f t="shared" si="29"/>
        <v>28929882</v>
      </c>
      <c r="K29" s="312">
        <f t="shared" si="15"/>
        <v>0</v>
      </c>
      <c r="L29" s="445">
        <f t="shared" si="30"/>
        <v>24069270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1"/>
        <v>16715.519</v>
      </c>
      <c r="Q29" s="449">
        <f t="shared" si="35"/>
        <v>0</v>
      </c>
      <c r="R29" s="449">
        <f t="shared" si="36"/>
        <v>0</v>
      </c>
      <c r="S29" s="445">
        <f t="shared" si="7"/>
        <v>10128</v>
      </c>
      <c r="T29" s="469">
        <f t="shared" si="3"/>
        <v>0</v>
      </c>
      <c r="U29" s="445">
        <f t="shared" si="8"/>
        <v>422437</v>
      </c>
      <c r="V29" s="449">
        <f t="shared" si="18"/>
        <v>0</v>
      </c>
      <c r="W29" s="445">
        <f t="shared" si="9"/>
        <v>32246</v>
      </c>
      <c r="X29" s="449">
        <f t="shared" si="23"/>
        <v>0</v>
      </c>
      <c r="Y29" s="445">
        <f t="shared" si="10"/>
        <v>708475</v>
      </c>
      <c r="Z29" s="449">
        <f t="shared" si="22"/>
        <v>0</v>
      </c>
      <c r="AA29" s="445">
        <f t="shared" si="32"/>
        <v>35727</v>
      </c>
      <c r="AB29" s="449">
        <f t="shared" si="19"/>
        <v>0</v>
      </c>
      <c r="AC29" s="445">
        <f t="shared" si="33"/>
        <v>921652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-918520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6"/>
        <v>32664458</v>
      </c>
      <c r="E30" s="311">
        <f t="shared" si="13"/>
        <v>0</v>
      </c>
      <c r="F30" s="445">
        <f t="shared" si="27"/>
        <v>3976419</v>
      </c>
      <c r="G30" s="312">
        <f t="shared" si="0"/>
        <v>0</v>
      </c>
      <c r="H30" s="445">
        <f t="shared" si="28"/>
        <v>17810886</v>
      </c>
      <c r="I30" s="312">
        <f t="shared" si="14"/>
        <v>0</v>
      </c>
      <c r="J30" s="445">
        <f t="shared" si="29"/>
        <v>28929882</v>
      </c>
      <c r="K30" s="312">
        <f t="shared" si="15"/>
        <v>0</v>
      </c>
      <c r="L30" s="445">
        <f t="shared" si="30"/>
        <v>24069270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1"/>
        <v>16715.519</v>
      </c>
      <c r="Q30" s="449">
        <f t="shared" si="35"/>
        <v>0</v>
      </c>
      <c r="R30" s="449">
        <f t="shared" si="36"/>
        <v>0</v>
      </c>
      <c r="S30" s="445">
        <f t="shared" si="7"/>
        <v>10128</v>
      </c>
      <c r="T30" s="469">
        <f t="shared" si="3"/>
        <v>0</v>
      </c>
      <c r="U30" s="445">
        <f t="shared" si="8"/>
        <v>422437</v>
      </c>
      <c r="V30" s="449">
        <f t="shared" si="18"/>
        <v>0</v>
      </c>
      <c r="W30" s="445">
        <f t="shared" si="9"/>
        <v>32246</v>
      </c>
      <c r="X30" s="470">
        <f t="shared" si="23"/>
        <v>0</v>
      </c>
      <c r="Y30" s="445">
        <f t="shared" si="10"/>
        <v>708475</v>
      </c>
      <c r="Z30" s="449">
        <f t="shared" si="22"/>
        <v>0</v>
      </c>
      <c r="AA30" s="445">
        <f t="shared" si="32"/>
        <v>35727</v>
      </c>
      <c r="AB30" s="449">
        <f t="shared" si="19"/>
        <v>0</v>
      </c>
      <c r="AC30" s="445">
        <f t="shared" si="33"/>
        <v>921652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-918520</v>
      </c>
    </row>
    <row r="31" spans="1:35">
      <c r="A31" s="457"/>
      <c r="B31" s="451"/>
      <c r="C31" s="458">
        <v>44284</v>
      </c>
      <c r="D31" s="445">
        <f t="shared" si="26"/>
        <v>32664458</v>
      </c>
      <c r="E31" s="311">
        <f t="shared" si="13"/>
        <v>0</v>
      </c>
      <c r="F31" s="445">
        <f t="shared" si="27"/>
        <v>3976419</v>
      </c>
      <c r="G31" s="312">
        <f t="shared" si="0"/>
        <v>0</v>
      </c>
      <c r="H31" s="445">
        <f t="shared" si="28"/>
        <v>17810886</v>
      </c>
      <c r="I31" s="312">
        <f t="shared" si="14"/>
        <v>0</v>
      </c>
      <c r="J31" s="445">
        <f t="shared" si="29"/>
        <v>28929882</v>
      </c>
      <c r="K31" s="312">
        <f t="shared" si="15"/>
        <v>0</v>
      </c>
      <c r="L31" s="445">
        <f t="shared" si="30"/>
        <v>24069270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1"/>
        <v>16715.519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10128</v>
      </c>
      <c r="T31" s="469">
        <f t="shared" ref="T31:T33" si="42">S31-S30</f>
        <v>0</v>
      </c>
      <c r="U31" s="445">
        <f t="shared" si="8"/>
        <v>422437</v>
      </c>
      <c r="V31" s="449">
        <f t="shared" ref="V31:V33" si="43">U31-U30</f>
        <v>0</v>
      </c>
      <c r="W31" s="445">
        <f t="shared" si="9"/>
        <v>32246</v>
      </c>
      <c r="X31" s="470">
        <f t="shared" ref="X31:X33" si="44">W31-W30</f>
        <v>0</v>
      </c>
      <c r="Y31" s="445">
        <f t="shared" si="10"/>
        <v>708475</v>
      </c>
      <c r="Z31" s="449">
        <f t="shared" ref="Z31:Z33" si="45">Y31-Y30</f>
        <v>0</v>
      </c>
      <c r="AA31" s="445">
        <f t="shared" si="32"/>
        <v>35727</v>
      </c>
      <c r="AB31" s="449">
        <f t="shared" ref="AB31:AB33" si="46">AA31-AA30</f>
        <v>0</v>
      </c>
      <c r="AC31" s="445">
        <f t="shared" si="33"/>
        <v>921652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-918520</v>
      </c>
    </row>
    <row r="32" spans="1:35">
      <c r="A32" s="457"/>
      <c r="B32" s="451"/>
      <c r="C32" s="458">
        <v>44285</v>
      </c>
      <c r="D32" s="445">
        <f t="shared" si="26"/>
        <v>32664458</v>
      </c>
      <c r="E32" s="311">
        <f t="shared" si="13"/>
        <v>0</v>
      </c>
      <c r="F32" s="445">
        <f t="shared" si="27"/>
        <v>3976419</v>
      </c>
      <c r="G32" s="312">
        <f t="shared" si="0"/>
        <v>0</v>
      </c>
      <c r="H32" s="445">
        <f t="shared" si="28"/>
        <v>17810886</v>
      </c>
      <c r="I32" s="312">
        <f t="shared" si="14"/>
        <v>0</v>
      </c>
      <c r="J32" s="445">
        <f t="shared" si="29"/>
        <v>28929882</v>
      </c>
      <c r="K32" s="312">
        <f t="shared" si="15"/>
        <v>0</v>
      </c>
      <c r="L32" s="445">
        <f t="shared" si="30"/>
        <v>24069270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1"/>
        <v>16715.519</v>
      </c>
      <c r="Q32" s="449">
        <f t="shared" si="40"/>
        <v>0</v>
      </c>
      <c r="R32" s="449">
        <f t="shared" si="41"/>
        <v>0</v>
      </c>
      <c r="S32" s="445">
        <f t="shared" si="7"/>
        <v>10128</v>
      </c>
      <c r="T32" s="469">
        <f t="shared" si="42"/>
        <v>0</v>
      </c>
      <c r="U32" s="445">
        <f t="shared" si="8"/>
        <v>422437</v>
      </c>
      <c r="V32" s="449">
        <f t="shared" si="43"/>
        <v>0</v>
      </c>
      <c r="W32" s="445">
        <f t="shared" si="9"/>
        <v>32246</v>
      </c>
      <c r="X32" s="470">
        <f t="shared" si="44"/>
        <v>0</v>
      </c>
      <c r="Y32" s="445">
        <f t="shared" si="10"/>
        <v>708475</v>
      </c>
      <c r="Z32" s="449">
        <f t="shared" si="45"/>
        <v>0</v>
      </c>
      <c r="AA32" s="445">
        <f t="shared" si="32"/>
        <v>35727</v>
      </c>
      <c r="AB32" s="449">
        <f t="shared" si="46"/>
        <v>0</v>
      </c>
      <c r="AC32" s="445">
        <f t="shared" si="33"/>
        <v>921652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-918520</v>
      </c>
    </row>
    <row r="33" spans="1:35">
      <c r="A33" s="457"/>
      <c r="B33" s="451"/>
      <c r="C33" s="458">
        <v>44286</v>
      </c>
      <c r="D33" s="445">
        <f t="shared" si="26"/>
        <v>32664458</v>
      </c>
      <c r="E33" s="311">
        <f t="shared" si="13"/>
        <v>0</v>
      </c>
      <c r="F33" s="445">
        <f t="shared" si="27"/>
        <v>3976419</v>
      </c>
      <c r="G33" s="312">
        <f t="shared" si="0"/>
        <v>0</v>
      </c>
      <c r="H33" s="445">
        <f t="shared" si="28"/>
        <v>17810886</v>
      </c>
      <c r="I33" s="312">
        <f t="shared" si="14"/>
        <v>0</v>
      </c>
      <c r="J33" s="445">
        <f t="shared" si="29"/>
        <v>28929882</v>
      </c>
      <c r="K33" s="312">
        <f t="shared" si="15"/>
        <v>0</v>
      </c>
      <c r="L33" s="445">
        <f t="shared" si="30"/>
        <v>24069270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1"/>
        <v>16715.519</v>
      </c>
      <c r="Q33" s="449">
        <f t="shared" si="40"/>
        <v>0</v>
      </c>
      <c r="R33" s="449">
        <f t="shared" si="41"/>
        <v>0</v>
      </c>
      <c r="S33" s="445">
        <f t="shared" si="7"/>
        <v>10128</v>
      </c>
      <c r="T33" s="469">
        <f t="shared" si="42"/>
        <v>0</v>
      </c>
      <c r="U33" s="445">
        <f t="shared" si="8"/>
        <v>422437</v>
      </c>
      <c r="V33" s="449">
        <f t="shared" si="43"/>
        <v>0</v>
      </c>
      <c r="W33" s="445">
        <f t="shared" si="9"/>
        <v>32246</v>
      </c>
      <c r="X33" s="470">
        <f t="shared" si="44"/>
        <v>0</v>
      </c>
      <c r="Y33" s="445">
        <f t="shared" si="10"/>
        <v>708475</v>
      </c>
      <c r="Z33" s="449">
        <f t="shared" si="45"/>
        <v>0</v>
      </c>
      <c r="AA33" s="445">
        <f t="shared" si="32"/>
        <v>35727</v>
      </c>
      <c r="AB33" s="449">
        <f t="shared" si="46"/>
        <v>0</v>
      </c>
      <c r="AC33" s="445">
        <f t="shared" si="33"/>
        <v>921652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-918520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2" activePane="bottomLeft" state="frozen"/>
      <selection activeCell="K1" sqref="K1"/>
      <selection pane="bottomLeft" activeCell="R12" sqref="R1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2" t="s">
        <v>2</v>
      </c>
      <c r="G1" s="623"/>
      <c r="H1" s="623"/>
      <c r="I1" s="624"/>
      <c r="J1" s="282">
        <f>J37</f>
        <v>58.69444444444445</v>
      </c>
      <c r="K1" s="625" t="s">
        <v>4</v>
      </c>
      <c r="L1" s="626"/>
      <c r="M1" s="626"/>
      <c r="N1" s="626"/>
      <c r="O1" s="627"/>
      <c r="P1" s="616" t="s">
        <v>6</v>
      </c>
      <c r="Q1" s="617"/>
      <c r="R1" s="617"/>
      <c r="S1" s="617"/>
      <c r="T1" s="618"/>
      <c r="U1" s="397"/>
      <c r="V1" s="27" t="s">
        <v>104</v>
      </c>
      <c r="W1" s="398"/>
      <c r="X1" s="616" t="s">
        <v>8</v>
      </c>
      <c r="Y1" s="617"/>
      <c r="Z1" s="617"/>
      <c r="AA1" s="617"/>
      <c r="AB1" s="617"/>
      <c r="AC1" s="619" t="s">
        <v>10</v>
      </c>
      <c r="AD1" s="620"/>
      <c r="AE1" s="620"/>
      <c r="AF1" s="62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4"/>
      <c r="R2" s="61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f t="shared" ref="B12:B35" si="55">B12</f>
        <v>194.5</v>
      </c>
      <c r="C13" s="64">
        <f t="shared" ref="C12:C35" si="56">C12</f>
        <v>201</v>
      </c>
      <c r="D13" s="45">
        <f t="shared" si="27"/>
        <v>0</v>
      </c>
      <c r="E13" s="45">
        <f t="shared" si="8"/>
        <v>0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f t="shared" si="41"/>
        <v>2254</v>
      </c>
      <c r="L13" s="52">
        <f t="shared" si="10"/>
        <v>0</v>
      </c>
      <c r="M13" s="584">
        <f t="shared" si="42"/>
        <v>165849</v>
      </c>
      <c r="N13" s="396">
        <f t="shared" si="2"/>
        <v>0</v>
      </c>
      <c r="O13" s="64">
        <f t="shared" si="11"/>
        <v>1869</v>
      </c>
      <c r="P13" s="584">
        <f t="shared" si="11"/>
        <v>2008</v>
      </c>
      <c r="Q13" s="584">
        <f t="shared" si="49"/>
        <v>169516</v>
      </c>
      <c r="R13" s="395">
        <f t="shared" si="50"/>
        <v>0</v>
      </c>
      <c r="S13" s="52">
        <f t="shared" si="4"/>
        <v>0</v>
      </c>
      <c r="T13" s="67">
        <f t="shared" si="30"/>
        <v>0</v>
      </c>
      <c r="U13" s="402">
        <f t="shared" si="12"/>
        <v>0</v>
      </c>
      <c r="V13" s="62">
        <f>R13+N13+I13:I13</f>
        <v>0</v>
      </c>
      <c r="W13" s="400" t="e">
        <f t="shared" si="14"/>
        <v>#DIV/0!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0</v>
      </c>
      <c r="AJ13" s="318">
        <f>-tanks!AW14</f>
        <v>0</v>
      </c>
      <c r="AK13" s="318">
        <f t="shared" si="20"/>
        <v>0</v>
      </c>
      <c r="AL13" s="318">
        <f t="shared" si="7"/>
        <v>0</v>
      </c>
      <c r="AM13" s="318">
        <f t="shared" si="21"/>
        <v>0</v>
      </c>
      <c r="AN13" s="584">
        <f t="shared" ref="AN13:AP13" si="57">AN12</f>
        <v>67</v>
      </c>
      <c r="AO13" s="320">
        <f t="shared" si="23"/>
        <v>2010.0000000000002</v>
      </c>
      <c r="AP13" s="584">
        <f t="shared" si="57"/>
        <v>55</v>
      </c>
      <c r="AQ13" s="320">
        <f t="shared" si="24"/>
        <v>1650.0000000000002</v>
      </c>
      <c r="AR13" s="584">
        <f t="shared" ref="AR13" si="58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f t="shared" si="55"/>
        <v>194.5</v>
      </c>
      <c r="C14" s="64">
        <f t="shared" si="56"/>
        <v>201</v>
      </c>
      <c r="D14" s="45">
        <f t="shared" si="27"/>
        <v>0</v>
      </c>
      <c r="E14" s="45">
        <f t="shared" si="8"/>
        <v>0</v>
      </c>
      <c r="F14" s="584">
        <f t="shared" si="28"/>
        <v>1760</v>
      </c>
      <c r="G14" s="52">
        <f t="shared" si="0"/>
        <v>0</v>
      </c>
      <c r="H14" s="584">
        <f t="shared" si="29"/>
        <v>7285</v>
      </c>
      <c r="I14" s="396">
        <f t="shared" si="1"/>
        <v>0</v>
      </c>
      <c r="J14" s="66">
        <f t="shared" si="9"/>
        <v>0</v>
      </c>
      <c r="K14" s="584">
        <f t="shared" si="41"/>
        <v>2254</v>
      </c>
      <c r="L14" s="52">
        <f t="shared" si="10"/>
        <v>0</v>
      </c>
      <c r="M14" s="584">
        <f t="shared" si="42"/>
        <v>165849</v>
      </c>
      <c r="N14" s="396">
        <f t="shared" si="2"/>
        <v>0</v>
      </c>
      <c r="O14" s="64">
        <f t="shared" si="11"/>
        <v>1869</v>
      </c>
      <c r="P14" s="584">
        <f t="shared" si="11"/>
        <v>2008</v>
      </c>
      <c r="Q14" s="584">
        <f t="shared" si="49"/>
        <v>169516</v>
      </c>
      <c r="R14" s="395">
        <f t="shared" si="50"/>
        <v>0</v>
      </c>
      <c r="S14" s="52">
        <f t="shared" si="4"/>
        <v>0</v>
      </c>
      <c r="T14" s="67">
        <f t="shared" si="30"/>
        <v>0</v>
      </c>
      <c r="U14" s="402">
        <f t="shared" si="12"/>
        <v>0</v>
      </c>
      <c r="V14" s="62">
        <f t="shared" si="13"/>
        <v>0</v>
      </c>
      <c r="W14" s="400" t="e">
        <f t="shared" si="14"/>
        <v>#DIV/0!</v>
      </c>
      <c r="X14" s="584">
        <f t="shared" si="31"/>
        <v>2461</v>
      </c>
      <c r="Y14" s="52">
        <f t="shared" si="15"/>
        <v>0</v>
      </c>
      <c r="Z14" s="584">
        <f t="shared" si="32"/>
        <v>138425</v>
      </c>
      <c r="AA14" s="65">
        <f t="shared" si="5"/>
        <v>0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0"/>
        <v>0</v>
      </c>
      <c r="AL14" s="318">
        <f t="shared" si="7"/>
        <v>0</v>
      </c>
      <c r="AM14" s="318">
        <f t="shared" si="21"/>
        <v>0</v>
      </c>
      <c r="AN14" s="584">
        <f t="shared" ref="AN14:AP14" si="59">AN13</f>
        <v>67</v>
      </c>
      <c r="AO14" s="320">
        <f t="shared" si="23"/>
        <v>2010.0000000000002</v>
      </c>
      <c r="AP14" s="584">
        <f t="shared" si="59"/>
        <v>55</v>
      </c>
      <c r="AQ14" s="320">
        <f t="shared" si="24"/>
        <v>1650.0000000000002</v>
      </c>
      <c r="AR14" s="584">
        <f t="shared" ref="AR14" si="60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f t="shared" si="55"/>
        <v>194.5</v>
      </c>
      <c r="C15" s="64">
        <f t="shared" si="56"/>
        <v>201</v>
      </c>
      <c r="D15" s="45">
        <f t="shared" si="27"/>
        <v>0</v>
      </c>
      <c r="E15" s="45">
        <f t="shared" si="8"/>
        <v>0</v>
      </c>
      <c r="F15" s="584">
        <f t="shared" si="28"/>
        <v>1760</v>
      </c>
      <c r="G15" s="52">
        <f t="shared" si="0"/>
        <v>0</v>
      </c>
      <c r="H15" s="584">
        <f t="shared" si="29"/>
        <v>7285</v>
      </c>
      <c r="I15" s="396">
        <f t="shared" si="1"/>
        <v>0</v>
      </c>
      <c r="J15" s="66">
        <f t="shared" si="9"/>
        <v>0</v>
      </c>
      <c r="K15" s="584">
        <f t="shared" si="41"/>
        <v>2254</v>
      </c>
      <c r="L15" s="52">
        <f t="shared" si="10"/>
        <v>0</v>
      </c>
      <c r="M15" s="584">
        <f t="shared" si="42"/>
        <v>165849</v>
      </c>
      <c r="N15" s="396">
        <f t="shared" si="2"/>
        <v>0</v>
      </c>
      <c r="O15" s="64">
        <f t="shared" si="11"/>
        <v>1869</v>
      </c>
      <c r="P15" s="584">
        <f t="shared" si="11"/>
        <v>2008</v>
      </c>
      <c r="Q15" s="584">
        <f t="shared" si="49"/>
        <v>169516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4">
        <f t="shared" si="31"/>
        <v>2461</v>
      </c>
      <c r="Y15" s="52">
        <f t="shared" si="15"/>
        <v>0</v>
      </c>
      <c r="Z15" s="584">
        <f t="shared" si="32"/>
        <v>138425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4">
        <f t="shared" ref="AN15:AP15" si="61">AN14</f>
        <v>67</v>
      </c>
      <c r="AO15" s="320">
        <f t="shared" si="23"/>
        <v>2010.0000000000002</v>
      </c>
      <c r="AP15" s="584">
        <f t="shared" si="61"/>
        <v>55</v>
      </c>
      <c r="AQ15" s="320">
        <f t="shared" si="24"/>
        <v>1650.0000000000002</v>
      </c>
      <c r="AR15" s="584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f t="shared" si="55"/>
        <v>194.5</v>
      </c>
      <c r="C16" s="64">
        <f t="shared" si="56"/>
        <v>201</v>
      </c>
      <c r="D16" s="45">
        <f t="shared" si="27"/>
        <v>0</v>
      </c>
      <c r="E16" s="45">
        <f t="shared" si="8"/>
        <v>0</v>
      </c>
      <c r="F16" s="584">
        <f t="shared" si="28"/>
        <v>1760</v>
      </c>
      <c r="G16" s="52">
        <f t="shared" si="0"/>
        <v>0</v>
      </c>
      <c r="H16" s="584">
        <f t="shared" si="29"/>
        <v>7285</v>
      </c>
      <c r="I16" s="396">
        <f t="shared" si="1"/>
        <v>0</v>
      </c>
      <c r="J16" s="66">
        <f t="shared" si="9"/>
        <v>0</v>
      </c>
      <c r="K16" s="584">
        <f t="shared" si="41"/>
        <v>2254</v>
      </c>
      <c r="L16" s="52">
        <f t="shared" si="10"/>
        <v>0</v>
      </c>
      <c r="M16" s="584">
        <f t="shared" si="42"/>
        <v>165849</v>
      </c>
      <c r="N16" s="396">
        <f t="shared" si="2"/>
        <v>0</v>
      </c>
      <c r="O16" s="64">
        <f t="shared" si="11"/>
        <v>1869</v>
      </c>
      <c r="P16" s="584">
        <f t="shared" si="11"/>
        <v>2008</v>
      </c>
      <c r="Q16" s="584">
        <f t="shared" si="49"/>
        <v>169516</v>
      </c>
      <c r="R16" s="395">
        <f t="shared" si="50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4">
        <f t="shared" si="31"/>
        <v>2461</v>
      </c>
      <c r="Y16" s="52">
        <f t="shared" si="15"/>
        <v>0</v>
      </c>
      <c r="Z16" s="584">
        <f t="shared" si="32"/>
        <v>138425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4">
        <f t="shared" ref="AN16:AP16" si="63">AN15</f>
        <v>67</v>
      </c>
      <c r="AO16" s="320">
        <f t="shared" si="23"/>
        <v>2010.0000000000002</v>
      </c>
      <c r="AP16" s="584">
        <f t="shared" si="63"/>
        <v>55</v>
      </c>
      <c r="AQ16" s="320">
        <f t="shared" si="24"/>
        <v>1650.0000000000002</v>
      </c>
      <c r="AR16" s="584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f t="shared" si="55"/>
        <v>194.5</v>
      </c>
      <c r="C17" s="64">
        <f t="shared" si="56"/>
        <v>201</v>
      </c>
      <c r="D17" s="45">
        <f t="shared" si="27"/>
        <v>0</v>
      </c>
      <c r="E17" s="45">
        <f t="shared" si="8"/>
        <v>0</v>
      </c>
      <c r="F17" s="584">
        <f t="shared" si="28"/>
        <v>1760</v>
      </c>
      <c r="G17" s="52">
        <f t="shared" si="0"/>
        <v>0</v>
      </c>
      <c r="H17" s="584">
        <f t="shared" si="29"/>
        <v>7285</v>
      </c>
      <c r="I17" s="396">
        <f t="shared" si="1"/>
        <v>0</v>
      </c>
      <c r="J17" s="66">
        <f t="shared" si="9"/>
        <v>0</v>
      </c>
      <c r="K17" s="584">
        <f t="shared" si="41"/>
        <v>2254</v>
      </c>
      <c r="L17" s="52">
        <f t="shared" si="10"/>
        <v>0</v>
      </c>
      <c r="M17" s="584">
        <f t="shared" si="42"/>
        <v>165849</v>
      </c>
      <c r="N17" s="396">
        <f t="shared" si="2"/>
        <v>0</v>
      </c>
      <c r="O17" s="64">
        <f t="shared" si="11"/>
        <v>1869</v>
      </c>
      <c r="P17" s="584">
        <f t="shared" si="11"/>
        <v>2008</v>
      </c>
      <c r="Q17" s="584">
        <f t="shared" si="49"/>
        <v>169516</v>
      </c>
      <c r="R17" s="395">
        <f t="shared" si="50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4">
        <f t="shared" si="31"/>
        <v>2461</v>
      </c>
      <c r="Y17" s="52">
        <f t="shared" si="15"/>
        <v>0</v>
      </c>
      <c r="Z17" s="584">
        <f t="shared" si="32"/>
        <v>138425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4">
        <f t="shared" ref="AN17:AP17" si="65">AN16</f>
        <v>67</v>
      </c>
      <c r="AO17" s="320">
        <f t="shared" si="23"/>
        <v>2010.0000000000002</v>
      </c>
      <c r="AP17" s="584">
        <f t="shared" si="65"/>
        <v>55</v>
      </c>
      <c r="AQ17" s="320">
        <f t="shared" si="24"/>
        <v>1650.0000000000002</v>
      </c>
      <c r="AR17" s="584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f t="shared" si="55"/>
        <v>194.5</v>
      </c>
      <c r="C18" s="64">
        <f t="shared" si="56"/>
        <v>201</v>
      </c>
      <c r="D18" s="45">
        <f t="shared" si="27"/>
        <v>0</v>
      </c>
      <c r="E18" s="45">
        <f t="shared" si="8"/>
        <v>0</v>
      </c>
      <c r="F18" s="584">
        <f t="shared" si="28"/>
        <v>1760</v>
      </c>
      <c r="G18" s="52">
        <f t="shared" si="0"/>
        <v>0</v>
      </c>
      <c r="H18" s="584">
        <f t="shared" si="29"/>
        <v>7285</v>
      </c>
      <c r="I18" s="396">
        <f t="shared" si="1"/>
        <v>0</v>
      </c>
      <c r="J18" s="66">
        <f t="shared" si="9"/>
        <v>0</v>
      </c>
      <c r="K18" s="584">
        <f t="shared" si="41"/>
        <v>2254</v>
      </c>
      <c r="L18" s="52">
        <f t="shared" si="10"/>
        <v>0</v>
      </c>
      <c r="M18" s="584">
        <f t="shared" si="42"/>
        <v>165849</v>
      </c>
      <c r="N18" s="396">
        <f t="shared" si="2"/>
        <v>0</v>
      </c>
      <c r="O18" s="64">
        <v>1869</v>
      </c>
      <c r="P18" s="584">
        <f t="shared" ref="P18:P35" si="67">P17</f>
        <v>2008</v>
      </c>
      <c r="Q18" s="584">
        <f t="shared" si="49"/>
        <v>169516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2461</v>
      </c>
      <c r="Y18" s="52">
        <f t="shared" si="15"/>
        <v>0</v>
      </c>
      <c r="Z18" s="584">
        <f t="shared" si="32"/>
        <v>138425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f t="shared" si="55"/>
        <v>194.5</v>
      </c>
      <c r="C19" s="64">
        <f t="shared" si="56"/>
        <v>201</v>
      </c>
      <c r="D19" s="45">
        <f t="shared" si="27"/>
        <v>0</v>
      </c>
      <c r="E19" s="45">
        <f t="shared" si="8"/>
        <v>0</v>
      </c>
      <c r="F19" s="584">
        <f t="shared" si="28"/>
        <v>1760</v>
      </c>
      <c r="G19" s="52">
        <f t="shared" si="0"/>
        <v>0</v>
      </c>
      <c r="H19" s="584">
        <f t="shared" si="29"/>
        <v>7285</v>
      </c>
      <c r="I19" s="396">
        <f t="shared" si="1"/>
        <v>0</v>
      </c>
      <c r="J19" s="66">
        <f t="shared" si="9"/>
        <v>0</v>
      </c>
      <c r="K19" s="584">
        <f t="shared" si="41"/>
        <v>2254</v>
      </c>
      <c r="L19" s="52">
        <f t="shared" si="10"/>
        <v>0</v>
      </c>
      <c r="M19" s="584">
        <f t="shared" si="42"/>
        <v>165849</v>
      </c>
      <c r="N19" s="396">
        <f t="shared" si="2"/>
        <v>0</v>
      </c>
      <c r="O19" s="64">
        <f t="shared" si="11"/>
        <v>1869</v>
      </c>
      <c r="P19" s="584">
        <f t="shared" si="67"/>
        <v>2008</v>
      </c>
      <c r="Q19" s="584">
        <f t="shared" si="49"/>
        <v>169516</v>
      </c>
      <c r="R19" s="395">
        <f t="shared" si="50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2461</v>
      </c>
      <c r="Y19" s="52">
        <f t="shared" si="15"/>
        <v>0</v>
      </c>
      <c r="Z19" s="584">
        <f t="shared" si="32"/>
        <v>138425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f t="shared" si="55"/>
        <v>194.5</v>
      </c>
      <c r="C20" s="64">
        <f t="shared" si="56"/>
        <v>201</v>
      </c>
      <c r="D20" s="45">
        <f>C19-C20</f>
        <v>0</v>
      </c>
      <c r="E20" s="45">
        <f t="shared" si="8"/>
        <v>0</v>
      </c>
      <c r="F20" s="584">
        <f t="shared" si="28"/>
        <v>1760</v>
      </c>
      <c r="G20" s="52">
        <f t="shared" si="0"/>
        <v>0</v>
      </c>
      <c r="H20" s="584">
        <f t="shared" si="29"/>
        <v>7285</v>
      </c>
      <c r="I20" s="396">
        <f t="shared" si="1"/>
        <v>0</v>
      </c>
      <c r="J20" s="66">
        <f t="shared" si="9"/>
        <v>0</v>
      </c>
      <c r="K20" s="584">
        <f t="shared" si="41"/>
        <v>2254</v>
      </c>
      <c r="L20" s="52">
        <f t="shared" si="10"/>
        <v>0</v>
      </c>
      <c r="M20" s="584">
        <f t="shared" si="42"/>
        <v>165849</v>
      </c>
      <c r="N20" s="396">
        <f t="shared" si="2"/>
        <v>0</v>
      </c>
      <c r="O20" s="64">
        <f t="shared" si="11"/>
        <v>1869</v>
      </c>
      <c r="P20" s="584">
        <f t="shared" si="67"/>
        <v>2008</v>
      </c>
      <c r="Q20" s="584">
        <f t="shared" si="49"/>
        <v>169516</v>
      </c>
      <c r="R20" s="395">
        <f t="shared" si="50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2461</v>
      </c>
      <c r="Y20" s="52">
        <f t="shared" si="15"/>
        <v>0</v>
      </c>
      <c r="Z20" s="584">
        <f t="shared" si="32"/>
        <v>138425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f t="shared" si="55"/>
        <v>194.5</v>
      </c>
      <c r="C21" s="64">
        <f t="shared" si="56"/>
        <v>201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1760</v>
      </c>
      <c r="G21" s="52">
        <f t="shared" si="0"/>
        <v>0</v>
      </c>
      <c r="H21" s="584">
        <f t="shared" si="29"/>
        <v>7285</v>
      </c>
      <c r="I21" s="396">
        <f t="shared" si="1"/>
        <v>0</v>
      </c>
      <c r="J21" s="66">
        <f t="shared" si="9"/>
        <v>0</v>
      </c>
      <c r="K21" s="584">
        <f t="shared" si="41"/>
        <v>2254</v>
      </c>
      <c r="L21" s="52">
        <f t="shared" si="10"/>
        <v>0</v>
      </c>
      <c r="M21" s="584">
        <f t="shared" si="42"/>
        <v>165849</v>
      </c>
      <c r="N21" s="396">
        <f t="shared" si="2"/>
        <v>0</v>
      </c>
      <c r="O21" s="64">
        <f t="shared" si="11"/>
        <v>1869</v>
      </c>
      <c r="P21" s="584">
        <f t="shared" si="67"/>
        <v>2008</v>
      </c>
      <c r="Q21" s="584">
        <f t="shared" si="49"/>
        <v>169516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2461</v>
      </c>
      <c r="Y21" s="52">
        <f t="shared" si="15"/>
        <v>0</v>
      </c>
      <c r="Z21" s="584">
        <f t="shared" si="32"/>
        <v>138425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f t="shared" si="55"/>
        <v>194.5</v>
      </c>
      <c r="C22" s="64">
        <f t="shared" si="56"/>
        <v>201</v>
      </c>
      <c r="D22" s="45">
        <f t="shared" si="75"/>
        <v>0</v>
      </c>
      <c r="E22" s="45">
        <f t="shared" si="8"/>
        <v>0</v>
      </c>
      <c r="F22" s="584">
        <f t="shared" si="28"/>
        <v>1760</v>
      </c>
      <c r="G22" s="52">
        <f t="shared" si="0"/>
        <v>0</v>
      </c>
      <c r="H22" s="584">
        <f t="shared" si="29"/>
        <v>7285</v>
      </c>
      <c r="I22" s="396">
        <f t="shared" si="1"/>
        <v>0</v>
      </c>
      <c r="J22" s="66">
        <f t="shared" si="9"/>
        <v>0</v>
      </c>
      <c r="K22" s="584">
        <f t="shared" si="41"/>
        <v>2254</v>
      </c>
      <c r="L22" s="52">
        <f t="shared" si="10"/>
        <v>0</v>
      </c>
      <c r="M22" s="584">
        <f t="shared" si="42"/>
        <v>165849</v>
      </c>
      <c r="N22" s="396">
        <f t="shared" si="2"/>
        <v>0</v>
      </c>
      <c r="O22" s="64">
        <f t="shared" si="11"/>
        <v>1869</v>
      </c>
      <c r="P22" s="584">
        <f t="shared" si="67"/>
        <v>2008</v>
      </c>
      <c r="Q22" s="584">
        <f t="shared" si="49"/>
        <v>169516</v>
      </c>
      <c r="R22" s="395">
        <f t="shared" si="50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2461</v>
      </c>
      <c r="Y22" s="52">
        <f t="shared" si="15"/>
        <v>0</v>
      </c>
      <c r="Z22" s="584">
        <f t="shared" si="32"/>
        <v>138425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si="55"/>
        <v>194.5</v>
      </c>
      <c r="C23" s="64">
        <f t="shared" si="56"/>
        <v>201</v>
      </c>
      <c r="D23" s="45">
        <f t="shared" si="75"/>
        <v>0</v>
      </c>
      <c r="E23" s="45">
        <f t="shared" si="8"/>
        <v>0</v>
      </c>
      <c r="F23" s="584">
        <f t="shared" si="28"/>
        <v>1760</v>
      </c>
      <c r="G23" s="52">
        <f t="shared" si="0"/>
        <v>0</v>
      </c>
      <c r="H23" s="584">
        <f t="shared" si="29"/>
        <v>7285</v>
      </c>
      <c r="I23" s="396">
        <f t="shared" si="1"/>
        <v>0</v>
      </c>
      <c r="J23" s="66">
        <f t="shared" si="9"/>
        <v>0</v>
      </c>
      <c r="K23" s="584">
        <f t="shared" si="41"/>
        <v>2254</v>
      </c>
      <c r="L23" s="52">
        <f t="shared" si="10"/>
        <v>0</v>
      </c>
      <c r="M23" s="584">
        <f t="shared" si="42"/>
        <v>165849</v>
      </c>
      <c r="N23" s="396">
        <f t="shared" si="2"/>
        <v>0</v>
      </c>
      <c r="O23" s="64">
        <f t="shared" si="11"/>
        <v>1869</v>
      </c>
      <c r="P23" s="584">
        <f t="shared" si="67"/>
        <v>2008</v>
      </c>
      <c r="Q23" s="584">
        <f t="shared" si="49"/>
        <v>169516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2461</v>
      </c>
      <c r="Y23" s="52">
        <f t="shared" si="15"/>
        <v>0</v>
      </c>
      <c r="Z23" s="584">
        <f t="shared" si="32"/>
        <v>138425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55"/>
        <v>194.5</v>
      </c>
      <c r="C24" s="64">
        <f t="shared" si="56"/>
        <v>201</v>
      </c>
      <c r="D24" s="45">
        <f t="shared" si="75"/>
        <v>0</v>
      </c>
      <c r="E24" s="45">
        <f t="shared" si="8"/>
        <v>0</v>
      </c>
      <c r="F24" s="584">
        <f t="shared" si="28"/>
        <v>1760</v>
      </c>
      <c r="G24" s="52">
        <f t="shared" si="0"/>
        <v>0</v>
      </c>
      <c r="H24" s="584">
        <f t="shared" si="29"/>
        <v>7285</v>
      </c>
      <c r="I24" s="396">
        <f t="shared" si="1"/>
        <v>0</v>
      </c>
      <c r="J24" s="66">
        <f t="shared" si="9"/>
        <v>0</v>
      </c>
      <c r="K24" s="584">
        <f t="shared" si="41"/>
        <v>2254</v>
      </c>
      <c r="L24" s="52">
        <f t="shared" si="10"/>
        <v>0</v>
      </c>
      <c r="M24" s="584">
        <f t="shared" si="42"/>
        <v>165849</v>
      </c>
      <c r="N24" s="396">
        <f t="shared" si="2"/>
        <v>0</v>
      </c>
      <c r="O24" s="64">
        <f t="shared" si="11"/>
        <v>1869</v>
      </c>
      <c r="P24" s="584">
        <f t="shared" si="67"/>
        <v>2008</v>
      </c>
      <c r="Q24" s="584">
        <f t="shared" si="49"/>
        <v>169516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2461</v>
      </c>
      <c r="Y24" s="52">
        <f t="shared" si="15"/>
        <v>0</v>
      </c>
      <c r="Z24" s="584">
        <f t="shared" si="32"/>
        <v>138425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55"/>
        <v>194.5</v>
      </c>
      <c r="C25" s="64">
        <f t="shared" si="56"/>
        <v>201</v>
      </c>
      <c r="D25" s="45">
        <f t="shared" si="75"/>
        <v>0</v>
      </c>
      <c r="E25" s="45">
        <f t="shared" si="8"/>
        <v>0</v>
      </c>
      <c r="F25" s="584">
        <f t="shared" si="28"/>
        <v>1760</v>
      </c>
      <c r="G25" s="52">
        <f t="shared" si="0"/>
        <v>0</v>
      </c>
      <c r="H25" s="584">
        <f t="shared" si="29"/>
        <v>7285</v>
      </c>
      <c r="I25" s="396">
        <f t="shared" si="1"/>
        <v>0</v>
      </c>
      <c r="J25" s="66">
        <f t="shared" si="9"/>
        <v>0</v>
      </c>
      <c r="K25" s="584">
        <f t="shared" si="41"/>
        <v>2254</v>
      </c>
      <c r="L25" s="52">
        <f t="shared" si="10"/>
        <v>0</v>
      </c>
      <c r="M25" s="584">
        <f t="shared" si="42"/>
        <v>165849</v>
      </c>
      <c r="N25" s="396">
        <f t="shared" si="2"/>
        <v>0</v>
      </c>
      <c r="O25" s="64">
        <f t="shared" si="11"/>
        <v>1869</v>
      </c>
      <c r="P25" s="584">
        <f t="shared" si="67"/>
        <v>2008</v>
      </c>
      <c r="Q25" s="584">
        <f t="shared" si="49"/>
        <v>169516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2461</v>
      </c>
      <c r="Y25" s="52">
        <f t="shared" si="15"/>
        <v>0</v>
      </c>
      <c r="Z25" s="584">
        <f t="shared" si="32"/>
        <v>138425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55"/>
        <v>194.5</v>
      </c>
      <c r="C26" s="64">
        <f t="shared" si="56"/>
        <v>201</v>
      </c>
      <c r="D26" s="45">
        <f t="shared" si="75"/>
        <v>0</v>
      </c>
      <c r="E26" s="45">
        <f t="shared" si="8"/>
        <v>0</v>
      </c>
      <c r="F26" s="584">
        <f t="shared" si="28"/>
        <v>1760</v>
      </c>
      <c r="G26" s="52">
        <f t="shared" si="0"/>
        <v>0</v>
      </c>
      <c r="H26" s="584">
        <f t="shared" si="29"/>
        <v>7285</v>
      </c>
      <c r="I26" s="396">
        <f t="shared" si="1"/>
        <v>0</v>
      </c>
      <c r="J26" s="66">
        <f t="shared" si="9"/>
        <v>0</v>
      </c>
      <c r="K26" s="584">
        <f t="shared" si="41"/>
        <v>2254</v>
      </c>
      <c r="L26" s="52">
        <f t="shared" si="10"/>
        <v>0</v>
      </c>
      <c r="M26" s="584">
        <f t="shared" si="42"/>
        <v>165849</v>
      </c>
      <c r="N26" s="396">
        <f t="shared" si="2"/>
        <v>0</v>
      </c>
      <c r="O26" s="64">
        <f t="shared" si="11"/>
        <v>1869</v>
      </c>
      <c r="P26" s="584">
        <f t="shared" si="67"/>
        <v>2008</v>
      </c>
      <c r="Q26" s="584">
        <f t="shared" si="49"/>
        <v>169516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2461</v>
      </c>
      <c r="Y26" s="52">
        <f t="shared" si="15"/>
        <v>0</v>
      </c>
      <c r="Z26" s="584">
        <f t="shared" si="32"/>
        <v>138425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55"/>
        <v>194.5</v>
      </c>
      <c r="C27" s="64">
        <f t="shared" si="56"/>
        <v>201</v>
      </c>
      <c r="D27" s="45">
        <f t="shared" si="75"/>
        <v>0</v>
      </c>
      <c r="E27" s="45">
        <f t="shared" si="8"/>
        <v>0</v>
      </c>
      <c r="F27" s="584">
        <f t="shared" si="28"/>
        <v>1760</v>
      </c>
      <c r="G27" s="52">
        <f t="shared" si="0"/>
        <v>0</v>
      </c>
      <c r="H27" s="584">
        <f t="shared" si="29"/>
        <v>7285</v>
      </c>
      <c r="I27" s="396">
        <f t="shared" si="1"/>
        <v>0</v>
      </c>
      <c r="J27" s="66">
        <f t="shared" si="9"/>
        <v>0</v>
      </c>
      <c r="K27" s="584">
        <f t="shared" si="41"/>
        <v>2254</v>
      </c>
      <c r="L27" s="52">
        <f t="shared" si="10"/>
        <v>0</v>
      </c>
      <c r="M27" s="584">
        <f t="shared" si="42"/>
        <v>165849</v>
      </c>
      <c r="N27" s="396">
        <f t="shared" si="2"/>
        <v>0</v>
      </c>
      <c r="O27" s="64">
        <f t="shared" si="11"/>
        <v>1869</v>
      </c>
      <c r="P27" s="584">
        <f t="shared" si="67"/>
        <v>2008</v>
      </c>
      <c r="Q27" s="584">
        <f t="shared" si="49"/>
        <v>169516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2461</v>
      </c>
      <c r="Y27" s="52">
        <f t="shared" si="15"/>
        <v>0</v>
      </c>
      <c r="Z27" s="584">
        <f t="shared" si="32"/>
        <v>138425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55"/>
        <v>194.5</v>
      </c>
      <c r="C28" s="64">
        <f t="shared" si="56"/>
        <v>201</v>
      </c>
      <c r="D28" s="45">
        <f t="shared" si="75"/>
        <v>0</v>
      </c>
      <c r="E28" s="45">
        <f t="shared" si="8"/>
        <v>0</v>
      </c>
      <c r="F28" s="584">
        <f t="shared" si="28"/>
        <v>1760</v>
      </c>
      <c r="G28" s="52">
        <f t="shared" si="0"/>
        <v>0</v>
      </c>
      <c r="H28" s="584">
        <f t="shared" si="29"/>
        <v>7285</v>
      </c>
      <c r="I28" s="396">
        <f t="shared" si="1"/>
        <v>0</v>
      </c>
      <c r="J28" s="66">
        <f t="shared" si="9"/>
        <v>0</v>
      </c>
      <c r="K28" s="584">
        <f t="shared" si="41"/>
        <v>2254</v>
      </c>
      <c r="L28" s="52">
        <f t="shared" si="10"/>
        <v>0</v>
      </c>
      <c r="M28" s="584">
        <f t="shared" si="42"/>
        <v>165849</v>
      </c>
      <c r="N28" s="396">
        <f t="shared" si="2"/>
        <v>0</v>
      </c>
      <c r="O28" s="64">
        <f t="shared" si="11"/>
        <v>1869</v>
      </c>
      <c r="P28" s="584">
        <f t="shared" si="67"/>
        <v>2008</v>
      </c>
      <c r="Q28" s="584">
        <f t="shared" si="49"/>
        <v>169516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2461</v>
      </c>
      <c r="Y28" s="52">
        <f t="shared" si="15"/>
        <v>0</v>
      </c>
      <c r="Z28" s="584">
        <f t="shared" si="32"/>
        <v>138425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55"/>
        <v>194.5</v>
      </c>
      <c r="C29" s="64">
        <f t="shared" si="56"/>
        <v>201</v>
      </c>
      <c r="D29" s="45">
        <f t="shared" si="75"/>
        <v>0</v>
      </c>
      <c r="E29" s="45">
        <f t="shared" si="8"/>
        <v>0</v>
      </c>
      <c r="F29" s="584">
        <f t="shared" si="28"/>
        <v>1760</v>
      </c>
      <c r="G29" s="52">
        <f t="shared" si="0"/>
        <v>0</v>
      </c>
      <c r="H29" s="584">
        <f t="shared" si="29"/>
        <v>7285</v>
      </c>
      <c r="I29" s="396">
        <f t="shared" si="1"/>
        <v>0</v>
      </c>
      <c r="J29" s="66">
        <f t="shared" si="9"/>
        <v>0</v>
      </c>
      <c r="K29" s="584">
        <f t="shared" si="41"/>
        <v>2254</v>
      </c>
      <c r="L29" s="52">
        <f t="shared" si="10"/>
        <v>0</v>
      </c>
      <c r="M29" s="584">
        <f t="shared" si="42"/>
        <v>165849</v>
      </c>
      <c r="N29" s="396">
        <f t="shared" si="2"/>
        <v>0</v>
      </c>
      <c r="O29" s="64">
        <f t="shared" si="11"/>
        <v>1869</v>
      </c>
      <c r="P29" s="584">
        <f t="shared" si="67"/>
        <v>2008</v>
      </c>
      <c r="Q29" s="584">
        <f t="shared" si="49"/>
        <v>169516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2461</v>
      </c>
      <c r="Y29" s="52">
        <f t="shared" si="15"/>
        <v>0</v>
      </c>
      <c r="Z29" s="584">
        <f t="shared" si="32"/>
        <v>138425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55"/>
        <v>194.5</v>
      </c>
      <c r="C30" s="64">
        <f t="shared" si="56"/>
        <v>201</v>
      </c>
      <c r="D30" s="45">
        <f t="shared" si="75"/>
        <v>0</v>
      </c>
      <c r="E30" s="45">
        <f t="shared" si="8"/>
        <v>0</v>
      </c>
      <c r="F30" s="584">
        <f t="shared" si="28"/>
        <v>1760</v>
      </c>
      <c r="G30" s="52">
        <f t="shared" si="0"/>
        <v>0</v>
      </c>
      <c r="H30" s="584">
        <f t="shared" si="29"/>
        <v>7285</v>
      </c>
      <c r="I30" s="396">
        <f t="shared" si="1"/>
        <v>0</v>
      </c>
      <c r="J30" s="66">
        <f t="shared" si="9"/>
        <v>0</v>
      </c>
      <c r="K30" s="584">
        <f t="shared" si="41"/>
        <v>2254</v>
      </c>
      <c r="L30" s="52">
        <f t="shared" si="10"/>
        <v>0</v>
      </c>
      <c r="M30" s="584">
        <f t="shared" si="42"/>
        <v>165849</v>
      </c>
      <c r="N30" s="396">
        <f t="shared" si="2"/>
        <v>0</v>
      </c>
      <c r="O30" s="64">
        <f t="shared" si="11"/>
        <v>1869</v>
      </c>
      <c r="P30" s="584">
        <f t="shared" si="67"/>
        <v>2008</v>
      </c>
      <c r="Q30" s="584">
        <f t="shared" si="49"/>
        <v>169516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2461</v>
      </c>
      <c r="Y30" s="52">
        <f t="shared" si="15"/>
        <v>0</v>
      </c>
      <c r="Z30" s="584">
        <f t="shared" si="32"/>
        <v>138425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55"/>
        <v>194.5</v>
      </c>
      <c r="C31" s="64">
        <f t="shared" si="56"/>
        <v>201</v>
      </c>
      <c r="D31" s="45">
        <f t="shared" si="75"/>
        <v>0</v>
      </c>
      <c r="E31" s="45">
        <f t="shared" si="8"/>
        <v>0</v>
      </c>
      <c r="F31" s="584">
        <f t="shared" si="28"/>
        <v>1760</v>
      </c>
      <c r="G31" s="52">
        <f t="shared" si="0"/>
        <v>0</v>
      </c>
      <c r="H31" s="584">
        <f t="shared" si="29"/>
        <v>7285</v>
      </c>
      <c r="I31" s="396">
        <f t="shared" si="1"/>
        <v>0</v>
      </c>
      <c r="J31" s="66">
        <f t="shared" si="9"/>
        <v>0</v>
      </c>
      <c r="K31" s="584">
        <f t="shared" si="41"/>
        <v>2254</v>
      </c>
      <c r="L31" s="52">
        <f t="shared" si="10"/>
        <v>0</v>
      </c>
      <c r="M31" s="584">
        <f t="shared" si="42"/>
        <v>165849</v>
      </c>
      <c r="N31" s="396">
        <f t="shared" si="2"/>
        <v>0</v>
      </c>
      <c r="O31" s="64">
        <f t="shared" si="11"/>
        <v>1869</v>
      </c>
      <c r="P31" s="584">
        <f t="shared" si="67"/>
        <v>2008</v>
      </c>
      <c r="Q31" s="584">
        <f t="shared" si="49"/>
        <v>169516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2461</v>
      </c>
      <c r="Y31" s="52">
        <f t="shared" si="15"/>
        <v>0</v>
      </c>
      <c r="Z31" s="584">
        <f t="shared" si="32"/>
        <v>138425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55"/>
        <v>194.5</v>
      </c>
      <c r="C32" s="64">
        <f t="shared" si="56"/>
        <v>201</v>
      </c>
      <c r="D32" s="45">
        <f t="shared" si="27"/>
        <v>0</v>
      </c>
      <c r="E32" s="45">
        <f t="shared" ref="E32" si="106">D32*8.38</f>
        <v>0</v>
      </c>
      <c r="F32" s="584">
        <f t="shared" si="28"/>
        <v>1760</v>
      </c>
      <c r="G32" s="52">
        <f t="shared" si="0"/>
        <v>0</v>
      </c>
      <c r="H32" s="584">
        <f t="shared" si="29"/>
        <v>7285</v>
      </c>
      <c r="I32" s="396">
        <f t="shared" si="1"/>
        <v>0</v>
      </c>
      <c r="J32" s="66">
        <f t="shared" si="9"/>
        <v>0</v>
      </c>
      <c r="K32" s="584">
        <f t="shared" si="41"/>
        <v>2254</v>
      </c>
      <c r="L32" s="52">
        <f t="shared" si="10"/>
        <v>0</v>
      </c>
      <c r="M32" s="584">
        <f t="shared" si="42"/>
        <v>165849</v>
      </c>
      <c r="N32" s="396">
        <f t="shared" si="2"/>
        <v>0</v>
      </c>
      <c r="O32" s="64">
        <f t="shared" si="11"/>
        <v>1869</v>
      </c>
      <c r="P32" s="584">
        <f t="shared" si="67"/>
        <v>2008</v>
      </c>
      <c r="Q32" s="584">
        <f t="shared" si="49"/>
        <v>169516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2461</v>
      </c>
      <c r="Y32" s="52">
        <f t="shared" si="15"/>
        <v>0</v>
      </c>
      <c r="Z32" s="584">
        <f t="shared" si="32"/>
        <v>138425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55"/>
        <v>194.5</v>
      </c>
      <c r="C33" s="64">
        <f t="shared" si="56"/>
        <v>201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1760</v>
      </c>
      <c r="G33" s="52">
        <f t="shared" ref="G33:G35" si="111">F33-F32</f>
        <v>0</v>
      </c>
      <c r="H33" s="584">
        <f t="shared" si="29"/>
        <v>7285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2254</v>
      </c>
      <c r="L33" s="52">
        <f t="shared" ref="L33:L35" si="114">K33-K32</f>
        <v>0</v>
      </c>
      <c r="M33" s="584">
        <f t="shared" si="42"/>
        <v>165849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2008</v>
      </c>
      <c r="Q33" s="584">
        <f t="shared" si="49"/>
        <v>169516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2461</v>
      </c>
      <c r="Y33" s="52">
        <f t="shared" ref="Y33:Y35" si="122">X33-X32</f>
        <v>0</v>
      </c>
      <c r="Z33" s="584">
        <f t="shared" si="32"/>
        <v>138425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55"/>
        <v>194.5</v>
      </c>
      <c r="C34" s="64">
        <f t="shared" si="56"/>
        <v>201</v>
      </c>
      <c r="D34" s="45">
        <f t="shared" si="109"/>
        <v>0</v>
      </c>
      <c r="E34" s="45">
        <f t="shared" si="110"/>
        <v>0</v>
      </c>
      <c r="F34" s="584">
        <f t="shared" si="28"/>
        <v>1760</v>
      </c>
      <c r="G34" s="52">
        <f t="shared" si="111"/>
        <v>0</v>
      </c>
      <c r="H34" s="584">
        <f t="shared" si="29"/>
        <v>7285</v>
      </c>
      <c r="I34" s="396">
        <f t="shared" si="112"/>
        <v>0</v>
      </c>
      <c r="J34" s="66">
        <f t="shared" si="113"/>
        <v>0</v>
      </c>
      <c r="K34" s="584">
        <f t="shared" si="41"/>
        <v>2254</v>
      </c>
      <c r="L34" s="52">
        <f t="shared" si="114"/>
        <v>0</v>
      </c>
      <c r="M34" s="584">
        <f t="shared" si="42"/>
        <v>165849</v>
      </c>
      <c r="N34" s="396">
        <f t="shared" si="115"/>
        <v>0</v>
      </c>
      <c r="O34" s="64">
        <f t="shared" ref="O34" si="141">O33</f>
        <v>1869</v>
      </c>
      <c r="P34" s="584">
        <f t="shared" si="67"/>
        <v>2008</v>
      </c>
      <c r="Q34" s="584">
        <f t="shared" si="49"/>
        <v>169516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2461</v>
      </c>
      <c r="Y34" s="52">
        <f t="shared" si="122"/>
        <v>0</v>
      </c>
      <c r="Z34" s="584">
        <f t="shared" si="32"/>
        <v>138425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55"/>
        <v>194.5</v>
      </c>
      <c r="C35" s="64">
        <f t="shared" si="56"/>
        <v>201</v>
      </c>
      <c r="D35" s="45">
        <f t="shared" si="109"/>
        <v>0</v>
      </c>
      <c r="E35" s="45">
        <f t="shared" si="110"/>
        <v>0</v>
      </c>
      <c r="F35" s="584">
        <f t="shared" si="28"/>
        <v>1760</v>
      </c>
      <c r="G35" s="52">
        <f t="shared" si="111"/>
        <v>0</v>
      </c>
      <c r="H35" s="584">
        <f t="shared" si="29"/>
        <v>7285</v>
      </c>
      <c r="I35" s="396">
        <f t="shared" si="112"/>
        <v>0</v>
      </c>
      <c r="J35" s="66">
        <f t="shared" si="113"/>
        <v>0</v>
      </c>
      <c r="K35" s="584">
        <f t="shared" si="41"/>
        <v>2254</v>
      </c>
      <c r="L35" s="52">
        <f t="shared" si="114"/>
        <v>0</v>
      </c>
      <c r="M35" s="584">
        <f t="shared" si="42"/>
        <v>165849</v>
      </c>
      <c r="N35" s="396">
        <f t="shared" si="115"/>
        <v>0</v>
      </c>
      <c r="O35" s="64">
        <f t="shared" ref="O35" si="144">O34</f>
        <v>1869</v>
      </c>
      <c r="P35" s="584">
        <f t="shared" si="67"/>
        <v>2008</v>
      </c>
      <c r="Q35" s="584">
        <f t="shared" si="49"/>
        <v>169516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2461</v>
      </c>
      <c r="Y35" s="52">
        <f t="shared" si="122"/>
        <v>0</v>
      </c>
      <c r="Z35" s="584">
        <f t="shared" si="32"/>
        <v>138425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58.69444444444445</v>
      </c>
      <c r="V37" s="62">
        <f>SUM(V5:V32)</f>
        <v>1961</v>
      </c>
      <c r="AE37" s="71" t="s">
        <v>383</v>
      </c>
      <c r="AG37" s="344"/>
      <c r="AH37" s="62">
        <f>SUM(AH5:AH32)</f>
        <v>324.20000000001164</v>
      </c>
      <c r="AL37" s="62">
        <f>SUM(AL5:AL32)</f>
        <v>26</v>
      </c>
      <c r="AM37" s="62">
        <f>SUM(AM5:AM32)</f>
        <v>5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2285.2000000000116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4" activePane="bottomLeft" state="frozen"/>
      <selection pane="bottomLeft" activeCell="BB13" sqref="BB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8009976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1" t="s">
        <v>95</v>
      </c>
      <c r="AS2" s="632"/>
      <c r="AT2" s="632"/>
      <c r="AU2" s="632"/>
      <c r="AV2" s="633"/>
      <c r="AW2" s="631" t="s">
        <v>96</v>
      </c>
      <c r="AX2" s="632"/>
      <c r="AY2" s="633"/>
      <c r="AZ2" s="631" t="s">
        <v>98</v>
      </c>
      <c r="BA2" s="632"/>
      <c r="BB2" s="63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8" t="s">
        <v>126</v>
      </c>
      <c r="AO3" s="629"/>
      <c r="AP3" s="63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f>[1]WATER!Z33</f>
        <v>98681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f>Z5</f>
        <v>98681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f t="shared" ref="Z7:Z36" si="21">Z6</f>
        <v>98681</v>
      </c>
      <c r="AA7" s="83">
        <f t="shared" ref="AA7:AA33" si="22">Z7-Z6</f>
        <v>0</v>
      </c>
      <c r="AB7" s="5">
        <f t="shared" ref="AB7:AB36" si="23">AB6</f>
        <v>251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229.03</v>
      </c>
      <c r="AF7" s="83">
        <f t="shared" ref="AF7:AF32" si="26">AE7-AE6</f>
        <v>0</v>
      </c>
      <c r="AG7" s="5">
        <f t="shared" ref="AG7:AG36" si="27">AG6</f>
        <v>2198.54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0</v>
      </c>
      <c r="AL7" s="327">
        <f t="shared" ref="AL7:AL33" si="31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3">AU7*AV7</f>
        <v>151.80000000000001</v>
      </c>
      <c r="BA7" s="426">
        <f t="shared" ref="BA7:BA33" si="34">AW7*AX7</f>
        <v>475.59999999999997</v>
      </c>
      <c r="BB7" s="21">
        <f t="shared" ref="BB7:BD33" si="35">AY7-AY6</f>
        <v>-6.3000000000000114</v>
      </c>
      <c r="BC7" s="21">
        <f t="shared" ref="BC7:BD21" si="36">AZ7-AZ6</f>
        <v>-8.8000000000000114</v>
      </c>
      <c r="BD7" s="21">
        <f t="shared" si="36"/>
        <v>-8.7000000000000455</v>
      </c>
      <c r="BE7" s="24">
        <f t="shared" ref="BE7:BE33" si="37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f t="shared" si="21"/>
        <v>98681</v>
      </c>
      <c r="AA8" s="83">
        <f t="shared" si="22"/>
        <v>0</v>
      </c>
      <c r="AB8" s="5">
        <f t="shared" si="23"/>
        <v>251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229.03</v>
      </c>
      <c r="AF8" s="83">
        <f t="shared" si="26"/>
        <v>0</v>
      </c>
      <c r="AG8" s="5">
        <f t="shared" si="27"/>
        <v>2198.54</v>
      </c>
      <c r="AH8" s="83">
        <f t="shared" si="28"/>
        <v>0</v>
      </c>
      <c r="AI8" s="83">
        <f t="shared" si="29"/>
        <v>0</v>
      </c>
      <c r="AJ8" s="326">
        <f t="shared" si="30"/>
        <v>0</v>
      </c>
      <c r="AK8" s="327">
        <f t="shared" ref="AK8:AK33" si="39">SUM(Y8-L8)</f>
        <v>0</v>
      </c>
      <c r="AL8" s="327">
        <f t="shared" si="31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3"/>
        <v>136.4</v>
      </c>
      <c r="BA8" s="426">
        <f t="shared" si="34"/>
        <v>458.2</v>
      </c>
      <c r="BB8" s="21">
        <f t="shared" si="35"/>
        <v>0</v>
      </c>
      <c r="BC8" s="21">
        <f t="shared" si="36"/>
        <v>-15.400000000000006</v>
      </c>
      <c r="BD8" s="21">
        <f t="shared" si="36"/>
        <v>-17.399999999999977</v>
      </c>
      <c r="BE8" s="24">
        <f t="shared" si="37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40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1">SUM(X9-X8)</f>
        <v>0</v>
      </c>
      <c r="Z9" s="5">
        <f t="shared" si="21"/>
        <v>98681</v>
      </c>
      <c r="AA9" s="83">
        <f t="shared" si="22"/>
        <v>0</v>
      </c>
      <c r="AB9" s="5">
        <f t="shared" si="23"/>
        <v>251</v>
      </c>
      <c r="AC9" s="5">
        <f t="shared" si="24"/>
        <v>731</v>
      </c>
      <c r="AD9" s="83">
        <f t="shared" si="38"/>
        <v>0</v>
      </c>
      <c r="AE9" s="5">
        <f t="shared" si="25"/>
        <v>229.03</v>
      </c>
      <c r="AF9" s="83">
        <f t="shared" si="26"/>
        <v>0</v>
      </c>
      <c r="AG9" s="5">
        <f t="shared" si="27"/>
        <v>2198.54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-2</v>
      </c>
      <c r="AL9" s="327">
        <f t="shared" si="31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44259</v>
      </c>
      <c r="AS9" s="424">
        <f t="shared" si="6"/>
        <v>0.9</v>
      </c>
      <c r="AT9" s="201">
        <v>77</v>
      </c>
      <c r="AU9" s="425">
        <f t="shared" ref="AU9:AU33" si="42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3"/>
        <v>143</v>
      </c>
      <c r="BA9" s="426">
        <f t="shared" si="34"/>
        <v>452.4</v>
      </c>
      <c r="BB9" s="21">
        <f t="shared" si="35"/>
        <v>0</v>
      </c>
      <c r="BC9" s="21">
        <f t="shared" si="36"/>
        <v>6.5999999999999943</v>
      </c>
      <c r="BD9" s="21">
        <f t="shared" si="36"/>
        <v>-5.8000000000000114</v>
      </c>
      <c r="BE9" s="24">
        <f t="shared" si="37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1"/>
        <v>0</v>
      </c>
      <c r="Z10" s="5">
        <f t="shared" si="21"/>
        <v>98681</v>
      </c>
      <c r="AA10" s="83">
        <f t="shared" si="22"/>
        <v>0</v>
      </c>
      <c r="AB10" s="5">
        <f t="shared" si="23"/>
        <v>251</v>
      </c>
      <c r="AC10" s="5">
        <f t="shared" si="24"/>
        <v>731</v>
      </c>
      <c r="AD10" s="83">
        <f t="shared" si="38"/>
        <v>0</v>
      </c>
      <c r="AE10" s="5">
        <f t="shared" si="25"/>
        <v>229.03</v>
      </c>
      <c r="AF10" s="83">
        <f t="shared" si="26"/>
        <v>0</v>
      </c>
      <c r="AG10" s="5">
        <f t="shared" si="27"/>
        <v>2198.54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0</v>
      </c>
      <c r="AL10" s="327">
        <f t="shared" si="31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44260</v>
      </c>
      <c r="AS10" s="424">
        <f t="shared" si="6"/>
        <v>0.9</v>
      </c>
      <c r="AT10" s="201">
        <f t="shared" si="6"/>
        <v>77</v>
      </c>
      <c r="AU10" s="425">
        <f t="shared" si="42"/>
        <v>1.1000000000000001</v>
      </c>
      <c r="AV10" s="201">
        <v>126</v>
      </c>
      <c r="AW10" s="5">
        <v>2.9</v>
      </c>
      <c r="AX10" s="201">
        <f t="shared" ref="AX10:AX36" si="43">AX9</f>
        <v>156</v>
      </c>
      <c r="AY10" s="426">
        <f t="shared" si="7"/>
        <v>69.3</v>
      </c>
      <c r="AZ10" s="426">
        <f t="shared" si="33"/>
        <v>138.60000000000002</v>
      </c>
      <c r="BA10" s="426">
        <f t="shared" si="34"/>
        <v>452.4</v>
      </c>
      <c r="BB10" s="21">
        <f t="shared" si="35"/>
        <v>0</v>
      </c>
      <c r="BC10" s="21">
        <f t="shared" si="36"/>
        <v>-4.3999999999999773</v>
      </c>
      <c r="BD10" s="21">
        <f t="shared" si="36"/>
        <v>0</v>
      </c>
      <c r="BE10" s="24">
        <f t="shared" si="37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40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1"/>
        <v>0</v>
      </c>
      <c r="Z11" s="5">
        <f t="shared" si="21"/>
        <v>98681</v>
      </c>
      <c r="AA11" s="83">
        <f t="shared" si="22"/>
        <v>0</v>
      </c>
      <c r="AB11" s="5">
        <f t="shared" si="23"/>
        <v>251</v>
      </c>
      <c r="AC11" s="5">
        <f t="shared" si="24"/>
        <v>731</v>
      </c>
      <c r="AD11" s="83">
        <f t="shared" si="38"/>
        <v>0</v>
      </c>
      <c r="AE11" s="5">
        <f t="shared" si="25"/>
        <v>229.03</v>
      </c>
      <c r="AF11" s="83">
        <f t="shared" si="26"/>
        <v>0</v>
      </c>
      <c r="AG11" s="5">
        <f t="shared" si="27"/>
        <v>2198.54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-2</v>
      </c>
      <c r="AL11" s="327">
        <f t="shared" si="31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44261</v>
      </c>
      <c r="AS11" s="424">
        <f t="shared" si="6"/>
        <v>0.9</v>
      </c>
      <c r="AT11" s="201">
        <f t="shared" si="6"/>
        <v>77</v>
      </c>
      <c r="AU11" s="425">
        <f t="shared" si="42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3"/>
        <v>136.4</v>
      </c>
      <c r="BA11" s="426">
        <f t="shared" si="34"/>
        <v>449.5</v>
      </c>
      <c r="BB11" s="21">
        <f t="shared" si="35"/>
        <v>0</v>
      </c>
      <c r="BC11" s="21">
        <f t="shared" si="36"/>
        <v>-2.2000000000000171</v>
      </c>
      <c r="BD11" s="21">
        <f t="shared" si="36"/>
        <v>-2.8999999999999773</v>
      </c>
      <c r="BE11" s="24">
        <f t="shared" si="37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40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1"/>
        <v>0</v>
      </c>
      <c r="Z12" s="5">
        <f t="shared" si="21"/>
        <v>98681</v>
      </c>
      <c r="AA12" s="83">
        <f t="shared" si="22"/>
        <v>0</v>
      </c>
      <c r="AB12" s="5">
        <f t="shared" si="23"/>
        <v>251</v>
      </c>
      <c r="AC12" s="5">
        <f t="shared" si="24"/>
        <v>731</v>
      </c>
      <c r="AD12" s="83">
        <f t="shared" si="38"/>
        <v>0</v>
      </c>
      <c r="AE12" s="5">
        <f t="shared" si="25"/>
        <v>229.03</v>
      </c>
      <c r="AF12" s="83">
        <f t="shared" si="26"/>
        <v>0</v>
      </c>
      <c r="AG12" s="5">
        <f t="shared" si="27"/>
        <v>2198.54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-1</v>
      </c>
      <c r="AL12" s="327">
        <f t="shared" si="31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44262</v>
      </c>
      <c r="AS12" s="424">
        <f t="shared" si="6"/>
        <v>0.9</v>
      </c>
      <c r="AT12" s="201">
        <f t="shared" si="6"/>
        <v>77</v>
      </c>
      <c r="AU12" s="425">
        <f t="shared" si="42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3"/>
        <v>133.10000000000002</v>
      </c>
      <c r="BA12" s="426">
        <f t="shared" si="34"/>
        <v>440.8</v>
      </c>
      <c r="BB12" s="21">
        <f t="shared" si="35"/>
        <v>0</v>
      </c>
      <c r="BC12" s="21">
        <f t="shared" si="36"/>
        <v>-3.2999999999999829</v>
      </c>
      <c r="BD12" s="21">
        <f t="shared" si="36"/>
        <v>-8.6999999999999886</v>
      </c>
      <c r="BE12" s="24">
        <f t="shared" si="37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40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1"/>
        <v>0</v>
      </c>
      <c r="Z13" s="5">
        <f t="shared" si="21"/>
        <v>98681</v>
      </c>
      <c r="AA13" s="83">
        <f t="shared" si="22"/>
        <v>0</v>
      </c>
      <c r="AB13" s="5">
        <f t="shared" si="23"/>
        <v>251</v>
      </c>
      <c r="AC13" s="5">
        <f t="shared" si="24"/>
        <v>731</v>
      </c>
      <c r="AD13" s="83">
        <f t="shared" si="38"/>
        <v>0</v>
      </c>
      <c r="AE13" s="5">
        <f t="shared" si="25"/>
        <v>229.03</v>
      </c>
      <c r="AF13" s="83">
        <f t="shared" si="26"/>
        <v>0</v>
      </c>
      <c r="AG13" s="5">
        <f t="shared" si="27"/>
        <v>2198.54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39"/>
        <v>0</v>
      </c>
      <c r="AL13" s="327">
        <f t="shared" si="31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44263</v>
      </c>
      <c r="AS13" s="424">
        <f t="shared" si="6"/>
        <v>0.9</v>
      </c>
      <c r="AT13" s="201">
        <f t="shared" si="6"/>
        <v>77</v>
      </c>
      <c r="AU13" s="425">
        <f t="shared" si="42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3"/>
        <v>129.80000000000001</v>
      </c>
      <c r="BA13" s="426">
        <f t="shared" si="34"/>
        <v>432.09999999999997</v>
      </c>
      <c r="BB13" s="21">
        <f t="shared" si="35"/>
        <v>0</v>
      </c>
      <c r="BC13" s="21">
        <f t="shared" si="36"/>
        <v>-3.3000000000000114</v>
      </c>
      <c r="BD13" s="21">
        <f t="shared" si="36"/>
        <v>-8.7000000000000455</v>
      </c>
      <c r="BE13" s="24">
        <f t="shared" si="37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40"/>
        <v>0</v>
      </c>
      <c r="M14" s="410">
        <f t="shared" si="15"/>
        <v>457.44</v>
      </c>
      <c r="N14" s="514">
        <f t="shared" ref="N14:N33" si="44">SUM(M14-M13)</f>
        <v>0</v>
      </c>
      <c r="O14" s="410">
        <f t="shared" si="16"/>
        <v>529.52</v>
      </c>
      <c r="P14" s="514">
        <f t="shared" ref="P14:P33" si="45">SUM(O14-O13)</f>
        <v>0</v>
      </c>
      <c r="Q14" s="514">
        <f t="shared" ref="Q14:Q33" si="46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f t="shared" si="20"/>
        <v>150365</v>
      </c>
      <c r="Y14" s="324">
        <f t="shared" si="41"/>
        <v>0</v>
      </c>
      <c r="Z14" s="5">
        <f t="shared" si="21"/>
        <v>98681</v>
      </c>
      <c r="AA14" s="83">
        <f t="shared" si="22"/>
        <v>0</v>
      </c>
      <c r="AB14" s="5">
        <f t="shared" si="23"/>
        <v>251</v>
      </c>
      <c r="AC14" s="5">
        <f t="shared" si="24"/>
        <v>731</v>
      </c>
      <c r="AD14" s="83">
        <f t="shared" si="38"/>
        <v>0</v>
      </c>
      <c r="AE14" s="5">
        <f t="shared" si="25"/>
        <v>229.03</v>
      </c>
      <c r="AF14" s="83">
        <f t="shared" si="26"/>
        <v>0</v>
      </c>
      <c r="AG14" s="5">
        <f t="shared" si="27"/>
        <v>2198.54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39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44264</v>
      </c>
      <c r="AS14" s="424">
        <f t="shared" si="6"/>
        <v>0.9</v>
      </c>
      <c r="AT14" s="201">
        <f t="shared" si="6"/>
        <v>77</v>
      </c>
      <c r="AU14" s="425">
        <f t="shared" si="42"/>
        <v>1.1000000000000001</v>
      </c>
      <c r="AV14" s="201">
        <f t="shared" ref="AV13:AV36" si="47">AV13</f>
        <v>118</v>
      </c>
      <c r="AW14" s="5">
        <v>2.9</v>
      </c>
      <c r="AX14" s="201">
        <f t="shared" si="43"/>
        <v>149</v>
      </c>
      <c r="AY14" s="426">
        <f t="shared" si="7"/>
        <v>69.3</v>
      </c>
      <c r="AZ14" s="426">
        <f t="shared" si="33"/>
        <v>129.80000000000001</v>
      </c>
      <c r="BA14" s="426">
        <f t="shared" si="34"/>
        <v>432.09999999999997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616152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6726</v>
      </c>
      <c r="L15" s="83">
        <f t="shared" si="40"/>
        <v>0</v>
      </c>
      <c r="M15" s="410">
        <f t="shared" si="15"/>
        <v>457.44</v>
      </c>
      <c r="N15" s="514">
        <f t="shared" si="44"/>
        <v>0</v>
      </c>
      <c r="O15" s="410">
        <f t="shared" si="16"/>
        <v>529.52</v>
      </c>
      <c r="P15" s="514">
        <f t="shared" si="45"/>
        <v>0</v>
      </c>
      <c r="Q15" s="514">
        <f t="shared" si="46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f t="shared" si="20"/>
        <v>150365</v>
      </c>
      <c r="Y15" s="324">
        <f t="shared" si="41"/>
        <v>0</v>
      </c>
      <c r="Z15" s="5">
        <f t="shared" si="21"/>
        <v>98681</v>
      </c>
      <c r="AA15" s="83">
        <f t="shared" si="22"/>
        <v>0</v>
      </c>
      <c r="AB15" s="5">
        <f t="shared" si="23"/>
        <v>251</v>
      </c>
      <c r="AC15" s="5">
        <f t="shared" si="24"/>
        <v>731</v>
      </c>
      <c r="AD15" s="83">
        <f t="shared" si="38"/>
        <v>0</v>
      </c>
      <c r="AE15" s="5">
        <f t="shared" si="25"/>
        <v>229.03</v>
      </c>
      <c r="AF15" s="83">
        <f t="shared" si="26"/>
        <v>0</v>
      </c>
      <c r="AG15" s="5">
        <f t="shared" si="27"/>
        <v>2198.54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44265</v>
      </c>
      <c r="AS15" s="424">
        <f t="shared" si="6"/>
        <v>0.9</v>
      </c>
      <c r="AT15" s="201">
        <f t="shared" si="6"/>
        <v>77</v>
      </c>
      <c r="AU15" s="425">
        <f t="shared" si="42"/>
        <v>1.1000000000000001</v>
      </c>
      <c r="AV15" s="201">
        <f t="shared" si="47"/>
        <v>118</v>
      </c>
      <c r="AW15" s="5">
        <v>2.9</v>
      </c>
      <c r="AX15" s="201">
        <f t="shared" si="43"/>
        <v>149</v>
      </c>
      <c r="AY15" s="426">
        <f t="shared" si="7"/>
        <v>69.3</v>
      </c>
      <c r="AZ15" s="426">
        <f t="shared" si="33"/>
        <v>129.80000000000001</v>
      </c>
      <c r="BA15" s="426">
        <f t="shared" si="34"/>
        <v>432.09999999999997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616152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6726</v>
      </c>
      <c r="L16" s="274">
        <f t="shared" si="40"/>
        <v>0</v>
      </c>
      <c r="M16" s="410">
        <f t="shared" si="15"/>
        <v>457.44</v>
      </c>
      <c r="N16" s="514">
        <f t="shared" si="44"/>
        <v>0</v>
      </c>
      <c r="O16" s="410">
        <f t="shared" si="16"/>
        <v>529.52</v>
      </c>
      <c r="P16" s="514">
        <f t="shared" si="45"/>
        <v>0</v>
      </c>
      <c r="Q16" s="514">
        <f t="shared" si="46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150365</v>
      </c>
      <c r="Y16" s="324">
        <f t="shared" si="41"/>
        <v>0</v>
      </c>
      <c r="Z16" s="5">
        <f t="shared" si="21"/>
        <v>98681</v>
      </c>
      <c r="AA16" s="83">
        <f t="shared" si="22"/>
        <v>0</v>
      </c>
      <c r="AB16" s="5">
        <f t="shared" si="23"/>
        <v>251</v>
      </c>
      <c r="AC16" s="5">
        <f t="shared" si="24"/>
        <v>731</v>
      </c>
      <c r="AD16" s="83">
        <f t="shared" si="38"/>
        <v>0</v>
      </c>
      <c r="AE16" s="5">
        <f t="shared" si="25"/>
        <v>229.03</v>
      </c>
      <c r="AF16" s="83">
        <f t="shared" si="26"/>
        <v>0</v>
      </c>
      <c r="AG16" s="5">
        <f t="shared" si="27"/>
        <v>2198.54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44266</v>
      </c>
      <c r="AS16" s="424">
        <f t="shared" si="6"/>
        <v>0.9</v>
      </c>
      <c r="AT16" s="201">
        <f t="shared" si="6"/>
        <v>77</v>
      </c>
      <c r="AU16" s="425">
        <f t="shared" si="42"/>
        <v>1.1000000000000001</v>
      </c>
      <c r="AV16" s="201">
        <f t="shared" si="47"/>
        <v>118</v>
      </c>
      <c r="AW16" s="5">
        <v>2.9</v>
      </c>
      <c r="AX16" s="201">
        <f t="shared" si="43"/>
        <v>149</v>
      </c>
      <c r="AY16" s="426">
        <f t="shared" si="7"/>
        <v>69.3</v>
      </c>
      <c r="AZ16" s="426">
        <f t="shared" si="33"/>
        <v>129.80000000000001</v>
      </c>
      <c r="BA16" s="426">
        <f t="shared" si="34"/>
        <v>432.09999999999997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616152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6726</v>
      </c>
      <c r="L17" s="83">
        <f t="shared" si="40"/>
        <v>0</v>
      </c>
      <c r="M17" s="410">
        <f t="shared" si="15"/>
        <v>457.44</v>
      </c>
      <c r="N17" s="514">
        <f t="shared" si="44"/>
        <v>0</v>
      </c>
      <c r="O17" s="410">
        <f t="shared" si="16"/>
        <v>529.52</v>
      </c>
      <c r="P17" s="514">
        <f t="shared" si="45"/>
        <v>0</v>
      </c>
      <c r="Q17" s="514">
        <f t="shared" si="46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150365</v>
      </c>
      <c r="Y17" s="324">
        <f t="shared" si="41"/>
        <v>0</v>
      </c>
      <c r="Z17" s="5">
        <f t="shared" si="21"/>
        <v>98681</v>
      </c>
      <c r="AA17" s="83">
        <f t="shared" si="22"/>
        <v>0</v>
      </c>
      <c r="AB17" s="5">
        <f t="shared" si="23"/>
        <v>251</v>
      </c>
      <c r="AC17" s="5">
        <f t="shared" si="24"/>
        <v>731</v>
      </c>
      <c r="AD17" s="83">
        <f t="shared" si="38"/>
        <v>0</v>
      </c>
      <c r="AE17" s="5">
        <f t="shared" si="25"/>
        <v>229.03</v>
      </c>
      <c r="AF17" s="83">
        <f t="shared" si="26"/>
        <v>0</v>
      </c>
      <c r="AG17" s="5">
        <f t="shared" si="27"/>
        <v>2198.54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44267</v>
      </c>
      <c r="AS17" s="424">
        <f t="shared" si="6"/>
        <v>0.9</v>
      </c>
      <c r="AT17" s="201">
        <f t="shared" si="6"/>
        <v>77</v>
      </c>
      <c r="AU17" s="425">
        <f t="shared" si="42"/>
        <v>1.1000000000000001</v>
      </c>
      <c r="AV17" s="201">
        <f t="shared" si="47"/>
        <v>118</v>
      </c>
      <c r="AW17" s="5">
        <v>2.9</v>
      </c>
      <c r="AX17" s="201">
        <f t="shared" si="43"/>
        <v>149</v>
      </c>
      <c r="AY17" s="426">
        <f t="shared" si="7"/>
        <v>69.3</v>
      </c>
      <c r="AZ17" s="426">
        <f t="shared" si="33"/>
        <v>129.80000000000001</v>
      </c>
      <c r="BA17" s="426">
        <f t="shared" si="34"/>
        <v>432.09999999999997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616152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6726</v>
      </c>
      <c r="L18" s="83">
        <f t="shared" si="40"/>
        <v>0</v>
      </c>
      <c r="M18" s="410">
        <f t="shared" si="15"/>
        <v>457.44</v>
      </c>
      <c r="N18" s="514">
        <f t="shared" si="44"/>
        <v>0</v>
      </c>
      <c r="O18" s="410">
        <f t="shared" si="16"/>
        <v>529.52</v>
      </c>
      <c r="P18" s="514">
        <f t="shared" si="45"/>
        <v>0</v>
      </c>
      <c r="Q18" s="514">
        <f t="shared" si="46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150365</v>
      </c>
      <c r="Y18" s="324">
        <f t="shared" si="41"/>
        <v>0</v>
      </c>
      <c r="Z18" s="5">
        <f t="shared" si="21"/>
        <v>98681</v>
      </c>
      <c r="AA18" s="83">
        <f t="shared" si="22"/>
        <v>0</v>
      </c>
      <c r="AB18" s="5">
        <f t="shared" si="23"/>
        <v>251</v>
      </c>
      <c r="AC18" s="5">
        <f t="shared" si="24"/>
        <v>731</v>
      </c>
      <c r="AD18" s="83">
        <f t="shared" si="38"/>
        <v>0</v>
      </c>
      <c r="AE18" s="5">
        <f t="shared" si="25"/>
        <v>229.03</v>
      </c>
      <c r="AF18" s="83">
        <f t="shared" si="26"/>
        <v>0</v>
      </c>
      <c r="AG18" s="5">
        <f t="shared" si="27"/>
        <v>2198.54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44268</v>
      </c>
      <c r="AS18" s="424">
        <f t="shared" si="6"/>
        <v>0.9</v>
      </c>
      <c r="AT18" s="201">
        <f t="shared" si="6"/>
        <v>77</v>
      </c>
      <c r="AU18" s="425">
        <f t="shared" si="42"/>
        <v>1.1000000000000001</v>
      </c>
      <c r="AV18" s="201">
        <f t="shared" si="47"/>
        <v>118</v>
      </c>
      <c r="AW18" s="5">
        <v>2.9</v>
      </c>
      <c r="AX18" s="201">
        <f t="shared" si="43"/>
        <v>149</v>
      </c>
      <c r="AY18" s="426">
        <f t="shared" si="7"/>
        <v>69.3</v>
      </c>
      <c r="AZ18" s="426">
        <f t="shared" si="33"/>
        <v>129.80000000000001</v>
      </c>
      <c r="BA18" s="426">
        <f t="shared" si="34"/>
        <v>432.09999999999997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616152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6726</v>
      </c>
      <c r="L19" s="83">
        <f t="shared" si="40"/>
        <v>0</v>
      </c>
      <c r="M19" s="410">
        <f t="shared" si="15"/>
        <v>457.44</v>
      </c>
      <c r="N19" s="514">
        <f t="shared" si="44"/>
        <v>0</v>
      </c>
      <c r="O19" s="410">
        <f t="shared" si="16"/>
        <v>529.52</v>
      </c>
      <c r="P19" s="514">
        <f t="shared" si="45"/>
        <v>0</v>
      </c>
      <c r="Q19" s="514">
        <f t="shared" si="46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150365</v>
      </c>
      <c r="Y19" s="324">
        <f t="shared" si="41"/>
        <v>0</v>
      </c>
      <c r="Z19" s="5">
        <f t="shared" si="21"/>
        <v>98681</v>
      </c>
      <c r="AA19" s="83">
        <f t="shared" si="22"/>
        <v>0</v>
      </c>
      <c r="AB19" s="5">
        <f t="shared" si="23"/>
        <v>251</v>
      </c>
      <c r="AC19" s="5">
        <f t="shared" si="24"/>
        <v>731</v>
      </c>
      <c r="AD19" s="83">
        <f t="shared" si="38"/>
        <v>0</v>
      </c>
      <c r="AE19" s="5">
        <f t="shared" si="25"/>
        <v>229.03</v>
      </c>
      <c r="AF19" s="83">
        <f t="shared" si="26"/>
        <v>0</v>
      </c>
      <c r="AG19" s="5">
        <f t="shared" si="27"/>
        <v>2198.54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44269</v>
      </c>
      <c r="AS19" s="424">
        <f t="shared" si="6"/>
        <v>0.9</v>
      </c>
      <c r="AT19" s="201">
        <f t="shared" si="6"/>
        <v>77</v>
      </c>
      <c r="AU19" s="425">
        <f t="shared" si="42"/>
        <v>1.1000000000000001</v>
      </c>
      <c r="AV19" s="201">
        <f t="shared" si="47"/>
        <v>118</v>
      </c>
      <c r="AW19" s="5">
        <v>2.9</v>
      </c>
      <c r="AX19" s="201">
        <f t="shared" si="43"/>
        <v>149</v>
      </c>
      <c r="AY19" s="426">
        <f t="shared" ref="AY19:AY21" si="48">AS19*AT19</f>
        <v>69.3</v>
      </c>
      <c r="AZ19" s="426">
        <f t="shared" ref="AZ19:AZ21" si="49">AU19*AV19</f>
        <v>129.80000000000001</v>
      </c>
      <c r="BA19" s="426">
        <f t="shared" ref="BA19:BA21" si="50">AW19*AX19</f>
        <v>432.09999999999997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616152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6726</v>
      </c>
      <c r="L20" s="83">
        <f t="shared" si="40"/>
        <v>0</v>
      </c>
      <c r="M20" s="410">
        <f t="shared" si="15"/>
        <v>457.44</v>
      </c>
      <c r="N20" s="514">
        <f t="shared" si="44"/>
        <v>0</v>
      </c>
      <c r="O20" s="410">
        <f t="shared" si="16"/>
        <v>529.52</v>
      </c>
      <c r="P20" s="514">
        <f t="shared" si="45"/>
        <v>0</v>
      </c>
      <c r="Q20" s="514">
        <f t="shared" si="46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150365</v>
      </c>
      <c r="Y20" s="324">
        <f t="shared" si="41"/>
        <v>0</v>
      </c>
      <c r="Z20" s="5">
        <f t="shared" si="21"/>
        <v>98681</v>
      </c>
      <c r="AA20" s="83">
        <f t="shared" si="22"/>
        <v>0</v>
      </c>
      <c r="AB20" s="5">
        <f t="shared" si="23"/>
        <v>251</v>
      </c>
      <c r="AC20" s="5">
        <f t="shared" si="24"/>
        <v>731</v>
      </c>
      <c r="AD20" s="83">
        <f t="shared" si="38"/>
        <v>0</v>
      </c>
      <c r="AE20" s="5">
        <f t="shared" si="25"/>
        <v>229.03</v>
      </c>
      <c r="AF20" s="83">
        <f t="shared" si="26"/>
        <v>0</v>
      </c>
      <c r="AG20" s="5">
        <f t="shared" si="27"/>
        <v>2198.54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44270</v>
      </c>
      <c r="AS20" s="424">
        <f t="shared" si="6"/>
        <v>0.9</v>
      </c>
      <c r="AT20" s="201">
        <f t="shared" si="6"/>
        <v>77</v>
      </c>
      <c r="AU20" s="425">
        <f t="shared" si="42"/>
        <v>1.1000000000000001</v>
      </c>
      <c r="AV20" s="201">
        <f t="shared" si="47"/>
        <v>118</v>
      </c>
      <c r="AW20" s="5">
        <v>2.9</v>
      </c>
      <c r="AX20" s="201">
        <f t="shared" si="43"/>
        <v>149</v>
      </c>
      <c r="AY20" s="426">
        <f t="shared" si="48"/>
        <v>69.3</v>
      </c>
      <c r="AZ20" s="426">
        <f t="shared" si="49"/>
        <v>129.80000000000001</v>
      </c>
      <c r="BA20" s="426">
        <f t="shared" si="50"/>
        <v>432.09999999999997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616152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6726</v>
      </c>
      <c r="L21" s="83">
        <f t="shared" si="40"/>
        <v>0</v>
      </c>
      <c r="M21" s="410">
        <f t="shared" si="15"/>
        <v>457.44</v>
      </c>
      <c r="N21" s="514">
        <f t="shared" si="44"/>
        <v>0</v>
      </c>
      <c r="O21" s="410">
        <f t="shared" si="16"/>
        <v>529.52</v>
      </c>
      <c r="P21" s="514">
        <f t="shared" si="45"/>
        <v>0</v>
      </c>
      <c r="Q21" s="514">
        <f t="shared" si="46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150365</v>
      </c>
      <c r="Y21" s="324">
        <f>SUM(X21-X20)</f>
        <v>0</v>
      </c>
      <c r="Z21" s="5">
        <f t="shared" si="21"/>
        <v>98681</v>
      </c>
      <c r="AA21" s="83">
        <f t="shared" si="22"/>
        <v>0</v>
      </c>
      <c r="AB21" s="5">
        <f t="shared" si="23"/>
        <v>251</v>
      </c>
      <c r="AC21" s="5">
        <f t="shared" si="24"/>
        <v>731</v>
      </c>
      <c r="AD21" s="83">
        <f t="shared" si="38"/>
        <v>0</v>
      </c>
      <c r="AE21" s="5">
        <f t="shared" si="25"/>
        <v>229.03</v>
      </c>
      <c r="AF21" s="83">
        <f t="shared" si="26"/>
        <v>0</v>
      </c>
      <c r="AG21" s="5">
        <f t="shared" si="27"/>
        <v>2198.54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44271</v>
      </c>
      <c r="AS21" s="424">
        <f t="shared" si="6"/>
        <v>0.9</v>
      </c>
      <c r="AT21" s="201">
        <f t="shared" si="6"/>
        <v>77</v>
      </c>
      <c r="AU21" s="425">
        <f t="shared" si="42"/>
        <v>1.1000000000000001</v>
      </c>
      <c r="AV21" s="201">
        <f t="shared" si="47"/>
        <v>118</v>
      </c>
      <c r="AW21" s="5">
        <v>2.9</v>
      </c>
      <c r="AX21" s="201">
        <f t="shared" si="43"/>
        <v>149</v>
      </c>
      <c r="AY21" s="426">
        <f t="shared" si="48"/>
        <v>69.3</v>
      </c>
      <c r="AZ21" s="426">
        <f t="shared" si="49"/>
        <v>129.80000000000001</v>
      </c>
      <c r="BA21" s="426">
        <f t="shared" si="50"/>
        <v>432.09999999999997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616152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6726</v>
      </c>
      <c r="L22" s="83">
        <f t="shared" si="40"/>
        <v>0</v>
      </c>
      <c r="M22" s="410">
        <f t="shared" si="15"/>
        <v>457.44</v>
      </c>
      <c r="N22" s="514">
        <f t="shared" si="44"/>
        <v>0</v>
      </c>
      <c r="O22" s="410">
        <f t="shared" si="16"/>
        <v>529.52</v>
      </c>
      <c r="P22" s="514">
        <f t="shared" si="45"/>
        <v>0</v>
      </c>
      <c r="Q22" s="514">
        <f t="shared" si="46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150365</v>
      </c>
      <c r="Y22" s="324">
        <f t="shared" si="41"/>
        <v>0</v>
      </c>
      <c r="Z22" s="5">
        <f t="shared" si="21"/>
        <v>98681</v>
      </c>
      <c r="AA22" s="83">
        <f t="shared" si="22"/>
        <v>0</v>
      </c>
      <c r="AB22" s="5">
        <f t="shared" si="23"/>
        <v>251</v>
      </c>
      <c r="AC22" s="5">
        <f t="shared" si="24"/>
        <v>731</v>
      </c>
      <c r="AD22" s="83">
        <f t="shared" si="38"/>
        <v>0</v>
      </c>
      <c r="AE22" s="5">
        <f t="shared" si="25"/>
        <v>229.03</v>
      </c>
      <c r="AF22" s="83">
        <f t="shared" si="26"/>
        <v>0</v>
      </c>
      <c r="AG22" s="5">
        <f t="shared" si="27"/>
        <v>2198.54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44272</v>
      </c>
      <c r="AS22" s="424">
        <f t="shared" ref="AS22:AT33" si="55">AS21</f>
        <v>0.9</v>
      </c>
      <c r="AT22" s="201">
        <f t="shared" si="55"/>
        <v>77</v>
      </c>
      <c r="AU22" s="425">
        <f t="shared" si="42"/>
        <v>1.1000000000000001</v>
      </c>
      <c r="AV22" s="201">
        <f t="shared" si="47"/>
        <v>118</v>
      </c>
      <c r="AW22" s="5">
        <v>2.9</v>
      </c>
      <c r="AX22" s="201">
        <f t="shared" si="43"/>
        <v>149</v>
      </c>
      <c r="AY22" s="426">
        <f t="shared" si="7"/>
        <v>69.3</v>
      </c>
      <c r="AZ22" s="426">
        <f t="shared" si="33"/>
        <v>129.80000000000001</v>
      </c>
      <c r="BA22" s="426">
        <f t="shared" si="34"/>
        <v>432.09999999999997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616152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6726</v>
      </c>
      <c r="L23" s="274">
        <f t="shared" si="40"/>
        <v>0</v>
      </c>
      <c r="M23" s="410">
        <f t="shared" si="15"/>
        <v>457.44</v>
      </c>
      <c r="N23" s="514">
        <f t="shared" si="44"/>
        <v>0</v>
      </c>
      <c r="O23" s="410">
        <f t="shared" si="16"/>
        <v>529.52</v>
      </c>
      <c r="P23" s="514">
        <f t="shared" si="45"/>
        <v>0</v>
      </c>
      <c r="Q23" s="514">
        <f t="shared" si="46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150365</v>
      </c>
      <c r="Y23" s="324">
        <f t="shared" si="41"/>
        <v>0</v>
      </c>
      <c r="Z23" s="5">
        <f t="shared" si="21"/>
        <v>98681</v>
      </c>
      <c r="AA23" s="83">
        <f t="shared" si="22"/>
        <v>0</v>
      </c>
      <c r="AB23" s="5">
        <f t="shared" si="23"/>
        <v>251</v>
      </c>
      <c r="AC23" s="5">
        <f t="shared" si="24"/>
        <v>731</v>
      </c>
      <c r="AD23" s="83">
        <f t="shared" si="38"/>
        <v>0</v>
      </c>
      <c r="AE23" s="5">
        <f t="shared" si="25"/>
        <v>229.03</v>
      </c>
      <c r="AF23" s="83">
        <f t="shared" si="26"/>
        <v>0</v>
      </c>
      <c r="AG23" s="5">
        <f t="shared" si="27"/>
        <v>2198.54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44273</v>
      </c>
      <c r="AS23" s="424">
        <f t="shared" si="55"/>
        <v>0.9</v>
      </c>
      <c r="AT23" s="201">
        <f t="shared" si="55"/>
        <v>77</v>
      </c>
      <c r="AU23" s="425">
        <f t="shared" si="42"/>
        <v>1.1000000000000001</v>
      </c>
      <c r="AV23" s="201">
        <f t="shared" si="47"/>
        <v>118</v>
      </c>
      <c r="AW23" s="5">
        <v>2.9</v>
      </c>
      <c r="AX23" s="201">
        <f t="shared" si="43"/>
        <v>149</v>
      </c>
      <c r="AY23" s="426">
        <f t="shared" si="7"/>
        <v>69.3</v>
      </c>
      <c r="AZ23" s="426">
        <f t="shared" si="33"/>
        <v>129.80000000000001</v>
      </c>
      <c r="BA23" s="426">
        <f t="shared" si="34"/>
        <v>432.09999999999997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616152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40"/>
        <v>-13</v>
      </c>
      <c r="M24" s="410">
        <f t="shared" si="15"/>
        <v>457.44</v>
      </c>
      <c r="N24" s="514">
        <f t="shared" si="44"/>
        <v>0</v>
      </c>
      <c r="O24" s="410">
        <f t="shared" si="16"/>
        <v>529.52</v>
      </c>
      <c r="P24" s="514">
        <f t="shared" si="45"/>
        <v>0</v>
      </c>
      <c r="Q24" s="514">
        <f t="shared" si="46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150365</v>
      </c>
      <c r="Y24" s="324">
        <f t="shared" si="41"/>
        <v>0</v>
      </c>
      <c r="Z24" s="5">
        <f t="shared" si="21"/>
        <v>98681</v>
      </c>
      <c r="AA24" s="83">
        <f t="shared" si="22"/>
        <v>0</v>
      </c>
      <c r="AB24" s="5">
        <f t="shared" si="23"/>
        <v>251</v>
      </c>
      <c r="AC24" s="5">
        <f t="shared" si="24"/>
        <v>731</v>
      </c>
      <c r="AD24" s="83">
        <f t="shared" si="38"/>
        <v>0</v>
      </c>
      <c r="AE24" s="5">
        <f t="shared" si="25"/>
        <v>229.03</v>
      </c>
      <c r="AF24" s="83">
        <f t="shared" si="26"/>
        <v>0</v>
      </c>
      <c r="AG24" s="5">
        <f t="shared" si="27"/>
        <v>2198.54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13</v>
      </c>
      <c r="AL24" s="327">
        <f t="shared" si="31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2"/>
        <v>44274</v>
      </c>
      <c r="AS24" s="424">
        <f t="shared" si="55"/>
        <v>0.9</v>
      </c>
      <c r="AT24" s="201">
        <f t="shared" si="55"/>
        <v>77</v>
      </c>
      <c r="AU24" s="425">
        <f t="shared" si="42"/>
        <v>1.1000000000000001</v>
      </c>
      <c r="AV24" s="201">
        <f t="shared" si="47"/>
        <v>118</v>
      </c>
      <c r="AW24" s="5">
        <v>2.9</v>
      </c>
      <c r="AX24" s="201">
        <f t="shared" si="43"/>
        <v>149</v>
      </c>
      <c r="AY24" s="426">
        <f t="shared" si="7"/>
        <v>69.3</v>
      </c>
      <c r="AZ24" s="426">
        <f t="shared" si="33"/>
        <v>129.80000000000001</v>
      </c>
      <c r="BA24" s="426">
        <f t="shared" si="34"/>
        <v>432.09999999999997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616152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6726</v>
      </c>
      <c r="L25" s="274">
        <f t="shared" si="40"/>
        <v>13</v>
      </c>
      <c r="M25" s="410">
        <f t="shared" si="15"/>
        <v>457.44</v>
      </c>
      <c r="N25" s="514">
        <f t="shared" si="44"/>
        <v>0</v>
      </c>
      <c r="O25" s="410">
        <f t="shared" si="16"/>
        <v>529.52</v>
      </c>
      <c r="P25" s="514">
        <f t="shared" si="45"/>
        <v>0</v>
      </c>
      <c r="Q25" s="514">
        <f t="shared" si="46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150365</v>
      </c>
      <c r="Y25" s="324">
        <f t="shared" si="41"/>
        <v>0</v>
      </c>
      <c r="Z25" s="5">
        <f t="shared" si="21"/>
        <v>98681</v>
      </c>
      <c r="AA25" s="83">
        <f t="shared" si="22"/>
        <v>0</v>
      </c>
      <c r="AB25" s="5">
        <f t="shared" si="23"/>
        <v>251</v>
      </c>
      <c r="AC25" s="5">
        <f t="shared" si="24"/>
        <v>731</v>
      </c>
      <c r="AD25" s="83">
        <f t="shared" si="38"/>
        <v>0</v>
      </c>
      <c r="AE25" s="5">
        <f t="shared" si="25"/>
        <v>229.03</v>
      </c>
      <c r="AF25" s="83">
        <f t="shared" si="26"/>
        <v>0</v>
      </c>
      <c r="AG25" s="5">
        <f t="shared" si="27"/>
        <v>2198.54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-13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44275</v>
      </c>
      <c r="AS25" s="424">
        <f t="shared" si="55"/>
        <v>0.9</v>
      </c>
      <c r="AT25" s="201">
        <f t="shared" si="55"/>
        <v>77</v>
      </c>
      <c r="AU25" s="425">
        <f t="shared" si="42"/>
        <v>1.1000000000000001</v>
      </c>
      <c r="AV25" s="201">
        <f t="shared" si="47"/>
        <v>118</v>
      </c>
      <c r="AW25" s="5">
        <v>2.9</v>
      </c>
      <c r="AX25" s="201">
        <f t="shared" si="43"/>
        <v>149</v>
      </c>
      <c r="AY25" s="426">
        <f t="shared" si="7"/>
        <v>69.3</v>
      </c>
      <c r="AZ25" s="426">
        <f t="shared" si="33"/>
        <v>129.80000000000001</v>
      </c>
      <c r="BA25" s="426">
        <f t="shared" si="34"/>
        <v>432.09999999999997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616152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6726</v>
      </c>
      <c r="L26" s="274">
        <f t="shared" si="40"/>
        <v>0</v>
      </c>
      <c r="M26" s="410">
        <f t="shared" si="15"/>
        <v>457.44</v>
      </c>
      <c r="N26" s="514">
        <f t="shared" si="44"/>
        <v>0</v>
      </c>
      <c r="O26" s="410">
        <f t="shared" si="16"/>
        <v>529.52</v>
      </c>
      <c r="P26" s="514">
        <f t="shared" si="45"/>
        <v>0</v>
      </c>
      <c r="Q26" s="514">
        <f t="shared" si="46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150365</v>
      </c>
      <c r="Y26" s="324">
        <f t="shared" si="41"/>
        <v>0</v>
      </c>
      <c r="Z26" s="5">
        <f t="shared" si="21"/>
        <v>98681</v>
      </c>
      <c r="AA26" s="83">
        <f t="shared" si="22"/>
        <v>0</v>
      </c>
      <c r="AB26" s="5">
        <f t="shared" si="23"/>
        <v>251</v>
      </c>
      <c r="AC26" s="5">
        <f t="shared" si="24"/>
        <v>731</v>
      </c>
      <c r="AD26" s="83">
        <f t="shared" si="38"/>
        <v>0</v>
      </c>
      <c r="AE26" s="5">
        <f t="shared" si="25"/>
        <v>229.03</v>
      </c>
      <c r="AF26" s="83">
        <f t="shared" si="26"/>
        <v>0</v>
      </c>
      <c r="AG26" s="5">
        <f t="shared" si="27"/>
        <v>2198.54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44276</v>
      </c>
      <c r="AS26" s="424">
        <f t="shared" si="55"/>
        <v>0.9</v>
      </c>
      <c r="AT26" s="201">
        <f t="shared" si="55"/>
        <v>77</v>
      </c>
      <c r="AU26" s="425">
        <f t="shared" si="42"/>
        <v>1.1000000000000001</v>
      </c>
      <c r="AV26" s="201">
        <f t="shared" si="47"/>
        <v>118</v>
      </c>
      <c r="AW26" s="5">
        <v>2.9</v>
      </c>
      <c r="AX26" s="201">
        <f t="shared" si="43"/>
        <v>149</v>
      </c>
      <c r="AY26" s="426">
        <f t="shared" si="7"/>
        <v>69.3</v>
      </c>
      <c r="AZ26" s="426">
        <f t="shared" si="33"/>
        <v>129.80000000000001</v>
      </c>
      <c r="BA26" s="426">
        <f t="shared" si="34"/>
        <v>432.09999999999997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616152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6726</v>
      </c>
      <c r="L27" s="274">
        <f t="shared" si="40"/>
        <v>0</v>
      </c>
      <c r="M27" s="410">
        <f t="shared" si="15"/>
        <v>457.44</v>
      </c>
      <c r="N27" s="514">
        <f t="shared" si="44"/>
        <v>0</v>
      </c>
      <c r="O27" s="410">
        <f t="shared" si="16"/>
        <v>529.52</v>
      </c>
      <c r="P27" s="514">
        <f t="shared" si="45"/>
        <v>0</v>
      </c>
      <c r="Q27" s="514">
        <f t="shared" si="46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150365</v>
      </c>
      <c r="Y27" s="324">
        <f>SUM(X27-X26)</f>
        <v>0</v>
      </c>
      <c r="Z27" s="5">
        <f t="shared" si="21"/>
        <v>98681</v>
      </c>
      <c r="AA27" s="83">
        <f t="shared" si="22"/>
        <v>0</v>
      </c>
      <c r="AB27" s="5">
        <f t="shared" si="23"/>
        <v>251</v>
      </c>
      <c r="AC27" s="5">
        <f t="shared" si="24"/>
        <v>731</v>
      </c>
      <c r="AD27" s="83">
        <f t="shared" si="38"/>
        <v>0</v>
      </c>
      <c r="AE27" s="5">
        <f t="shared" si="25"/>
        <v>229.03</v>
      </c>
      <c r="AF27" s="83">
        <f t="shared" si="26"/>
        <v>0</v>
      </c>
      <c r="AG27" s="5">
        <f t="shared" si="27"/>
        <v>2198.54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44277</v>
      </c>
      <c r="AS27" s="424">
        <f t="shared" si="55"/>
        <v>0.9</v>
      </c>
      <c r="AT27" s="201">
        <f t="shared" si="55"/>
        <v>77</v>
      </c>
      <c r="AU27" s="425">
        <f t="shared" si="42"/>
        <v>1.1000000000000001</v>
      </c>
      <c r="AV27" s="201">
        <f t="shared" si="47"/>
        <v>118</v>
      </c>
      <c r="AW27" s="5">
        <v>2.9</v>
      </c>
      <c r="AX27" s="201">
        <f t="shared" si="43"/>
        <v>149</v>
      </c>
      <c r="AY27" s="426">
        <f t="shared" si="7"/>
        <v>69.3</v>
      </c>
      <c r="AZ27" s="426">
        <f t="shared" si="33"/>
        <v>129.80000000000001</v>
      </c>
      <c r="BA27" s="426">
        <f t="shared" si="34"/>
        <v>432.09999999999997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616152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6726</v>
      </c>
      <c r="L28" s="274">
        <f t="shared" si="40"/>
        <v>0</v>
      </c>
      <c r="M28" s="410">
        <f t="shared" si="15"/>
        <v>457.44</v>
      </c>
      <c r="N28" s="514">
        <f t="shared" si="44"/>
        <v>0</v>
      </c>
      <c r="O28" s="410">
        <f t="shared" si="16"/>
        <v>529.52</v>
      </c>
      <c r="P28" s="514">
        <f t="shared" si="45"/>
        <v>0</v>
      </c>
      <c r="Q28" s="514">
        <f t="shared" si="46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150365</v>
      </c>
      <c r="Y28" s="324">
        <f t="shared" si="41"/>
        <v>0</v>
      </c>
      <c r="Z28" s="5">
        <f t="shared" si="21"/>
        <v>98681</v>
      </c>
      <c r="AA28" s="83">
        <f t="shared" si="22"/>
        <v>0</v>
      </c>
      <c r="AB28" s="5">
        <f t="shared" si="23"/>
        <v>251</v>
      </c>
      <c r="AC28" s="5">
        <f t="shared" si="24"/>
        <v>731</v>
      </c>
      <c r="AD28" s="83">
        <f t="shared" si="38"/>
        <v>0</v>
      </c>
      <c r="AE28" s="5">
        <f t="shared" si="25"/>
        <v>229.03</v>
      </c>
      <c r="AF28" s="83">
        <f t="shared" si="26"/>
        <v>0</v>
      </c>
      <c r="AG28" s="5">
        <f t="shared" si="27"/>
        <v>2198.54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44278</v>
      </c>
      <c r="AS28" s="424">
        <f t="shared" si="55"/>
        <v>0.9</v>
      </c>
      <c r="AT28" s="201">
        <f t="shared" si="55"/>
        <v>77</v>
      </c>
      <c r="AU28" s="425">
        <f t="shared" si="42"/>
        <v>1.1000000000000001</v>
      </c>
      <c r="AV28" s="201">
        <f t="shared" si="47"/>
        <v>118</v>
      </c>
      <c r="AW28" s="5">
        <v>2.9</v>
      </c>
      <c r="AX28" s="201">
        <f t="shared" si="43"/>
        <v>149</v>
      </c>
      <c r="AY28" s="426">
        <f t="shared" si="7"/>
        <v>69.3</v>
      </c>
      <c r="AZ28" s="426">
        <f t="shared" si="33"/>
        <v>129.80000000000001</v>
      </c>
      <c r="BA28" s="426">
        <f t="shared" si="34"/>
        <v>432.09999999999997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616152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6726</v>
      </c>
      <c r="L29" s="274">
        <f t="shared" si="40"/>
        <v>0</v>
      </c>
      <c r="M29" s="410">
        <f t="shared" si="15"/>
        <v>457.44</v>
      </c>
      <c r="N29" s="514">
        <f t="shared" si="44"/>
        <v>0</v>
      </c>
      <c r="O29" s="410">
        <f t="shared" si="16"/>
        <v>529.52</v>
      </c>
      <c r="P29" s="514">
        <f t="shared" si="45"/>
        <v>0</v>
      </c>
      <c r="Q29" s="514">
        <f t="shared" si="46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150365</v>
      </c>
      <c r="Y29" s="324">
        <f t="shared" si="41"/>
        <v>0</v>
      </c>
      <c r="Z29" s="5">
        <f t="shared" si="21"/>
        <v>98681</v>
      </c>
      <c r="AA29" s="83">
        <f t="shared" si="22"/>
        <v>0</v>
      </c>
      <c r="AB29" s="5">
        <f t="shared" si="23"/>
        <v>251</v>
      </c>
      <c r="AC29" s="5">
        <f t="shared" si="24"/>
        <v>731</v>
      </c>
      <c r="AD29" s="83">
        <f t="shared" si="38"/>
        <v>0</v>
      </c>
      <c r="AE29" s="5">
        <f t="shared" si="25"/>
        <v>229.03</v>
      </c>
      <c r="AF29" s="83">
        <f t="shared" si="26"/>
        <v>0</v>
      </c>
      <c r="AG29" s="5">
        <f t="shared" si="27"/>
        <v>2198.54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44279</v>
      </c>
      <c r="AS29" s="424">
        <f t="shared" si="55"/>
        <v>0.9</v>
      </c>
      <c r="AT29" s="201">
        <f t="shared" si="55"/>
        <v>77</v>
      </c>
      <c r="AU29" s="425">
        <f t="shared" si="42"/>
        <v>1.1000000000000001</v>
      </c>
      <c r="AV29" s="201">
        <f t="shared" si="47"/>
        <v>118</v>
      </c>
      <c r="AW29" s="5">
        <v>2.9</v>
      </c>
      <c r="AX29" s="201">
        <f t="shared" si="43"/>
        <v>149</v>
      </c>
      <c r="AY29" s="426">
        <f t="shared" si="7"/>
        <v>69.3</v>
      </c>
      <c r="AZ29" s="426">
        <f t="shared" si="33"/>
        <v>129.80000000000001</v>
      </c>
      <c r="BA29" s="426">
        <f t="shared" si="34"/>
        <v>432.09999999999997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616152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6726</v>
      </c>
      <c r="L30" s="274">
        <f t="shared" si="40"/>
        <v>0</v>
      </c>
      <c r="M30" s="410">
        <f t="shared" si="15"/>
        <v>457.44</v>
      </c>
      <c r="N30" s="514">
        <f t="shared" si="44"/>
        <v>0</v>
      </c>
      <c r="O30" s="410">
        <f t="shared" si="16"/>
        <v>529.52</v>
      </c>
      <c r="P30" s="514">
        <f t="shared" si="45"/>
        <v>0</v>
      </c>
      <c r="Q30" s="514">
        <f t="shared" si="46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150365</v>
      </c>
      <c r="Y30" s="324">
        <f t="shared" si="41"/>
        <v>0</v>
      </c>
      <c r="Z30" s="5">
        <f t="shared" si="21"/>
        <v>98681</v>
      </c>
      <c r="AA30" s="83">
        <f t="shared" si="22"/>
        <v>0</v>
      </c>
      <c r="AB30" s="5">
        <f t="shared" si="23"/>
        <v>251</v>
      </c>
      <c r="AC30" s="5">
        <f t="shared" si="24"/>
        <v>731</v>
      </c>
      <c r="AD30" s="83">
        <f t="shared" si="38"/>
        <v>0</v>
      </c>
      <c r="AE30" s="5">
        <f t="shared" si="25"/>
        <v>229.03</v>
      </c>
      <c r="AF30" s="83">
        <f t="shared" si="26"/>
        <v>0</v>
      </c>
      <c r="AG30" s="5">
        <f t="shared" si="27"/>
        <v>2198.54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44280</v>
      </c>
      <c r="AS30" s="424">
        <f t="shared" si="55"/>
        <v>0.9</v>
      </c>
      <c r="AT30" s="201">
        <f t="shared" si="55"/>
        <v>77</v>
      </c>
      <c r="AU30" s="425">
        <f t="shared" si="42"/>
        <v>1.1000000000000001</v>
      </c>
      <c r="AV30" s="201">
        <f t="shared" si="47"/>
        <v>118</v>
      </c>
      <c r="AW30" s="5">
        <v>2.9</v>
      </c>
      <c r="AX30" s="201">
        <f t="shared" si="43"/>
        <v>149</v>
      </c>
      <c r="AY30" s="426">
        <f t="shared" si="7"/>
        <v>69.3</v>
      </c>
      <c r="AZ30" s="426">
        <f t="shared" si="33"/>
        <v>129.80000000000001</v>
      </c>
      <c r="BA30" s="426">
        <f t="shared" si="34"/>
        <v>432.09999999999997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616152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6726</v>
      </c>
      <c r="L31" s="274">
        <f t="shared" si="40"/>
        <v>0</v>
      </c>
      <c r="M31" s="410">
        <f t="shared" si="15"/>
        <v>457.44</v>
      </c>
      <c r="N31" s="514">
        <f t="shared" si="44"/>
        <v>0</v>
      </c>
      <c r="O31" s="410">
        <f t="shared" si="16"/>
        <v>529.52</v>
      </c>
      <c r="P31" s="514">
        <f t="shared" si="45"/>
        <v>0</v>
      </c>
      <c r="Q31" s="514">
        <f t="shared" si="46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150365</v>
      </c>
      <c r="Y31" s="324">
        <f t="shared" si="41"/>
        <v>0</v>
      </c>
      <c r="Z31" s="5">
        <f t="shared" si="21"/>
        <v>98681</v>
      </c>
      <c r="AA31" s="83">
        <f t="shared" si="22"/>
        <v>0</v>
      </c>
      <c r="AB31" s="5">
        <f t="shared" si="23"/>
        <v>251</v>
      </c>
      <c r="AC31" s="5">
        <f t="shared" si="24"/>
        <v>731</v>
      </c>
      <c r="AD31" s="83">
        <f t="shared" si="38"/>
        <v>0</v>
      </c>
      <c r="AE31" s="5">
        <f t="shared" si="25"/>
        <v>229.03</v>
      </c>
      <c r="AF31" s="83">
        <f t="shared" si="26"/>
        <v>0</v>
      </c>
      <c r="AG31" s="5">
        <f t="shared" si="27"/>
        <v>2198.54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44281</v>
      </c>
      <c r="AS31" s="424">
        <f t="shared" si="55"/>
        <v>0.9</v>
      </c>
      <c r="AT31" s="201">
        <f t="shared" si="55"/>
        <v>77</v>
      </c>
      <c r="AU31" s="425">
        <f t="shared" si="42"/>
        <v>1.1000000000000001</v>
      </c>
      <c r="AV31" s="201">
        <f t="shared" si="47"/>
        <v>118</v>
      </c>
      <c r="AW31" s="5">
        <v>2.9</v>
      </c>
      <c r="AX31" s="201">
        <f t="shared" si="43"/>
        <v>149</v>
      </c>
      <c r="AY31" s="426">
        <f t="shared" si="7"/>
        <v>69.3</v>
      </c>
      <c r="AZ31" s="426">
        <f t="shared" si="33"/>
        <v>129.80000000000001</v>
      </c>
      <c r="BA31" s="426">
        <f t="shared" si="34"/>
        <v>432.09999999999997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6726</v>
      </c>
      <c r="L32" s="274">
        <f t="shared" si="40"/>
        <v>0</v>
      </c>
      <c r="M32" s="410">
        <f t="shared" si="15"/>
        <v>457.44</v>
      </c>
      <c r="N32" s="514">
        <f t="shared" si="44"/>
        <v>0</v>
      </c>
      <c r="O32" s="410">
        <f t="shared" si="16"/>
        <v>529.52</v>
      </c>
      <c r="P32" s="514">
        <f t="shared" si="45"/>
        <v>0</v>
      </c>
      <c r="Q32" s="514">
        <f t="shared" si="46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150365</v>
      </c>
      <c r="Y32" s="324">
        <f t="shared" si="41"/>
        <v>0</v>
      </c>
      <c r="Z32" s="5">
        <f t="shared" si="21"/>
        <v>98681</v>
      </c>
      <c r="AA32" s="83">
        <f t="shared" si="22"/>
        <v>0</v>
      </c>
      <c r="AB32" s="5">
        <f t="shared" si="23"/>
        <v>251</v>
      </c>
      <c r="AC32" s="5">
        <f t="shared" si="24"/>
        <v>731</v>
      </c>
      <c r="AD32" s="83">
        <f t="shared" si="38"/>
        <v>0</v>
      </c>
      <c r="AE32" s="5">
        <f t="shared" si="25"/>
        <v>229.03</v>
      </c>
      <c r="AF32" s="83">
        <f t="shared" si="26"/>
        <v>0</v>
      </c>
      <c r="AG32" s="5">
        <f t="shared" si="27"/>
        <v>2198.54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44282</v>
      </c>
      <c r="AS32" s="424">
        <f t="shared" si="55"/>
        <v>0.9</v>
      </c>
      <c r="AT32" s="201">
        <f t="shared" si="55"/>
        <v>77</v>
      </c>
      <c r="AU32" s="425">
        <f t="shared" si="42"/>
        <v>1.1000000000000001</v>
      </c>
      <c r="AV32" s="201">
        <f t="shared" si="47"/>
        <v>118</v>
      </c>
      <c r="AW32" s="5">
        <v>2.9</v>
      </c>
      <c r="AX32" s="201">
        <f t="shared" si="43"/>
        <v>149</v>
      </c>
      <c r="AY32" s="426">
        <f t="shared" si="7"/>
        <v>69.3</v>
      </c>
      <c r="AZ32" s="426">
        <f t="shared" si="33"/>
        <v>129.80000000000001</v>
      </c>
      <c r="BA32" s="426">
        <f t="shared" si="34"/>
        <v>432.09999999999997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6726</v>
      </c>
      <c r="L33" s="274">
        <f t="shared" si="40"/>
        <v>0</v>
      </c>
      <c r="M33" s="410">
        <f t="shared" si="15"/>
        <v>457.44</v>
      </c>
      <c r="N33" s="514">
        <f t="shared" si="44"/>
        <v>0</v>
      </c>
      <c r="O33" s="410">
        <f t="shared" si="16"/>
        <v>529.52</v>
      </c>
      <c r="P33" s="514">
        <f t="shared" si="45"/>
        <v>0</v>
      </c>
      <c r="Q33" s="514">
        <f t="shared" si="46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150365</v>
      </c>
      <c r="Y33" s="324">
        <f t="shared" si="41"/>
        <v>0</v>
      </c>
      <c r="Z33" s="5">
        <f t="shared" si="21"/>
        <v>98681</v>
      </c>
      <c r="AA33" s="83">
        <f t="shared" si="22"/>
        <v>0</v>
      </c>
      <c r="AB33" s="5">
        <f t="shared" si="23"/>
        <v>251</v>
      </c>
      <c r="AC33" s="5">
        <f t="shared" si="24"/>
        <v>731</v>
      </c>
      <c r="AD33" s="83">
        <f t="shared" si="38"/>
        <v>0</v>
      </c>
      <c r="AE33" s="5">
        <f t="shared" si="25"/>
        <v>229.03</v>
      </c>
      <c r="AF33" s="83">
        <f>AE33-AE32</f>
        <v>0</v>
      </c>
      <c r="AG33" s="5">
        <f t="shared" si="27"/>
        <v>2198.54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44283</v>
      </c>
      <c r="AS33" s="424">
        <f t="shared" si="55"/>
        <v>0.9</v>
      </c>
      <c r="AT33" s="201">
        <f t="shared" si="55"/>
        <v>77</v>
      </c>
      <c r="AU33" s="425">
        <f t="shared" si="42"/>
        <v>1.1000000000000001</v>
      </c>
      <c r="AV33" s="201">
        <f t="shared" si="47"/>
        <v>118</v>
      </c>
      <c r="AW33" s="5">
        <v>2.9</v>
      </c>
      <c r="AX33" s="201">
        <f t="shared" si="43"/>
        <v>149</v>
      </c>
      <c r="AY33" s="426">
        <f t="shared" si="7"/>
        <v>69.3</v>
      </c>
      <c r="AZ33" s="426">
        <f t="shared" si="33"/>
        <v>129.80000000000001</v>
      </c>
      <c r="BA33" s="426">
        <f t="shared" si="34"/>
        <v>432.09999999999997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616152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6726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150365</v>
      </c>
      <c r="Y34" s="324">
        <f t="shared" ref="Y34:Y36" si="67">SUM(X34-X33)</f>
        <v>0</v>
      </c>
      <c r="Z34" s="5">
        <f t="shared" si="21"/>
        <v>98681</v>
      </c>
      <c r="AA34" s="83">
        <f t="shared" ref="AA34:AA36" si="68">Z34-Z33</f>
        <v>0</v>
      </c>
      <c r="AB34" s="5">
        <f t="shared" si="23"/>
        <v>251</v>
      </c>
      <c r="AC34" s="5">
        <f t="shared" si="24"/>
        <v>731</v>
      </c>
      <c r="AD34" s="83">
        <f t="shared" ref="AD34:AD36" si="69">AC34-AC33</f>
        <v>0</v>
      </c>
      <c r="AE34" s="5">
        <f t="shared" si="25"/>
        <v>229.03</v>
      </c>
      <c r="AF34" s="83">
        <f t="shared" ref="AF34:AF36" si="70">AE34-AE33</f>
        <v>0</v>
      </c>
      <c r="AG34" s="5">
        <f t="shared" si="27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77</v>
      </c>
      <c r="AU34" s="425">
        <f t="shared" ref="AU34" si="78">AU33</f>
        <v>1.1000000000000001</v>
      </c>
      <c r="AV34" s="201">
        <f t="shared" si="47"/>
        <v>118</v>
      </c>
      <c r="AW34" s="5">
        <v>2.9</v>
      </c>
      <c r="AX34" s="201">
        <f t="shared" si="43"/>
        <v>149</v>
      </c>
      <c r="AY34" s="426">
        <f t="shared" ref="AY34:AY36" si="79">AS34*AT34</f>
        <v>69.3</v>
      </c>
      <c r="AZ34" s="426">
        <f t="shared" ref="AZ34:AZ36" si="80">AU34*AV34</f>
        <v>129.80000000000001</v>
      </c>
      <c r="BA34" s="426">
        <f t="shared" ref="BA34:BA36" si="81">AW34*AX34</f>
        <v>432.09999999999997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616152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6726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150365</v>
      </c>
      <c r="Y35" s="324">
        <f t="shared" si="67"/>
        <v>0</v>
      </c>
      <c r="Z35" s="5">
        <f t="shared" si="21"/>
        <v>98681</v>
      </c>
      <c r="AA35" s="83">
        <f t="shared" si="68"/>
        <v>0</v>
      </c>
      <c r="AB35" s="5">
        <f t="shared" si="23"/>
        <v>251</v>
      </c>
      <c r="AC35" s="5">
        <f t="shared" si="24"/>
        <v>731</v>
      </c>
      <c r="AD35" s="83">
        <f t="shared" si="69"/>
        <v>0</v>
      </c>
      <c r="AE35" s="5">
        <f t="shared" si="25"/>
        <v>229.03</v>
      </c>
      <c r="AF35" s="83">
        <f t="shared" si="70"/>
        <v>0</v>
      </c>
      <c r="AG35" s="5">
        <f t="shared" si="27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77</v>
      </c>
      <c r="AU35" s="425">
        <f t="shared" ref="AU35" si="89">AU34</f>
        <v>1.1000000000000001</v>
      </c>
      <c r="AV35" s="201">
        <f t="shared" si="47"/>
        <v>118</v>
      </c>
      <c r="AW35" s="5">
        <v>2.9</v>
      </c>
      <c r="AX35" s="201">
        <f t="shared" si="43"/>
        <v>149</v>
      </c>
      <c r="AY35" s="426">
        <f t="shared" si="79"/>
        <v>69.3</v>
      </c>
      <c r="AZ35" s="426">
        <f t="shared" si="80"/>
        <v>129.80000000000001</v>
      </c>
      <c r="BA35" s="426">
        <f t="shared" si="81"/>
        <v>432.09999999999997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616152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6726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150365</v>
      </c>
      <c r="Y36" s="324">
        <f t="shared" si="67"/>
        <v>0</v>
      </c>
      <c r="Z36" s="5">
        <f t="shared" si="21"/>
        <v>98681</v>
      </c>
      <c r="AA36" s="83">
        <f t="shared" si="68"/>
        <v>0</v>
      </c>
      <c r="AB36" s="5">
        <f t="shared" si="23"/>
        <v>251</v>
      </c>
      <c r="AC36" s="5">
        <f t="shared" si="24"/>
        <v>731</v>
      </c>
      <c r="AD36" s="83">
        <f t="shared" si="69"/>
        <v>0</v>
      </c>
      <c r="AE36" s="5">
        <f t="shared" si="25"/>
        <v>229.03</v>
      </c>
      <c r="AF36" s="83">
        <f t="shared" si="70"/>
        <v>0</v>
      </c>
      <c r="AG36" s="5">
        <f t="shared" si="27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77</v>
      </c>
      <c r="AU36" s="425">
        <f t="shared" ref="AU36" si="91">AU35</f>
        <v>1.1000000000000001</v>
      </c>
      <c r="AV36" s="201">
        <f t="shared" si="47"/>
        <v>118</v>
      </c>
      <c r="AW36" s="5">
        <v>2.9</v>
      </c>
      <c r="AX36" s="201">
        <f t="shared" si="43"/>
        <v>149</v>
      </c>
      <c r="AY36" s="426">
        <f t="shared" si="79"/>
        <v>69.3</v>
      </c>
      <c r="AZ36" s="426">
        <f t="shared" si="80"/>
        <v>129.80000000000001</v>
      </c>
      <c r="BA36" s="426">
        <f t="shared" si="81"/>
        <v>432.09999999999997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0</v>
      </c>
      <c r="I37" s="412">
        <f>SUM(I6:I33)</f>
        <v>0</v>
      </c>
      <c r="L37" s="268">
        <f>SUM(L7:L33)</f>
        <v>5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0</v>
      </c>
      <c r="AK37" s="327" t="e">
        <f>SUM(Y37-L37)</f>
        <v>#REF!</v>
      </c>
      <c r="AL37" s="322">
        <f>SUM(AL6:AL33)</f>
        <v>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 t="e">
        <f>SUM('General information '!G37/WATER!I37)</f>
        <v>#DIV/0!</v>
      </c>
      <c r="L38" s="157"/>
      <c r="O38" s="492">
        <f>SUM(Q37+I37)</f>
        <v>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J13" sqref="J1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4" t="s">
        <v>193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5" ht="15.75" customHeight="1" thickBot="1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/>
      <c r="C14" s="37"/>
      <c r="D14" s="26">
        <f t="shared" ref="D14:D33" si="3">(C14+B14)/2</f>
        <v>0</v>
      </c>
      <c r="E14" s="340"/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/>
      <c r="C15" s="37"/>
      <c r="D15" s="26">
        <f t="shared" si="3"/>
        <v>0</v>
      </c>
      <c r="E15" s="340"/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16.0625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I1" activePane="topRight" state="frozen"/>
      <selection pane="topRight" activeCell="A10" sqref="A10:XFD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2" t="s">
        <v>108</v>
      </c>
      <c r="AS3" s="642" t="s">
        <v>233</v>
      </c>
      <c r="AT3" s="640" t="s">
        <v>301</v>
      </c>
      <c r="AU3" s="64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3"/>
      <c r="AS4" s="64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1"/>
        <v>57838.677419354841</v>
      </c>
      <c r="AS9" s="197">
        <f t="shared" si="38"/>
        <v>-1770.0645161290231</v>
      </c>
      <c r="AT9" s="491"/>
      <c r="AU9" s="436"/>
      <c r="AV9" s="518">
        <f t="shared" si="42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3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1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3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1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3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1"/>
        <v>61448.806451612909</v>
      </c>
      <c r="AS12" s="197">
        <f>SUM(AR12-AR11-AT12)</f>
        <v>-920.03225806450791</v>
      </c>
      <c r="AT12" s="271"/>
      <c r="AU12" s="478"/>
      <c r="AV12" s="518">
        <f t="shared" si="42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3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1"/>
        <v>60103.758064516136</v>
      </c>
      <c r="AS13" s="197">
        <f t="shared" si="38"/>
        <v>-1345.0483870967728</v>
      </c>
      <c r="AT13" s="271"/>
      <c r="AU13" s="436"/>
      <c r="AV13" s="518">
        <f t="shared" si="42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194.5</v>
      </c>
      <c r="C14" s="203">
        <f t="shared" si="18"/>
        <v>4184.8870967741932</v>
      </c>
      <c r="D14">
        <f t="shared" si="19"/>
        <v>194.5</v>
      </c>
      <c r="E14" s="203">
        <f t="shared" si="18"/>
        <v>4184.8870967741932</v>
      </c>
      <c r="F14">
        <f t="shared" si="20"/>
        <v>194.5</v>
      </c>
      <c r="G14" s="203">
        <f t="shared" si="1"/>
        <v>4184.8870967741932</v>
      </c>
      <c r="H14" s="203">
        <f t="shared" si="21"/>
        <v>194.5</v>
      </c>
      <c r="I14" s="203">
        <f t="shared" si="2"/>
        <v>4184.8870967741932</v>
      </c>
      <c r="J14" s="203">
        <f t="shared" si="22"/>
        <v>194.5</v>
      </c>
      <c r="K14" s="203">
        <f t="shared" si="3"/>
        <v>4184.8870967741932</v>
      </c>
      <c r="L14" s="203">
        <f t="shared" si="23"/>
        <v>194.5</v>
      </c>
      <c r="M14" s="203">
        <f t="shared" si="4"/>
        <v>4184.8870967741932</v>
      </c>
      <c r="N14" s="203">
        <f t="shared" si="24"/>
        <v>194.5</v>
      </c>
      <c r="O14" s="203">
        <f t="shared" si="5"/>
        <v>4184.8870967741932</v>
      </c>
      <c r="P14" s="203">
        <f t="shared" si="25"/>
        <v>194.5</v>
      </c>
      <c r="Q14" s="203">
        <f t="shared" si="6"/>
        <v>4184.8870967741932</v>
      </c>
      <c r="R14" s="203">
        <f t="shared" si="26"/>
        <v>194.5</v>
      </c>
      <c r="S14" s="203">
        <f t="shared" si="7"/>
        <v>4184.8870967741932</v>
      </c>
      <c r="T14" s="203">
        <f t="shared" si="27"/>
        <v>194.5</v>
      </c>
      <c r="U14" s="203">
        <f t="shared" si="8"/>
        <v>4184.8870967741932</v>
      </c>
      <c r="V14" s="203">
        <f t="shared" si="28"/>
        <v>194.5</v>
      </c>
      <c r="W14" s="203">
        <f t="shared" si="9"/>
        <v>4184.8870967741932</v>
      </c>
      <c r="X14" s="35">
        <f t="shared" si="10"/>
        <v>0.62741935483870981</v>
      </c>
      <c r="Y14" s="36">
        <f t="shared" si="29"/>
        <v>46033.758064516136</v>
      </c>
      <c r="Z14" s="203">
        <f>'B5'!C13</f>
        <v>201</v>
      </c>
      <c r="AA14" s="203">
        <f t="shared" si="30"/>
        <v>2010</v>
      </c>
      <c r="AB14" s="203">
        <f t="shared" si="31"/>
        <v>201</v>
      </c>
      <c r="AC14" s="203">
        <f t="shared" si="30"/>
        <v>2010</v>
      </c>
      <c r="AD14" s="203">
        <f t="shared" si="32"/>
        <v>201</v>
      </c>
      <c r="AE14" s="203">
        <f t="shared" si="11"/>
        <v>2010</v>
      </c>
      <c r="AF14" s="203">
        <f t="shared" si="33"/>
        <v>201</v>
      </c>
      <c r="AG14" s="203">
        <f t="shared" si="12"/>
        <v>2010</v>
      </c>
      <c r="AH14" s="203">
        <f t="shared" si="34"/>
        <v>201</v>
      </c>
      <c r="AI14" s="203">
        <f t="shared" si="13"/>
        <v>2010</v>
      </c>
      <c r="AJ14" s="203">
        <f t="shared" si="35"/>
        <v>201</v>
      </c>
      <c r="AK14" s="203">
        <f t="shared" si="14"/>
        <v>2010</v>
      </c>
      <c r="AL14" s="203">
        <f t="shared" si="36"/>
        <v>201</v>
      </c>
      <c r="AM14" s="203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3">
        <f t="shared" si="37"/>
        <v>0.64648551214925387</v>
      </c>
      <c r="AR14" s="38">
        <f t="shared" si="41"/>
        <v>60103.758064516136</v>
      </c>
      <c r="AS14" s="197">
        <f>SUM(AR14-AR13-AT14)</f>
        <v>0</v>
      </c>
      <c r="AT14" s="271"/>
      <c r="AU14" s="478"/>
      <c r="AV14" s="518">
        <f t="shared" si="42"/>
        <v>0.78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194.5</v>
      </c>
      <c r="C15" s="203">
        <f t="shared" si="18"/>
        <v>4184.8870967741932</v>
      </c>
      <c r="D15">
        <f t="shared" si="19"/>
        <v>194.5</v>
      </c>
      <c r="E15" s="203">
        <f t="shared" si="18"/>
        <v>4184.8870967741932</v>
      </c>
      <c r="F15">
        <f t="shared" si="20"/>
        <v>194.5</v>
      </c>
      <c r="G15" s="203">
        <f t="shared" si="1"/>
        <v>4184.8870967741932</v>
      </c>
      <c r="H15" s="203">
        <f t="shared" si="21"/>
        <v>194.5</v>
      </c>
      <c r="I15" s="203">
        <f t="shared" si="2"/>
        <v>4184.8870967741932</v>
      </c>
      <c r="J15" s="203">
        <f t="shared" si="22"/>
        <v>194.5</v>
      </c>
      <c r="K15" s="203">
        <f t="shared" si="3"/>
        <v>4184.8870967741932</v>
      </c>
      <c r="L15" s="203">
        <f t="shared" si="23"/>
        <v>194.5</v>
      </c>
      <c r="M15" s="203">
        <f t="shared" si="4"/>
        <v>4184.8870967741932</v>
      </c>
      <c r="N15" s="203">
        <f t="shared" si="24"/>
        <v>194.5</v>
      </c>
      <c r="O15" s="203">
        <f t="shared" si="5"/>
        <v>4184.8870967741932</v>
      </c>
      <c r="P15" s="203">
        <f t="shared" si="25"/>
        <v>194.5</v>
      </c>
      <c r="Q15" s="203">
        <f t="shared" si="6"/>
        <v>4184.8870967741932</v>
      </c>
      <c r="R15" s="203">
        <f t="shared" si="26"/>
        <v>194.5</v>
      </c>
      <c r="S15" s="203">
        <f t="shared" si="7"/>
        <v>4184.8870967741932</v>
      </c>
      <c r="T15" s="203">
        <f t="shared" si="27"/>
        <v>194.5</v>
      </c>
      <c r="U15" s="203">
        <f t="shared" si="8"/>
        <v>4184.8870967741932</v>
      </c>
      <c r="V15" s="203">
        <f t="shared" si="28"/>
        <v>194.5</v>
      </c>
      <c r="W15" s="203">
        <f t="shared" si="9"/>
        <v>4184.8870967741932</v>
      </c>
      <c r="X15" s="35">
        <f t="shared" si="10"/>
        <v>0.62741935483870981</v>
      </c>
      <c r="Y15" s="36">
        <f t="shared" si="29"/>
        <v>46033.758064516136</v>
      </c>
      <c r="Z15" s="203">
        <f>'B5'!C14</f>
        <v>201</v>
      </c>
      <c r="AA15" s="203">
        <f t="shared" si="30"/>
        <v>2010</v>
      </c>
      <c r="AB15" s="203">
        <f t="shared" si="31"/>
        <v>201</v>
      </c>
      <c r="AC15" s="203">
        <f t="shared" si="30"/>
        <v>2010</v>
      </c>
      <c r="AD15" s="203">
        <f t="shared" si="32"/>
        <v>201</v>
      </c>
      <c r="AE15" s="203">
        <f t="shared" si="11"/>
        <v>2010</v>
      </c>
      <c r="AF15" s="203">
        <f t="shared" si="33"/>
        <v>201</v>
      </c>
      <c r="AG15" s="203">
        <f t="shared" si="12"/>
        <v>2010</v>
      </c>
      <c r="AH15" s="203">
        <f t="shared" si="34"/>
        <v>201</v>
      </c>
      <c r="AI15" s="203">
        <f t="shared" si="13"/>
        <v>2010</v>
      </c>
      <c r="AJ15" s="203">
        <f t="shared" si="35"/>
        <v>201</v>
      </c>
      <c r="AK15" s="203">
        <f t="shared" si="14"/>
        <v>2010</v>
      </c>
      <c r="AL15" s="203">
        <f t="shared" si="36"/>
        <v>201</v>
      </c>
      <c r="AM15" s="203">
        <f t="shared" si="15"/>
        <v>2010</v>
      </c>
      <c r="AN15" s="35">
        <f t="shared" si="16"/>
        <v>0.71785714285714286</v>
      </c>
      <c r="AO15" s="36">
        <f t="shared" si="17"/>
        <v>14070</v>
      </c>
      <c r="AQ15" s="223">
        <f t="shared" si="37"/>
        <v>0.64648551214925387</v>
      </c>
      <c r="AR15" s="38">
        <f t="shared" si="41"/>
        <v>60103.758064516136</v>
      </c>
      <c r="AS15" s="197">
        <f>SUM(AR15-AR14-AT15)</f>
        <v>0</v>
      </c>
      <c r="AT15" s="271"/>
      <c r="AU15" s="436"/>
      <c r="AV15" s="518">
        <f>IF(AT15&gt;0,AU15,AV14)</f>
        <v>0.78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194.5</v>
      </c>
      <c r="C16" s="203">
        <f t="shared" si="18"/>
        <v>4184.8870967741932</v>
      </c>
      <c r="D16">
        <f t="shared" si="19"/>
        <v>194.5</v>
      </c>
      <c r="E16" s="203">
        <f t="shared" si="18"/>
        <v>4184.8870967741932</v>
      </c>
      <c r="F16">
        <f t="shared" si="20"/>
        <v>194.5</v>
      </c>
      <c r="G16" s="203">
        <f t="shared" si="1"/>
        <v>4184.8870967741932</v>
      </c>
      <c r="H16" s="203">
        <f t="shared" si="21"/>
        <v>194.5</v>
      </c>
      <c r="I16" s="203">
        <f t="shared" si="2"/>
        <v>4184.8870967741932</v>
      </c>
      <c r="J16" s="203">
        <f t="shared" si="22"/>
        <v>194.5</v>
      </c>
      <c r="K16" s="203">
        <f t="shared" si="3"/>
        <v>4184.8870967741932</v>
      </c>
      <c r="L16" s="203">
        <f t="shared" si="23"/>
        <v>194.5</v>
      </c>
      <c r="M16" s="203">
        <f t="shared" si="4"/>
        <v>4184.8870967741932</v>
      </c>
      <c r="N16" s="203">
        <f t="shared" si="24"/>
        <v>194.5</v>
      </c>
      <c r="O16" s="203">
        <f t="shared" si="5"/>
        <v>4184.8870967741932</v>
      </c>
      <c r="P16" s="203">
        <f t="shared" si="25"/>
        <v>194.5</v>
      </c>
      <c r="Q16" s="203">
        <f t="shared" si="6"/>
        <v>4184.8870967741932</v>
      </c>
      <c r="R16" s="203">
        <f t="shared" si="26"/>
        <v>194.5</v>
      </c>
      <c r="S16" s="203">
        <f t="shared" si="7"/>
        <v>4184.8870967741932</v>
      </c>
      <c r="T16" s="203">
        <f t="shared" si="27"/>
        <v>194.5</v>
      </c>
      <c r="U16" s="203">
        <f t="shared" si="8"/>
        <v>4184.8870967741932</v>
      </c>
      <c r="V16" s="203">
        <f t="shared" si="28"/>
        <v>194.5</v>
      </c>
      <c r="W16" s="203">
        <f t="shared" si="9"/>
        <v>4184.8870967741932</v>
      </c>
      <c r="X16" s="35">
        <f t="shared" si="10"/>
        <v>0.62741935483870981</v>
      </c>
      <c r="Y16" s="36">
        <f t="shared" si="29"/>
        <v>46033.758064516136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17"/>
        <v>14070</v>
      </c>
      <c r="AQ16" s="223">
        <f t="shared" si="37"/>
        <v>0.64648551214925387</v>
      </c>
      <c r="AR16" s="38">
        <f t="shared" si="41"/>
        <v>60103.758064516136</v>
      </c>
      <c r="AS16" s="197">
        <f>SUM(AR16-AR15-AT16)</f>
        <v>0</v>
      </c>
      <c r="AT16" s="355"/>
      <c r="AU16" s="436"/>
      <c r="AV16" s="518">
        <f>IF(AT16&gt;0,AU16,AV15)</f>
        <v>0.78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194.5</v>
      </c>
      <c r="C17" s="203">
        <f t="shared" si="18"/>
        <v>4184.8870967741932</v>
      </c>
      <c r="D17">
        <f t="shared" si="19"/>
        <v>194.5</v>
      </c>
      <c r="E17" s="203">
        <f t="shared" si="18"/>
        <v>4184.8870967741932</v>
      </c>
      <c r="F17">
        <f t="shared" si="20"/>
        <v>194.5</v>
      </c>
      <c r="G17" s="203">
        <f t="shared" si="1"/>
        <v>4184.8870967741932</v>
      </c>
      <c r="H17" s="203">
        <f t="shared" si="21"/>
        <v>194.5</v>
      </c>
      <c r="I17" s="203">
        <f t="shared" si="2"/>
        <v>4184.8870967741932</v>
      </c>
      <c r="J17" s="203">
        <f t="shared" si="22"/>
        <v>194.5</v>
      </c>
      <c r="K17" s="203">
        <f t="shared" si="3"/>
        <v>4184.8870967741932</v>
      </c>
      <c r="L17" s="203">
        <f t="shared" si="23"/>
        <v>194.5</v>
      </c>
      <c r="M17" s="203">
        <f t="shared" si="4"/>
        <v>4184.8870967741932</v>
      </c>
      <c r="N17" s="203">
        <f t="shared" si="24"/>
        <v>194.5</v>
      </c>
      <c r="O17" s="203">
        <f t="shared" si="5"/>
        <v>4184.8870967741932</v>
      </c>
      <c r="P17" s="203">
        <f t="shared" si="25"/>
        <v>194.5</v>
      </c>
      <c r="Q17" s="203">
        <f t="shared" si="6"/>
        <v>4184.8870967741932</v>
      </c>
      <c r="R17" s="203">
        <f t="shared" si="26"/>
        <v>194.5</v>
      </c>
      <c r="S17" s="203">
        <f t="shared" si="7"/>
        <v>4184.8870967741932</v>
      </c>
      <c r="T17" s="203">
        <f t="shared" si="27"/>
        <v>194.5</v>
      </c>
      <c r="U17" s="203">
        <f t="shared" si="8"/>
        <v>4184.8870967741932</v>
      </c>
      <c r="V17" s="203">
        <f t="shared" si="28"/>
        <v>194.5</v>
      </c>
      <c r="W17" s="203">
        <f t="shared" si="9"/>
        <v>4184.8870967741932</v>
      </c>
      <c r="X17" s="35">
        <f t="shared" si="10"/>
        <v>0.62741935483870981</v>
      </c>
      <c r="Y17" s="36">
        <f t="shared" si="29"/>
        <v>46033.758064516136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37"/>
        <v>0.64648551214925387</v>
      </c>
      <c r="AR17" s="38">
        <f t="shared" si="41"/>
        <v>60103.758064516136</v>
      </c>
      <c r="AS17" s="197">
        <f t="shared" si="38"/>
        <v>0</v>
      </c>
      <c r="AT17" s="355"/>
      <c r="AU17" s="478"/>
      <c r="AV17" s="518">
        <f t="shared" si="42"/>
        <v>0.78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194.5</v>
      </c>
      <c r="C18" s="203">
        <f t="shared" si="18"/>
        <v>4184.8870967741932</v>
      </c>
      <c r="D18">
        <f t="shared" si="19"/>
        <v>194.5</v>
      </c>
      <c r="E18" s="203">
        <f t="shared" si="18"/>
        <v>4184.8870967741932</v>
      </c>
      <c r="F18">
        <f t="shared" si="20"/>
        <v>194.5</v>
      </c>
      <c r="G18" s="203">
        <f t="shared" si="1"/>
        <v>4184.8870967741932</v>
      </c>
      <c r="H18" s="203">
        <f t="shared" si="21"/>
        <v>194.5</v>
      </c>
      <c r="I18" s="203">
        <f t="shared" si="2"/>
        <v>4184.8870967741932</v>
      </c>
      <c r="J18" s="203">
        <f t="shared" si="22"/>
        <v>194.5</v>
      </c>
      <c r="K18" s="203">
        <f t="shared" si="3"/>
        <v>4184.8870967741932</v>
      </c>
      <c r="L18" s="203">
        <f t="shared" si="23"/>
        <v>194.5</v>
      </c>
      <c r="M18" s="203">
        <f t="shared" si="4"/>
        <v>4184.8870967741932</v>
      </c>
      <c r="N18" s="203">
        <f t="shared" si="24"/>
        <v>194.5</v>
      </c>
      <c r="O18" s="203">
        <f t="shared" si="5"/>
        <v>4184.8870967741932</v>
      </c>
      <c r="P18" s="203">
        <f t="shared" si="25"/>
        <v>194.5</v>
      </c>
      <c r="Q18" s="203">
        <f t="shared" si="6"/>
        <v>4184.8870967741932</v>
      </c>
      <c r="R18" s="203">
        <f t="shared" si="26"/>
        <v>194.5</v>
      </c>
      <c r="S18" s="203">
        <f t="shared" si="7"/>
        <v>4184.8870967741932</v>
      </c>
      <c r="T18" s="203">
        <f t="shared" si="27"/>
        <v>194.5</v>
      </c>
      <c r="U18" s="203">
        <f t="shared" si="8"/>
        <v>4184.8870967741932</v>
      </c>
      <c r="V18" s="203">
        <f t="shared" si="28"/>
        <v>194.5</v>
      </c>
      <c r="W18" s="203">
        <f t="shared" si="9"/>
        <v>4184.8870967741932</v>
      </c>
      <c r="X18" s="35">
        <f t="shared" si="10"/>
        <v>0.62741935483870981</v>
      </c>
      <c r="Y18" s="36">
        <f t="shared" si="29"/>
        <v>46033.758064516136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17"/>
        <v>14070</v>
      </c>
      <c r="AQ18" s="223">
        <f t="shared" si="37"/>
        <v>0.64648551214925387</v>
      </c>
      <c r="AR18" s="38">
        <f t="shared" si="41"/>
        <v>60103.758064516136</v>
      </c>
      <c r="AS18" s="197">
        <f t="shared" si="38"/>
        <v>0</v>
      </c>
      <c r="AT18" s="271"/>
      <c r="AU18" s="436"/>
      <c r="AV18" s="518">
        <f>IF(AT18&gt;0,AU18,AV17)</f>
        <v>0.78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194.5</v>
      </c>
      <c r="C19" s="203">
        <f t="shared" si="18"/>
        <v>4184.8870967741932</v>
      </c>
      <c r="D19">
        <f t="shared" si="19"/>
        <v>194.5</v>
      </c>
      <c r="E19" s="203">
        <f t="shared" si="18"/>
        <v>4184.8870967741932</v>
      </c>
      <c r="F19">
        <f t="shared" si="20"/>
        <v>194.5</v>
      </c>
      <c r="G19" s="203">
        <f t="shared" si="1"/>
        <v>4184.8870967741932</v>
      </c>
      <c r="H19" s="203">
        <f t="shared" si="21"/>
        <v>194.5</v>
      </c>
      <c r="I19" s="203">
        <f t="shared" si="2"/>
        <v>4184.8870967741932</v>
      </c>
      <c r="J19" s="203">
        <f t="shared" si="22"/>
        <v>194.5</v>
      </c>
      <c r="K19" s="203">
        <f t="shared" si="3"/>
        <v>4184.8870967741932</v>
      </c>
      <c r="L19" s="203">
        <f t="shared" si="23"/>
        <v>194.5</v>
      </c>
      <c r="M19" s="203">
        <f t="shared" si="4"/>
        <v>4184.8870967741932</v>
      </c>
      <c r="N19" s="203">
        <f t="shared" si="24"/>
        <v>194.5</v>
      </c>
      <c r="O19" s="203">
        <f t="shared" si="5"/>
        <v>4184.8870967741932</v>
      </c>
      <c r="P19" s="203">
        <f t="shared" si="25"/>
        <v>194.5</v>
      </c>
      <c r="Q19" s="203">
        <f t="shared" si="6"/>
        <v>4184.8870967741932</v>
      </c>
      <c r="R19" s="203">
        <f t="shared" si="26"/>
        <v>194.5</v>
      </c>
      <c r="S19" s="203">
        <f t="shared" si="7"/>
        <v>4184.8870967741932</v>
      </c>
      <c r="T19" s="203">
        <f t="shared" si="27"/>
        <v>194.5</v>
      </c>
      <c r="U19" s="203">
        <f t="shared" si="8"/>
        <v>4184.8870967741932</v>
      </c>
      <c r="V19" s="203">
        <f t="shared" si="28"/>
        <v>194.5</v>
      </c>
      <c r="W19" s="203">
        <f t="shared" si="9"/>
        <v>4184.8870967741932</v>
      </c>
      <c r="X19" s="35">
        <f t="shared" si="10"/>
        <v>0.62741935483870981</v>
      </c>
      <c r="Y19" s="36">
        <f t="shared" si="29"/>
        <v>46033.758064516136</v>
      </c>
      <c r="Z19" s="203">
        <f>'B5'!C18</f>
        <v>201</v>
      </c>
      <c r="AA19" s="203">
        <f t="shared" si="30"/>
        <v>2010</v>
      </c>
      <c r="AB19" s="203">
        <f t="shared" si="31"/>
        <v>201</v>
      </c>
      <c r="AC19" s="203">
        <f t="shared" si="30"/>
        <v>2010</v>
      </c>
      <c r="AD19" s="203">
        <f t="shared" si="32"/>
        <v>201</v>
      </c>
      <c r="AE19" s="203">
        <f t="shared" si="11"/>
        <v>2010</v>
      </c>
      <c r="AF19" s="203">
        <f t="shared" si="33"/>
        <v>201</v>
      </c>
      <c r="AG19" s="203">
        <f t="shared" si="12"/>
        <v>2010</v>
      </c>
      <c r="AH19" s="203">
        <f t="shared" si="34"/>
        <v>201</v>
      </c>
      <c r="AI19" s="203">
        <f t="shared" si="13"/>
        <v>2010</v>
      </c>
      <c r="AJ19" s="203">
        <f t="shared" si="35"/>
        <v>201</v>
      </c>
      <c r="AK19" s="203">
        <f t="shared" si="14"/>
        <v>2010</v>
      </c>
      <c r="AL19" s="203">
        <f t="shared" si="36"/>
        <v>201</v>
      </c>
      <c r="AM19" s="203">
        <f t="shared" si="15"/>
        <v>2010</v>
      </c>
      <c r="AN19" s="35">
        <f t="shared" si="16"/>
        <v>0.71785714285714286</v>
      </c>
      <c r="AO19" s="36">
        <f t="shared" si="17"/>
        <v>14070</v>
      </c>
      <c r="AQ19" s="223">
        <f t="shared" si="37"/>
        <v>0.64648551214925387</v>
      </c>
      <c r="AR19" s="38">
        <f t="shared" si="41"/>
        <v>60103.758064516136</v>
      </c>
      <c r="AS19" s="197">
        <f t="shared" si="38"/>
        <v>0</v>
      </c>
      <c r="AT19" s="271"/>
      <c r="AU19" s="436"/>
      <c r="AV19" s="518">
        <f t="shared" si="42"/>
        <v>0.78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194.5</v>
      </c>
      <c r="C20" s="203">
        <f t="shared" si="18"/>
        <v>4184.8870967741932</v>
      </c>
      <c r="D20">
        <f t="shared" si="19"/>
        <v>194.5</v>
      </c>
      <c r="E20" s="203">
        <f t="shared" si="18"/>
        <v>4184.8870967741932</v>
      </c>
      <c r="F20">
        <f t="shared" si="20"/>
        <v>194.5</v>
      </c>
      <c r="G20" s="203">
        <f t="shared" si="1"/>
        <v>4184.8870967741932</v>
      </c>
      <c r="H20" s="203">
        <f t="shared" si="21"/>
        <v>194.5</v>
      </c>
      <c r="I20" s="203">
        <f t="shared" si="2"/>
        <v>4184.8870967741932</v>
      </c>
      <c r="J20" s="203">
        <f t="shared" si="22"/>
        <v>194.5</v>
      </c>
      <c r="K20" s="203">
        <f t="shared" si="3"/>
        <v>4184.8870967741932</v>
      </c>
      <c r="L20" s="203">
        <f t="shared" si="23"/>
        <v>194.5</v>
      </c>
      <c r="M20" s="203">
        <f t="shared" si="4"/>
        <v>4184.8870967741932</v>
      </c>
      <c r="N20" s="203">
        <f t="shared" si="24"/>
        <v>194.5</v>
      </c>
      <c r="O20" s="203">
        <f t="shared" si="5"/>
        <v>4184.8870967741932</v>
      </c>
      <c r="P20" s="203">
        <f t="shared" si="25"/>
        <v>194.5</v>
      </c>
      <c r="Q20" s="203">
        <f t="shared" si="6"/>
        <v>4184.8870967741932</v>
      </c>
      <c r="R20" s="203">
        <f t="shared" si="26"/>
        <v>194.5</v>
      </c>
      <c r="S20" s="203">
        <f t="shared" si="7"/>
        <v>4184.8870967741932</v>
      </c>
      <c r="T20" s="203">
        <f t="shared" si="27"/>
        <v>194.5</v>
      </c>
      <c r="U20" s="203">
        <f t="shared" si="8"/>
        <v>4184.8870967741932</v>
      </c>
      <c r="V20" s="203">
        <f t="shared" si="28"/>
        <v>194.5</v>
      </c>
      <c r="W20" s="203">
        <f t="shared" si="9"/>
        <v>4184.8870967741932</v>
      </c>
      <c r="X20" s="35">
        <f t="shared" si="10"/>
        <v>0.62741935483870981</v>
      </c>
      <c r="Y20" s="36">
        <f t="shared" si="29"/>
        <v>46033.758064516136</v>
      </c>
      <c r="Z20" s="203">
        <f>'B5'!C19</f>
        <v>201</v>
      </c>
      <c r="AA20" s="203">
        <f t="shared" si="30"/>
        <v>2010</v>
      </c>
      <c r="AB20" s="203">
        <f t="shared" si="31"/>
        <v>201</v>
      </c>
      <c r="AC20" s="203">
        <f t="shared" si="30"/>
        <v>2010</v>
      </c>
      <c r="AD20" s="203">
        <f t="shared" si="32"/>
        <v>201</v>
      </c>
      <c r="AE20" s="203">
        <f t="shared" si="11"/>
        <v>2010</v>
      </c>
      <c r="AF20" s="203">
        <f t="shared" si="33"/>
        <v>201</v>
      </c>
      <c r="AG20" s="203">
        <f t="shared" si="12"/>
        <v>2010</v>
      </c>
      <c r="AH20" s="203">
        <f t="shared" si="34"/>
        <v>201</v>
      </c>
      <c r="AI20" s="203">
        <f t="shared" si="13"/>
        <v>2010</v>
      </c>
      <c r="AJ20" s="203">
        <f t="shared" si="35"/>
        <v>201</v>
      </c>
      <c r="AK20" s="203">
        <f t="shared" si="14"/>
        <v>2010</v>
      </c>
      <c r="AL20" s="203">
        <f t="shared" si="36"/>
        <v>201</v>
      </c>
      <c r="AM20" s="203">
        <f t="shared" si="15"/>
        <v>2010</v>
      </c>
      <c r="AN20" s="35">
        <f t="shared" si="16"/>
        <v>0.71785714285714286</v>
      </c>
      <c r="AO20" s="36">
        <f t="shared" si="17"/>
        <v>14070</v>
      </c>
      <c r="AQ20" s="223">
        <f t="shared" si="37"/>
        <v>0.64648551214925387</v>
      </c>
      <c r="AR20" s="38">
        <f t="shared" si="41"/>
        <v>60103.758064516136</v>
      </c>
      <c r="AS20" s="197">
        <f t="shared" si="38"/>
        <v>0</v>
      </c>
      <c r="AT20" s="271"/>
      <c r="AU20" s="436"/>
      <c r="AV20" s="518">
        <f t="shared" si="42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194.5</v>
      </c>
      <c r="C21" s="203">
        <f t="shared" si="18"/>
        <v>4184.8870967741932</v>
      </c>
      <c r="D21">
        <f t="shared" si="19"/>
        <v>194.5</v>
      </c>
      <c r="E21" s="203">
        <f t="shared" si="18"/>
        <v>4184.8870967741932</v>
      </c>
      <c r="F21">
        <f t="shared" si="20"/>
        <v>194.5</v>
      </c>
      <c r="G21" s="203">
        <f t="shared" si="1"/>
        <v>4184.8870967741932</v>
      </c>
      <c r="H21" s="203">
        <f t="shared" si="21"/>
        <v>194.5</v>
      </c>
      <c r="I21" s="203">
        <f t="shared" si="2"/>
        <v>4184.8870967741932</v>
      </c>
      <c r="J21" s="203">
        <f t="shared" si="22"/>
        <v>194.5</v>
      </c>
      <c r="K21" s="203">
        <f t="shared" si="3"/>
        <v>4184.8870967741932</v>
      </c>
      <c r="L21" s="203">
        <f t="shared" si="23"/>
        <v>194.5</v>
      </c>
      <c r="M21" s="203">
        <f t="shared" si="4"/>
        <v>4184.8870967741932</v>
      </c>
      <c r="N21" s="203">
        <f t="shared" si="24"/>
        <v>194.5</v>
      </c>
      <c r="O21" s="203">
        <f t="shared" si="5"/>
        <v>4184.8870967741932</v>
      </c>
      <c r="P21" s="203">
        <f t="shared" si="25"/>
        <v>194.5</v>
      </c>
      <c r="Q21" s="203">
        <f t="shared" si="6"/>
        <v>4184.8870967741932</v>
      </c>
      <c r="R21" s="203">
        <f t="shared" si="26"/>
        <v>194.5</v>
      </c>
      <c r="S21" s="203">
        <f t="shared" si="7"/>
        <v>4184.8870967741932</v>
      </c>
      <c r="T21" s="203">
        <f t="shared" si="27"/>
        <v>194.5</v>
      </c>
      <c r="U21" s="203">
        <f t="shared" si="8"/>
        <v>4184.8870967741932</v>
      </c>
      <c r="V21" s="203">
        <f t="shared" si="28"/>
        <v>194.5</v>
      </c>
      <c r="W21" s="203">
        <f t="shared" si="9"/>
        <v>4184.8870967741932</v>
      </c>
      <c r="X21" s="35">
        <f t="shared" si="10"/>
        <v>0.62741935483870981</v>
      </c>
      <c r="Y21" s="36">
        <f t="shared" si="29"/>
        <v>46033.758064516136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0.64648551214925387</v>
      </c>
      <c r="AR21" s="38">
        <f t="shared" si="41"/>
        <v>60103.758064516136</v>
      </c>
      <c r="AS21" s="197">
        <f t="shared" si="38"/>
        <v>0</v>
      </c>
      <c r="AT21" s="271"/>
      <c r="AU21" s="436"/>
      <c r="AV21" s="518">
        <f t="shared" si="42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194.5</v>
      </c>
      <c r="C22" s="203">
        <f t="shared" si="18"/>
        <v>4184.8870967741932</v>
      </c>
      <c r="D22">
        <f t="shared" si="19"/>
        <v>194.5</v>
      </c>
      <c r="E22" s="203">
        <f t="shared" si="18"/>
        <v>4184.8870967741932</v>
      </c>
      <c r="F22">
        <f t="shared" si="20"/>
        <v>194.5</v>
      </c>
      <c r="G22" s="203">
        <f t="shared" si="1"/>
        <v>4184.8870967741932</v>
      </c>
      <c r="H22" s="203">
        <f t="shared" si="21"/>
        <v>194.5</v>
      </c>
      <c r="I22" s="203">
        <f t="shared" si="2"/>
        <v>4184.8870967741932</v>
      </c>
      <c r="J22" s="203">
        <f t="shared" si="22"/>
        <v>194.5</v>
      </c>
      <c r="K22" s="203">
        <f t="shared" si="3"/>
        <v>4184.8870967741932</v>
      </c>
      <c r="L22" s="203">
        <f t="shared" si="23"/>
        <v>194.5</v>
      </c>
      <c r="M22" s="203">
        <f t="shared" si="4"/>
        <v>4184.8870967741932</v>
      </c>
      <c r="N22" s="203">
        <f t="shared" si="24"/>
        <v>194.5</v>
      </c>
      <c r="O22" s="203">
        <f t="shared" si="5"/>
        <v>4184.8870967741932</v>
      </c>
      <c r="P22" s="203">
        <f t="shared" si="25"/>
        <v>194.5</v>
      </c>
      <c r="Q22" s="203">
        <f t="shared" si="6"/>
        <v>4184.8870967741932</v>
      </c>
      <c r="R22" s="203">
        <f t="shared" si="26"/>
        <v>194.5</v>
      </c>
      <c r="S22" s="203">
        <f t="shared" si="7"/>
        <v>4184.8870967741932</v>
      </c>
      <c r="T22" s="203">
        <f t="shared" si="27"/>
        <v>194.5</v>
      </c>
      <c r="U22" s="203">
        <f t="shared" si="8"/>
        <v>4184.8870967741932</v>
      </c>
      <c r="V22" s="203">
        <f t="shared" si="28"/>
        <v>194.5</v>
      </c>
      <c r="W22" s="203">
        <f t="shared" si="9"/>
        <v>4184.8870967741932</v>
      </c>
      <c r="X22" s="35">
        <f t="shared" si="10"/>
        <v>0.62741935483870981</v>
      </c>
      <c r="Y22" s="36">
        <f t="shared" si="29"/>
        <v>46033.758064516136</v>
      </c>
      <c r="Z22" s="203">
        <f>'B5'!C21</f>
        <v>201</v>
      </c>
      <c r="AA22" s="203">
        <f t="shared" si="30"/>
        <v>2010</v>
      </c>
      <c r="AB22" s="203">
        <f t="shared" si="31"/>
        <v>201</v>
      </c>
      <c r="AC22" s="203">
        <f t="shared" si="30"/>
        <v>2010</v>
      </c>
      <c r="AD22" s="203">
        <f t="shared" si="32"/>
        <v>201</v>
      </c>
      <c r="AE22" s="203">
        <f t="shared" si="11"/>
        <v>2010</v>
      </c>
      <c r="AF22" s="203">
        <f t="shared" si="33"/>
        <v>201</v>
      </c>
      <c r="AG22" s="203">
        <f t="shared" si="12"/>
        <v>2010</v>
      </c>
      <c r="AH22" s="203">
        <f t="shared" si="34"/>
        <v>201</v>
      </c>
      <c r="AI22" s="203">
        <f t="shared" si="13"/>
        <v>2010</v>
      </c>
      <c r="AJ22" s="203">
        <f t="shared" si="35"/>
        <v>201</v>
      </c>
      <c r="AK22" s="203">
        <f t="shared" si="14"/>
        <v>2010</v>
      </c>
      <c r="AL22" s="203">
        <f t="shared" si="36"/>
        <v>201</v>
      </c>
      <c r="AM22" s="203">
        <f t="shared" si="15"/>
        <v>2010</v>
      </c>
      <c r="AN22" s="35">
        <f t="shared" si="16"/>
        <v>0.71785714285714286</v>
      </c>
      <c r="AO22" s="36">
        <f t="shared" si="17"/>
        <v>14070</v>
      </c>
      <c r="AQ22" s="223">
        <f t="shared" si="37"/>
        <v>0.64648551214925387</v>
      </c>
      <c r="AR22" s="38">
        <f t="shared" si="41"/>
        <v>60103.758064516136</v>
      </c>
      <c r="AS22" s="197">
        <f t="shared" si="38"/>
        <v>0</v>
      </c>
      <c r="AT22" s="271"/>
      <c r="AU22" s="436"/>
      <c r="AV22" s="518">
        <f t="shared" si="42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194.5</v>
      </c>
      <c r="C23" s="203">
        <f t="shared" si="18"/>
        <v>4184.8870967741932</v>
      </c>
      <c r="D23">
        <f t="shared" si="19"/>
        <v>194.5</v>
      </c>
      <c r="E23" s="203">
        <f t="shared" si="18"/>
        <v>4184.8870967741932</v>
      </c>
      <c r="F23">
        <f t="shared" si="20"/>
        <v>194.5</v>
      </c>
      <c r="G23" s="203">
        <f t="shared" si="1"/>
        <v>4184.8870967741932</v>
      </c>
      <c r="H23" s="203">
        <f t="shared" si="21"/>
        <v>194.5</v>
      </c>
      <c r="I23" s="203">
        <f t="shared" si="2"/>
        <v>4184.8870967741932</v>
      </c>
      <c r="J23" s="203">
        <f t="shared" si="22"/>
        <v>194.5</v>
      </c>
      <c r="K23" s="203">
        <f t="shared" si="3"/>
        <v>4184.8870967741932</v>
      </c>
      <c r="L23" s="203">
        <f t="shared" si="23"/>
        <v>194.5</v>
      </c>
      <c r="M23" s="203">
        <f t="shared" si="4"/>
        <v>4184.8870967741932</v>
      </c>
      <c r="N23" s="203">
        <f t="shared" si="24"/>
        <v>194.5</v>
      </c>
      <c r="O23" s="203">
        <f t="shared" si="5"/>
        <v>4184.8870967741932</v>
      </c>
      <c r="P23" s="203">
        <f t="shared" si="25"/>
        <v>194.5</v>
      </c>
      <c r="Q23" s="203">
        <f t="shared" si="6"/>
        <v>4184.8870967741932</v>
      </c>
      <c r="R23" s="203">
        <f t="shared" si="26"/>
        <v>194.5</v>
      </c>
      <c r="S23" s="203">
        <f t="shared" si="7"/>
        <v>4184.8870967741932</v>
      </c>
      <c r="T23" s="203">
        <f t="shared" si="27"/>
        <v>194.5</v>
      </c>
      <c r="U23" s="203">
        <f t="shared" si="8"/>
        <v>4184.8870967741932</v>
      </c>
      <c r="V23" s="203">
        <f t="shared" si="28"/>
        <v>194.5</v>
      </c>
      <c r="W23" s="203">
        <f t="shared" si="9"/>
        <v>4184.8870967741932</v>
      </c>
      <c r="X23" s="35">
        <f t="shared" si="10"/>
        <v>0.62741935483870981</v>
      </c>
      <c r="Y23" s="36">
        <f t="shared" si="29"/>
        <v>46033.758064516136</v>
      </c>
      <c r="Z23" s="203">
        <f>'B5'!C22</f>
        <v>201</v>
      </c>
      <c r="AA23" s="203">
        <f t="shared" si="30"/>
        <v>2010</v>
      </c>
      <c r="AB23" s="203">
        <f t="shared" si="31"/>
        <v>201</v>
      </c>
      <c r="AC23" s="203">
        <f t="shared" si="30"/>
        <v>2010</v>
      </c>
      <c r="AD23" s="203">
        <f t="shared" si="32"/>
        <v>201</v>
      </c>
      <c r="AE23" s="203">
        <f t="shared" si="11"/>
        <v>2010</v>
      </c>
      <c r="AF23" s="203">
        <f t="shared" si="33"/>
        <v>201</v>
      </c>
      <c r="AG23" s="203">
        <f t="shared" si="12"/>
        <v>2010</v>
      </c>
      <c r="AH23" s="203">
        <f t="shared" si="34"/>
        <v>201</v>
      </c>
      <c r="AI23" s="203">
        <f t="shared" si="13"/>
        <v>2010</v>
      </c>
      <c r="AJ23" s="203">
        <f t="shared" si="35"/>
        <v>201</v>
      </c>
      <c r="AK23" s="203">
        <f t="shared" si="14"/>
        <v>2010</v>
      </c>
      <c r="AL23" s="203">
        <f t="shared" si="36"/>
        <v>201</v>
      </c>
      <c r="AM23" s="203">
        <f t="shared" si="15"/>
        <v>2010</v>
      </c>
      <c r="AN23" s="35">
        <f t="shared" si="16"/>
        <v>0.71785714285714286</v>
      </c>
      <c r="AO23" s="36">
        <f t="shared" si="17"/>
        <v>14070</v>
      </c>
      <c r="AQ23" s="223">
        <f t="shared" si="37"/>
        <v>0.64648551214925387</v>
      </c>
      <c r="AR23" s="38">
        <f t="shared" si="41"/>
        <v>60103.758064516136</v>
      </c>
      <c r="AS23" s="197">
        <f t="shared" si="38"/>
        <v>0</v>
      </c>
      <c r="AT23" s="271"/>
      <c r="AU23" s="436"/>
      <c r="AV23" s="518">
        <f t="shared" si="42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194.5</v>
      </c>
      <c r="C24" s="203">
        <f t="shared" si="18"/>
        <v>4184.8870967741932</v>
      </c>
      <c r="D24">
        <f t="shared" si="19"/>
        <v>194.5</v>
      </c>
      <c r="E24" s="203">
        <f t="shared" si="18"/>
        <v>4184.8870967741932</v>
      </c>
      <c r="F24">
        <f t="shared" si="20"/>
        <v>194.5</v>
      </c>
      <c r="G24" s="203">
        <f t="shared" si="1"/>
        <v>4184.8870967741932</v>
      </c>
      <c r="H24" s="203">
        <f t="shared" si="21"/>
        <v>194.5</v>
      </c>
      <c r="I24" s="203">
        <f t="shared" si="2"/>
        <v>4184.8870967741932</v>
      </c>
      <c r="J24" s="203">
        <f t="shared" si="22"/>
        <v>194.5</v>
      </c>
      <c r="K24" s="203">
        <f t="shared" si="3"/>
        <v>4184.8870967741932</v>
      </c>
      <c r="L24" s="203">
        <f t="shared" si="23"/>
        <v>194.5</v>
      </c>
      <c r="M24" s="203">
        <f t="shared" si="4"/>
        <v>4184.8870967741932</v>
      </c>
      <c r="N24" s="203">
        <f t="shared" si="24"/>
        <v>194.5</v>
      </c>
      <c r="O24" s="203">
        <f t="shared" si="5"/>
        <v>4184.8870967741932</v>
      </c>
      <c r="P24" s="203">
        <f t="shared" si="25"/>
        <v>194.5</v>
      </c>
      <c r="Q24" s="203">
        <f t="shared" si="6"/>
        <v>4184.8870967741932</v>
      </c>
      <c r="R24" s="203">
        <f t="shared" si="26"/>
        <v>194.5</v>
      </c>
      <c r="S24" s="203">
        <f t="shared" si="7"/>
        <v>4184.8870967741932</v>
      </c>
      <c r="T24" s="203">
        <f t="shared" si="27"/>
        <v>194.5</v>
      </c>
      <c r="U24" s="203">
        <f t="shared" si="8"/>
        <v>4184.8870967741932</v>
      </c>
      <c r="V24" s="203">
        <f t="shared" si="28"/>
        <v>194.5</v>
      </c>
      <c r="W24" s="203">
        <f t="shared" si="9"/>
        <v>4184.8870967741932</v>
      </c>
      <c r="X24" s="35">
        <f t="shared" si="10"/>
        <v>0.62741935483870981</v>
      </c>
      <c r="Y24" s="36">
        <f t="shared" si="29"/>
        <v>46033.758064516136</v>
      </c>
      <c r="Z24" s="203">
        <f>'B5'!C23</f>
        <v>201</v>
      </c>
      <c r="AA24" s="203">
        <f t="shared" si="30"/>
        <v>2010</v>
      </c>
      <c r="AB24" s="203">
        <f t="shared" si="31"/>
        <v>201</v>
      </c>
      <c r="AC24" s="203">
        <f t="shared" si="30"/>
        <v>2010</v>
      </c>
      <c r="AD24" s="203">
        <f t="shared" si="32"/>
        <v>201</v>
      </c>
      <c r="AE24" s="203">
        <f t="shared" si="11"/>
        <v>2010</v>
      </c>
      <c r="AF24" s="203">
        <f t="shared" si="33"/>
        <v>201</v>
      </c>
      <c r="AG24" s="203">
        <f t="shared" si="12"/>
        <v>2010</v>
      </c>
      <c r="AH24" s="203">
        <f t="shared" si="34"/>
        <v>201</v>
      </c>
      <c r="AI24" s="203">
        <f t="shared" si="13"/>
        <v>2010</v>
      </c>
      <c r="AJ24" s="203">
        <f t="shared" si="35"/>
        <v>201</v>
      </c>
      <c r="AK24" s="203">
        <f t="shared" si="14"/>
        <v>2010</v>
      </c>
      <c r="AL24" s="203">
        <f t="shared" si="36"/>
        <v>201</v>
      </c>
      <c r="AM24" s="203">
        <f t="shared" si="15"/>
        <v>2010</v>
      </c>
      <c r="AN24" s="35">
        <f t="shared" si="16"/>
        <v>0.71785714285714286</v>
      </c>
      <c r="AO24" s="36">
        <f t="shared" si="17"/>
        <v>14070</v>
      </c>
      <c r="AQ24" s="223">
        <f t="shared" si="37"/>
        <v>0.64648551214925387</v>
      </c>
      <c r="AR24" s="38">
        <f t="shared" si="41"/>
        <v>60103.758064516136</v>
      </c>
      <c r="AS24" s="197">
        <f t="shared" si="38"/>
        <v>0</v>
      </c>
      <c r="AT24" s="271"/>
      <c r="AU24" s="436"/>
      <c r="AV24" s="518">
        <f t="shared" si="42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194.5</v>
      </c>
      <c r="C25" s="203">
        <f t="shared" si="18"/>
        <v>4184.8870967741932</v>
      </c>
      <c r="D25">
        <f t="shared" si="19"/>
        <v>194.5</v>
      </c>
      <c r="E25" s="203">
        <f t="shared" si="18"/>
        <v>4184.8870967741932</v>
      </c>
      <c r="F25">
        <f t="shared" si="20"/>
        <v>194.5</v>
      </c>
      <c r="G25" s="203">
        <f t="shared" si="1"/>
        <v>4184.8870967741932</v>
      </c>
      <c r="H25" s="203">
        <f t="shared" si="21"/>
        <v>194.5</v>
      </c>
      <c r="I25" s="203">
        <f t="shared" si="2"/>
        <v>4184.8870967741932</v>
      </c>
      <c r="J25" s="203">
        <f t="shared" si="22"/>
        <v>194.5</v>
      </c>
      <c r="K25" s="203">
        <f t="shared" si="3"/>
        <v>4184.8870967741932</v>
      </c>
      <c r="L25" s="203">
        <f t="shared" si="23"/>
        <v>194.5</v>
      </c>
      <c r="M25" s="203">
        <f t="shared" si="4"/>
        <v>4184.8870967741932</v>
      </c>
      <c r="N25" s="203">
        <f t="shared" si="24"/>
        <v>194.5</v>
      </c>
      <c r="O25" s="203">
        <f t="shared" si="5"/>
        <v>4184.8870967741932</v>
      </c>
      <c r="P25" s="203">
        <f t="shared" si="25"/>
        <v>194.5</v>
      </c>
      <c r="Q25" s="203">
        <f t="shared" si="6"/>
        <v>4184.8870967741932</v>
      </c>
      <c r="R25" s="203">
        <f t="shared" si="26"/>
        <v>194.5</v>
      </c>
      <c r="S25" s="203">
        <f t="shared" si="7"/>
        <v>4184.8870967741932</v>
      </c>
      <c r="T25" s="203">
        <f t="shared" si="27"/>
        <v>194.5</v>
      </c>
      <c r="U25" s="203">
        <f t="shared" si="8"/>
        <v>4184.8870967741932</v>
      </c>
      <c r="V25" s="203">
        <f t="shared" si="28"/>
        <v>194.5</v>
      </c>
      <c r="W25" s="203">
        <f t="shared" si="9"/>
        <v>4184.8870967741932</v>
      </c>
      <c r="X25" s="35">
        <f t="shared" si="10"/>
        <v>0.62741935483870981</v>
      </c>
      <c r="Y25" s="36">
        <f t="shared" si="29"/>
        <v>46033.758064516136</v>
      </c>
      <c r="Z25" s="203">
        <f>'B5'!C24</f>
        <v>201</v>
      </c>
      <c r="AA25" s="203">
        <f t="shared" si="30"/>
        <v>2010</v>
      </c>
      <c r="AB25" s="203">
        <f t="shared" si="31"/>
        <v>201</v>
      </c>
      <c r="AC25" s="203">
        <f t="shared" si="30"/>
        <v>2010</v>
      </c>
      <c r="AD25" s="203">
        <f t="shared" si="32"/>
        <v>201</v>
      </c>
      <c r="AE25" s="203">
        <f t="shared" si="11"/>
        <v>2010</v>
      </c>
      <c r="AF25" s="203">
        <f t="shared" si="33"/>
        <v>201</v>
      </c>
      <c r="AG25" s="203">
        <f t="shared" si="12"/>
        <v>2010</v>
      </c>
      <c r="AH25" s="203">
        <f t="shared" si="34"/>
        <v>201</v>
      </c>
      <c r="AI25" s="203">
        <f t="shared" si="13"/>
        <v>2010</v>
      </c>
      <c r="AJ25" s="203">
        <f t="shared" si="35"/>
        <v>201</v>
      </c>
      <c r="AK25" s="203">
        <f t="shared" si="14"/>
        <v>2010</v>
      </c>
      <c r="AL25" s="203">
        <f t="shared" si="36"/>
        <v>201</v>
      </c>
      <c r="AM25" s="203">
        <f t="shared" si="15"/>
        <v>2010</v>
      </c>
      <c r="AN25" s="35">
        <f t="shared" si="16"/>
        <v>0.71785714285714286</v>
      </c>
      <c r="AO25" s="36">
        <f t="shared" si="17"/>
        <v>14070</v>
      </c>
      <c r="AQ25" s="223">
        <f t="shared" si="37"/>
        <v>0.64648551214925387</v>
      </c>
      <c r="AR25" s="38">
        <f t="shared" si="41"/>
        <v>60103.758064516136</v>
      </c>
      <c r="AS25" s="197">
        <f t="shared" si="38"/>
        <v>0</v>
      </c>
      <c r="AT25" s="271"/>
      <c r="AU25" s="436"/>
      <c r="AV25" s="518">
        <f t="shared" si="42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194.5</v>
      </c>
      <c r="C26" s="203">
        <f t="shared" si="18"/>
        <v>4184.8870967741932</v>
      </c>
      <c r="D26">
        <f t="shared" si="19"/>
        <v>194.5</v>
      </c>
      <c r="E26" s="203">
        <f t="shared" si="18"/>
        <v>4184.8870967741932</v>
      </c>
      <c r="F26">
        <f t="shared" si="20"/>
        <v>194.5</v>
      </c>
      <c r="G26" s="203">
        <f t="shared" si="1"/>
        <v>4184.8870967741932</v>
      </c>
      <c r="H26" s="203">
        <f t="shared" si="21"/>
        <v>194.5</v>
      </c>
      <c r="I26" s="203">
        <f t="shared" si="2"/>
        <v>4184.8870967741932</v>
      </c>
      <c r="J26" s="203">
        <f t="shared" si="22"/>
        <v>194.5</v>
      </c>
      <c r="K26" s="203">
        <f t="shared" si="3"/>
        <v>4184.8870967741932</v>
      </c>
      <c r="L26" s="203">
        <f t="shared" si="23"/>
        <v>194.5</v>
      </c>
      <c r="M26" s="203">
        <f t="shared" si="4"/>
        <v>4184.8870967741932</v>
      </c>
      <c r="N26" s="203">
        <f t="shared" si="24"/>
        <v>194.5</v>
      </c>
      <c r="O26" s="203">
        <f t="shared" si="5"/>
        <v>4184.8870967741932</v>
      </c>
      <c r="P26" s="203">
        <f t="shared" si="25"/>
        <v>194.5</v>
      </c>
      <c r="Q26" s="203">
        <f t="shared" si="6"/>
        <v>4184.8870967741932</v>
      </c>
      <c r="R26" s="203">
        <f t="shared" si="26"/>
        <v>194.5</v>
      </c>
      <c r="S26" s="203">
        <f t="shared" si="7"/>
        <v>4184.8870967741932</v>
      </c>
      <c r="T26" s="203">
        <f t="shared" si="27"/>
        <v>194.5</v>
      </c>
      <c r="U26" s="203">
        <f t="shared" si="8"/>
        <v>4184.8870967741932</v>
      </c>
      <c r="V26" s="203">
        <f t="shared" si="28"/>
        <v>194.5</v>
      </c>
      <c r="W26" s="203">
        <f t="shared" si="9"/>
        <v>4184.8870967741932</v>
      </c>
      <c r="X26" s="35">
        <f t="shared" si="10"/>
        <v>0.62741935483870981</v>
      </c>
      <c r="Y26" s="36">
        <f t="shared" si="29"/>
        <v>46033.758064516136</v>
      </c>
      <c r="Z26" s="203">
        <f>'B5'!C25</f>
        <v>201</v>
      </c>
      <c r="AA26" s="203">
        <f t="shared" si="30"/>
        <v>2010</v>
      </c>
      <c r="AB26" s="203">
        <f t="shared" si="31"/>
        <v>201</v>
      </c>
      <c r="AC26" s="203">
        <f t="shared" si="30"/>
        <v>2010</v>
      </c>
      <c r="AD26" s="203">
        <f t="shared" si="32"/>
        <v>201</v>
      </c>
      <c r="AE26" s="203">
        <f t="shared" si="11"/>
        <v>2010</v>
      </c>
      <c r="AF26" s="203">
        <f t="shared" si="33"/>
        <v>201</v>
      </c>
      <c r="AG26" s="203">
        <f t="shared" si="12"/>
        <v>2010</v>
      </c>
      <c r="AH26" s="203">
        <f t="shared" si="34"/>
        <v>201</v>
      </c>
      <c r="AI26" s="203">
        <f t="shared" si="13"/>
        <v>2010</v>
      </c>
      <c r="AJ26" s="203">
        <f t="shared" si="35"/>
        <v>201</v>
      </c>
      <c r="AK26" s="203">
        <f t="shared" si="14"/>
        <v>2010</v>
      </c>
      <c r="AL26" s="203">
        <f t="shared" si="36"/>
        <v>201</v>
      </c>
      <c r="AM26" s="203">
        <f t="shared" si="15"/>
        <v>2010</v>
      </c>
      <c r="AN26" s="35">
        <f t="shared" si="16"/>
        <v>0.71785714285714286</v>
      </c>
      <c r="AO26" s="36">
        <f t="shared" si="17"/>
        <v>14070</v>
      </c>
      <c r="AQ26" s="223">
        <f t="shared" si="37"/>
        <v>0.64648551214925387</v>
      </c>
      <c r="AR26" s="38">
        <f t="shared" si="41"/>
        <v>60103.758064516136</v>
      </c>
      <c r="AS26" s="197">
        <f t="shared" si="38"/>
        <v>0</v>
      </c>
      <c r="AT26" s="271"/>
      <c r="AU26" s="491"/>
      <c r="AV26" s="518">
        <f t="shared" si="42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194.5</v>
      </c>
      <c r="C27" s="203">
        <f t="shared" si="18"/>
        <v>4184.8870967741932</v>
      </c>
      <c r="D27">
        <f t="shared" si="19"/>
        <v>194.5</v>
      </c>
      <c r="E27" s="203">
        <f t="shared" si="18"/>
        <v>4184.8870967741932</v>
      </c>
      <c r="F27">
        <f t="shared" si="20"/>
        <v>194.5</v>
      </c>
      <c r="G27" s="203">
        <f t="shared" si="1"/>
        <v>4184.8870967741932</v>
      </c>
      <c r="H27" s="203">
        <f t="shared" si="21"/>
        <v>194.5</v>
      </c>
      <c r="I27" s="203">
        <f t="shared" si="2"/>
        <v>4184.8870967741932</v>
      </c>
      <c r="J27" s="203">
        <f t="shared" si="22"/>
        <v>194.5</v>
      </c>
      <c r="K27" s="203">
        <f t="shared" si="3"/>
        <v>4184.8870967741932</v>
      </c>
      <c r="L27" s="203">
        <f t="shared" si="23"/>
        <v>194.5</v>
      </c>
      <c r="M27" s="203">
        <f t="shared" si="4"/>
        <v>4184.8870967741932</v>
      </c>
      <c r="N27" s="203">
        <f t="shared" si="24"/>
        <v>194.5</v>
      </c>
      <c r="O27" s="203">
        <f t="shared" si="5"/>
        <v>4184.8870967741932</v>
      </c>
      <c r="P27" s="203">
        <f t="shared" si="25"/>
        <v>194.5</v>
      </c>
      <c r="Q27" s="203">
        <f t="shared" si="6"/>
        <v>4184.8870967741932</v>
      </c>
      <c r="R27" s="203">
        <f t="shared" si="26"/>
        <v>194.5</v>
      </c>
      <c r="S27" s="203">
        <f t="shared" si="7"/>
        <v>4184.8870967741932</v>
      </c>
      <c r="T27" s="203">
        <f t="shared" si="27"/>
        <v>194.5</v>
      </c>
      <c r="U27" s="203">
        <f t="shared" si="8"/>
        <v>4184.8870967741932</v>
      </c>
      <c r="V27" s="203">
        <f t="shared" si="28"/>
        <v>194.5</v>
      </c>
      <c r="W27" s="203">
        <f t="shared" si="9"/>
        <v>4184.8870967741932</v>
      </c>
      <c r="X27" s="35">
        <f t="shared" si="10"/>
        <v>0.62741935483870981</v>
      </c>
      <c r="Y27" s="36">
        <f t="shared" si="29"/>
        <v>46033.758064516136</v>
      </c>
      <c r="Z27" s="203">
        <f>'B5'!C26</f>
        <v>201</v>
      </c>
      <c r="AA27" s="203">
        <f t="shared" si="30"/>
        <v>2010</v>
      </c>
      <c r="AB27" s="203">
        <f t="shared" si="31"/>
        <v>201</v>
      </c>
      <c r="AC27" s="203">
        <f t="shared" si="30"/>
        <v>2010</v>
      </c>
      <c r="AD27" s="203">
        <f t="shared" si="32"/>
        <v>201</v>
      </c>
      <c r="AE27" s="203">
        <f t="shared" si="11"/>
        <v>2010</v>
      </c>
      <c r="AF27" s="203">
        <f t="shared" si="33"/>
        <v>201</v>
      </c>
      <c r="AG27" s="203">
        <f t="shared" si="12"/>
        <v>2010</v>
      </c>
      <c r="AH27" s="203">
        <f t="shared" si="34"/>
        <v>201</v>
      </c>
      <c r="AI27" s="203">
        <f t="shared" si="13"/>
        <v>2010</v>
      </c>
      <c r="AJ27" s="203">
        <f t="shared" si="35"/>
        <v>201</v>
      </c>
      <c r="AK27" s="203">
        <f t="shared" si="14"/>
        <v>2010</v>
      </c>
      <c r="AL27" s="203">
        <f t="shared" si="36"/>
        <v>201</v>
      </c>
      <c r="AM27" s="203">
        <f t="shared" si="15"/>
        <v>2010</v>
      </c>
      <c r="AN27" s="35">
        <f t="shared" si="16"/>
        <v>0.71785714285714286</v>
      </c>
      <c r="AO27" s="36">
        <f t="shared" si="17"/>
        <v>14070</v>
      </c>
      <c r="AQ27" s="223">
        <f t="shared" si="37"/>
        <v>0.64648551214925387</v>
      </c>
      <c r="AR27" s="38">
        <f t="shared" si="41"/>
        <v>60103.758064516136</v>
      </c>
      <c r="AS27" s="197">
        <f t="shared" si="38"/>
        <v>0</v>
      </c>
      <c r="AT27" s="271"/>
      <c r="AU27" s="436"/>
      <c r="AV27" s="518">
        <f t="shared" si="42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194.5</v>
      </c>
      <c r="C28" s="203">
        <f t="shared" si="18"/>
        <v>4184.8870967741932</v>
      </c>
      <c r="D28">
        <f t="shared" si="19"/>
        <v>194.5</v>
      </c>
      <c r="E28" s="203">
        <f t="shared" si="18"/>
        <v>4184.8870967741932</v>
      </c>
      <c r="F28">
        <f t="shared" si="20"/>
        <v>194.5</v>
      </c>
      <c r="G28" s="203">
        <f t="shared" si="1"/>
        <v>4184.8870967741932</v>
      </c>
      <c r="H28" s="203">
        <f t="shared" si="21"/>
        <v>194.5</v>
      </c>
      <c r="I28" s="203">
        <f t="shared" si="2"/>
        <v>4184.8870967741932</v>
      </c>
      <c r="J28" s="203">
        <f t="shared" si="22"/>
        <v>194.5</v>
      </c>
      <c r="K28" s="203">
        <f t="shared" si="3"/>
        <v>4184.8870967741932</v>
      </c>
      <c r="L28" s="203">
        <f t="shared" si="23"/>
        <v>194.5</v>
      </c>
      <c r="M28" s="203">
        <f t="shared" si="4"/>
        <v>4184.8870967741932</v>
      </c>
      <c r="N28" s="203">
        <f t="shared" si="24"/>
        <v>194.5</v>
      </c>
      <c r="O28" s="203">
        <f t="shared" si="5"/>
        <v>4184.8870967741932</v>
      </c>
      <c r="P28" s="203">
        <f t="shared" si="25"/>
        <v>194.5</v>
      </c>
      <c r="Q28" s="203">
        <f t="shared" si="6"/>
        <v>4184.8870967741932</v>
      </c>
      <c r="R28" s="203">
        <f t="shared" si="26"/>
        <v>194.5</v>
      </c>
      <c r="S28" s="203">
        <f t="shared" si="7"/>
        <v>4184.8870967741932</v>
      </c>
      <c r="T28" s="203">
        <f t="shared" si="27"/>
        <v>194.5</v>
      </c>
      <c r="U28" s="203">
        <f t="shared" si="8"/>
        <v>4184.8870967741932</v>
      </c>
      <c r="V28" s="203">
        <f t="shared" si="28"/>
        <v>194.5</v>
      </c>
      <c r="W28" s="203">
        <f t="shared" si="9"/>
        <v>4184.8870967741932</v>
      </c>
      <c r="X28" s="35">
        <f t="shared" si="10"/>
        <v>0.62741935483870981</v>
      </c>
      <c r="Y28" s="36">
        <f t="shared" si="29"/>
        <v>46033.758064516136</v>
      </c>
      <c r="Z28" s="203">
        <f>'B5'!C27</f>
        <v>201</v>
      </c>
      <c r="AA28" s="203">
        <f t="shared" si="30"/>
        <v>2010</v>
      </c>
      <c r="AB28" s="203">
        <f t="shared" si="31"/>
        <v>201</v>
      </c>
      <c r="AC28" s="203">
        <f t="shared" si="30"/>
        <v>2010</v>
      </c>
      <c r="AD28" s="203">
        <f t="shared" si="32"/>
        <v>201</v>
      </c>
      <c r="AE28" s="203">
        <f t="shared" si="11"/>
        <v>2010</v>
      </c>
      <c r="AF28" s="203">
        <f t="shared" si="33"/>
        <v>201</v>
      </c>
      <c r="AG28" s="203">
        <f t="shared" si="12"/>
        <v>2010</v>
      </c>
      <c r="AH28" s="203">
        <f t="shared" si="34"/>
        <v>201</v>
      </c>
      <c r="AI28" s="203">
        <f t="shared" si="13"/>
        <v>2010</v>
      </c>
      <c r="AJ28" s="203">
        <f t="shared" si="35"/>
        <v>201</v>
      </c>
      <c r="AK28" s="203">
        <f t="shared" si="14"/>
        <v>2010</v>
      </c>
      <c r="AL28" s="203">
        <f t="shared" si="36"/>
        <v>201</v>
      </c>
      <c r="AM28" s="203">
        <f t="shared" si="15"/>
        <v>2010</v>
      </c>
      <c r="AN28" s="35">
        <f t="shared" si="16"/>
        <v>0.71785714285714286</v>
      </c>
      <c r="AO28" s="36">
        <f t="shared" si="17"/>
        <v>14070</v>
      </c>
      <c r="AQ28" s="223">
        <f t="shared" si="37"/>
        <v>0.64648551214925387</v>
      </c>
      <c r="AR28" s="38">
        <f t="shared" si="41"/>
        <v>60103.758064516136</v>
      </c>
      <c r="AS28" s="197">
        <f t="shared" si="38"/>
        <v>0</v>
      </c>
      <c r="AT28" s="355"/>
      <c r="AU28" s="436"/>
      <c r="AV28" s="518">
        <f t="shared" si="42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194.5</v>
      </c>
      <c r="C29" s="203">
        <f t="shared" si="18"/>
        <v>4184.8870967741932</v>
      </c>
      <c r="D29">
        <f t="shared" si="19"/>
        <v>194.5</v>
      </c>
      <c r="E29" s="203">
        <f t="shared" si="18"/>
        <v>4184.8870967741932</v>
      </c>
      <c r="F29">
        <f t="shared" si="20"/>
        <v>194.5</v>
      </c>
      <c r="G29" s="203">
        <f t="shared" si="1"/>
        <v>4184.8870967741932</v>
      </c>
      <c r="H29" s="203">
        <f t="shared" si="21"/>
        <v>194.5</v>
      </c>
      <c r="I29" s="203">
        <f t="shared" si="2"/>
        <v>4184.8870967741932</v>
      </c>
      <c r="J29" s="203">
        <f t="shared" si="22"/>
        <v>194.5</v>
      </c>
      <c r="K29" s="203">
        <f t="shared" si="3"/>
        <v>4184.8870967741932</v>
      </c>
      <c r="L29" s="203">
        <f t="shared" si="23"/>
        <v>194.5</v>
      </c>
      <c r="M29" s="203">
        <f t="shared" si="4"/>
        <v>4184.8870967741932</v>
      </c>
      <c r="N29" s="203">
        <f t="shared" si="24"/>
        <v>194.5</v>
      </c>
      <c r="O29" s="203">
        <f t="shared" si="5"/>
        <v>4184.8870967741932</v>
      </c>
      <c r="P29" s="203">
        <f t="shared" si="25"/>
        <v>194.5</v>
      </c>
      <c r="Q29" s="203">
        <f t="shared" si="6"/>
        <v>4184.8870967741932</v>
      </c>
      <c r="R29" s="203">
        <f t="shared" si="26"/>
        <v>194.5</v>
      </c>
      <c r="S29" s="203">
        <f t="shared" si="7"/>
        <v>4184.8870967741932</v>
      </c>
      <c r="T29" s="203">
        <f t="shared" si="27"/>
        <v>194.5</v>
      </c>
      <c r="U29" s="203">
        <f t="shared" si="8"/>
        <v>4184.8870967741932</v>
      </c>
      <c r="V29" s="203">
        <f t="shared" si="28"/>
        <v>194.5</v>
      </c>
      <c r="W29" s="203">
        <f t="shared" si="9"/>
        <v>4184.8870967741932</v>
      </c>
      <c r="X29" s="35">
        <f t="shared" si="10"/>
        <v>0.62741935483870981</v>
      </c>
      <c r="Y29" s="36">
        <f t="shared" si="29"/>
        <v>46033.758064516136</v>
      </c>
      <c r="Z29" s="203">
        <f>'B5'!C28</f>
        <v>201</v>
      </c>
      <c r="AA29" s="203">
        <f t="shared" si="30"/>
        <v>2010</v>
      </c>
      <c r="AB29" s="203">
        <f t="shared" si="31"/>
        <v>201</v>
      </c>
      <c r="AC29" s="203">
        <f t="shared" si="30"/>
        <v>2010</v>
      </c>
      <c r="AD29" s="203">
        <f t="shared" si="32"/>
        <v>201</v>
      </c>
      <c r="AE29" s="203">
        <f t="shared" si="11"/>
        <v>2010</v>
      </c>
      <c r="AF29" s="203">
        <f t="shared" si="33"/>
        <v>201</v>
      </c>
      <c r="AG29" s="203">
        <f t="shared" si="12"/>
        <v>2010</v>
      </c>
      <c r="AH29" s="203">
        <f t="shared" si="34"/>
        <v>201</v>
      </c>
      <c r="AI29" s="203">
        <f t="shared" si="13"/>
        <v>2010</v>
      </c>
      <c r="AJ29" s="203">
        <f t="shared" si="35"/>
        <v>201</v>
      </c>
      <c r="AK29" s="203">
        <f t="shared" si="14"/>
        <v>2010</v>
      </c>
      <c r="AL29" s="203">
        <f t="shared" si="36"/>
        <v>201</v>
      </c>
      <c r="AM29" s="203">
        <f t="shared" si="15"/>
        <v>2010</v>
      </c>
      <c r="AN29" s="35">
        <f t="shared" si="16"/>
        <v>0.71785714285714286</v>
      </c>
      <c r="AO29" s="36">
        <f t="shared" si="17"/>
        <v>14070</v>
      </c>
      <c r="AQ29" s="223">
        <f t="shared" si="37"/>
        <v>0.64648551214925387</v>
      </c>
      <c r="AR29" s="38">
        <f t="shared" si="41"/>
        <v>60103.758064516136</v>
      </c>
      <c r="AS29" s="197">
        <f t="shared" si="38"/>
        <v>0</v>
      </c>
      <c r="AT29" s="355"/>
      <c r="AU29" s="436"/>
      <c r="AV29" s="518">
        <f t="shared" si="42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194.5</v>
      </c>
      <c r="C30" s="203">
        <f t="shared" si="18"/>
        <v>4184.8870967741932</v>
      </c>
      <c r="D30">
        <f t="shared" ref="D30:D33" si="44">SUM(B30)</f>
        <v>194.5</v>
      </c>
      <c r="E30" s="203">
        <f t="shared" si="18"/>
        <v>4184.8870967741932</v>
      </c>
      <c r="F30">
        <f t="shared" ref="F30:F33" si="45">SUM(D30)</f>
        <v>194.5</v>
      </c>
      <c r="G30" s="203">
        <f t="shared" si="1"/>
        <v>4184.8870967741932</v>
      </c>
      <c r="H30" s="203">
        <f t="shared" ref="H30:H33" si="46">SUM(F30)</f>
        <v>194.5</v>
      </c>
      <c r="I30" s="203">
        <f t="shared" si="2"/>
        <v>4184.8870967741932</v>
      </c>
      <c r="J30" s="203">
        <f t="shared" ref="J30:J33" si="47">SUM(H30)</f>
        <v>194.5</v>
      </c>
      <c r="K30" s="203">
        <f t="shared" si="3"/>
        <v>4184.8870967741932</v>
      </c>
      <c r="L30" s="203">
        <f t="shared" ref="L30:L33" si="48">SUM(J30)</f>
        <v>194.5</v>
      </c>
      <c r="M30" s="203">
        <f t="shared" si="4"/>
        <v>4184.8870967741932</v>
      </c>
      <c r="N30" s="203">
        <f t="shared" ref="N30:N33" si="49">SUM(L30)</f>
        <v>194.5</v>
      </c>
      <c r="O30" s="203">
        <f t="shared" si="5"/>
        <v>4184.8870967741932</v>
      </c>
      <c r="P30" s="203">
        <f t="shared" ref="P30:P33" si="50">SUM(N30)</f>
        <v>194.5</v>
      </c>
      <c r="Q30" s="203">
        <f t="shared" si="6"/>
        <v>4184.8870967741932</v>
      </c>
      <c r="R30" s="203">
        <f t="shared" ref="R30:R33" si="51">SUM(P30)</f>
        <v>194.5</v>
      </c>
      <c r="S30" s="203">
        <f t="shared" si="7"/>
        <v>4184.8870967741932</v>
      </c>
      <c r="T30" s="203">
        <f t="shared" ref="T30:T33" si="52">SUM(R30)</f>
        <v>194.5</v>
      </c>
      <c r="U30" s="203">
        <f t="shared" si="8"/>
        <v>4184.8870967741932</v>
      </c>
      <c r="V30" s="203">
        <f t="shared" ref="V30:V33" si="53">SUM(T30)</f>
        <v>194.5</v>
      </c>
      <c r="W30" s="203">
        <f t="shared" si="9"/>
        <v>4184.8870967741932</v>
      </c>
      <c r="X30" s="35">
        <f t="shared" ref="X30:X33" si="54">SUM(Y30/73370)</f>
        <v>0.62741935483870981</v>
      </c>
      <c r="Y30" s="36">
        <f t="shared" ref="Y30:Y33" si="55">SUM(C30+E30+G30+I30+K30+M30+O30+Q30+S30+U30+W30)</f>
        <v>46033.758064516136</v>
      </c>
      <c r="Z30" s="203">
        <f>'B5'!C29</f>
        <v>201</v>
      </c>
      <c r="AA30" s="203">
        <f t="shared" si="30"/>
        <v>2010</v>
      </c>
      <c r="AB30" s="203">
        <f t="shared" ref="AB30:AB33" si="56">SUM(Z30)</f>
        <v>201</v>
      </c>
      <c r="AC30" s="203">
        <f t="shared" si="30"/>
        <v>2010</v>
      </c>
      <c r="AD30" s="203">
        <f t="shared" ref="AD30:AD33" si="57">SUM(AB30)</f>
        <v>201</v>
      </c>
      <c r="AE30" s="203">
        <f t="shared" si="11"/>
        <v>2010</v>
      </c>
      <c r="AF30" s="203">
        <f t="shared" ref="AF30:AF33" si="58">SUM(AD30)</f>
        <v>201</v>
      </c>
      <c r="AG30" s="203">
        <f t="shared" si="12"/>
        <v>2010</v>
      </c>
      <c r="AH30" s="203">
        <f t="shared" ref="AH30:AH33" si="59">SUM(AF30)</f>
        <v>201</v>
      </c>
      <c r="AI30" s="203">
        <f t="shared" si="13"/>
        <v>2010</v>
      </c>
      <c r="AJ30" s="203">
        <f t="shared" ref="AJ30:AJ33" si="60">SUM(AH30)</f>
        <v>201</v>
      </c>
      <c r="AK30" s="203">
        <f t="shared" si="14"/>
        <v>2010</v>
      </c>
      <c r="AL30" s="203">
        <f t="shared" ref="AL30:AL33" si="61">SUM(AJ30)</f>
        <v>201</v>
      </c>
      <c r="AM30" s="203">
        <f t="shared" si="15"/>
        <v>2010</v>
      </c>
      <c r="AN30" s="35">
        <f t="shared" ref="AN30:AN33" si="62">SUM(AO30/19600)</f>
        <v>0.71785714285714286</v>
      </c>
      <c r="AO30" s="36">
        <f t="shared" ref="AO30:AO33" si="63">SUM(AA30+AC30+AE30+AG30+AI30+AK30+AM30)</f>
        <v>14070</v>
      </c>
      <c r="AQ30" s="223">
        <f t="shared" si="37"/>
        <v>0.64648551214925387</v>
      </c>
      <c r="AR30" s="38">
        <f t="shared" si="41"/>
        <v>60103.758064516136</v>
      </c>
      <c r="AS30" s="197">
        <f t="shared" si="38"/>
        <v>0</v>
      </c>
      <c r="AT30" s="355"/>
      <c r="AU30" s="436"/>
      <c r="AV30" s="518">
        <f t="shared" si="42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194.5</v>
      </c>
      <c r="C31" s="203">
        <f t="shared" si="18"/>
        <v>4184.8870967741932</v>
      </c>
      <c r="D31">
        <f t="shared" si="44"/>
        <v>194.5</v>
      </c>
      <c r="E31" s="203">
        <f t="shared" si="18"/>
        <v>4184.8870967741932</v>
      </c>
      <c r="F31">
        <f t="shared" si="45"/>
        <v>194.5</v>
      </c>
      <c r="G31" s="203">
        <f t="shared" si="1"/>
        <v>4184.8870967741932</v>
      </c>
      <c r="H31" s="203">
        <f t="shared" si="46"/>
        <v>194.5</v>
      </c>
      <c r="I31" s="203">
        <f t="shared" si="2"/>
        <v>4184.8870967741932</v>
      </c>
      <c r="J31" s="203">
        <f t="shared" si="47"/>
        <v>194.5</v>
      </c>
      <c r="K31" s="203">
        <f t="shared" si="3"/>
        <v>4184.8870967741932</v>
      </c>
      <c r="L31" s="203">
        <f t="shared" si="48"/>
        <v>194.5</v>
      </c>
      <c r="M31" s="203">
        <f t="shared" si="4"/>
        <v>4184.8870967741932</v>
      </c>
      <c r="N31" s="203">
        <f t="shared" si="49"/>
        <v>194.5</v>
      </c>
      <c r="O31" s="203">
        <f t="shared" si="5"/>
        <v>4184.8870967741932</v>
      </c>
      <c r="P31" s="203">
        <f t="shared" si="50"/>
        <v>194.5</v>
      </c>
      <c r="Q31" s="203">
        <f t="shared" si="6"/>
        <v>4184.8870967741932</v>
      </c>
      <c r="R31" s="203">
        <f t="shared" si="51"/>
        <v>194.5</v>
      </c>
      <c r="S31" s="203">
        <f t="shared" si="7"/>
        <v>4184.8870967741932</v>
      </c>
      <c r="T31" s="203">
        <f t="shared" si="52"/>
        <v>194.5</v>
      </c>
      <c r="U31" s="203">
        <f t="shared" si="8"/>
        <v>4184.8870967741932</v>
      </c>
      <c r="V31" s="203">
        <f t="shared" si="53"/>
        <v>194.5</v>
      </c>
      <c r="W31" s="203">
        <f t="shared" si="9"/>
        <v>4184.8870967741932</v>
      </c>
      <c r="X31" s="35">
        <f t="shared" si="54"/>
        <v>0.62741935483870981</v>
      </c>
      <c r="Y31" s="36">
        <f t="shared" si="55"/>
        <v>46033.758064516136</v>
      </c>
      <c r="Z31" s="203">
        <f>'B5'!C30</f>
        <v>201</v>
      </c>
      <c r="AA31" s="203">
        <f t="shared" si="30"/>
        <v>2010</v>
      </c>
      <c r="AB31" s="203">
        <f t="shared" si="56"/>
        <v>201</v>
      </c>
      <c r="AC31" s="203">
        <f t="shared" si="30"/>
        <v>2010</v>
      </c>
      <c r="AD31" s="203">
        <f t="shared" si="57"/>
        <v>201</v>
      </c>
      <c r="AE31" s="203">
        <f t="shared" si="11"/>
        <v>2010</v>
      </c>
      <c r="AF31" s="203">
        <f t="shared" si="58"/>
        <v>201</v>
      </c>
      <c r="AG31" s="203">
        <f t="shared" si="12"/>
        <v>2010</v>
      </c>
      <c r="AH31" s="203">
        <f t="shared" si="59"/>
        <v>201</v>
      </c>
      <c r="AI31" s="203">
        <f t="shared" si="13"/>
        <v>2010</v>
      </c>
      <c r="AJ31" s="203">
        <f t="shared" si="60"/>
        <v>201</v>
      </c>
      <c r="AK31" s="203">
        <f t="shared" si="14"/>
        <v>2010</v>
      </c>
      <c r="AL31" s="203">
        <f t="shared" si="61"/>
        <v>201</v>
      </c>
      <c r="AM31" s="203">
        <f t="shared" si="15"/>
        <v>2010</v>
      </c>
      <c r="AN31" s="35">
        <f t="shared" si="62"/>
        <v>0.71785714285714286</v>
      </c>
      <c r="AO31" s="36">
        <f t="shared" si="63"/>
        <v>14070</v>
      </c>
      <c r="AQ31" s="223">
        <f t="shared" si="37"/>
        <v>0.64648551214925387</v>
      </c>
      <c r="AR31" s="38">
        <f t="shared" si="41"/>
        <v>60103.758064516136</v>
      </c>
      <c r="AS31" s="197">
        <f>SUM(AR31-AR30-AT31)</f>
        <v>0</v>
      </c>
      <c r="AT31" s="355"/>
      <c r="AU31" s="436"/>
      <c r="AV31" s="518">
        <f t="shared" si="42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194.5</v>
      </c>
      <c r="C32" s="203">
        <f t="shared" si="18"/>
        <v>4184.8870967741932</v>
      </c>
      <c r="D32">
        <f t="shared" si="44"/>
        <v>194.5</v>
      </c>
      <c r="E32" s="203">
        <f t="shared" si="18"/>
        <v>4184.8870967741932</v>
      </c>
      <c r="F32">
        <f t="shared" si="45"/>
        <v>194.5</v>
      </c>
      <c r="G32" s="203">
        <f t="shared" si="1"/>
        <v>4184.8870967741932</v>
      </c>
      <c r="H32" s="203">
        <f t="shared" si="46"/>
        <v>194.5</v>
      </c>
      <c r="I32" s="203">
        <f t="shared" si="2"/>
        <v>4184.8870967741932</v>
      </c>
      <c r="J32" s="203">
        <f t="shared" si="47"/>
        <v>194.5</v>
      </c>
      <c r="K32" s="203">
        <f t="shared" si="3"/>
        <v>4184.8870967741932</v>
      </c>
      <c r="L32" s="203">
        <f t="shared" si="48"/>
        <v>194.5</v>
      </c>
      <c r="M32" s="203">
        <f t="shared" si="4"/>
        <v>4184.8870967741932</v>
      </c>
      <c r="N32" s="203">
        <f t="shared" si="49"/>
        <v>194.5</v>
      </c>
      <c r="O32" s="203">
        <f t="shared" si="5"/>
        <v>4184.8870967741932</v>
      </c>
      <c r="P32" s="203">
        <f t="shared" si="50"/>
        <v>194.5</v>
      </c>
      <c r="Q32" s="203">
        <f t="shared" si="6"/>
        <v>4184.8870967741932</v>
      </c>
      <c r="R32" s="203">
        <f t="shared" si="51"/>
        <v>194.5</v>
      </c>
      <c r="S32" s="203">
        <f t="shared" si="7"/>
        <v>4184.8870967741932</v>
      </c>
      <c r="T32" s="203">
        <f t="shared" si="52"/>
        <v>194.5</v>
      </c>
      <c r="U32" s="203">
        <f t="shared" si="8"/>
        <v>4184.8870967741932</v>
      </c>
      <c r="V32" s="203">
        <f t="shared" si="53"/>
        <v>194.5</v>
      </c>
      <c r="W32" s="203">
        <f t="shared" si="9"/>
        <v>4184.8870967741932</v>
      </c>
      <c r="X32" s="35">
        <f t="shared" si="54"/>
        <v>0.62741935483870981</v>
      </c>
      <c r="Y32" s="36">
        <f t="shared" si="55"/>
        <v>46033.758064516136</v>
      </c>
      <c r="Z32" s="203">
        <f>'B5'!C31</f>
        <v>201</v>
      </c>
      <c r="AA32" s="203">
        <f t="shared" si="30"/>
        <v>2010</v>
      </c>
      <c r="AB32" s="203">
        <f t="shared" si="56"/>
        <v>201</v>
      </c>
      <c r="AC32" s="203">
        <f t="shared" si="30"/>
        <v>2010</v>
      </c>
      <c r="AD32" s="203">
        <f t="shared" si="57"/>
        <v>201</v>
      </c>
      <c r="AE32" s="203">
        <f t="shared" si="11"/>
        <v>2010</v>
      </c>
      <c r="AF32" s="203">
        <f t="shared" si="58"/>
        <v>201</v>
      </c>
      <c r="AG32" s="203">
        <f t="shared" si="12"/>
        <v>2010</v>
      </c>
      <c r="AH32" s="203">
        <f t="shared" si="59"/>
        <v>201</v>
      </c>
      <c r="AI32" s="203">
        <f t="shared" si="13"/>
        <v>2010</v>
      </c>
      <c r="AJ32" s="203">
        <f t="shared" si="60"/>
        <v>201</v>
      </c>
      <c r="AK32" s="203">
        <f t="shared" si="14"/>
        <v>2010</v>
      </c>
      <c r="AL32" s="203">
        <f t="shared" si="61"/>
        <v>201</v>
      </c>
      <c r="AM32" s="203">
        <f t="shared" si="15"/>
        <v>2010</v>
      </c>
      <c r="AN32" s="35">
        <f t="shared" si="62"/>
        <v>0.71785714285714286</v>
      </c>
      <c r="AO32" s="36">
        <f t="shared" si="63"/>
        <v>14070</v>
      </c>
      <c r="AQ32" s="223">
        <f t="shared" si="37"/>
        <v>0.64648551214925387</v>
      </c>
      <c r="AR32" s="38">
        <f t="shared" si="41"/>
        <v>60103.758064516136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194.5</v>
      </c>
      <c r="C33" s="203">
        <f t="shared" si="18"/>
        <v>4184.8870967741932</v>
      </c>
      <c r="D33">
        <f t="shared" si="44"/>
        <v>194.5</v>
      </c>
      <c r="E33" s="203">
        <f t="shared" si="18"/>
        <v>4184.8870967741932</v>
      </c>
      <c r="F33">
        <f t="shared" si="45"/>
        <v>194.5</v>
      </c>
      <c r="G33" s="203">
        <f t="shared" si="1"/>
        <v>4184.8870967741932</v>
      </c>
      <c r="H33" s="203">
        <f t="shared" si="46"/>
        <v>194.5</v>
      </c>
      <c r="I33" s="203">
        <f t="shared" si="2"/>
        <v>4184.8870967741932</v>
      </c>
      <c r="J33" s="203">
        <f t="shared" si="47"/>
        <v>194.5</v>
      </c>
      <c r="K33" s="203">
        <f t="shared" si="3"/>
        <v>4184.8870967741932</v>
      </c>
      <c r="L33" s="203">
        <f t="shared" si="48"/>
        <v>194.5</v>
      </c>
      <c r="M33" s="203">
        <f t="shared" si="4"/>
        <v>4184.8870967741932</v>
      </c>
      <c r="N33" s="203">
        <f t="shared" si="49"/>
        <v>194.5</v>
      </c>
      <c r="O33" s="203">
        <f t="shared" si="5"/>
        <v>4184.8870967741932</v>
      </c>
      <c r="P33" s="203">
        <f t="shared" si="50"/>
        <v>194.5</v>
      </c>
      <c r="Q33" s="203">
        <f t="shared" si="6"/>
        <v>4184.8870967741932</v>
      </c>
      <c r="R33" s="203">
        <f t="shared" si="51"/>
        <v>194.5</v>
      </c>
      <c r="S33" s="203">
        <f t="shared" si="7"/>
        <v>4184.8870967741932</v>
      </c>
      <c r="T33" s="203">
        <f t="shared" si="52"/>
        <v>194.5</v>
      </c>
      <c r="U33" s="203">
        <f t="shared" si="8"/>
        <v>4184.8870967741932</v>
      </c>
      <c r="V33" s="203">
        <f t="shared" si="53"/>
        <v>194.5</v>
      </c>
      <c r="W33" s="203">
        <f t="shared" si="9"/>
        <v>4184.8870967741932</v>
      </c>
      <c r="X33" s="35">
        <f t="shared" si="54"/>
        <v>0.62741935483870981</v>
      </c>
      <c r="Y33" s="36">
        <f t="shared" si="55"/>
        <v>46033.758064516136</v>
      </c>
      <c r="Z33" s="203">
        <f>'B5'!C32</f>
        <v>201</v>
      </c>
      <c r="AA33" s="203">
        <f t="shared" si="30"/>
        <v>2010</v>
      </c>
      <c r="AB33" s="203">
        <f t="shared" si="56"/>
        <v>201</v>
      </c>
      <c r="AC33" s="203">
        <f t="shared" si="30"/>
        <v>2010</v>
      </c>
      <c r="AD33" s="203">
        <f t="shared" si="57"/>
        <v>201</v>
      </c>
      <c r="AE33" s="203">
        <f t="shared" si="11"/>
        <v>2010</v>
      </c>
      <c r="AF33" s="203">
        <f t="shared" si="58"/>
        <v>201</v>
      </c>
      <c r="AG33" s="203">
        <f t="shared" si="12"/>
        <v>2010</v>
      </c>
      <c r="AH33" s="203">
        <f t="shared" si="59"/>
        <v>201</v>
      </c>
      <c r="AI33" s="203">
        <f t="shared" si="13"/>
        <v>2010</v>
      </c>
      <c r="AJ33" s="203">
        <f t="shared" si="60"/>
        <v>201</v>
      </c>
      <c r="AK33" s="203">
        <f t="shared" si="14"/>
        <v>2010</v>
      </c>
      <c r="AL33" s="203">
        <f t="shared" si="61"/>
        <v>201</v>
      </c>
      <c r="AM33" s="203">
        <f t="shared" si="15"/>
        <v>2010</v>
      </c>
      <c r="AN33" s="35">
        <f t="shared" si="62"/>
        <v>0.71785714285714286</v>
      </c>
      <c r="AO33" s="36">
        <f t="shared" si="63"/>
        <v>14070</v>
      </c>
      <c r="AQ33" s="223">
        <f t="shared" si="37"/>
        <v>0.64648551214925387</v>
      </c>
      <c r="AR33" s="38">
        <f t="shared" si="41"/>
        <v>60103.758064516136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194.5</v>
      </c>
      <c r="C34" s="203">
        <f t="shared" ref="C34:C36" si="64">B34*$B$4</f>
        <v>4184.8870967741932</v>
      </c>
      <c r="D34">
        <f t="shared" ref="D34:D36" si="65">SUM(B34)</f>
        <v>194.5</v>
      </c>
      <c r="E34" s="203">
        <f t="shared" ref="E34:E36" si="66">D34*$B$4</f>
        <v>4184.8870967741932</v>
      </c>
      <c r="F34">
        <f t="shared" ref="F34:F36" si="67">SUM(D34)</f>
        <v>194.5</v>
      </c>
      <c r="G34" s="203">
        <f t="shared" ref="G34:G36" si="68">F34*$B$4</f>
        <v>4184.8870967741932</v>
      </c>
      <c r="H34" s="203">
        <f t="shared" ref="H34:H36" si="69">SUM(F34)</f>
        <v>194.5</v>
      </c>
      <c r="I34" s="203">
        <f t="shared" ref="I34:I36" si="70">H34*$B$4</f>
        <v>4184.8870967741932</v>
      </c>
      <c r="J34" s="203">
        <f t="shared" ref="J34:J36" si="71">SUM(H34)</f>
        <v>194.5</v>
      </c>
      <c r="K34" s="203">
        <f t="shared" ref="K34:K36" si="72">J34*$B$4</f>
        <v>4184.8870967741932</v>
      </c>
      <c r="L34" s="203">
        <f t="shared" ref="L34:L36" si="73">SUM(J34)</f>
        <v>194.5</v>
      </c>
      <c r="M34" s="203">
        <f t="shared" ref="M34:M36" si="74">L34*$B$4</f>
        <v>4184.8870967741932</v>
      </c>
      <c r="N34" s="203">
        <f t="shared" ref="N34:N36" si="75">SUM(L34)</f>
        <v>194.5</v>
      </c>
      <c r="O34" s="203">
        <f t="shared" ref="O34:O36" si="76">N34*$B$4</f>
        <v>4184.8870967741932</v>
      </c>
      <c r="P34" s="203">
        <f t="shared" ref="P34:P36" si="77">SUM(N34)</f>
        <v>194.5</v>
      </c>
      <c r="Q34" s="203">
        <f t="shared" ref="Q34:Q36" si="78">P34*$B$4</f>
        <v>4184.8870967741932</v>
      </c>
      <c r="R34" s="203">
        <f t="shared" ref="R34:R36" si="79">SUM(P34)</f>
        <v>194.5</v>
      </c>
      <c r="S34" s="203">
        <f t="shared" ref="S34:S36" si="80">R34*$B$4</f>
        <v>4184.8870967741932</v>
      </c>
      <c r="T34" s="203">
        <f t="shared" ref="T34:T36" si="81">SUM(R34)</f>
        <v>194.5</v>
      </c>
      <c r="U34" s="203">
        <f t="shared" ref="U34:U36" si="82">T34*$B$4</f>
        <v>4184.8870967741932</v>
      </c>
      <c r="V34" s="203">
        <f t="shared" ref="V34:V36" si="83">SUM(T34)</f>
        <v>194.5</v>
      </c>
      <c r="W34" s="203">
        <f t="shared" ref="W34:W36" si="84">V34*$B$4</f>
        <v>4184.8870967741932</v>
      </c>
      <c r="X34" s="35">
        <f t="shared" ref="X34:X36" si="85">SUM(Y34/73370)</f>
        <v>0.62741935483870981</v>
      </c>
      <c r="Y34" s="36">
        <f t="shared" ref="Y34:Y36" si="86">SUM(C34+E34+G34+I34+K34+M34+O34+Q34+S34+U34+W34)</f>
        <v>46033.758064516136</v>
      </c>
      <c r="Z34" s="203">
        <f>'B5'!C33</f>
        <v>201</v>
      </c>
      <c r="AA34" s="203">
        <f t="shared" ref="AA34:AA36" si="87">SUM(Z34*$Z$4)</f>
        <v>2010</v>
      </c>
      <c r="AB34" s="203">
        <f t="shared" ref="AB34:AB36" si="88">SUM(Z34)</f>
        <v>201</v>
      </c>
      <c r="AC34" s="203">
        <f t="shared" ref="AC34:AC36" si="89">SUM(AB34*$Z$4)</f>
        <v>2010</v>
      </c>
      <c r="AD34" s="203">
        <f t="shared" ref="AD34:AD36" si="90">SUM(AB34)</f>
        <v>201</v>
      </c>
      <c r="AE34" s="203">
        <f t="shared" ref="AE34:AE36" si="91">SUM(AD34*$Z$4)</f>
        <v>2010</v>
      </c>
      <c r="AF34" s="203">
        <f t="shared" ref="AF34:AF36" si="92">SUM(AD34)</f>
        <v>201</v>
      </c>
      <c r="AG34" s="203">
        <f t="shared" ref="AG34:AG36" si="93">SUM(AF34*$Z$4)</f>
        <v>2010</v>
      </c>
      <c r="AH34" s="203">
        <f t="shared" ref="AH34:AH36" si="94">SUM(AF34)</f>
        <v>201</v>
      </c>
      <c r="AI34" s="203">
        <f t="shared" ref="AI34:AI36" si="95">SUM(AH34*$Z$4)</f>
        <v>2010</v>
      </c>
      <c r="AJ34" s="203">
        <f t="shared" ref="AJ34:AJ36" si="96">SUM(AH34)</f>
        <v>201</v>
      </c>
      <c r="AK34" s="203">
        <f t="shared" ref="AK34:AK36" si="97">SUM(AJ34*$Z$4)</f>
        <v>2010</v>
      </c>
      <c r="AL34" s="203">
        <f t="shared" ref="AL34:AL36" si="98">SUM(AJ34)</f>
        <v>201</v>
      </c>
      <c r="AM34" s="203">
        <f t="shared" ref="AM34:AM36" si="99">SUM(AL34*$Z$4)</f>
        <v>2010</v>
      </c>
      <c r="AN34" s="35">
        <f t="shared" ref="AN34:AN36" si="100">SUM(AO34/19600)</f>
        <v>0.71785714285714286</v>
      </c>
      <c r="AO34" s="36">
        <f t="shared" ref="AO34:AO36" si="101">SUM(AA34+AC34+AE34+AG34+AI34+AK34+AM34)</f>
        <v>14070</v>
      </c>
      <c r="AQ34" s="223">
        <f t="shared" ref="AQ34:AQ36" si="102">SUM(AR34/92970)</f>
        <v>0.64648551214925387</v>
      </c>
      <c r="AR34" s="38">
        <f t="shared" si="41"/>
        <v>60103.758064516136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0.78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194.5</v>
      </c>
      <c r="C35" s="203">
        <f t="shared" si="64"/>
        <v>4184.8870967741932</v>
      </c>
      <c r="D35">
        <f t="shared" si="65"/>
        <v>194.5</v>
      </c>
      <c r="E35" s="203">
        <f t="shared" si="66"/>
        <v>4184.8870967741932</v>
      </c>
      <c r="F35">
        <f t="shared" si="67"/>
        <v>194.5</v>
      </c>
      <c r="G35" s="203">
        <f t="shared" si="68"/>
        <v>4184.8870967741932</v>
      </c>
      <c r="H35" s="203">
        <f t="shared" si="69"/>
        <v>194.5</v>
      </c>
      <c r="I35" s="203">
        <f t="shared" si="70"/>
        <v>4184.8870967741932</v>
      </c>
      <c r="J35" s="203">
        <f t="shared" si="71"/>
        <v>194.5</v>
      </c>
      <c r="K35" s="203">
        <f t="shared" si="72"/>
        <v>4184.8870967741932</v>
      </c>
      <c r="L35" s="203">
        <f t="shared" si="73"/>
        <v>194.5</v>
      </c>
      <c r="M35" s="203">
        <f t="shared" si="74"/>
        <v>4184.8870967741932</v>
      </c>
      <c r="N35" s="203">
        <f t="shared" si="75"/>
        <v>194.5</v>
      </c>
      <c r="O35" s="203">
        <f t="shared" si="76"/>
        <v>4184.8870967741932</v>
      </c>
      <c r="P35" s="203">
        <f t="shared" si="77"/>
        <v>194.5</v>
      </c>
      <c r="Q35" s="203">
        <f t="shared" si="78"/>
        <v>4184.8870967741932</v>
      </c>
      <c r="R35" s="203">
        <f t="shared" si="79"/>
        <v>194.5</v>
      </c>
      <c r="S35" s="203">
        <f t="shared" si="80"/>
        <v>4184.8870967741932</v>
      </c>
      <c r="T35" s="203">
        <f t="shared" si="81"/>
        <v>194.5</v>
      </c>
      <c r="U35" s="203">
        <f t="shared" si="82"/>
        <v>4184.8870967741932</v>
      </c>
      <c r="V35" s="203">
        <f t="shared" si="83"/>
        <v>194.5</v>
      </c>
      <c r="W35" s="203">
        <f t="shared" si="84"/>
        <v>4184.8870967741932</v>
      </c>
      <c r="X35" s="35">
        <f t="shared" si="85"/>
        <v>0.62741935483870981</v>
      </c>
      <c r="Y35" s="36">
        <f t="shared" si="86"/>
        <v>46033.758064516136</v>
      </c>
      <c r="Z35" s="203">
        <f>'B5'!C34</f>
        <v>201</v>
      </c>
      <c r="AA35" s="203">
        <f t="shared" si="87"/>
        <v>2010</v>
      </c>
      <c r="AB35" s="203">
        <f t="shared" si="88"/>
        <v>201</v>
      </c>
      <c r="AC35" s="203">
        <f t="shared" si="89"/>
        <v>2010</v>
      </c>
      <c r="AD35" s="203">
        <f t="shared" si="90"/>
        <v>201</v>
      </c>
      <c r="AE35" s="203">
        <f t="shared" si="91"/>
        <v>2010</v>
      </c>
      <c r="AF35" s="203">
        <f t="shared" si="92"/>
        <v>201</v>
      </c>
      <c r="AG35" s="203">
        <f t="shared" si="93"/>
        <v>2010</v>
      </c>
      <c r="AH35" s="203">
        <f t="shared" si="94"/>
        <v>201</v>
      </c>
      <c r="AI35" s="203">
        <f t="shared" si="95"/>
        <v>2010</v>
      </c>
      <c r="AJ35" s="203">
        <f t="shared" si="96"/>
        <v>201</v>
      </c>
      <c r="AK35" s="203">
        <f t="shared" si="97"/>
        <v>2010</v>
      </c>
      <c r="AL35" s="203">
        <f t="shared" si="98"/>
        <v>201</v>
      </c>
      <c r="AM35" s="203">
        <f t="shared" si="99"/>
        <v>2010</v>
      </c>
      <c r="AN35" s="35">
        <f t="shared" si="100"/>
        <v>0.71785714285714286</v>
      </c>
      <c r="AO35" s="36">
        <f t="shared" si="101"/>
        <v>14070</v>
      </c>
      <c r="AQ35" s="223">
        <f t="shared" si="102"/>
        <v>0.64648551214925387</v>
      </c>
      <c r="AR35" s="38">
        <f t="shared" si="41"/>
        <v>60103.758064516136</v>
      </c>
      <c r="AS35" s="197">
        <f t="shared" si="103"/>
        <v>0</v>
      </c>
      <c r="AT35" s="355"/>
      <c r="AU35" s="436"/>
      <c r="AV35" s="518">
        <f t="shared" si="104"/>
        <v>0.78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194.5</v>
      </c>
      <c r="C36" s="203">
        <f t="shared" si="64"/>
        <v>4184.8870967741932</v>
      </c>
      <c r="D36">
        <f t="shared" si="65"/>
        <v>194.5</v>
      </c>
      <c r="E36" s="203">
        <f t="shared" si="66"/>
        <v>4184.8870967741932</v>
      </c>
      <c r="F36">
        <f t="shared" si="67"/>
        <v>194.5</v>
      </c>
      <c r="G36" s="203">
        <f t="shared" si="68"/>
        <v>4184.8870967741932</v>
      </c>
      <c r="H36" s="203">
        <f t="shared" si="69"/>
        <v>194.5</v>
      </c>
      <c r="I36" s="203">
        <f t="shared" si="70"/>
        <v>4184.8870967741932</v>
      </c>
      <c r="J36" s="203">
        <f t="shared" si="71"/>
        <v>194.5</v>
      </c>
      <c r="K36" s="203">
        <f t="shared" si="72"/>
        <v>4184.8870967741932</v>
      </c>
      <c r="L36" s="203">
        <f t="shared" si="73"/>
        <v>194.5</v>
      </c>
      <c r="M36" s="203">
        <f t="shared" si="74"/>
        <v>4184.8870967741932</v>
      </c>
      <c r="N36" s="203">
        <f t="shared" si="75"/>
        <v>194.5</v>
      </c>
      <c r="O36" s="203">
        <f t="shared" si="76"/>
        <v>4184.8870967741932</v>
      </c>
      <c r="P36" s="203">
        <f t="shared" si="77"/>
        <v>194.5</v>
      </c>
      <c r="Q36" s="203">
        <f t="shared" si="78"/>
        <v>4184.8870967741932</v>
      </c>
      <c r="R36" s="203">
        <f t="shared" si="79"/>
        <v>194.5</v>
      </c>
      <c r="S36" s="203">
        <f t="shared" si="80"/>
        <v>4184.8870967741932</v>
      </c>
      <c r="T36" s="203">
        <f t="shared" si="81"/>
        <v>194.5</v>
      </c>
      <c r="U36" s="203">
        <f t="shared" si="82"/>
        <v>4184.8870967741932</v>
      </c>
      <c r="V36" s="203">
        <f t="shared" si="83"/>
        <v>194.5</v>
      </c>
      <c r="W36" s="203">
        <f t="shared" si="84"/>
        <v>4184.8870967741932</v>
      </c>
      <c r="X36" s="35">
        <f t="shared" si="85"/>
        <v>0.62741935483870981</v>
      </c>
      <c r="Y36" s="36">
        <f t="shared" si="86"/>
        <v>46033.758064516136</v>
      </c>
      <c r="Z36" s="203">
        <f>'B5'!C35</f>
        <v>201</v>
      </c>
      <c r="AA36" s="203">
        <f t="shared" si="87"/>
        <v>2010</v>
      </c>
      <c r="AB36" s="203">
        <f t="shared" si="88"/>
        <v>201</v>
      </c>
      <c r="AC36" s="203">
        <f t="shared" si="89"/>
        <v>2010</v>
      </c>
      <c r="AD36" s="203">
        <f t="shared" si="90"/>
        <v>201</v>
      </c>
      <c r="AE36" s="203">
        <f t="shared" si="91"/>
        <v>2010</v>
      </c>
      <c r="AF36" s="203">
        <f t="shared" si="92"/>
        <v>201</v>
      </c>
      <c r="AG36" s="203">
        <f t="shared" si="93"/>
        <v>2010</v>
      </c>
      <c r="AH36" s="203">
        <f t="shared" si="94"/>
        <v>201</v>
      </c>
      <c r="AI36" s="203">
        <f t="shared" si="95"/>
        <v>2010</v>
      </c>
      <c r="AJ36" s="203">
        <f t="shared" si="96"/>
        <v>201</v>
      </c>
      <c r="AK36" s="203">
        <f t="shared" si="97"/>
        <v>2010</v>
      </c>
      <c r="AL36" s="203">
        <f t="shared" si="98"/>
        <v>201</v>
      </c>
      <c r="AM36" s="203">
        <f t="shared" si="99"/>
        <v>2010</v>
      </c>
      <c r="AN36" s="35">
        <f t="shared" si="100"/>
        <v>0.71785714285714286</v>
      </c>
      <c r="AO36" s="36">
        <f t="shared" si="101"/>
        <v>14070</v>
      </c>
      <c r="AQ36" s="223">
        <f t="shared" si="102"/>
        <v>0.64648551214925387</v>
      </c>
      <c r="AR36" s="38">
        <f t="shared" si="41"/>
        <v>60103.758064516136</v>
      </c>
      <c r="AS36" s="197">
        <f t="shared" si="103"/>
        <v>0</v>
      </c>
      <c r="AT36" s="355"/>
      <c r="AU36" s="436"/>
      <c r="AV36" s="518">
        <f t="shared" si="104"/>
        <v>0.78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-11907.719354838686</v>
      </c>
      <c r="AY37" s="203">
        <f>SUM(AY6:AY33)</f>
        <v>-14192.919354838697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-1774.1149193548372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-12.000000000000057</v>
      </c>
      <c r="J10" s="9">
        <f>'B5'!A12</f>
        <v>44263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13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7"/>
      <c r="B1" s="644" t="s">
        <v>119</v>
      </c>
      <c r="C1" s="644" t="s">
        <v>118</v>
      </c>
      <c r="D1" s="649" t="s">
        <v>113</v>
      </c>
      <c r="E1" s="649" t="s">
        <v>114</v>
      </c>
      <c r="F1" s="650" t="s">
        <v>120</v>
      </c>
      <c r="G1" s="651" t="s">
        <v>75</v>
      </c>
      <c r="H1" s="652" t="s">
        <v>115</v>
      </c>
      <c r="I1" s="653" t="s">
        <v>116</v>
      </c>
      <c r="J1" s="652" t="s">
        <v>117</v>
      </c>
      <c r="K1" s="646" t="s">
        <v>121</v>
      </c>
      <c r="L1" s="646" t="s">
        <v>122</v>
      </c>
      <c r="M1" s="646" t="s">
        <v>123</v>
      </c>
      <c r="N1" s="646" t="s">
        <v>124</v>
      </c>
    </row>
    <row r="2" spans="1:14">
      <c r="A2" s="648"/>
      <c r="B2" s="645"/>
      <c r="C2" s="645"/>
      <c r="D2" s="649"/>
      <c r="E2" s="649"/>
      <c r="F2" s="650"/>
      <c r="G2" s="651"/>
      <c r="H2" s="652"/>
      <c r="I2" s="654"/>
      <c r="J2" s="652"/>
      <c r="K2" s="646"/>
      <c r="L2" s="646"/>
      <c r="M2" s="646"/>
      <c r="N2" s="64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-12.000000000000057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5" t="s">
        <v>151</v>
      </c>
      <c r="U3" s="65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I1" zoomScale="112" zoomScaleNormal="112" workbookViewId="0">
      <pane ySplit="1" topLeftCell="A2" activePane="bottomLeft" state="frozen"/>
      <selection pane="bottomLeft" activeCell="U11" sqref="U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f t="shared" ref="R10:R33" si="32">R10</f>
        <v>11943</v>
      </c>
      <c r="S11" s="287">
        <f t="shared" si="4"/>
        <v>0</v>
      </c>
      <c r="T11" s="541">
        <f t="shared" si="29"/>
        <v>411163</v>
      </c>
      <c r="U11" s="287">
        <f t="shared" si="19"/>
        <v>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0</v>
      </c>
      <c r="AA11" s="287">
        <f t="shared" si="21"/>
        <v>0</v>
      </c>
      <c r="AB11" s="287">
        <f t="shared" si="22"/>
        <v>250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7"/>
        <v>0.25738396624472576</v>
      </c>
      <c r="AK11" s="289">
        <f t="shared" si="30"/>
        <v>0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f t="shared" si="32"/>
        <v>11943</v>
      </c>
      <c r="S12" s="287">
        <f t="shared" si="4"/>
        <v>0</v>
      </c>
      <c r="T12" s="541">
        <f t="shared" si="29"/>
        <v>411163</v>
      </c>
      <c r="U12" s="287">
        <f t="shared" si="19"/>
        <v>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0</v>
      </c>
      <c r="AA12" s="287">
        <f t="shared" si="21"/>
        <v>0</v>
      </c>
      <c r="AB12" s="287">
        <f t="shared" si="22"/>
        <v>250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30"/>
        <v>0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si="32"/>
        <v>11943</v>
      </c>
      <c r="S13" s="287">
        <f t="shared" si="4"/>
        <v>0</v>
      </c>
      <c r="T13" s="541">
        <f t="shared" si="29"/>
        <v>411163</v>
      </c>
      <c r="U13" s="287">
        <f t="shared" si="19"/>
        <v>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250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0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32"/>
        <v>11943</v>
      </c>
      <c r="S14" s="287">
        <f t="shared" si="4"/>
        <v>0</v>
      </c>
      <c r="T14" s="541">
        <f t="shared" si="29"/>
        <v>411163</v>
      </c>
      <c r="U14" s="287">
        <f t="shared" si="19"/>
        <v>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250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0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32"/>
        <v>11943</v>
      </c>
      <c r="S15" s="287">
        <f t="shared" si="4"/>
        <v>0</v>
      </c>
      <c r="T15" s="541">
        <f t="shared" si="29"/>
        <v>411163</v>
      </c>
      <c r="U15" s="287">
        <f t="shared" si="19"/>
        <v>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250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0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32"/>
        <v>11943</v>
      </c>
      <c r="S16" s="287">
        <f t="shared" si="4"/>
        <v>0</v>
      </c>
      <c r="T16" s="541">
        <f t="shared" si="29"/>
        <v>411163</v>
      </c>
      <c r="U16" s="287">
        <f t="shared" si="19"/>
        <v>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250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0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32"/>
        <v>11943</v>
      </c>
      <c r="S17" s="287">
        <f t="shared" si="4"/>
        <v>0</v>
      </c>
      <c r="T17" s="541">
        <f t="shared" si="29"/>
        <v>411163</v>
      </c>
      <c r="U17" s="287">
        <f t="shared" si="19"/>
        <v>0</v>
      </c>
      <c r="V17" s="287">
        <f t="shared" ref="V11:V20" si="33">IF(S17&gt;0,U17/S17,0)</f>
        <v>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4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333323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2"/>
        <v>11943</v>
      </c>
      <c r="S18" s="287">
        <f t="shared" si="4"/>
        <v>0</v>
      </c>
      <c r="T18" s="541">
        <f t="shared" si="29"/>
        <v>411163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4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333323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5">IF(J19-P19&lt;=0,"ok","oil change")</f>
        <v>ok</v>
      </c>
      <c r="R19" s="541">
        <f t="shared" si="32"/>
        <v>11943</v>
      </c>
      <c r="S19" s="287">
        <f t="shared" si="4"/>
        <v>0</v>
      </c>
      <c r="T19" s="541">
        <f t="shared" si="29"/>
        <v>411163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4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5"/>
        <v>ok</v>
      </c>
      <c r="R20" s="541">
        <f t="shared" si="32"/>
        <v>11943</v>
      </c>
      <c r="S20" s="287">
        <f t="shared" si="4"/>
        <v>0</v>
      </c>
      <c r="T20" s="541">
        <f t="shared" si="29"/>
        <v>411163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4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6">B21-B20</f>
        <v>0</v>
      </c>
      <c r="D21" s="541">
        <f t="shared" si="11"/>
        <v>333323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5"/>
        <v>ok</v>
      </c>
      <c r="R21" s="541">
        <f t="shared" si="32"/>
        <v>11943</v>
      </c>
      <c r="S21" s="287">
        <f t="shared" si="4"/>
        <v>0</v>
      </c>
      <c r="T21" s="541">
        <f t="shared" si="29"/>
        <v>411163</v>
      </c>
      <c r="U21" s="287">
        <f t="shared" si="19"/>
        <v>0</v>
      </c>
      <c r="V21" s="287">
        <f t="shared" ref="V21:V23" si="37">IF(S21&gt;0,U21/S21,0)</f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4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333323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5"/>
        <v>ok</v>
      </c>
      <c r="R22" s="541">
        <f t="shared" si="32"/>
        <v>11943</v>
      </c>
      <c r="S22" s="287">
        <f t="shared" si="4"/>
        <v>0</v>
      </c>
      <c r="T22" s="541">
        <f t="shared" si="29"/>
        <v>411163</v>
      </c>
      <c r="U22" s="287">
        <f t="shared" si="19"/>
        <v>0</v>
      </c>
      <c r="V22" s="287">
        <f t="shared" si="37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4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333323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5"/>
        <v>ok</v>
      </c>
      <c r="R23" s="541">
        <f t="shared" si="32"/>
        <v>11943</v>
      </c>
      <c r="S23" s="287">
        <f t="shared" si="4"/>
        <v>0</v>
      </c>
      <c r="T23" s="541">
        <f t="shared" si="29"/>
        <v>411163</v>
      </c>
      <c r="U23" s="287">
        <f t="shared" si="19"/>
        <v>0</v>
      </c>
      <c r="V23" s="287">
        <f t="shared" si="37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4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5"/>
        <v>ok</v>
      </c>
      <c r="R24" s="541">
        <f t="shared" si="32"/>
        <v>11943</v>
      </c>
      <c r="S24" s="287">
        <f t="shared" si="4"/>
        <v>0</v>
      </c>
      <c r="T24" s="541">
        <f t="shared" si="29"/>
        <v>411163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4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5"/>
        <v>ok</v>
      </c>
      <c r="R25" s="541">
        <f t="shared" si="32"/>
        <v>11943</v>
      </c>
      <c r="S25" s="287">
        <f t="shared" si="4"/>
        <v>0</v>
      </c>
      <c r="T25" s="541">
        <f t="shared" si="29"/>
        <v>411163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4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5"/>
        <v>ok</v>
      </c>
      <c r="R26" s="541">
        <f t="shared" si="32"/>
        <v>11943</v>
      </c>
      <c r="S26" s="287">
        <f t="shared" si="4"/>
        <v>0</v>
      </c>
      <c r="T26" s="541">
        <f t="shared" si="29"/>
        <v>411163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4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5"/>
        <v>ok</v>
      </c>
      <c r="R27" s="541">
        <f t="shared" si="32"/>
        <v>11943</v>
      </c>
      <c r="S27" s="287">
        <f t="shared" si="4"/>
        <v>0</v>
      </c>
      <c r="T27" s="541">
        <f t="shared" si="29"/>
        <v>411163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4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5"/>
        <v>ok</v>
      </c>
      <c r="R28" s="541">
        <f t="shared" si="32"/>
        <v>11943</v>
      </c>
      <c r="S28" s="287">
        <f t="shared" si="4"/>
        <v>0</v>
      </c>
      <c r="T28" s="541">
        <f t="shared" si="29"/>
        <v>411163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4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5"/>
        <v>ok</v>
      </c>
      <c r="R29" s="541">
        <f t="shared" si="32"/>
        <v>11943</v>
      </c>
      <c r="S29" s="287">
        <f t="shared" si="4"/>
        <v>0</v>
      </c>
      <c r="T29" s="541">
        <f t="shared" si="29"/>
        <v>411163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4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5"/>
        <v>ok</v>
      </c>
      <c r="R30" s="541">
        <f t="shared" si="32"/>
        <v>11943</v>
      </c>
      <c r="S30" s="287">
        <f t="shared" si="4"/>
        <v>0</v>
      </c>
      <c r="T30" s="541">
        <f t="shared" si="29"/>
        <v>411163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4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333323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2"/>
        <v>11943</v>
      </c>
      <c r="S31" s="287">
        <f t="shared" ref="S31:S33" si="49">R31-R30</f>
        <v>0</v>
      </c>
      <c r="T31" s="541">
        <f t="shared" si="29"/>
        <v>411163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333323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2"/>
        <v>11943</v>
      </c>
      <c r="S32" s="287">
        <f t="shared" si="49"/>
        <v>0</v>
      </c>
      <c r="T32" s="541">
        <f t="shared" si="29"/>
        <v>411163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333323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2"/>
        <v>11943</v>
      </c>
      <c r="S33" s="287">
        <f t="shared" si="49"/>
        <v>0</v>
      </c>
      <c r="T33" s="541">
        <f t="shared" si="29"/>
        <v>411163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67</v>
      </c>
      <c r="V34" s="40"/>
      <c r="X34">
        <v>341</v>
      </c>
      <c r="Z34" s="421">
        <f>SUM(Z3:Z30)</f>
        <v>67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67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11" sqref="K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39.949171244022693</v>
      </c>
      <c r="P4" s="297">
        <f>SUM(L4:O4)</f>
        <v>125.34618616939582</v>
      </c>
      <c r="Q4" s="297">
        <f>SUM(-tanks!AX6*tanks!$AU$37)</f>
        <v>2371.1194838709453</v>
      </c>
      <c r="R4" s="297">
        <f>SUM(P4:Q4)</f>
        <v>2496.4656700403411</v>
      </c>
      <c r="S4" s="299">
        <f>SUM(ELEC!N3)</f>
        <v>8408</v>
      </c>
      <c r="T4" s="336">
        <f>IF(S4&gt;0,R4/S4,0)</f>
        <v>0.29691551736921279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9"/>
      <c r="AC4" s="670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39.949171244022693</v>
      </c>
      <c r="P5" s="297">
        <f t="shared" ref="P5:P30" si="9">SUM(L5:O5)</f>
        <v>122.22578815944559</v>
      </c>
      <c r="Q5" s="297">
        <f>SUM(-tanks!AX7*tanks!$AU$37)</f>
        <v>1626.903870967747</v>
      </c>
      <c r="R5" s="297">
        <f t="shared" ref="R5:R30" si="10">SUM(P5:Q5)</f>
        <v>1749.1296591271926</v>
      </c>
      <c r="S5" s="299">
        <f>SUM(ELEC!N4)</f>
        <v>9041</v>
      </c>
      <c r="T5" s="336">
        <f>IF(S5&gt;0,R5/S5,0)</f>
        <v>0.19346639300156979</v>
      </c>
      <c r="U5" s="250"/>
      <c r="V5" s="663"/>
      <c r="W5" s="664"/>
      <c r="X5" s="664"/>
      <c r="Y5" s="665"/>
      <c r="Z5" s="26" t="s">
        <v>203</v>
      </c>
      <c r="AA5" s="264">
        <f>'[7]EDl log'!AA22</f>
        <v>5000</v>
      </c>
      <c r="AB5" s="671"/>
      <c r="AC5" s="672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39.949171244022693</v>
      </c>
      <c r="P6" s="297">
        <f t="shared" si="9"/>
        <v>174.15812646790329</v>
      </c>
      <c r="Q6" s="297">
        <f>SUM(-tanks!AX8*tanks!$AU$37)</f>
        <v>1266.7703225806551</v>
      </c>
      <c r="R6" s="297">
        <f t="shared" si="10"/>
        <v>1440.9284490485584</v>
      </c>
      <c r="S6" s="299">
        <f>SUM(ELEC!N5)</f>
        <v>7715</v>
      </c>
      <c r="T6" s="336">
        <f t="shared" ref="T6:T30" si="12">IF(S6&gt;0,R6/S6,0)</f>
        <v>0.1867697276796576</v>
      </c>
      <c r="V6" s="666"/>
      <c r="W6" s="667"/>
      <c r="X6" s="667"/>
      <c r="Y6" s="668"/>
      <c r="Z6" s="3"/>
      <c r="AA6" s="3"/>
      <c r="AB6" s="671"/>
      <c r="AC6" s="672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39.949171244022693</v>
      </c>
      <c r="P7" s="297">
        <f t="shared" si="9"/>
        <v>219.99825913788669</v>
      </c>
      <c r="Q7" s="297">
        <f>SUM(-tanks!AX9*tanks!$AU$37)</f>
        <v>1137.2903225806381</v>
      </c>
      <c r="R7" s="297">
        <f t="shared" si="10"/>
        <v>1357.2885817185247</v>
      </c>
      <c r="S7" s="299">
        <f>SUM(ELEC!N6)</f>
        <v>7405</v>
      </c>
      <c r="T7" s="336">
        <f t="shared" si="12"/>
        <v>0.18329352892890272</v>
      </c>
      <c r="V7" s="659" t="s">
        <v>204</v>
      </c>
      <c r="W7" s="660"/>
      <c r="X7" s="661" t="s">
        <v>205</v>
      </c>
      <c r="Y7" s="662"/>
      <c r="Z7" s="660"/>
      <c r="AA7" s="26"/>
      <c r="AB7" s="673"/>
      <c r="AC7" s="674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39.949171244022693</v>
      </c>
      <c r="P8" s="297">
        <f t="shared" si="9"/>
        <v>176.08980142644393</v>
      </c>
      <c r="Q8" s="297">
        <f>SUM(-tanks!AX10*tanks!$AU$37)</f>
        <v>267.36387096775275</v>
      </c>
      <c r="R8" s="297">
        <f t="shared" si="10"/>
        <v>443.4536723941967</v>
      </c>
      <c r="S8" s="299">
        <f>SUM(ELEC!N7)</f>
        <v>7744</v>
      </c>
      <c r="T8" s="336">
        <f>IF(S8&gt;0,R8/S8,0)</f>
        <v>5.7264162240986141E-2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39.949171244022693</v>
      </c>
      <c r="P9" s="297">
        <f t="shared" si="9"/>
        <v>163.60820938664293</v>
      </c>
      <c r="Q9" s="297">
        <f>SUM(-tanks!AX11*tanks!$AU$37)</f>
        <v>1257.410322580638</v>
      </c>
      <c r="R9" s="297">
        <f>SUM(P9:Q9)</f>
        <v>1421.018531967281</v>
      </c>
      <c r="S9" s="299">
        <f>SUM(ELEC!N8)</f>
        <v>7618</v>
      </c>
      <c r="T9" s="336">
        <f t="shared" si="12"/>
        <v>0.18653433079118942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39.949171244022693</v>
      </c>
      <c r="P10" s="297">
        <f t="shared" si="9"/>
        <v>225.80389761218191</v>
      </c>
      <c r="Q10" s="297">
        <f>SUM(-tanks!AX12*tanks!$AU$37)</f>
        <v>538.22516129031624</v>
      </c>
      <c r="R10" s="297">
        <f t="shared" si="10"/>
        <v>764.02905890249815</v>
      </c>
      <c r="S10" s="299">
        <f>SUM(ELEC!N9)</f>
        <v>6359</v>
      </c>
      <c r="T10" s="336">
        <f t="shared" si="12"/>
        <v>0.120149246564318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39.949171244022693</v>
      </c>
      <c r="P11" s="297">
        <f t="shared" si="9"/>
        <v>241.79859081284525</v>
      </c>
      <c r="Q11" s="297">
        <f>SUM(-tanks!AX13*tanks!$AU$37)</f>
        <v>822.93774193548279</v>
      </c>
      <c r="R11" s="297">
        <f t="shared" si="10"/>
        <v>1064.7363327483281</v>
      </c>
      <c r="S11" s="299">
        <f>SUM(ELEC!N10)</f>
        <v>6832</v>
      </c>
      <c r="T11" s="336">
        <f t="shared" si="12"/>
        <v>0.1558454819596499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f t="shared" ref="B11:B34" si="13">B11</f>
        <v>918520</v>
      </c>
      <c r="C12" s="264">
        <f t="shared" si="0"/>
        <v>0</v>
      </c>
      <c r="D12" s="308">
        <f t="shared" si="8"/>
        <v>0</v>
      </c>
      <c r="E12" s="308">
        <f t="shared" si="11"/>
        <v>918520</v>
      </c>
      <c r="F12" s="539">
        <f t="shared" ref="F11:F34" si="14">F11</f>
        <v>138963</v>
      </c>
      <c r="G12" s="160">
        <f t="shared" si="1"/>
        <v>0</v>
      </c>
      <c r="H12" s="539">
        <f t="shared" ref="H11:H34" si="15">H11</f>
        <v>452262</v>
      </c>
      <c r="I12" s="161">
        <f t="shared" si="2"/>
        <v>0</v>
      </c>
      <c r="J12" s="539">
        <f t="shared" ref="J11:J34" si="16">J11</f>
        <v>327294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39.949171244022693</v>
      </c>
      <c r="P12" s="297">
        <f t="shared" si="9"/>
        <v>39.949171244022693</v>
      </c>
      <c r="Q12" s="297">
        <f>SUM(-tanks!AX14*tanks!$AU$37)</f>
        <v>0</v>
      </c>
      <c r="R12" s="297">
        <f t="shared" si="10"/>
        <v>39.949171244022693</v>
      </c>
      <c r="S12" s="299">
        <f>SUM(ELEC!N11)</f>
        <v>0</v>
      </c>
      <c r="T12" s="336">
        <f t="shared" si="12"/>
        <v>0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f t="shared" si="13"/>
        <v>918520</v>
      </c>
      <c r="C13" s="264">
        <f t="shared" si="0"/>
        <v>0</v>
      </c>
      <c r="D13" s="308">
        <f t="shared" si="8"/>
        <v>0</v>
      </c>
      <c r="E13" s="308">
        <f t="shared" si="11"/>
        <v>918520</v>
      </c>
      <c r="F13" s="539">
        <f t="shared" si="14"/>
        <v>138963</v>
      </c>
      <c r="G13" s="160">
        <f t="shared" si="1"/>
        <v>0</v>
      </c>
      <c r="H13" s="539">
        <f t="shared" si="15"/>
        <v>452262</v>
      </c>
      <c r="I13" s="161">
        <f t="shared" si="2"/>
        <v>0</v>
      </c>
      <c r="J13" s="539">
        <f t="shared" si="16"/>
        <v>327294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39.949171244022693</v>
      </c>
      <c r="P13" s="297">
        <f t="shared" si="9"/>
        <v>39.949171244022693</v>
      </c>
      <c r="Q13" s="297">
        <f>SUM(-tanks!AX15*tanks!$AU$37)</f>
        <v>0</v>
      </c>
      <c r="R13" s="297">
        <f t="shared" si="10"/>
        <v>39.949171244022693</v>
      </c>
      <c r="S13" s="299">
        <f>SUM(ELEC!N12)</f>
        <v>0</v>
      </c>
      <c r="T13" s="336">
        <f>IF(S13&gt;0,R13/S13,0)</f>
        <v>0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si="13"/>
        <v>918520</v>
      </c>
      <c r="C14" s="264">
        <f t="shared" si="0"/>
        <v>0</v>
      </c>
      <c r="D14" s="308">
        <f t="shared" si="8"/>
        <v>0</v>
      </c>
      <c r="E14" s="308">
        <f t="shared" si="11"/>
        <v>918520</v>
      </c>
      <c r="F14" s="539">
        <f t="shared" si="14"/>
        <v>138963</v>
      </c>
      <c r="G14" s="160">
        <f t="shared" si="1"/>
        <v>0</v>
      </c>
      <c r="H14" s="539">
        <f t="shared" si="15"/>
        <v>452262</v>
      </c>
      <c r="I14" s="161">
        <f t="shared" si="2"/>
        <v>0</v>
      </c>
      <c r="J14" s="539">
        <f t="shared" si="16"/>
        <v>327294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39.949171244022693</v>
      </c>
      <c r="P14" s="297">
        <f t="shared" ref="P14:P17" si="21">SUM(L14:O14)</f>
        <v>39.949171244022693</v>
      </c>
      <c r="Q14" s="297">
        <f>SUM(-tanks!AX16*tanks!$AU$37)</f>
        <v>0</v>
      </c>
      <c r="R14" s="297">
        <f t="shared" ref="R14:R17" si="22">SUM(P14:Q14)</f>
        <v>39.949171244022693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918520</v>
      </c>
      <c r="C15" s="264">
        <f t="shared" si="0"/>
        <v>0</v>
      </c>
      <c r="D15" s="308">
        <f t="shared" si="8"/>
        <v>0</v>
      </c>
      <c r="E15" s="308">
        <f t="shared" si="11"/>
        <v>918520</v>
      </c>
      <c r="F15" s="539">
        <f t="shared" si="14"/>
        <v>138963</v>
      </c>
      <c r="G15" s="160">
        <f t="shared" si="1"/>
        <v>0</v>
      </c>
      <c r="H15" s="539">
        <f t="shared" si="15"/>
        <v>452262</v>
      </c>
      <c r="I15" s="161">
        <f t="shared" si="2"/>
        <v>0</v>
      </c>
      <c r="J15" s="539">
        <f t="shared" si="16"/>
        <v>327294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39.949171244022693</v>
      </c>
      <c r="P15" s="297">
        <f t="shared" si="21"/>
        <v>39.949171244022693</v>
      </c>
      <c r="Q15" s="297">
        <f>SUM(-tanks!AX17*tanks!$AU$37)</f>
        <v>0</v>
      </c>
      <c r="R15" s="297">
        <f t="shared" si="22"/>
        <v>39.949171244022693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f t="shared" si="13"/>
        <v>918520</v>
      </c>
      <c r="C16" s="264">
        <f t="shared" si="0"/>
        <v>0</v>
      </c>
      <c r="D16" s="308">
        <f t="shared" si="8"/>
        <v>0</v>
      </c>
      <c r="E16" s="308">
        <f t="shared" si="11"/>
        <v>918520</v>
      </c>
      <c r="F16" s="539">
        <f t="shared" si="14"/>
        <v>138963</v>
      </c>
      <c r="G16" s="160">
        <f t="shared" si="1"/>
        <v>0</v>
      </c>
      <c r="H16" s="539">
        <f t="shared" si="15"/>
        <v>452262</v>
      </c>
      <c r="I16" s="161">
        <f t="shared" si="2"/>
        <v>0</v>
      </c>
      <c r="J16" s="539">
        <f t="shared" si="16"/>
        <v>327294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39.949171244022693</v>
      </c>
      <c r="P16" s="297">
        <f t="shared" si="21"/>
        <v>39.949171244022693</v>
      </c>
      <c r="Q16" s="297">
        <f>SUM(-tanks!AX18*tanks!$AU$37)</f>
        <v>0</v>
      </c>
      <c r="R16" s="297">
        <f t="shared" si="22"/>
        <v>39.949171244022693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f t="shared" si="13"/>
        <v>918520</v>
      </c>
      <c r="C17" s="264">
        <f t="shared" si="0"/>
        <v>0</v>
      </c>
      <c r="D17" s="308">
        <f t="shared" si="8"/>
        <v>0</v>
      </c>
      <c r="E17" s="308">
        <f t="shared" si="11"/>
        <v>918520</v>
      </c>
      <c r="F17" s="539">
        <f t="shared" si="14"/>
        <v>138963</v>
      </c>
      <c r="G17" s="160">
        <f t="shared" si="1"/>
        <v>0</v>
      </c>
      <c r="H17" s="539">
        <f t="shared" si="15"/>
        <v>452262</v>
      </c>
      <c r="I17" s="161">
        <f t="shared" si="2"/>
        <v>0</v>
      </c>
      <c r="J17" s="539">
        <f t="shared" si="16"/>
        <v>327294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39.949171244022693</v>
      </c>
      <c r="P17" s="297">
        <f t="shared" si="21"/>
        <v>39.949171244022693</v>
      </c>
      <c r="Q17" s="297">
        <f>SUM(-tanks!AX19*tanks!$AU$37)</f>
        <v>0</v>
      </c>
      <c r="R17" s="297">
        <f t="shared" si="22"/>
        <v>39.949171244022693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918520</v>
      </c>
      <c r="C18" s="264">
        <f t="shared" si="0"/>
        <v>0</v>
      </c>
      <c r="D18" s="308">
        <f t="shared" si="8"/>
        <v>0</v>
      </c>
      <c r="E18" s="308">
        <f t="shared" si="11"/>
        <v>918520</v>
      </c>
      <c r="F18" s="539">
        <f t="shared" si="14"/>
        <v>138963</v>
      </c>
      <c r="G18" s="160">
        <f t="shared" si="1"/>
        <v>0</v>
      </c>
      <c r="H18" s="539">
        <f t="shared" si="15"/>
        <v>452262</v>
      </c>
      <c r="I18" s="161">
        <f t="shared" si="2"/>
        <v>0</v>
      </c>
      <c r="J18" s="539">
        <f t="shared" si="16"/>
        <v>327294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39.949171244022693</v>
      </c>
      <c r="P18" s="297">
        <f t="shared" si="9"/>
        <v>39.949171244022693</v>
      </c>
      <c r="Q18" s="297">
        <f>SUM(-tanks!AX20*tanks!$AU$37)</f>
        <v>0</v>
      </c>
      <c r="R18" s="297">
        <f t="shared" si="10"/>
        <v>39.949171244022693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918520</v>
      </c>
      <c r="C19" s="264">
        <f t="shared" si="0"/>
        <v>0</v>
      </c>
      <c r="D19" s="308">
        <f t="shared" si="8"/>
        <v>0</v>
      </c>
      <c r="E19" s="308">
        <f t="shared" si="11"/>
        <v>918520</v>
      </c>
      <c r="F19" s="539">
        <f t="shared" si="14"/>
        <v>138963</v>
      </c>
      <c r="G19" s="160">
        <f t="shared" si="1"/>
        <v>0</v>
      </c>
      <c r="H19" s="539">
        <f t="shared" si="15"/>
        <v>452262</v>
      </c>
      <c r="I19" s="161">
        <f t="shared" si="2"/>
        <v>0</v>
      </c>
      <c r="J19" s="539">
        <f t="shared" si="16"/>
        <v>327294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39.949171244022693</v>
      </c>
      <c r="P19" s="297">
        <f t="shared" si="9"/>
        <v>39.949171244022693</v>
      </c>
      <c r="Q19" s="297">
        <f>SUM(-tanks!AX21*tanks!$AU$37)</f>
        <v>0</v>
      </c>
      <c r="R19" s="297">
        <f t="shared" si="10"/>
        <v>39.949171244022693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918520</v>
      </c>
      <c r="C20" s="264">
        <f t="shared" si="0"/>
        <v>0</v>
      </c>
      <c r="D20" s="308">
        <f t="shared" si="8"/>
        <v>0</v>
      </c>
      <c r="E20" s="308">
        <f t="shared" si="11"/>
        <v>918520</v>
      </c>
      <c r="F20" s="539">
        <f t="shared" si="14"/>
        <v>138963</v>
      </c>
      <c r="G20" s="160">
        <f t="shared" si="1"/>
        <v>0</v>
      </c>
      <c r="H20" s="539">
        <f t="shared" si="15"/>
        <v>452262</v>
      </c>
      <c r="I20" s="161">
        <f t="shared" si="2"/>
        <v>0</v>
      </c>
      <c r="J20" s="539">
        <f t="shared" si="16"/>
        <v>327294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39.949171244022693</v>
      </c>
      <c r="P20" s="297">
        <f t="shared" si="9"/>
        <v>39.949171244022693</v>
      </c>
      <c r="Q20" s="297">
        <f>SUM(-tanks!AX22*tanks!$AU$37)</f>
        <v>0</v>
      </c>
      <c r="R20" s="297">
        <f t="shared" si="10"/>
        <v>39.949171244022693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918520</v>
      </c>
      <c r="C21" s="264">
        <f t="shared" si="0"/>
        <v>0</v>
      </c>
      <c r="D21" s="308">
        <f t="shared" si="8"/>
        <v>0</v>
      </c>
      <c r="E21" s="308">
        <f t="shared" si="11"/>
        <v>918520</v>
      </c>
      <c r="F21" s="539">
        <f t="shared" si="14"/>
        <v>138963</v>
      </c>
      <c r="G21" s="160">
        <f t="shared" si="1"/>
        <v>0</v>
      </c>
      <c r="H21" s="539">
        <f t="shared" si="15"/>
        <v>452262</v>
      </c>
      <c r="I21" s="161">
        <f t="shared" si="2"/>
        <v>0</v>
      </c>
      <c r="J21" s="539">
        <f t="shared" si="16"/>
        <v>327294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39.949171244022693</v>
      </c>
      <c r="P21" s="297">
        <f t="shared" si="9"/>
        <v>39.949171244022693</v>
      </c>
      <c r="Q21" s="297">
        <f>SUM(-tanks!AX23*tanks!$AU$37)</f>
        <v>0</v>
      </c>
      <c r="R21" s="297">
        <f t="shared" si="10"/>
        <v>39.949171244022693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9"/>
      <c r="AC21" s="670"/>
    </row>
    <row r="22" spans="1:32" ht="15.75" thickBot="1">
      <c r="A22" s="163">
        <f>ELEC!C21</f>
        <v>44274</v>
      </c>
      <c r="B22" s="539">
        <f t="shared" si="13"/>
        <v>918520</v>
      </c>
      <c r="C22" s="264">
        <f t="shared" si="0"/>
        <v>0</v>
      </c>
      <c r="D22" s="308">
        <f t="shared" si="8"/>
        <v>0</v>
      </c>
      <c r="E22" s="308">
        <f t="shared" si="11"/>
        <v>918520</v>
      </c>
      <c r="F22" s="539">
        <f t="shared" si="14"/>
        <v>138963</v>
      </c>
      <c r="G22" s="160">
        <f t="shared" si="1"/>
        <v>0</v>
      </c>
      <c r="H22" s="539">
        <f t="shared" si="15"/>
        <v>452262</v>
      </c>
      <c r="I22" s="161">
        <f t="shared" si="2"/>
        <v>0</v>
      </c>
      <c r="J22" s="539">
        <f t="shared" si="16"/>
        <v>327294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39.949171244022693</v>
      </c>
      <c r="P22" s="297">
        <f t="shared" si="9"/>
        <v>39.949171244022693</v>
      </c>
      <c r="Q22" s="297">
        <f>SUM(-tanks!AX24*tanks!$AU$37)</f>
        <v>0</v>
      </c>
      <c r="R22" s="297">
        <f t="shared" si="10"/>
        <v>39.949171244022693</v>
      </c>
      <c r="S22" s="299">
        <f>SUM(ELEC!N21)</f>
        <v>0</v>
      </c>
      <c r="T22" s="336">
        <f t="shared" si="12"/>
        <v>0</v>
      </c>
      <c r="V22" s="675"/>
      <c r="W22" s="676"/>
      <c r="X22" s="676"/>
      <c r="Y22" s="677"/>
      <c r="Z22" s="26" t="s">
        <v>203</v>
      </c>
      <c r="AA22" s="26">
        <v>5000</v>
      </c>
      <c r="AB22" s="671"/>
      <c r="AC22" s="672"/>
    </row>
    <row r="23" spans="1:32" ht="15.75" thickBot="1">
      <c r="A23" s="163">
        <f>ELEC!C22</f>
        <v>44275</v>
      </c>
      <c r="B23" s="539">
        <f t="shared" si="13"/>
        <v>918520</v>
      </c>
      <c r="C23" s="264">
        <f t="shared" si="0"/>
        <v>0</v>
      </c>
      <c r="D23" s="308">
        <f t="shared" si="8"/>
        <v>0</v>
      </c>
      <c r="E23" s="308">
        <f t="shared" si="11"/>
        <v>918520</v>
      </c>
      <c r="F23" s="539">
        <f t="shared" si="14"/>
        <v>138963</v>
      </c>
      <c r="G23" s="160">
        <f t="shared" si="1"/>
        <v>0</v>
      </c>
      <c r="H23" s="539">
        <f t="shared" si="15"/>
        <v>452262</v>
      </c>
      <c r="I23" s="161">
        <f t="shared" si="2"/>
        <v>0</v>
      </c>
      <c r="J23" s="539">
        <f t="shared" si="16"/>
        <v>327294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39.949171244022693</v>
      </c>
      <c r="P23" s="297">
        <f t="shared" si="9"/>
        <v>39.949171244022693</v>
      </c>
      <c r="Q23" s="297">
        <f>SUM(-tanks!AX25*tanks!$AU$37)</f>
        <v>0</v>
      </c>
      <c r="R23" s="297">
        <f t="shared" si="10"/>
        <v>39.949171244022693</v>
      </c>
      <c r="S23" s="299">
        <f>SUM(ELEC!N22)</f>
        <v>0</v>
      </c>
      <c r="T23" s="336">
        <f t="shared" si="12"/>
        <v>0</v>
      </c>
      <c r="V23" s="678"/>
      <c r="W23" s="679"/>
      <c r="X23" s="679"/>
      <c r="Y23" s="680"/>
      <c r="Z23" s="681"/>
      <c r="AA23" s="682"/>
      <c r="AB23" s="671"/>
      <c r="AC23" s="672"/>
    </row>
    <row r="24" spans="1:32" ht="15" customHeight="1" thickBot="1">
      <c r="A24" s="163">
        <f>ELEC!C23</f>
        <v>44276</v>
      </c>
      <c r="B24" s="539">
        <f t="shared" si="13"/>
        <v>918520</v>
      </c>
      <c r="C24" s="264">
        <f t="shared" si="0"/>
        <v>0</v>
      </c>
      <c r="D24" s="308">
        <f t="shared" si="8"/>
        <v>0</v>
      </c>
      <c r="E24" s="308">
        <f t="shared" si="11"/>
        <v>918520</v>
      </c>
      <c r="F24" s="539">
        <f t="shared" si="14"/>
        <v>138963</v>
      </c>
      <c r="G24" s="160">
        <f t="shared" si="1"/>
        <v>0</v>
      </c>
      <c r="H24" s="539">
        <f t="shared" si="15"/>
        <v>452262</v>
      </c>
      <c r="I24" s="161">
        <f t="shared" si="2"/>
        <v>0</v>
      </c>
      <c r="J24" s="539">
        <f t="shared" si="16"/>
        <v>327294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39.949171244022693</v>
      </c>
      <c r="P24" s="297">
        <f t="shared" si="9"/>
        <v>39.949171244022693</v>
      </c>
      <c r="Q24" s="297">
        <f>SUM(-tanks!AX26*tanks!$AU$37)</f>
        <v>0</v>
      </c>
      <c r="R24" s="297">
        <f t="shared" si="10"/>
        <v>39.949171244022693</v>
      </c>
      <c r="S24" s="299">
        <f>SUM(ELEC!N23)</f>
        <v>0</v>
      </c>
      <c r="T24" s="336">
        <f t="shared" si="12"/>
        <v>0</v>
      </c>
      <c r="V24" s="683" t="s">
        <v>204</v>
      </c>
      <c r="W24" s="684"/>
      <c r="X24" s="685" t="s">
        <v>205</v>
      </c>
      <c r="Y24" s="686"/>
      <c r="Z24" s="687"/>
      <c r="AA24" s="170"/>
      <c r="AB24" s="673"/>
      <c r="AC24" s="674"/>
    </row>
    <row r="25" spans="1:32" ht="17.25" customHeight="1" thickBot="1">
      <c r="A25" s="163">
        <f>ELEC!C24</f>
        <v>44277</v>
      </c>
      <c r="B25" s="539">
        <f t="shared" si="13"/>
        <v>918520</v>
      </c>
      <c r="C25" s="264">
        <f t="shared" si="0"/>
        <v>0</v>
      </c>
      <c r="D25" s="308">
        <f t="shared" si="8"/>
        <v>0</v>
      </c>
      <c r="E25" s="308">
        <f t="shared" si="11"/>
        <v>918520</v>
      </c>
      <c r="F25" s="539">
        <f t="shared" si="14"/>
        <v>138963</v>
      </c>
      <c r="G25" s="160">
        <f t="shared" si="1"/>
        <v>0</v>
      </c>
      <c r="H25" s="539">
        <f t="shared" si="15"/>
        <v>452262</v>
      </c>
      <c r="I25" s="161">
        <f t="shared" si="2"/>
        <v>0</v>
      </c>
      <c r="J25" s="539">
        <f t="shared" si="16"/>
        <v>327294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39.949171244022693</v>
      </c>
      <c r="P25" s="297">
        <f t="shared" si="9"/>
        <v>39.949171244022693</v>
      </c>
      <c r="Q25" s="297">
        <f>SUM(-tanks!AX27*tanks!$AU$37)</f>
        <v>0</v>
      </c>
      <c r="R25" s="297">
        <f t="shared" si="10"/>
        <v>39.949171244022693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918520</v>
      </c>
      <c r="C26" s="264">
        <f t="shared" si="0"/>
        <v>0</v>
      </c>
      <c r="D26" s="308">
        <f t="shared" si="8"/>
        <v>0</v>
      </c>
      <c r="E26" s="308">
        <f t="shared" si="11"/>
        <v>918520</v>
      </c>
      <c r="F26" s="539">
        <f t="shared" si="14"/>
        <v>138963</v>
      </c>
      <c r="G26" s="160">
        <f t="shared" si="1"/>
        <v>0</v>
      </c>
      <c r="H26" s="539">
        <f t="shared" si="15"/>
        <v>452262</v>
      </c>
      <c r="I26" s="161">
        <f t="shared" si="2"/>
        <v>0</v>
      </c>
      <c r="J26" s="539">
        <f t="shared" si="16"/>
        <v>327294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39.949171244022693</v>
      </c>
      <c r="P26" s="297">
        <f t="shared" si="9"/>
        <v>39.949171244022693</v>
      </c>
      <c r="Q26" s="297">
        <f>SUM(-tanks!AX28*tanks!$AU$37)</f>
        <v>0</v>
      </c>
      <c r="R26" s="297">
        <f t="shared" si="10"/>
        <v>39.949171244022693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327294</v>
      </c>
      <c r="X26" s="172" t="s">
        <v>199</v>
      </c>
      <c r="Y26" s="172">
        <v>80</v>
      </c>
      <c r="Z26" s="172">
        <v>1</v>
      </c>
      <c r="AA26" s="338">
        <f>(W26-V26)*Z26</f>
        <v>6244</v>
      </c>
      <c r="AB26" s="338">
        <f>AA26*Y26</f>
        <v>499520</v>
      </c>
      <c r="AC26" s="249">
        <f>AC9</f>
        <v>1033333</v>
      </c>
      <c r="AD26" s="212">
        <f>SUM(K36)</f>
        <v>0.46108403485452665</v>
      </c>
    </row>
    <row r="27" spans="1:32" ht="15.75" thickBot="1">
      <c r="A27" s="163">
        <f>ELEC!C26</f>
        <v>44279</v>
      </c>
      <c r="B27" s="539">
        <f t="shared" si="13"/>
        <v>918520</v>
      </c>
      <c r="C27" s="264">
        <f t="shared" si="0"/>
        <v>0</v>
      </c>
      <c r="D27" s="308">
        <f t="shared" si="8"/>
        <v>0</v>
      </c>
      <c r="E27" s="308">
        <f t="shared" si="11"/>
        <v>918520</v>
      </c>
      <c r="F27" s="539">
        <f t="shared" si="14"/>
        <v>138963</v>
      </c>
      <c r="G27" s="160">
        <f t="shared" si="1"/>
        <v>0</v>
      </c>
      <c r="H27" s="539">
        <f t="shared" si="15"/>
        <v>452262</v>
      </c>
      <c r="I27" s="161">
        <f t="shared" si="2"/>
        <v>0</v>
      </c>
      <c r="J27" s="539">
        <f t="shared" si="16"/>
        <v>327294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39.949171244022693</v>
      </c>
      <c r="P27" s="297">
        <f t="shared" si="9"/>
        <v>39.949171244022693</v>
      </c>
      <c r="Q27" s="297">
        <f>SUM(-tanks!AX29*tanks!$AU$37)</f>
        <v>0</v>
      </c>
      <c r="R27" s="297">
        <f t="shared" si="10"/>
        <v>39.949171244022693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452262</v>
      </c>
      <c r="X27" s="172" t="s">
        <v>213</v>
      </c>
      <c r="Y27" s="172">
        <v>112</v>
      </c>
      <c r="Z27" s="172">
        <v>1</v>
      </c>
      <c r="AA27" s="338">
        <f>(W27-V27)*Z27</f>
        <v>5442</v>
      </c>
      <c r="AB27" s="338">
        <f>SUM(AA27*Y27)</f>
        <v>609504</v>
      </c>
      <c r="AC27" s="249">
        <f>AC10</f>
        <v>6200000</v>
      </c>
      <c r="AD27" s="212">
        <f>SUM(I36)</f>
        <v>0.40186087727071335</v>
      </c>
    </row>
    <row r="28" spans="1:32" ht="15.75" thickBot="1">
      <c r="A28" s="163">
        <f>ELEC!C27</f>
        <v>44280</v>
      </c>
      <c r="B28" s="539">
        <f t="shared" si="13"/>
        <v>918520</v>
      </c>
      <c r="C28" s="264">
        <f t="shared" si="0"/>
        <v>0</v>
      </c>
      <c r="D28" s="308">
        <f t="shared" si="8"/>
        <v>0</v>
      </c>
      <c r="E28" s="308">
        <f t="shared" si="11"/>
        <v>918520</v>
      </c>
      <c r="F28" s="539">
        <f t="shared" si="14"/>
        <v>138963</v>
      </c>
      <c r="G28" s="160">
        <f t="shared" si="1"/>
        <v>0</v>
      </c>
      <c r="H28" s="539">
        <f t="shared" si="15"/>
        <v>452262</v>
      </c>
      <c r="I28" s="161">
        <f t="shared" si="2"/>
        <v>0</v>
      </c>
      <c r="J28" s="539">
        <f t="shared" si="16"/>
        <v>327294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39.949171244022693</v>
      </c>
      <c r="P28" s="297">
        <f t="shared" si="9"/>
        <v>39.949171244022693</v>
      </c>
      <c r="Q28" s="297">
        <f>SUM(-tanks!AX30*tanks!$AU$37)</f>
        <v>0</v>
      </c>
      <c r="R28" s="297">
        <f t="shared" si="10"/>
        <v>39.949171244022693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138963</v>
      </c>
      <c r="X28" s="172" t="s">
        <v>197</v>
      </c>
      <c r="Y28" s="172">
        <v>320</v>
      </c>
      <c r="Z28" s="172">
        <v>1</v>
      </c>
      <c r="AA28" s="338">
        <f>(W28-V28)*Z28</f>
        <v>1855</v>
      </c>
      <c r="AB28" s="338">
        <f>SUM(AA28*Y28)</f>
        <v>593600</v>
      </c>
      <c r="AC28" s="249">
        <f>AC11</f>
        <v>1000</v>
      </c>
      <c r="AD28" s="212">
        <f>SUM(G36)</f>
        <v>0.1369812435386206</v>
      </c>
      <c r="AE28" s="40">
        <f>SUM(AB28*5%)</f>
        <v>29680</v>
      </c>
      <c r="AF28" s="82">
        <f>SUM(AE28/7)*31</f>
        <v>131440</v>
      </c>
    </row>
    <row r="29" spans="1:32" ht="15.75" thickBot="1">
      <c r="A29" s="163">
        <f>ELEC!C28</f>
        <v>44281</v>
      </c>
      <c r="B29" s="539">
        <f t="shared" si="13"/>
        <v>918520</v>
      </c>
      <c r="C29" s="264">
        <f t="shared" si="0"/>
        <v>0</v>
      </c>
      <c r="D29" s="308">
        <f t="shared" si="8"/>
        <v>0</v>
      </c>
      <c r="E29" s="308">
        <f t="shared" si="11"/>
        <v>918520</v>
      </c>
      <c r="F29" s="539">
        <f t="shared" si="14"/>
        <v>138963</v>
      </c>
      <c r="G29" s="160">
        <f t="shared" si="1"/>
        <v>0</v>
      </c>
      <c r="H29" s="539">
        <f t="shared" si="15"/>
        <v>452262</v>
      </c>
      <c r="I29" s="161">
        <f t="shared" si="2"/>
        <v>0</v>
      </c>
      <c r="J29" s="539">
        <f t="shared" si="16"/>
        <v>327294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39.949171244022693</v>
      </c>
      <c r="P29" s="297">
        <f t="shared" si="9"/>
        <v>39.949171244022693</v>
      </c>
      <c r="Q29" s="297">
        <f>SUM(-tanks!AX31*tanks!$AU$37)</f>
        <v>0</v>
      </c>
      <c r="R29" s="297">
        <f t="shared" si="10"/>
        <v>39.949171244022693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13541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918520</v>
      </c>
      <c r="C30" s="264">
        <f t="shared" si="0"/>
        <v>0</v>
      </c>
      <c r="D30" s="308">
        <f t="shared" si="8"/>
        <v>0</v>
      </c>
      <c r="E30" s="308">
        <f t="shared" si="11"/>
        <v>918520</v>
      </c>
      <c r="F30" s="539">
        <f t="shared" si="14"/>
        <v>138963</v>
      </c>
      <c r="G30" s="160">
        <f t="shared" si="1"/>
        <v>0</v>
      </c>
      <c r="H30" s="539">
        <f t="shared" si="15"/>
        <v>452262</v>
      </c>
      <c r="I30" s="161">
        <f t="shared" si="2"/>
        <v>0</v>
      </c>
      <c r="J30" s="539">
        <f t="shared" si="16"/>
        <v>327294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39.949171244022693</v>
      </c>
      <c r="P30" s="297">
        <f t="shared" si="9"/>
        <v>39.949171244022693</v>
      </c>
      <c r="Q30" s="297">
        <f>SUM(-tanks!AX32*tanks!$AU$37)</f>
        <v>0</v>
      </c>
      <c r="R30" s="297">
        <f t="shared" si="10"/>
        <v>39.949171244022693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1702624</v>
      </c>
      <c r="AC30" s="249">
        <f>SUM(AC26:AC29)/A37*A35</f>
        <v>1866924.6451612904</v>
      </c>
    </row>
    <row r="31" spans="1:32" ht="14.25" customHeight="1" thickBot="1">
      <c r="A31" s="163">
        <f>ELEC!C30</f>
        <v>44283</v>
      </c>
      <c r="B31" s="539">
        <f t="shared" si="13"/>
        <v>918520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918520</v>
      </c>
      <c r="F31" s="539">
        <f t="shared" si="14"/>
        <v>138963</v>
      </c>
      <c r="G31" s="160">
        <f t="shared" ref="G31:G34" si="31">F31-F30</f>
        <v>0</v>
      </c>
      <c r="H31" s="539">
        <f t="shared" si="15"/>
        <v>452262</v>
      </c>
      <c r="I31" s="161">
        <f t="shared" ref="I31:I34" si="32">H31-H30</f>
        <v>0</v>
      </c>
      <c r="J31" s="539">
        <f t="shared" si="16"/>
        <v>327294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39.949171244022693</v>
      </c>
      <c r="P31" s="297">
        <f t="shared" ref="P31:P34" si="37">SUM(L31:O31)</f>
        <v>39.949171244022693</v>
      </c>
      <c r="Q31" s="297">
        <f>SUM(-tanks!AX33*tanks!$AU$37)</f>
        <v>0</v>
      </c>
      <c r="R31" s="297">
        <f t="shared" ref="R31:R34" si="38">SUM(P31:Q31)</f>
        <v>39.949171244022693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918520</v>
      </c>
      <c r="C32" s="264">
        <f t="shared" si="28"/>
        <v>0</v>
      </c>
      <c r="D32" s="308">
        <f t="shared" si="29"/>
        <v>0</v>
      </c>
      <c r="E32" s="308">
        <f t="shared" si="30"/>
        <v>918520</v>
      </c>
      <c r="F32" s="539">
        <f t="shared" si="14"/>
        <v>138963</v>
      </c>
      <c r="G32" s="160">
        <f t="shared" si="31"/>
        <v>0</v>
      </c>
      <c r="H32" s="539">
        <f t="shared" si="15"/>
        <v>452262</v>
      </c>
      <c r="I32" s="161">
        <f t="shared" si="32"/>
        <v>0</v>
      </c>
      <c r="J32" s="539">
        <f t="shared" si="16"/>
        <v>327294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39.949171244022693</v>
      </c>
      <c r="P32" s="297">
        <f t="shared" si="37"/>
        <v>39.949171244022693</v>
      </c>
      <c r="Q32" s="297">
        <f>SUM(-tanks!AX34*tanks!$AU$37)</f>
        <v>0</v>
      </c>
      <c r="R32" s="297">
        <f t="shared" si="38"/>
        <v>39.949171244022693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918520</v>
      </c>
      <c r="C33" s="264">
        <f t="shared" si="28"/>
        <v>0</v>
      </c>
      <c r="D33" s="308">
        <f t="shared" si="29"/>
        <v>0</v>
      </c>
      <c r="E33" s="308">
        <f t="shared" si="30"/>
        <v>918520</v>
      </c>
      <c r="F33" s="539">
        <f t="shared" si="14"/>
        <v>138963</v>
      </c>
      <c r="G33" s="160">
        <f t="shared" si="31"/>
        <v>0</v>
      </c>
      <c r="H33" s="539">
        <f t="shared" si="15"/>
        <v>452262</v>
      </c>
      <c r="I33" s="161">
        <f t="shared" si="32"/>
        <v>0</v>
      </c>
      <c r="J33" s="539">
        <f t="shared" si="16"/>
        <v>327294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39.949171244022693</v>
      </c>
      <c r="P33" s="297">
        <f t="shared" si="37"/>
        <v>39.949171244022693</v>
      </c>
      <c r="Q33" s="297">
        <f>SUM(-tanks!AX35*tanks!$AU$37)</f>
        <v>0</v>
      </c>
      <c r="R33" s="297">
        <f t="shared" si="38"/>
        <v>39.949171244022693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918520</v>
      </c>
      <c r="C34" s="264">
        <f t="shared" si="28"/>
        <v>0</v>
      </c>
      <c r="D34" s="308">
        <f t="shared" si="29"/>
        <v>0</v>
      </c>
      <c r="E34" s="308">
        <f t="shared" si="30"/>
        <v>918520</v>
      </c>
      <c r="F34" s="539">
        <f t="shared" si="14"/>
        <v>138963</v>
      </c>
      <c r="G34" s="160">
        <f t="shared" si="31"/>
        <v>0</v>
      </c>
      <c r="H34" s="539">
        <f t="shared" si="15"/>
        <v>452262</v>
      </c>
      <c r="I34" s="161">
        <f t="shared" si="32"/>
        <v>0</v>
      </c>
      <c r="J34" s="539">
        <f t="shared" si="16"/>
        <v>327294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39.949171244022693</v>
      </c>
      <c r="P34" s="297">
        <f t="shared" si="37"/>
        <v>39.949171244022693</v>
      </c>
      <c r="Q34" s="297">
        <f>SUM(-tanks!AX36*tanks!$AU$37)</f>
        <v>0</v>
      </c>
      <c r="R34" s="297">
        <f t="shared" si="38"/>
        <v>39.949171244022693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67</v>
      </c>
      <c r="X34" s="222">
        <f>SUM(W34/A35)</f>
        <v>8.375</v>
      </c>
      <c r="Y34" s="260">
        <f>SUM(X34/2)</f>
        <v>4.1875</v>
      </c>
      <c r="Z34" s="3"/>
      <c r="AA34" s="3"/>
      <c r="AB34" s="542">
        <f>SUM(AB30+AC34)</f>
        <v>3569548.6451612907</v>
      </c>
      <c r="AC34" s="249">
        <f>SUM(AC30)</f>
        <v>1866924.6451612904</v>
      </c>
    </row>
    <row r="35" spans="1:32" ht="15.75" thickBot="1">
      <c r="A35" s="538">
        <f>A37-COUNTIF(C4:C34,0)</f>
        <v>8</v>
      </c>
      <c r="C35" s="173">
        <f>SUM(C4:C34)/A35</f>
        <v>1692.75</v>
      </c>
      <c r="D35" s="173"/>
      <c r="E35" s="173"/>
      <c r="G35" s="173">
        <f>SUM(G4:G34)/A35</f>
        <v>231.875</v>
      </c>
      <c r="I35" s="173">
        <f>SUM(I4:I34)/A35</f>
        <v>680.25</v>
      </c>
      <c r="K35" s="173">
        <f>SUM(K4:K34)/A35</f>
        <v>780.5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60223.375650364207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0.99992615566386056</v>
      </c>
      <c r="G36" s="225">
        <f>IF(C35&gt;0,G35/C35,0)</f>
        <v>0.1369812435386206</v>
      </c>
      <c r="H36" s="212"/>
      <c r="I36" s="225">
        <f>SUM(I35/C35)</f>
        <v>0.40186087727071335</v>
      </c>
      <c r="J36" s="212"/>
      <c r="K36" s="225">
        <f>SUM(K35/C35)</f>
        <v>0.46108403485452665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2367.8597977852673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1238.4243085647033</v>
      </c>
      <c r="Z38" s="40"/>
      <c r="AA38" s="292" t="s">
        <v>215</v>
      </c>
      <c r="AB38" s="293">
        <f>SUM(AB36)</f>
        <v>2367.8597977852673</v>
      </c>
    </row>
    <row r="39" spans="1:32">
      <c r="V39" s="217"/>
      <c r="W39" s="82">
        <f>(AB30+AB54)/1507.5</f>
        <v>1129.4354892205638</v>
      </c>
      <c r="X39" s="543"/>
      <c r="Z39" s="294">
        <f>SUM(AB38)</f>
        <v>2367.8597977852673</v>
      </c>
      <c r="AA39" s="293"/>
      <c r="AB39" s="293"/>
    </row>
    <row r="40" spans="1:32">
      <c r="V40" s="17"/>
      <c r="W40" s="82">
        <f>SUM(W38:W39)</f>
        <v>2367.8597977852669</v>
      </c>
      <c r="X40" s="543"/>
      <c r="Y40" s="82"/>
      <c r="Z40" s="294">
        <f>SUM(-tanks!AX37)*tanks!AU37</f>
        <v>9288.021096774175</v>
      </c>
      <c r="AA40" s="101">
        <f>SUM(AB34/A35)</f>
        <v>446193.58064516133</v>
      </c>
      <c r="AB40" s="348">
        <f>SUM(AA40*A37)</f>
        <v>13832001.000000002</v>
      </c>
    </row>
    <row r="41" spans="1:32" ht="18.75">
      <c r="W41" s="82">
        <f>(AB30+AB54)/1507.5</f>
        <v>1129.4354892205638</v>
      </c>
      <c r="Z41" s="276">
        <f>SUM(Z39:Z40)</f>
        <v>11655.880894559443</v>
      </c>
      <c r="AA41" s="293">
        <f>SUM(AA40/1507.5)</f>
        <v>295.98247472315842</v>
      </c>
      <c r="AB41" s="347">
        <f>SUM(AB40/1507.5)</f>
        <v>9175.4567164179116</v>
      </c>
    </row>
    <row r="42" spans="1:32">
      <c r="D42" s="519"/>
      <c r="E42" s="519"/>
      <c r="F42" s="519"/>
      <c r="W42" s="82">
        <f>SUM(W40:W41)</f>
        <v>3497.2952870058307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56"/>
      <c r="AC45" s="656"/>
      <c r="AD45" s="17"/>
      <c r="AE45" s="17"/>
      <c r="AF45" s="17"/>
    </row>
    <row r="46" spans="1:32">
      <c r="V46" s="656"/>
      <c r="W46" s="656"/>
      <c r="X46" s="656"/>
      <c r="Y46" s="656"/>
      <c r="Z46" s="547"/>
      <c r="AA46" s="547"/>
      <c r="AB46" s="656"/>
      <c r="AC46" s="656"/>
      <c r="AD46" s="17"/>
      <c r="AE46" s="17"/>
      <c r="AF46" s="17"/>
    </row>
    <row r="47" spans="1:32">
      <c r="V47" s="656"/>
      <c r="W47" s="656"/>
      <c r="X47" s="656"/>
      <c r="Y47" s="656"/>
      <c r="Z47" s="656"/>
      <c r="AA47" s="656"/>
      <c r="AB47" s="656"/>
      <c r="AC47" s="656"/>
      <c r="AD47" s="17"/>
      <c r="AE47" s="17"/>
      <c r="AF47" s="17"/>
    </row>
    <row r="48" spans="1:32">
      <c r="V48" s="657"/>
      <c r="W48" s="657"/>
      <c r="X48" s="658"/>
      <c r="Y48" s="658"/>
      <c r="Z48" s="658"/>
      <c r="AA48" s="548"/>
      <c r="AB48" s="656"/>
      <c r="AC48" s="656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13" sqref="I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318</v>
      </c>
      <c r="C1" s="701"/>
      <c r="D1" s="703"/>
      <c r="E1" s="700" t="s">
        <v>319</v>
      </c>
      <c r="F1" s="701"/>
      <c r="G1" s="702"/>
      <c r="H1" s="697" t="s">
        <v>324</v>
      </c>
      <c r="I1" s="694" t="s">
        <v>325</v>
      </c>
      <c r="J1" s="691" t="s">
        <v>43</v>
      </c>
    </row>
    <row r="2" spans="1:18" ht="38.25" thickBot="1">
      <c r="A2" s="68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8"/>
      <c r="I2" s="695"/>
      <c r="J2" s="692"/>
    </row>
    <row r="3" spans="1:18" ht="24" customHeight="1" thickBot="1">
      <c r="A3" s="69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9"/>
      <c r="I3" s="696"/>
      <c r="J3" s="693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/>
      <c r="C14" s="609"/>
      <c r="D14" s="170"/>
      <c r="E14" s="170"/>
      <c r="F14" s="170"/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/>
      <c r="C15" s="609"/>
      <c r="D15" s="609"/>
      <c r="E15" s="609"/>
      <c r="F15" s="609"/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609"/>
      <c r="D16" s="609"/>
      <c r="E16" s="609"/>
      <c r="F16" s="609"/>
      <c r="G16" s="585"/>
      <c r="H16" s="587">
        <f t="shared" si="2"/>
        <v>6726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87">
        <f t="shared" si="2"/>
        <v>6726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609"/>
      <c r="D18" s="170"/>
      <c r="E18" s="170"/>
      <c r="F18" s="170"/>
      <c r="G18" s="537"/>
      <c r="H18" s="587">
        <f t="shared" si="2"/>
        <v>6726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609"/>
      <c r="D19" s="170"/>
      <c r="E19" s="170"/>
      <c r="F19" s="170"/>
      <c r="G19" s="537"/>
      <c r="H19" s="587">
        <f t="shared" si="2"/>
        <v>6726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6726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09"/>
      <c r="D21" s="170"/>
      <c r="E21" s="170"/>
      <c r="F21" s="170"/>
      <c r="G21" s="537"/>
      <c r="H21" s="587">
        <f t="shared" si="2"/>
        <v>6726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6726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6726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6726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6726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6726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6726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6726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6726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6726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6726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6726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6726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6726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6726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6726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4" t="s">
        <v>161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</row>
    <row r="2" spans="1:28" ht="19.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</row>
    <row r="3" spans="1:28" ht="19.5">
      <c r="A3" s="705" t="s">
        <v>162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W3" s="705"/>
      <c r="X3" s="70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5" t="s">
        <v>409</v>
      </c>
      <c r="B5" s="705"/>
      <c r="C5" s="705"/>
      <c r="D5" s="705"/>
      <c r="E5" s="705"/>
      <c r="F5" s="705"/>
      <c r="G5" s="705"/>
      <c r="H5" s="705"/>
      <c r="I5" s="705"/>
      <c r="J5" s="705"/>
      <c r="K5" s="705"/>
      <c r="L5" s="705"/>
      <c r="M5" s="705"/>
      <c r="N5" s="705"/>
      <c r="O5" s="705"/>
      <c r="P5" s="705"/>
      <c r="Q5" s="705"/>
      <c r="R5" s="705"/>
      <c r="S5" s="705"/>
      <c r="T5" s="705"/>
      <c r="U5" s="705"/>
      <c r="V5" s="705"/>
      <c r="W5" s="705"/>
      <c r="X5" s="705"/>
    </row>
    <row r="6" spans="1:28" ht="15.75" thickBot="1">
      <c r="A6" s="706"/>
      <c r="B6" s="706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0</v>
      </c>
      <c r="K18" s="272">
        <f>'General information '!C14</f>
        <v>0</v>
      </c>
      <c r="L18" s="272">
        <f t="shared" si="1"/>
        <v>-18.3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0</v>
      </c>
      <c r="K19" s="272">
        <f>'General information '!C15</f>
        <v>0</v>
      </c>
      <c r="L19" s="272">
        <f t="shared" si="1"/>
        <v>-18.3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-383.90000000000015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-5456.8000000000011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216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8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2116.1290322580644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677.72249999999997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3569548.6451612907</v>
      </c>
      <c r="E10" s="182">
        <f>SUM(D10/D4/F4)</f>
        <v>295.98247472315842</v>
      </c>
      <c r="F10" s="182">
        <f>SUM(E10*F4)</f>
        <v>2367.8597977852673</v>
      </c>
      <c r="G10" s="510">
        <f>E10*$G$4</f>
        <v>9175.4567164179116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1238.2211037554164</v>
      </c>
      <c r="F12" s="180">
        <f>SUM(F6:F10)</f>
        <v>9905.768830043331</v>
      </c>
      <c r="G12" s="179">
        <f>SUM(G6:G10)</f>
        <v>22797.236716417909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-24423.763283582091</v>
      </c>
      <c r="I14" s="423">
        <f>SUM(G12-I12)</f>
        <v>-24423.966533044462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16.0625</v>
      </c>
      <c r="C16" s="433">
        <f>'[14]Utility Cost '!B16</f>
        <v>14.293103448275861</v>
      </c>
      <c r="D16" s="432"/>
      <c r="E16" s="433">
        <f t="shared" si="0"/>
        <v>1.7693965517241388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67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-48.420000000000073</v>
      </c>
      <c r="F18" s="528">
        <f>B18-D18</f>
        <v>-105.73885330486587</v>
      </c>
    </row>
    <row r="19" spans="1:10">
      <c r="A19" s="522" t="s">
        <v>411</v>
      </c>
      <c r="B19" s="520">
        <f>SUM(B18/$F$4)</f>
        <v>8.375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2021-03-09T06:21:12Z</dcterms:modified>
</cp:coreProperties>
</file>