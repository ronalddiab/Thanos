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2621" documentId="8_{5B502D95-7A37-4D5A-8B6B-374537CC2F26}" xr6:coauthVersionLast="48" xr6:coauthVersionMax="48" xr10:uidLastSave="{974DC619-2CC6-4AF5-A604-34D3CFB27D09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6" i="2" l="1"/>
  <c r="V37" i="2"/>
  <c r="V38" i="2"/>
  <c r="V39" i="2"/>
  <c r="N37" i="2"/>
  <c r="N38" i="2"/>
  <c r="N39" i="2"/>
  <c r="M37" i="2"/>
  <c r="M38" i="2"/>
  <c r="M39" i="2"/>
  <c r="L37" i="2"/>
  <c r="L38" i="2"/>
  <c r="L39" i="2"/>
  <c r="H39" i="2"/>
  <c r="K38" i="6"/>
  <c r="I38" i="6"/>
  <c r="G38" i="6"/>
  <c r="E38" i="6"/>
  <c r="C38" i="6"/>
  <c r="F37" i="2"/>
  <c r="F38" i="2"/>
  <c r="F39" i="2"/>
  <c r="D29" i="10"/>
  <c r="K37" i="6"/>
  <c r="I37" i="6"/>
  <c r="G37" i="6"/>
  <c r="E37" i="6"/>
  <c r="C37" i="6"/>
  <c r="K36" i="6"/>
  <c r="I36" i="6"/>
  <c r="G36" i="6"/>
  <c r="E36" i="6"/>
  <c r="C36" i="6"/>
  <c r="V34" i="2"/>
  <c r="V35" i="2"/>
  <c r="N35" i="2"/>
  <c r="N36" i="2"/>
  <c r="M35" i="2"/>
  <c r="M36" i="2"/>
  <c r="L35" i="2"/>
  <c r="L36" i="2"/>
  <c r="F35" i="2"/>
  <c r="F36" i="2"/>
  <c r="K35" i="6"/>
  <c r="I35" i="6"/>
  <c r="G35" i="6"/>
  <c r="E35" i="6"/>
  <c r="C35" i="6"/>
  <c r="K34" i="6"/>
  <c r="I34" i="6"/>
  <c r="G34" i="6"/>
  <c r="E34" i="6"/>
  <c r="C34" i="6"/>
  <c r="V27" i="2"/>
  <c r="V28" i="2"/>
  <c r="V29" i="2"/>
  <c r="V30" i="2"/>
  <c r="V31" i="2"/>
  <c r="V32" i="2"/>
  <c r="V33" i="2"/>
  <c r="N28" i="2"/>
  <c r="N29" i="2"/>
  <c r="N30" i="2"/>
  <c r="N31" i="2"/>
  <c r="N32" i="2"/>
  <c r="N33" i="2"/>
  <c r="N34" i="2"/>
  <c r="M28" i="2"/>
  <c r="M29" i="2"/>
  <c r="M30" i="2"/>
  <c r="M31" i="2"/>
  <c r="M32" i="2"/>
  <c r="M33" i="2"/>
  <c r="M34" i="2"/>
  <c r="L28" i="2"/>
  <c r="L29" i="2"/>
  <c r="L30" i="2"/>
  <c r="L31" i="2"/>
  <c r="L32" i="2"/>
  <c r="L33" i="2"/>
  <c r="L34" i="2"/>
  <c r="F28" i="2"/>
  <c r="F29" i="2"/>
  <c r="F30" i="2"/>
  <c r="F31" i="2"/>
  <c r="F32" i="2"/>
  <c r="F33" i="2"/>
  <c r="F34" i="2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29" i="6"/>
  <c r="K30" i="6"/>
  <c r="I29" i="6"/>
  <c r="I30" i="6"/>
  <c r="G29" i="6"/>
  <c r="G30" i="6"/>
  <c r="E29" i="6"/>
  <c r="E30" i="6"/>
  <c r="C29" i="6"/>
  <c r="C30" i="6"/>
  <c r="K27" i="6"/>
  <c r="K28" i="6"/>
  <c r="I27" i="6"/>
  <c r="I28" i="6"/>
  <c r="G27" i="6"/>
  <c r="G28" i="6"/>
  <c r="E27" i="6"/>
  <c r="E28" i="6"/>
  <c r="C27" i="6"/>
  <c r="C28" i="6"/>
  <c r="V21" i="2"/>
  <c r="V22" i="2"/>
  <c r="V23" i="2"/>
  <c r="V24" i="2"/>
  <c r="V25" i="2"/>
  <c r="V26" i="2"/>
  <c r="N22" i="2"/>
  <c r="N23" i="2"/>
  <c r="N24" i="2"/>
  <c r="N25" i="2"/>
  <c r="N26" i="2"/>
  <c r="N27" i="2"/>
  <c r="M22" i="2"/>
  <c r="M23" i="2"/>
  <c r="M24" i="2"/>
  <c r="M25" i="2"/>
  <c r="M26" i="2"/>
  <c r="M27" i="2"/>
  <c r="L22" i="2"/>
  <c r="L23" i="2"/>
  <c r="L24" i="2"/>
  <c r="L25" i="2"/>
  <c r="L26" i="2"/>
  <c r="L27" i="2"/>
  <c r="F22" i="2"/>
  <c r="F23" i="2"/>
  <c r="F24" i="2"/>
  <c r="F25" i="2"/>
  <c r="F26" i="2"/>
  <c r="F27" i="2"/>
  <c r="K26" i="6"/>
  <c r="I26" i="6"/>
  <c r="G26" i="6"/>
  <c r="C26" i="6"/>
  <c r="K25" i="6"/>
  <c r="I25" i="6"/>
  <c r="G25" i="6"/>
  <c r="E25" i="6"/>
  <c r="E26" i="6"/>
  <c r="C24" i="6"/>
  <c r="C25" i="6"/>
  <c r="K23" i="6"/>
  <c r="K24" i="6"/>
  <c r="I23" i="6"/>
  <c r="I24" i="6"/>
  <c r="G23" i="6"/>
  <c r="G24" i="6"/>
  <c r="E23" i="6"/>
  <c r="E24" i="6"/>
  <c r="C23" i="6"/>
  <c r="K21" i="6"/>
  <c r="K22" i="6"/>
  <c r="I21" i="6"/>
  <c r="I22" i="6"/>
  <c r="G21" i="6"/>
  <c r="G22" i="6"/>
  <c r="E21" i="6"/>
  <c r="E22" i="6"/>
  <c r="C21" i="6"/>
  <c r="C22" i="6"/>
  <c r="V20" i="2"/>
  <c r="K20" i="6"/>
  <c r="N21" i="2" s="1"/>
  <c r="I20" i="6"/>
  <c r="M21" i="2" s="1"/>
  <c r="G20" i="6"/>
  <c r="L21" i="2" s="1"/>
  <c r="E20" i="6"/>
  <c r="F21" i="2" s="1"/>
  <c r="C20" i="6"/>
  <c r="V19" i="2"/>
  <c r="K19" i="6"/>
  <c r="N20" i="2" s="1"/>
  <c r="I19" i="6"/>
  <c r="M20" i="2" s="1"/>
  <c r="G19" i="6"/>
  <c r="L20" i="2" s="1"/>
  <c r="E19" i="6"/>
  <c r="F20" i="2" s="1"/>
  <c r="C19" i="6"/>
  <c r="V11" i="2"/>
  <c r="V12" i="2"/>
  <c r="V13" i="2"/>
  <c r="V14" i="2"/>
  <c r="V15" i="2"/>
  <c r="V16" i="2"/>
  <c r="V17" i="2"/>
  <c r="V18" i="2"/>
  <c r="V10" i="2"/>
  <c r="N10" i="2"/>
  <c r="M10" i="2"/>
  <c r="L10" i="2"/>
  <c r="F10" i="2"/>
  <c r="K18" i="6"/>
  <c r="N19" i="2" s="1"/>
  <c r="I18" i="6"/>
  <c r="M19" i="2" s="1"/>
  <c r="G18" i="6"/>
  <c r="L19" i="2" s="1"/>
  <c r="E18" i="6"/>
  <c r="F19" i="2" s="1"/>
  <c r="C18" i="6"/>
  <c r="K16" i="6"/>
  <c r="N17" i="2" s="1"/>
  <c r="K17" i="6"/>
  <c r="N18" i="2" s="1"/>
  <c r="I16" i="6"/>
  <c r="M17" i="2" s="1"/>
  <c r="I17" i="6"/>
  <c r="M18" i="2" s="1"/>
  <c r="G16" i="6"/>
  <c r="L17" i="2" s="1"/>
  <c r="G17" i="6"/>
  <c r="L18" i="2" s="1"/>
  <c r="E16" i="6"/>
  <c r="F17" i="2" s="1"/>
  <c r="E17" i="6"/>
  <c r="F18" i="2" s="1"/>
  <c r="C16" i="6"/>
  <c r="C17" i="6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K13" i="6"/>
  <c r="N14" i="2" s="1"/>
  <c r="I13" i="6"/>
  <c r="M14" i="2" s="1"/>
  <c r="G13" i="6"/>
  <c r="L14" i="2" s="1"/>
  <c r="E13" i="6"/>
  <c r="F14" i="2" s="1"/>
  <c r="C13" i="6"/>
  <c r="K11" i="6"/>
  <c r="N12" i="2" s="1"/>
  <c r="K12" i="6"/>
  <c r="N13" i="2" s="1"/>
  <c r="I11" i="6"/>
  <c r="M12" i="2" s="1"/>
  <c r="I12" i="6"/>
  <c r="M13" i="2" s="1"/>
  <c r="G11" i="6"/>
  <c r="L12" i="2" s="1"/>
  <c r="G12" i="6"/>
  <c r="L13" i="2" s="1"/>
  <c r="E11" i="6"/>
  <c r="F12" i="2" s="1"/>
  <c r="E12" i="6"/>
  <c r="F13" i="2" s="1"/>
  <c r="C11" i="6"/>
  <c r="C12" i="6"/>
  <c r="K10" i="6"/>
  <c r="N11" i="2" s="1"/>
  <c r="I10" i="6"/>
  <c r="M11" i="2" s="1"/>
  <c r="G10" i="6"/>
  <c r="L11" i="2" s="1"/>
  <c r="E10" i="6"/>
  <c r="F11" i="2" s="1"/>
  <c r="C10" i="6"/>
  <c r="G4" i="4"/>
  <c r="E4" i="4"/>
  <c r="C4" i="4"/>
  <c r="L31" i="22"/>
  <c r="L32" i="22"/>
  <c r="K31" i="22"/>
  <c r="K32" i="22"/>
  <c r="I31" i="22"/>
  <c r="I32" i="22"/>
  <c r="G32" i="22"/>
  <c r="E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B31" i="21"/>
  <c r="B32" i="21"/>
  <c r="X39" i="2"/>
  <c r="X40" i="2"/>
  <c r="Q39" i="2"/>
  <c r="Q40" i="2"/>
  <c r="O39" i="2"/>
  <c r="O4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G27" i="22"/>
  <c r="G28" i="22"/>
  <c r="G30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40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C35" i="4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6" i="4" l="1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Q41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9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<sst xmlns="http://schemas.openxmlformats.org/spreadsheetml/2006/main" count="484" uniqueCount="186">
  <si>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</si>
  <si>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</si>
  <si>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</si>
  <si>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</si>
  <si>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</si>
  <si>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</si>
  <si>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</si>
  <si>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</si>
  <si>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</si>
  <si>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</si>
  <si>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</si>
  <si>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</si>
  <si>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</si>
  <si>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</si>
  <si>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</si>
  <si>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</si>
  <si>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</si>
  <si>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</si>
  <si>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</si>
  <si>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</si>
  <si>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</si>
  <si>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</si>
  <si>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</si>
  <si>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</si>
  <si>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</si>
  <si>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</si>
  <si>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</si>
  <si>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</si>
  <si>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</si>
  <si>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</si>
  <si>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</si>
  <si>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</si>
  <si>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</si>
  <si>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</si>
  <si>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</si>
  <si>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</si>
  <si>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</si>
  <si>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</si>
  <si>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</si>
  <si>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</si>
  <si>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</si>
  <si>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MAI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</si>
  <si>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</si>
  <si>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</si>
  <si>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</si>
  <si>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</si>
  <si>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</si>
  <si>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</si>
  <si>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</si>
  <si>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</si>
  <si>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</si>
  <si>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</si>
  <si>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</si>
  <si>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</si>
  <si>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</si>
  <si>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</si>
  <si>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</si>
  <si>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</si>
  <si>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</si>
  <si>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</si>
  <si>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</si>
  <si>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</si>
  <si>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</si>
  <si>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</si>
  <si>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</si>
  <si>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</si>
  <si>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</si>
  <si>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</si>
  <si>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</si>
  <si>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</si>
  <si>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</si>
  <si>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</si>
  <si>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</si>
  <si>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</si>
  <si>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</si>
  <si>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</si>
  <si>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</si>
  <si>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</si>
  <si>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</si>
  <si>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</si>
  <si>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</si>
  <si>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</si>
  <si>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</si>
  <si>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</si>
  <si>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</si>
  <si>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</si>
  <si>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</si>
  <si>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</si>
  <si>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</si>
  <si>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</si>
  <si>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</si>
  <si>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</si>
  <si>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</si>
  <si>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</si>
  <si>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</si>
  <si>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</si>
  <si>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</si>
  <si>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</si>
  <si>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</si>
  <si>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</si>
  <si>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</si>
  <si>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</si>
  <si>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</si>
  <si>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</si>
  <si>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</si>
  <si>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</si>
  <si>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</si>
  <si>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</si>
  <si>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</si>
  <si>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</si>
  <si>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</si>
  <si>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</si>
  <si>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</si>
  <si>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</si>
  <si>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</si>
  <si>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</si>
  <si>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</si>
  <si>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</si>
  <si>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</si>
  <si>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</si>
  <si>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</si>
  <si>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</si>
  <si>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</si>
  <si>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</si>
  <si>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</si>
  <si>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</si>
  <si>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</si>
  <si>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</si>
  <si>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</si>
  <si>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</si>
  <si>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</si>
  <si>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</si>
  <si>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MAI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</si>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</sst>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112</c:v>
                </c:pt>
                <c:pt idx="1">
                  <c:v>101</c:v>
                </c:pt>
                <c:pt idx="2">
                  <c:v>102.10000000000582</c:v>
                </c:pt>
                <c:pt idx="3">
                  <c:v>100.5</c:v>
                </c:pt>
                <c:pt idx="4">
                  <c:v>144.29999999998836</c:v>
                </c:pt>
                <c:pt idx="5">
                  <c:v>163.10000000000582</c:v>
                </c:pt>
                <c:pt idx="6">
                  <c:v>127</c:v>
                </c:pt>
                <c:pt idx="7">
                  <c:v>143</c:v>
                </c:pt>
                <c:pt idx="8">
                  <c:v>132</c:v>
                </c:pt>
                <c:pt idx="9">
                  <c:v>147.29999999998836</c:v>
                </c:pt>
                <c:pt idx="10">
                  <c:v>136.40000000002328</c:v>
                </c:pt>
                <c:pt idx="11">
                  <c:v>197.29999999998836</c:v>
                </c:pt>
                <c:pt idx="12">
                  <c:v>279.79999999998836</c:v>
                </c:pt>
                <c:pt idx="13">
                  <c:v>169.5</c:v>
                </c:pt>
                <c:pt idx="14">
                  <c:v>192.70000000001164</c:v>
                </c:pt>
                <c:pt idx="15">
                  <c:v>125</c:v>
                </c:pt>
                <c:pt idx="16">
                  <c:v>154</c:v>
                </c:pt>
                <c:pt idx="17">
                  <c:v>135</c:v>
                </c:pt>
                <c:pt idx="18">
                  <c:v>143</c:v>
                </c:pt>
                <c:pt idx="19">
                  <c:v>127.10000000000582</c:v>
                </c:pt>
                <c:pt idx="20">
                  <c:v>141.19999999998254</c:v>
                </c:pt>
                <c:pt idx="21">
                  <c:v>155.70000000001164</c:v>
                </c:pt>
                <c:pt idx="22">
                  <c:v>135</c:v>
                </c:pt>
                <c:pt idx="23">
                  <c:v>143</c:v>
                </c:pt>
                <c:pt idx="24">
                  <c:v>139.79999999998836</c:v>
                </c:pt>
                <c:pt idx="25">
                  <c:v>130.90000000002328</c:v>
                </c:pt>
                <c:pt idx="26">
                  <c:v>158.29999999998836</c:v>
                </c:pt>
                <c:pt idx="27">
                  <c:v>159</c:v>
                </c:pt>
                <c:pt idx="28">
                  <c:v>161</c:v>
                </c:pt>
                <c:pt idx="29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3256</c:v>
                </c:pt>
                <c:pt idx="1">
                  <c:v>3245</c:v>
                </c:pt>
                <c:pt idx="2">
                  <c:v>2632</c:v>
                </c:pt>
                <c:pt idx="3">
                  <c:v>3097</c:v>
                </c:pt>
                <c:pt idx="4">
                  <c:v>3529</c:v>
                </c:pt>
                <c:pt idx="5">
                  <c:v>4130</c:v>
                </c:pt>
                <c:pt idx="6">
                  <c:v>4060</c:v>
                </c:pt>
                <c:pt idx="7">
                  <c:v>3016</c:v>
                </c:pt>
                <c:pt idx="8">
                  <c:v>4529</c:v>
                </c:pt>
                <c:pt idx="9">
                  <c:v>4290</c:v>
                </c:pt>
                <c:pt idx="10">
                  <c:v>4126</c:v>
                </c:pt>
                <c:pt idx="11">
                  <c:v>3866</c:v>
                </c:pt>
                <c:pt idx="12">
                  <c:v>4267</c:v>
                </c:pt>
                <c:pt idx="13">
                  <c:v>3821</c:v>
                </c:pt>
                <c:pt idx="14">
                  <c:v>4667</c:v>
                </c:pt>
                <c:pt idx="15">
                  <c:v>3990</c:v>
                </c:pt>
                <c:pt idx="16">
                  <c:v>4394</c:v>
                </c:pt>
                <c:pt idx="17">
                  <c:v>4620</c:v>
                </c:pt>
                <c:pt idx="18">
                  <c:v>4184</c:v>
                </c:pt>
                <c:pt idx="19">
                  <c:v>3859</c:v>
                </c:pt>
                <c:pt idx="20">
                  <c:v>4574</c:v>
                </c:pt>
                <c:pt idx="21">
                  <c:v>5171</c:v>
                </c:pt>
                <c:pt idx="22">
                  <c:v>4812</c:v>
                </c:pt>
                <c:pt idx="23">
                  <c:v>3977</c:v>
                </c:pt>
                <c:pt idx="24">
                  <c:v>3827</c:v>
                </c:pt>
                <c:pt idx="25">
                  <c:v>4004</c:v>
                </c:pt>
                <c:pt idx="26">
                  <c:v>4725</c:v>
                </c:pt>
                <c:pt idx="27">
                  <c:v>5121</c:v>
                </c:pt>
                <c:pt idx="28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5659</c:v>
                </c:pt>
                <c:pt idx="1">
                  <c:v>5577</c:v>
                </c:pt>
                <c:pt idx="2">
                  <c:v>6108</c:v>
                </c:pt>
                <c:pt idx="3">
                  <c:v>5439</c:v>
                </c:pt>
                <c:pt idx="4">
                  <c:v>5843</c:v>
                </c:pt>
                <c:pt idx="5">
                  <c:v>6816</c:v>
                </c:pt>
                <c:pt idx="6">
                  <c:v>7136</c:v>
                </c:pt>
                <c:pt idx="7">
                  <c:v>7469</c:v>
                </c:pt>
                <c:pt idx="8">
                  <c:v>6959</c:v>
                </c:pt>
                <c:pt idx="9">
                  <c:v>8998</c:v>
                </c:pt>
                <c:pt idx="10">
                  <c:v>9650</c:v>
                </c:pt>
                <c:pt idx="11">
                  <c:v>7644</c:v>
                </c:pt>
                <c:pt idx="12">
                  <c:v>8132</c:v>
                </c:pt>
                <c:pt idx="13">
                  <c:v>8714</c:v>
                </c:pt>
                <c:pt idx="14">
                  <c:v>7739</c:v>
                </c:pt>
                <c:pt idx="15">
                  <c:v>8053</c:v>
                </c:pt>
                <c:pt idx="16">
                  <c:v>9955</c:v>
                </c:pt>
                <c:pt idx="17">
                  <c:v>10437</c:v>
                </c:pt>
                <c:pt idx="18">
                  <c:v>9661</c:v>
                </c:pt>
                <c:pt idx="19">
                  <c:v>9928</c:v>
                </c:pt>
                <c:pt idx="20">
                  <c:v>9336</c:v>
                </c:pt>
                <c:pt idx="21">
                  <c:v>9346</c:v>
                </c:pt>
                <c:pt idx="22">
                  <c:v>7696</c:v>
                </c:pt>
                <c:pt idx="23">
                  <c:v>7910</c:v>
                </c:pt>
                <c:pt idx="24">
                  <c:v>7510</c:v>
                </c:pt>
                <c:pt idx="25">
                  <c:v>7985</c:v>
                </c:pt>
                <c:pt idx="26">
                  <c:v>10489</c:v>
                </c:pt>
                <c:pt idx="27">
                  <c:v>10040</c:v>
                </c:pt>
                <c:pt idx="28">
                  <c:v>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2563</c:v>
                </c:pt>
                <c:pt idx="1">
                  <c:v>2510</c:v>
                </c:pt>
                <c:pt idx="2">
                  <c:v>2380</c:v>
                </c:pt>
                <c:pt idx="3">
                  <c:v>2403</c:v>
                </c:pt>
                <c:pt idx="4">
                  <c:v>2580</c:v>
                </c:pt>
                <c:pt idx="5">
                  <c:v>3082</c:v>
                </c:pt>
                <c:pt idx="6">
                  <c:v>2997</c:v>
                </c:pt>
                <c:pt idx="7">
                  <c:v>2977</c:v>
                </c:pt>
                <c:pt idx="8">
                  <c:v>3035</c:v>
                </c:pt>
                <c:pt idx="9">
                  <c:v>3221</c:v>
                </c:pt>
                <c:pt idx="10">
                  <c:v>3219</c:v>
                </c:pt>
                <c:pt idx="11">
                  <c:v>2794</c:v>
                </c:pt>
                <c:pt idx="12">
                  <c:v>3421</c:v>
                </c:pt>
                <c:pt idx="13">
                  <c:v>3162</c:v>
                </c:pt>
                <c:pt idx="14">
                  <c:v>2958</c:v>
                </c:pt>
                <c:pt idx="15">
                  <c:v>3416</c:v>
                </c:pt>
                <c:pt idx="16">
                  <c:v>3639</c:v>
                </c:pt>
                <c:pt idx="17">
                  <c:v>3980</c:v>
                </c:pt>
                <c:pt idx="18">
                  <c:v>3426</c:v>
                </c:pt>
                <c:pt idx="19">
                  <c:v>3507</c:v>
                </c:pt>
                <c:pt idx="20">
                  <c:v>3310</c:v>
                </c:pt>
                <c:pt idx="21">
                  <c:v>4338</c:v>
                </c:pt>
                <c:pt idx="22">
                  <c:v>3129</c:v>
                </c:pt>
                <c:pt idx="23">
                  <c:v>3199</c:v>
                </c:pt>
                <c:pt idx="24">
                  <c:v>3045</c:v>
                </c:pt>
                <c:pt idx="25">
                  <c:v>3118</c:v>
                </c:pt>
                <c:pt idx="26">
                  <c:v>3966</c:v>
                </c:pt>
                <c:pt idx="27">
                  <c:v>4107</c:v>
                </c:pt>
                <c:pt idx="28">
                  <c:v>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383.99052</c:v>
                </c:pt>
                <c:pt idx="2">
                  <c:v>511.98736000000002</c:v>
                </c:pt>
                <c:pt idx="3">
                  <c:v>384.71640000000002</c:v>
                </c:pt>
                <c:pt idx="4">
                  <c:v>671.98341000000005</c:v>
                </c:pt>
                <c:pt idx="5">
                  <c:v>543.98657000000003</c:v>
                </c:pt>
                <c:pt idx="6">
                  <c:v>447.98894000000001</c:v>
                </c:pt>
                <c:pt idx="7">
                  <c:v>351.99131</c:v>
                </c:pt>
                <c:pt idx="8">
                  <c:v>223.99447000000001</c:v>
                </c:pt>
                <c:pt idx="9">
                  <c:v>95.997630000000001</c:v>
                </c:pt>
                <c:pt idx="10">
                  <c:v>511.98736000000002</c:v>
                </c:pt>
                <c:pt idx="11">
                  <c:v>319.99209999999999</c:v>
                </c:pt>
                <c:pt idx="12">
                  <c:v>383.99052</c:v>
                </c:pt>
                <c:pt idx="13">
                  <c:v>415.98973000000001</c:v>
                </c:pt>
                <c:pt idx="14">
                  <c:v>223.99447000000001</c:v>
                </c:pt>
                <c:pt idx="15">
                  <c:v>415.98973000000001</c:v>
                </c:pt>
                <c:pt idx="16">
                  <c:v>255.99368000000001</c:v>
                </c:pt>
                <c:pt idx="17">
                  <c:v>95.997630000000001</c:v>
                </c:pt>
                <c:pt idx="18">
                  <c:v>223.99447000000001</c:v>
                </c:pt>
                <c:pt idx="19">
                  <c:v>447.98894000000001</c:v>
                </c:pt>
                <c:pt idx="20">
                  <c:v>95.997630000000001</c:v>
                </c:pt>
                <c:pt idx="21">
                  <c:v>191.99526</c:v>
                </c:pt>
                <c:pt idx="22">
                  <c:v>447.98894000000001</c:v>
                </c:pt>
                <c:pt idx="23">
                  <c:v>223.99447000000001</c:v>
                </c:pt>
                <c:pt idx="24">
                  <c:v>575.98577999999998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3">
                  <c:v>23168.613000000001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3">
                  <c:v>316019.88132000004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2"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5</v>
      </c>
      <c r="D2" s="141">
        <v>2022</v>
      </c>
      <c r="E2" s="137">
        <f>submetering!E2+submetering!F2+submetering!G2</f>
        <v>11478</v>
      </c>
      <c r="F2" s="134">
        <v>1.05</v>
      </c>
      <c r="G2" s="134">
        <f>'Consommation mensuel énergie'!V10</f>
        <v>351.99131</v>
      </c>
      <c r="H2" s="134">
        <v>9.9649999999999999</v>
      </c>
      <c r="I2" s="134">
        <f>'Consommation mensuel énergie'!F10</f>
        <v>112</v>
      </c>
      <c r="J2" s="134">
        <v>11.4</v>
      </c>
      <c r="K2" s="137">
        <f>'Consommation mensuel énergie'!D10</f>
        <v>104</v>
      </c>
      <c r="L2" s="137">
        <f>'Consommation mensuel énergie'!E10</f>
        <v>189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5</v>
      </c>
      <c r="D3" s="141">
        <v>2022</v>
      </c>
      <c r="E3" s="137">
        <f>submetering!E3+submetering!F3+submetering!G3</f>
        <v>11402</v>
      </c>
      <c r="F3" s="134">
        <v>1.05</v>
      </c>
      <c r="G3" s="134">
        <f>'Consommation mensuel énergie'!V11</f>
        <v>383.99052</v>
      </c>
      <c r="H3" s="134">
        <v>9.9649999999999999</v>
      </c>
      <c r="I3" s="134">
        <f>'Consommation mensuel énergie'!F11</f>
        <v>101</v>
      </c>
      <c r="J3" s="134">
        <v>11.4</v>
      </c>
      <c r="K3" s="137">
        <f>'Consommation mensuel énergie'!D11</f>
        <v>106</v>
      </c>
      <c r="L3" s="137">
        <f>'Consommation mensuel énergie'!E11</f>
        <v>174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5</v>
      </c>
      <c r="D4" s="141">
        <v>2022</v>
      </c>
      <c r="E4" s="137">
        <f>submetering!E4+submetering!F4+submetering!G4</f>
        <v>11120</v>
      </c>
      <c r="F4" s="134">
        <v>1.05</v>
      </c>
      <c r="G4" s="134">
        <f>'Consommation mensuel énergie'!V12</f>
        <v>511.98736000000002</v>
      </c>
      <c r="H4" s="134">
        <v>9.9649999999999999</v>
      </c>
      <c r="I4" s="134">
        <f>'Consommation mensuel énergie'!F12</f>
        <v>102.10000000000582</v>
      </c>
      <c r="J4" s="134">
        <v>11.4</v>
      </c>
      <c r="K4" s="137">
        <f>'Consommation mensuel énergie'!D12</f>
        <v>112</v>
      </c>
      <c r="L4" s="137">
        <f>'Consommation mensuel énergie'!E12</f>
        <v>196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5</v>
      </c>
      <c r="D5" s="141">
        <v>2022</v>
      </c>
      <c r="E5" s="137">
        <f>submetering!E5+submetering!F5+submetering!G5</f>
        <v>10939</v>
      </c>
      <c r="F5" s="134">
        <v>1.05</v>
      </c>
      <c r="G5" s="134">
        <f>'Consommation mensuel énergie'!V13</f>
        <v>384.71640000000002</v>
      </c>
      <c r="H5" s="134">
        <v>9.9649999999999999</v>
      </c>
      <c r="I5" s="134">
        <f>'Consommation mensuel énergie'!F13</f>
        <v>100.5</v>
      </c>
      <c r="J5" s="134">
        <v>11.4</v>
      </c>
      <c r="K5" s="137">
        <f>'Consommation mensuel énergie'!D13</f>
        <v>142</v>
      </c>
      <c r="L5" s="137">
        <f>'Consommation mensuel énergie'!E13</f>
        <v>242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5</v>
      </c>
      <c r="D6" s="141">
        <v>2022</v>
      </c>
      <c r="E6" s="137">
        <f>submetering!E6+submetering!F6+submetering!G6</f>
        <v>11952</v>
      </c>
      <c r="F6" s="134">
        <v>1.05</v>
      </c>
      <c r="G6" s="134">
        <f>'Consommation mensuel énergie'!V14</f>
        <v>671.98341000000005</v>
      </c>
      <c r="H6" s="134">
        <v>9.9649999999999999</v>
      </c>
      <c r="I6" s="134">
        <f>'Consommation mensuel énergie'!F14</f>
        <v>144.29999999998836</v>
      </c>
      <c r="J6" s="134">
        <v>11.4</v>
      </c>
      <c r="K6" s="137">
        <f>'Consommation mensuel énergie'!D14</f>
        <v>147</v>
      </c>
      <c r="L6" s="137">
        <f>'Consommation mensuel énergie'!E14</f>
        <v>252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5</v>
      </c>
      <c r="D7" s="141">
        <v>2022</v>
      </c>
      <c r="E7" s="137">
        <f>submetering!E7+submetering!F7+submetering!G7</f>
        <v>14028</v>
      </c>
      <c r="F7" s="134">
        <v>1.05</v>
      </c>
      <c r="G7" s="134">
        <f>'Consommation mensuel énergie'!V15</f>
        <v>543.98657000000003</v>
      </c>
      <c r="H7" s="134">
        <v>9.9649999999999999</v>
      </c>
      <c r="I7" s="134">
        <f>'Consommation mensuel énergie'!F15</f>
        <v>163.10000000000582</v>
      </c>
      <c r="J7" s="134">
        <v>11.4</v>
      </c>
      <c r="K7" s="137">
        <f>'Consommation mensuel énergie'!D15</f>
        <v>155</v>
      </c>
      <c r="L7" s="137">
        <f>'Consommation mensuel énergie'!E15</f>
        <v>275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5</v>
      </c>
      <c r="D8" s="141">
        <v>2022</v>
      </c>
      <c r="E8" s="137">
        <f>submetering!E8+submetering!F8+submetering!G8</f>
        <v>14193</v>
      </c>
      <c r="F8" s="134">
        <v>1.05</v>
      </c>
      <c r="G8" s="134">
        <f>'Consommation mensuel énergie'!V16</f>
        <v>447.98894000000001</v>
      </c>
      <c r="H8" s="134">
        <v>9.9649999999999999</v>
      </c>
      <c r="I8" s="134">
        <f>'Consommation mensuel énergie'!F16</f>
        <v>127</v>
      </c>
      <c r="J8" s="134">
        <v>11.4</v>
      </c>
      <c r="K8" s="137">
        <f>'Consommation mensuel énergie'!D16</f>
        <v>102</v>
      </c>
      <c r="L8" s="137">
        <f>'Consommation mensuel énergie'!E16</f>
        <v>156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5</v>
      </c>
      <c r="D9" s="141">
        <v>2022</v>
      </c>
      <c r="E9" s="137">
        <f>submetering!E9+submetering!F9+submetering!G9</f>
        <v>13462</v>
      </c>
      <c r="F9" s="134">
        <v>1.05</v>
      </c>
      <c r="G9" s="134">
        <f>'Consommation mensuel énergie'!V17</f>
        <v>351.99131</v>
      </c>
      <c r="H9" s="134">
        <v>9.9649999999999999</v>
      </c>
      <c r="I9" s="134">
        <f>'Consommation mensuel énergie'!F17</f>
        <v>143</v>
      </c>
      <c r="J9" s="134">
        <v>11.4</v>
      </c>
      <c r="K9" s="137">
        <f>'Consommation mensuel énergie'!D17</f>
        <v>113</v>
      </c>
      <c r="L9" s="137">
        <f>'Consommation mensuel énergie'!E17</f>
        <v>165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5</v>
      </c>
      <c r="D10" s="141">
        <v>2022</v>
      </c>
      <c r="E10" s="137">
        <f>submetering!E10+submetering!F10+submetering!G10</f>
        <v>14523</v>
      </c>
      <c r="F10" s="134">
        <v>1.05</v>
      </c>
      <c r="G10" s="134">
        <f>'Consommation mensuel énergie'!V19</f>
        <v>95.997630000000001</v>
      </c>
      <c r="H10" s="134">
        <v>9.9649999999999999</v>
      </c>
      <c r="I10" s="134">
        <f>'Consommation mensuel énergie'!F18</f>
        <v>132</v>
      </c>
      <c r="J10" s="134">
        <v>11.4</v>
      </c>
      <c r="K10" s="137">
        <f>'Consommation mensuel énergie'!D18</f>
        <v>159</v>
      </c>
      <c r="L10" s="137">
        <f>'Consommation mensuel énergie'!E18</f>
        <v>218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5</v>
      </c>
      <c r="D11" s="141">
        <v>2022</v>
      </c>
      <c r="E11" s="137">
        <f>submetering!E11+submetering!F11+submetering!G11</f>
        <v>16509</v>
      </c>
      <c r="F11" s="134">
        <v>1.05</v>
      </c>
      <c r="G11" s="134">
        <f>'Consommation mensuel énergie'!V20</f>
        <v>511.98736000000002</v>
      </c>
      <c r="H11" s="134">
        <v>9.9649999999999999</v>
      </c>
      <c r="I11" s="134">
        <f>'Consommation mensuel énergie'!F19</f>
        <v>147.29999999998836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221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5</v>
      </c>
      <c r="D12" s="141">
        <v>2022</v>
      </c>
      <c r="E12" s="137">
        <f>submetering!E12+submetering!F12+submetering!G12</f>
        <v>16995</v>
      </c>
      <c r="F12" s="134">
        <v>1.05</v>
      </c>
      <c r="G12" s="134">
        <f>'Consommation mensuel énergie'!V21</f>
        <v>319.99209999999999</v>
      </c>
      <c r="H12" s="134">
        <v>9.9649999999999999</v>
      </c>
      <c r="I12" s="134">
        <f>'Consommation mensuel énergie'!F20</f>
        <v>136.40000000002328</v>
      </c>
      <c r="J12" s="134">
        <v>11.4</v>
      </c>
      <c r="K12" s="137">
        <f>'Consommation mensuel énergie'!D20</f>
        <v>167</v>
      </c>
      <c r="L12" s="137">
        <f>'Consommation mensuel énergie'!E20</f>
        <v>210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5</v>
      </c>
      <c r="D13" s="141">
        <v>2022</v>
      </c>
      <c r="E13" s="137">
        <f>submetering!E13+submetering!F13+submetering!G13</f>
        <v>14304</v>
      </c>
      <c r="F13" s="134">
        <v>1.05</v>
      </c>
      <c r="G13" s="134">
        <f>'Consommation mensuel énergie'!V22</f>
        <v>383.99052</v>
      </c>
      <c r="H13" s="134">
        <v>9.9649999999999999</v>
      </c>
      <c r="I13" s="134">
        <f>'Consommation mensuel énergie'!F21</f>
        <v>197.29999999998836</v>
      </c>
      <c r="J13" s="134">
        <v>11.4</v>
      </c>
      <c r="K13" s="137">
        <f>'Consommation mensuel énergie'!D21</f>
        <v>175</v>
      </c>
      <c r="L13" s="137">
        <f>'Consommation mensuel énergie'!E21</f>
        <v>248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5</v>
      </c>
      <c r="D14" s="141">
        <v>2022</v>
      </c>
      <c r="E14" s="137">
        <f>submetering!E14+submetering!F14+submetering!G14</f>
        <v>15820</v>
      </c>
      <c r="F14" s="134">
        <v>1.05</v>
      </c>
      <c r="G14" s="134">
        <f>'Consommation mensuel énergie'!V23</f>
        <v>415.98973000000001</v>
      </c>
      <c r="H14" s="134">
        <v>9.9649999999999999</v>
      </c>
      <c r="I14" s="134">
        <f>'Consommation mensuel énergie'!F22</f>
        <v>279.79999999998836</v>
      </c>
      <c r="J14" s="134">
        <v>11.4</v>
      </c>
      <c r="K14" s="137">
        <f>'Consommation mensuel énergie'!D22</f>
        <v>143</v>
      </c>
      <c r="L14" s="137">
        <f>'Consommation mensuel énergie'!E22</f>
        <v>219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5</v>
      </c>
      <c r="D15" s="141">
        <v>2022</v>
      </c>
      <c r="E15" s="137">
        <f>submetering!E15+submetering!F15+submetering!G15</f>
        <v>15697</v>
      </c>
      <c r="F15" s="134">
        <v>1.05</v>
      </c>
      <c r="G15" s="134">
        <f>'Consommation mensuel énergie'!V24</f>
        <v>223.99447000000001</v>
      </c>
      <c r="H15" s="134">
        <v>9.9649999999999999</v>
      </c>
      <c r="I15" s="134">
        <f>'Consommation mensuel énergie'!F23</f>
        <v>169.5</v>
      </c>
      <c r="J15" s="134">
        <v>11.4</v>
      </c>
      <c r="K15" s="137">
        <f>'Consommation mensuel énergie'!D23</f>
        <v>132</v>
      </c>
      <c r="L15" s="137">
        <f>'Consommation mensuel énergie'!E23</f>
        <v>222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5</v>
      </c>
      <c r="D16" s="141">
        <v>2022</v>
      </c>
      <c r="E16" s="137">
        <f>submetering!E16+submetering!F16+submetering!G16</f>
        <v>15364</v>
      </c>
      <c r="F16" s="134">
        <v>1.05</v>
      </c>
      <c r="G16" s="134">
        <f>'Consommation mensuel énergie'!V25</f>
        <v>415.98973000000001</v>
      </c>
      <c r="H16" s="134">
        <v>9.9649999999999999</v>
      </c>
      <c r="I16" s="134">
        <f>'Consommation mensuel énergie'!F24</f>
        <v>192.70000000001164</v>
      </c>
      <c r="J16" s="134">
        <v>11.4</v>
      </c>
      <c r="K16" s="137">
        <f>'Consommation mensuel énergie'!D24</f>
        <v>134</v>
      </c>
      <c r="L16" s="137">
        <f>'Consommation mensuel énergie'!E24</f>
        <v>210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5</v>
      </c>
      <c r="D17" s="141">
        <v>2022</v>
      </c>
      <c r="E17" s="137">
        <f>submetering!E17+submetering!F17+submetering!G17</f>
        <v>15459</v>
      </c>
      <c r="F17" s="134">
        <v>1.05</v>
      </c>
      <c r="G17" s="134">
        <f>'Consommation mensuel énergie'!V26</f>
        <v>255.99368000000001</v>
      </c>
      <c r="H17" s="134">
        <v>9.9649999999999999</v>
      </c>
      <c r="I17" s="134">
        <f>'Consommation mensuel énergie'!F25</f>
        <v>125</v>
      </c>
      <c r="J17" s="134">
        <v>11.4</v>
      </c>
      <c r="K17" s="137">
        <f>'Consommation mensuel énergie'!D25</f>
        <v>132</v>
      </c>
      <c r="L17" s="137">
        <f>'Consommation mensuel énergie'!E25</f>
        <v>191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5</v>
      </c>
      <c r="D18" s="141">
        <v>2022</v>
      </c>
      <c r="E18" s="137">
        <f>submetering!E18+submetering!F18+submetering!G18</f>
        <v>17988</v>
      </c>
      <c r="F18" s="134">
        <v>1.05</v>
      </c>
      <c r="G18" s="134">
        <f>'Consommation mensuel énergie'!V27</f>
        <v>95.997630000000001</v>
      </c>
      <c r="H18" s="134">
        <v>9.9649999999999999</v>
      </c>
      <c r="I18" s="134">
        <f>'Consommation mensuel énergie'!F26</f>
        <v>154</v>
      </c>
      <c r="J18" s="134">
        <v>11.4</v>
      </c>
      <c r="K18" s="137">
        <f>'Consommation mensuel énergie'!D26</f>
        <v>171</v>
      </c>
      <c r="L18" s="137">
        <f>'Consommation mensuel énergie'!E26</f>
        <v>254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5</v>
      </c>
      <c r="D19" s="141">
        <v>2022</v>
      </c>
      <c r="E19" s="137">
        <f>submetering!E19+submetering!F19+submetering!G19</f>
        <v>19037</v>
      </c>
      <c r="F19" s="134">
        <v>1.05</v>
      </c>
      <c r="G19" s="134">
        <f>'Consommation mensuel énergie'!V28</f>
        <v>223.99447000000001</v>
      </c>
      <c r="H19" s="134">
        <v>9.9649999999999999</v>
      </c>
      <c r="I19" s="134">
        <f>'Consommation mensuel énergie'!F27</f>
        <v>135</v>
      </c>
      <c r="J19" s="134">
        <v>11.4</v>
      </c>
      <c r="K19" s="137">
        <f>'Consommation mensuel énergie'!D27</f>
        <v>164</v>
      </c>
      <c r="L19" s="137">
        <f>'Consommation mensuel énergie'!E27</f>
        <v>239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5</v>
      </c>
      <c r="D20" s="141">
        <v>2022</v>
      </c>
      <c r="E20" s="137">
        <f>submetering!E20+submetering!F20+submetering!G20</f>
        <v>17271</v>
      </c>
      <c r="F20" s="134">
        <v>1.05</v>
      </c>
      <c r="G20" s="134">
        <f>'Consommation mensuel énergie'!V29</f>
        <v>447.98894000000001</v>
      </c>
      <c r="H20" s="134">
        <v>9.9649999999999999</v>
      </c>
      <c r="I20" s="134">
        <f>'Consommation mensuel énergie'!F28</f>
        <v>143</v>
      </c>
      <c r="J20" s="134">
        <v>11.4</v>
      </c>
      <c r="K20" s="137">
        <f>'Consommation mensuel énergie'!D28</f>
        <v>135</v>
      </c>
      <c r="L20" s="137">
        <f>'Consommation mensuel énergie'!E28</f>
        <v>202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5</v>
      </c>
      <c r="D21" s="141">
        <v>2022</v>
      </c>
      <c r="E21" s="137">
        <f>submetering!E21+submetering!F21+submetering!G21</f>
        <v>17294</v>
      </c>
      <c r="F21" s="134">
        <v>1.05</v>
      </c>
      <c r="G21" s="134">
        <f>'Consommation mensuel énergie'!V30</f>
        <v>95.997630000000001</v>
      </c>
      <c r="H21" s="134">
        <v>9.9649999999999999</v>
      </c>
      <c r="I21" s="134">
        <f>'Consommation mensuel énergie'!F29</f>
        <v>127.10000000000582</v>
      </c>
      <c r="J21" s="134">
        <v>11.4</v>
      </c>
      <c r="K21" s="137">
        <f>'Consommation mensuel énergie'!D29</f>
        <v>145</v>
      </c>
      <c r="L21" s="137">
        <f>'Consommation mensuel énergie'!E29</f>
        <v>240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5</v>
      </c>
      <c r="D22" s="141">
        <v>2022</v>
      </c>
      <c r="E22" s="137">
        <f>submetering!E22+submetering!F22+submetering!G22</f>
        <v>17220</v>
      </c>
      <c r="F22" s="134">
        <v>1.05</v>
      </c>
      <c r="G22" s="134">
        <f>'Consommation mensuel énergie'!V31</f>
        <v>191.99526</v>
      </c>
      <c r="H22" s="134">
        <v>9.9649999999999999</v>
      </c>
      <c r="I22" s="134">
        <f>'Consommation mensuel énergie'!F30</f>
        <v>141.19999999998254</v>
      </c>
      <c r="J22" s="134">
        <v>11.4</v>
      </c>
      <c r="K22" s="137">
        <f>'Consommation mensuel énergie'!D30</f>
        <v>144</v>
      </c>
      <c r="L22" s="137">
        <f>'Consommation mensuel énergie'!E30</f>
        <v>245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5</v>
      </c>
      <c r="D23" s="141">
        <v>2022</v>
      </c>
      <c r="E23" s="137">
        <f>submetering!E23+submetering!F23+submetering!G23</f>
        <v>18855</v>
      </c>
      <c r="F23" s="134">
        <v>1.05</v>
      </c>
      <c r="G23" s="134">
        <f>'Consommation mensuel énergie'!V32</f>
        <v>447.98894000000001</v>
      </c>
      <c r="H23" s="134">
        <v>9.9649999999999999</v>
      </c>
      <c r="I23" s="134">
        <f>'Consommation mensuel énergie'!F31</f>
        <v>155.70000000001164</v>
      </c>
      <c r="J23" s="134">
        <v>11.4</v>
      </c>
      <c r="K23" s="137">
        <f>'Consommation mensuel énergie'!D31</f>
        <v>159</v>
      </c>
      <c r="L23" s="137">
        <f>'Consommation mensuel énergie'!E31</f>
        <v>242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5</v>
      </c>
      <c r="D24" s="141">
        <v>2022</v>
      </c>
      <c r="E24" s="137">
        <f>submetering!E24+submetering!F24+submetering!G24</f>
        <v>15637</v>
      </c>
      <c r="F24" s="134">
        <v>1.05</v>
      </c>
      <c r="G24" s="134">
        <f>'Consommation mensuel énergie'!V33</f>
        <v>223.99447000000001</v>
      </c>
      <c r="H24" s="134">
        <v>9.9649999999999999</v>
      </c>
      <c r="I24" s="134">
        <f>'Consommation mensuel énergie'!F32</f>
        <v>135</v>
      </c>
      <c r="J24" s="134">
        <v>11.4</v>
      </c>
      <c r="K24" s="137">
        <f>'Consommation mensuel énergie'!D32</f>
        <v>177</v>
      </c>
      <c r="L24" s="137">
        <f>'Consommation mensuel énergie'!E32</f>
        <v>244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5</v>
      </c>
      <c r="D25" s="141">
        <v>2022</v>
      </c>
      <c r="E25" s="137">
        <f>submetering!E25+submetering!F25+submetering!G25</f>
        <v>15086</v>
      </c>
      <c r="F25" s="134">
        <v>1.05</v>
      </c>
      <c r="G25" s="134">
        <f>'Consommation mensuel énergie'!V34</f>
        <v>575.98577999999998</v>
      </c>
      <c r="H25" s="134">
        <v>9.9649999999999999</v>
      </c>
      <c r="I25" s="134">
        <f>'Consommation mensuel énergie'!F33</f>
        <v>143</v>
      </c>
      <c r="J25" s="134">
        <v>11.4</v>
      </c>
      <c r="K25" s="137">
        <f>'Consommation mensuel énergie'!D33</f>
        <v>173</v>
      </c>
      <c r="L25" s="137">
        <f>'Consommation mensuel énergie'!E33</f>
        <v>229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5</v>
      </c>
      <c r="D26" s="141">
        <v>2022</v>
      </c>
      <c r="E26" s="137">
        <f>submetering!E26+submetering!F26+submetering!G26</f>
        <v>14382</v>
      </c>
      <c r="F26" s="134">
        <v>1.05</v>
      </c>
      <c r="G26" s="134">
        <f>'Consommation mensuel énergie'!V35</f>
        <v>127.99684000000001</v>
      </c>
      <c r="H26" s="134">
        <v>9.9649999999999999</v>
      </c>
      <c r="I26" s="134">
        <f>'Consommation mensuel énergie'!F34</f>
        <v>139.79999999998836</v>
      </c>
      <c r="J26" s="134">
        <v>11.4</v>
      </c>
      <c r="K26" s="137">
        <f>'Consommation mensuel énergie'!D34</f>
        <v>177</v>
      </c>
      <c r="L26" s="137">
        <f>'Consommation mensuel énergie'!E34</f>
        <v>256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5</v>
      </c>
      <c r="D27" s="141">
        <v>2022</v>
      </c>
      <c r="E27" s="137">
        <f>submetering!E27+submetering!F27+submetering!G27</f>
        <v>15107</v>
      </c>
      <c r="F27" s="134">
        <v>1.05</v>
      </c>
      <c r="G27" s="134">
        <f>'Consommation mensuel énergie'!V36</f>
        <v>479.98815000000002</v>
      </c>
      <c r="H27" s="134">
        <v>9.9649999999999999</v>
      </c>
      <c r="I27" s="134">
        <f>'Consommation mensuel énergie'!F35</f>
        <v>130.90000000002328</v>
      </c>
      <c r="J27" s="134">
        <v>11.4</v>
      </c>
      <c r="K27" s="137">
        <f>'Consommation mensuel énergie'!D35</f>
        <v>168</v>
      </c>
      <c r="L27" s="137">
        <f>'Consommation mensuel énergie'!E35</f>
        <v>264</v>
      </c>
      <c r="M27" s="133"/>
    </row>
    <row r="28" spans="1:13">
      <c r="A28" s="136" t="s">
        <v>13</v>
      </c>
      <c r="B28" s="140">
        <f t="shared" si="1"/>
        <v>27</v>
      </c>
      <c r="C28" s="140">
        <v>5</v>
      </c>
      <c r="D28" s="141">
        <v>2022</v>
      </c>
      <c r="E28" s="137">
        <f>submetering!E28+submetering!F28+submetering!G28</f>
        <v>19180</v>
      </c>
      <c r="F28" s="134">
        <v>1.05</v>
      </c>
      <c r="G28" s="134">
        <f>'Consommation mensuel énergie'!V37</f>
        <v>479.98815000000002</v>
      </c>
      <c r="H28" s="134">
        <v>9.9649999999999999</v>
      </c>
      <c r="I28" s="134">
        <f>'Consommation mensuel énergie'!F36</f>
        <v>158.29999999998836</v>
      </c>
      <c r="J28" s="134">
        <v>11.4</v>
      </c>
      <c r="K28" s="137">
        <f>'Consommation mensuel énergie'!D36</f>
        <v>165</v>
      </c>
      <c r="L28" s="137">
        <f>'Consommation mensuel énergie'!E36</f>
        <v>269</v>
      </c>
      <c r="M28" s="133"/>
    </row>
    <row r="29" spans="1:13">
      <c r="A29" s="136" t="s">
        <v>13</v>
      </c>
      <c r="B29" s="140">
        <f t="shared" si="1"/>
        <v>28</v>
      </c>
      <c r="C29" s="140">
        <v>5</v>
      </c>
      <c r="D29" s="141">
        <v>2022</v>
      </c>
      <c r="E29" s="137">
        <f>submetering!E29+submetering!F29+submetering!G29</f>
        <v>19268</v>
      </c>
      <c r="F29" s="134">
        <v>1.05</v>
      </c>
      <c r="G29" s="134">
        <f>'Consommation mensuel énergie'!V38</f>
        <v>351.99131</v>
      </c>
      <c r="H29" s="134">
        <v>9.9649999999999999</v>
      </c>
      <c r="I29" s="134">
        <f>'Consommation mensuel énergie'!F37</f>
        <v>159</v>
      </c>
      <c r="J29" s="134">
        <v>11.4</v>
      </c>
      <c r="K29" s="137">
        <f>'Consommation mensuel énergie'!D37</f>
        <v>147</v>
      </c>
      <c r="L29" s="137">
        <f>'Consommation mensuel énergie'!E37</f>
        <v>263</v>
      </c>
      <c r="M29" s="133"/>
    </row>
    <row r="30" spans="1:13">
      <c r="A30" s="136" t="s">
        <v>13</v>
      </c>
      <c r="B30" s="140">
        <f t="shared" si="1"/>
        <v>29</v>
      </c>
      <c r="C30" s="140">
        <v>5</v>
      </c>
      <c r="D30" s="141">
        <v>2022</v>
      </c>
      <c r="E30" s="137">
        <f>submetering!E30+submetering!F30+submetering!G30</f>
        <v>17862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161</v>
      </c>
      <c r="J30" s="134">
        <v>11.4</v>
      </c>
      <c r="K30" s="137">
        <f>'Consommation mensuel énergie'!D38</f>
        <v>148</v>
      </c>
      <c r="L30" s="137">
        <f>'Consommation mensuel énergie'!E38</f>
        <v>213</v>
      </c>
      <c r="M30" s="133"/>
    </row>
    <row r="31" spans="1:13">
      <c r="A31" s="136" t="s">
        <v>13</v>
      </c>
      <c r="B31" s="140">
        <f t="shared" si="1"/>
        <v>30</v>
      </c>
      <c r="C31" s="140">
        <v>5</v>
      </c>
      <c r="D31" s="141">
        <v>2022</v>
      </c>
      <c r="E31" s="137">
        <f>submetering!E31+submetering!F31+submetering!G31</f>
        <v>17340</v>
      </c>
      <c r="F31" s="134">
        <v>1.05</v>
      </c>
      <c r="G31" s="134">
        <f>'Consommation mensuel énergie'!V41</f>
        <v>10240.473079999998</v>
      </c>
      <c r="H31" s="134">
        <v>9.9649999999999999</v>
      </c>
      <c r="I31" s="134">
        <f>'Consommation mensuel énergie'!F39</f>
        <v>140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5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5"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5</v>
      </c>
      <c r="D2" s="141">
        <v>2022</v>
      </c>
      <c r="E2" s="137">
        <f>'Consommation mensuel énergie'!L10</f>
        <v>3256</v>
      </c>
      <c r="F2" s="137">
        <f>'Consommation mensuel énergie'!M10</f>
        <v>5659</v>
      </c>
      <c r="G2" s="137">
        <f>'Consommation mensuel énergie'!N10</f>
        <v>2563</v>
      </c>
      <c r="H2" s="137">
        <f>'Consommation mensuel énergie'!D10</f>
        <v>104</v>
      </c>
      <c r="I2" s="137">
        <f>'Consommation mensuel énergie'!E10</f>
        <v>189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5</v>
      </c>
      <c r="D3" s="141">
        <v>2022</v>
      </c>
      <c r="E3" s="137">
        <f>'Consommation mensuel énergie'!L11</f>
        <v>3245</v>
      </c>
      <c r="F3" s="137">
        <f>'Consommation mensuel énergie'!M11</f>
        <v>5577</v>
      </c>
      <c r="G3" s="137">
        <f>'Consommation mensuel énergie'!N14</f>
        <v>2580</v>
      </c>
      <c r="H3" s="137">
        <f>'Consommation mensuel énergie'!D11</f>
        <v>106</v>
      </c>
      <c r="I3" s="137">
        <f>'Consommation mensuel énergie'!E11</f>
        <v>174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5</v>
      </c>
      <c r="D4" s="141">
        <v>2022</v>
      </c>
      <c r="E4" s="137">
        <f>'Consommation mensuel énergie'!L12</f>
        <v>2632</v>
      </c>
      <c r="F4" s="137">
        <f>'Consommation mensuel énergie'!M12</f>
        <v>6108</v>
      </c>
      <c r="G4" s="137">
        <f>'Consommation mensuel énergie'!N12</f>
        <v>2380</v>
      </c>
      <c r="H4" s="137">
        <f>'Consommation mensuel énergie'!D12</f>
        <v>112</v>
      </c>
      <c r="I4" s="137">
        <f>'Consommation mensuel énergie'!E12</f>
        <v>196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5</v>
      </c>
      <c r="D5" s="141">
        <v>2022</v>
      </c>
      <c r="E5" s="137">
        <f>'Consommation mensuel énergie'!L13</f>
        <v>3097</v>
      </c>
      <c r="F5" s="137">
        <f>'Consommation mensuel énergie'!M13</f>
        <v>5439</v>
      </c>
      <c r="G5" s="137">
        <f>'Consommation mensuel énergie'!N13</f>
        <v>2403</v>
      </c>
      <c r="H5" s="137">
        <f>'Consommation mensuel énergie'!D13</f>
        <v>142</v>
      </c>
      <c r="I5" s="137">
        <f>'Consommation mensuel énergie'!E13</f>
        <v>242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5</v>
      </c>
      <c r="D6" s="141">
        <v>2022</v>
      </c>
      <c r="E6" s="137">
        <f>'Consommation mensuel énergie'!L14</f>
        <v>3529</v>
      </c>
      <c r="F6" s="137">
        <f>'Consommation mensuel énergie'!M14</f>
        <v>5843</v>
      </c>
      <c r="G6" s="137">
        <f>'Consommation mensuel énergie'!N14</f>
        <v>2580</v>
      </c>
      <c r="H6" s="137">
        <f>'Consommation mensuel énergie'!D14</f>
        <v>147</v>
      </c>
      <c r="I6" s="137">
        <f>'Consommation mensuel énergie'!E14</f>
        <v>252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5</v>
      </c>
      <c r="D7" s="141">
        <v>2022</v>
      </c>
      <c r="E7" s="137">
        <f>'Consommation mensuel énergie'!L15</f>
        <v>4130</v>
      </c>
      <c r="F7" s="137">
        <f>'Consommation mensuel énergie'!M15</f>
        <v>6816</v>
      </c>
      <c r="G7" s="137">
        <f>'Consommation mensuel énergie'!N15</f>
        <v>3082</v>
      </c>
      <c r="H7" s="137">
        <f>'Consommation mensuel énergie'!D15</f>
        <v>155</v>
      </c>
      <c r="I7" s="137">
        <f>'Consommation mensuel énergie'!E15</f>
        <v>275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5</v>
      </c>
      <c r="D8" s="141">
        <v>2022</v>
      </c>
      <c r="E8" s="137">
        <f>'Consommation mensuel énergie'!L16</f>
        <v>4060</v>
      </c>
      <c r="F8" s="137">
        <f>'Consommation mensuel énergie'!M16</f>
        <v>7136</v>
      </c>
      <c r="G8" s="137">
        <f>'Consommation mensuel énergie'!N16</f>
        <v>2997</v>
      </c>
      <c r="H8" s="137">
        <f>'Consommation mensuel énergie'!D16</f>
        <v>102</v>
      </c>
      <c r="I8" s="137">
        <f>'Consommation mensuel énergie'!E16</f>
        <v>156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5</v>
      </c>
      <c r="D9" s="141">
        <v>2022</v>
      </c>
      <c r="E9" s="137">
        <f>'Consommation mensuel énergie'!L17</f>
        <v>3016</v>
      </c>
      <c r="F9" s="137">
        <f>'Consommation mensuel énergie'!M17</f>
        <v>7469</v>
      </c>
      <c r="G9" s="137">
        <f>'Consommation mensuel énergie'!N17</f>
        <v>2977</v>
      </c>
      <c r="H9" s="137">
        <f>'Consommation mensuel énergie'!D17</f>
        <v>113</v>
      </c>
      <c r="I9" s="137">
        <f>'Consommation mensuel énergie'!E17</f>
        <v>165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5</v>
      </c>
      <c r="D10" s="141">
        <v>2022</v>
      </c>
      <c r="E10" s="137">
        <f>'Consommation mensuel énergie'!L18</f>
        <v>4529</v>
      </c>
      <c r="F10" s="137">
        <f>'Consommation mensuel énergie'!M18</f>
        <v>6959</v>
      </c>
      <c r="G10" s="137">
        <f>'Consommation mensuel énergie'!N18</f>
        <v>3035</v>
      </c>
      <c r="H10" s="137">
        <f>'Consommation mensuel énergie'!D18</f>
        <v>159</v>
      </c>
      <c r="I10" s="137">
        <f>'Consommation mensuel énergie'!E18</f>
        <v>218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5</v>
      </c>
      <c r="D11" s="141">
        <v>2022</v>
      </c>
      <c r="E11" s="137">
        <f>'Consommation mensuel énergie'!L19</f>
        <v>4290</v>
      </c>
      <c r="F11" s="137">
        <f>'Consommation mensuel énergie'!M19</f>
        <v>8998</v>
      </c>
      <c r="G11" s="137">
        <f>'Consommation mensuel énergie'!N19</f>
        <v>3221</v>
      </c>
      <c r="H11" s="137">
        <f>'Consommation mensuel énergie'!D19</f>
        <v>166</v>
      </c>
      <c r="I11" s="137">
        <f>'Consommation mensuel énergie'!E19</f>
        <v>221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5</v>
      </c>
      <c r="D12" s="141">
        <v>2022</v>
      </c>
      <c r="E12" s="137">
        <f>'Consommation mensuel énergie'!L20</f>
        <v>4126</v>
      </c>
      <c r="F12" s="137">
        <f>'Consommation mensuel énergie'!M20</f>
        <v>9650</v>
      </c>
      <c r="G12" s="137">
        <f>'Consommation mensuel énergie'!N20</f>
        <v>3219</v>
      </c>
      <c r="H12" s="137">
        <f>'Consommation mensuel énergie'!D20</f>
        <v>167</v>
      </c>
      <c r="I12" s="137">
        <f>'Consommation mensuel énergie'!E20</f>
        <v>210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5</v>
      </c>
      <c r="D13" s="141">
        <v>2022</v>
      </c>
      <c r="E13" s="137">
        <f>'Consommation mensuel énergie'!L21</f>
        <v>3866</v>
      </c>
      <c r="F13" s="137">
        <f>'Consommation mensuel énergie'!M21</f>
        <v>7644</v>
      </c>
      <c r="G13" s="137">
        <f>'Consommation mensuel énergie'!N21</f>
        <v>2794</v>
      </c>
      <c r="H13" s="137">
        <f>'Consommation mensuel énergie'!D21</f>
        <v>175</v>
      </c>
      <c r="I13" s="137">
        <f>'Consommation mensuel énergie'!E21</f>
        <v>248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5</v>
      </c>
      <c r="D14" s="141">
        <v>2022</v>
      </c>
      <c r="E14" s="137">
        <f>'Consommation mensuel énergie'!L22</f>
        <v>4267</v>
      </c>
      <c r="F14" s="137">
        <f>'Consommation mensuel énergie'!M22</f>
        <v>8132</v>
      </c>
      <c r="G14" s="137">
        <f>'Consommation mensuel énergie'!N22</f>
        <v>3421</v>
      </c>
      <c r="H14" s="137">
        <f>'Consommation mensuel énergie'!D22</f>
        <v>143</v>
      </c>
      <c r="I14" s="137">
        <f>'Consommation mensuel énergie'!E22</f>
        <v>219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5</v>
      </c>
      <c r="D15" s="141">
        <v>2022</v>
      </c>
      <c r="E15" s="137">
        <f>'Consommation mensuel énergie'!L23</f>
        <v>3821</v>
      </c>
      <c r="F15" s="137">
        <f>'Consommation mensuel énergie'!M23</f>
        <v>8714</v>
      </c>
      <c r="G15" s="137">
        <f>'Consommation mensuel énergie'!N23</f>
        <v>3162</v>
      </c>
      <c r="H15" s="137">
        <f>'Consommation mensuel énergie'!D23</f>
        <v>132</v>
      </c>
      <c r="I15" s="137">
        <f>'Consommation mensuel énergie'!E23</f>
        <v>222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5</v>
      </c>
      <c r="D16" s="141">
        <v>2022</v>
      </c>
      <c r="E16" s="137">
        <f>'Consommation mensuel énergie'!L24</f>
        <v>4667</v>
      </c>
      <c r="F16" s="137">
        <f>'Consommation mensuel énergie'!M24</f>
        <v>7739</v>
      </c>
      <c r="G16" s="137">
        <f>'Consommation mensuel énergie'!N24</f>
        <v>2958</v>
      </c>
      <c r="H16" s="137">
        <f>'Consommation mensuel énergie'!D24</f>
        <v>134</v>
      </c>
      <c r="I16" s="137">
        <f>'Consommation mensuel énergie'!E24</f>
        <v>210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5</v>
      </c>
      <c r="D17" s="141">
        <v>2022</v>
      </c>
      <c r="E17" s="137">
        <f>'Consommation mensuel énergie'!L25</f>
        <v>3990</v>
      </c>
      <c r="F17" s="137">
        <f>'Consommation mensuel énergie'!M25</f>
        <v>8053</v>
      </c>
      <c r="G17" s="137">
        <f>'Consommation mensuel énergie'!N25</f>
        <v>3416</v>
      </c>
      <c r="H17" s="137">
        <f>'Consommation mensuel énergie'!D25</f>
        <v>132</v>
      </c>
      <c r="I17" s="137">
        <f>'Consommation mensuel énergie'!E25</f>
        <v>191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5</v>
      </c>
      <c r="D18" s="141">
        <v>2022</v>
      </c>
      <c r="E18" s="137">
        <f>'Consommation mensuel énergie'!L26</f>
        <v>4394</v>
      </c>
      <c r="F18" s="137">
        <f>'Consommation mensuel énergie'!M26</f>
        <v>9955</v>
      </c>
      <c r="G18" s="137">
        <f>'Consommation mensuel énergie'!N26</f>
        <v>3639</v>
      </c>
      <c r="H18" s="137">
        <f>'Consommation mensuel énergie'!D26</f>
        <v>171</v>
      </c>
      <c r="I18" s="137">
        <f>'Consommation mensuel énergie'!E26</f>
        <v>254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5</v>
      </c>
      <c r="D19" s="141">
        <v>2022</v>
      </c>
      <c r="E19" s="137">
        <f>'Consommation mensuel énergie'!L27</f>
        <v>4620</v>
      </c>
      <c r="F19" s="137">
        <f>'Consommation mensuel énergie'!M27</f>
        <v>10437</v>
      </c>
      <c r="G19" s="137">
        <f>'Consommation mensuel énergie'!N27</f>
        <v>3980</v>
      </c>
      <c r="H19" s="137">
        <f>'Consommation mensuel énergie'!D27</f>
        <v>164</v>
      </c>
      <c r="I19" s="137">
        <f>'Consommation mensuel énergie'!E27</f>
        <v>239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5</v>
      </c>
      <c r="D20" s="141">
        <v>2022</v>
      </c>
      <c r="E20" s="137">
        <f>'Consommation mensuel énergie'!L28</f>
        <v>4184</v>
      </c>
      <c r="F20" s="137">
        <f>'Consommation mensuel énergie'!M28</f>
        <v>9661</v>
      </c>
      <c r="G20" s="137">
        <f>'Consommation mensuel énergie'!N28</f>
        <v>3426</v>
      </c>
      <c r="H20" s="137">
        <f>'Consommation mensuel énergie'!D28</f>
        <v>135</v>
      </c>
      <c r="I20" s="137">
        <f>'Consommation mensuel énergie'!E28</f>
        <v>202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5</v>
      </c>
      <c r="D21" s="141">
        <v>2022</v>
      </c>
      <c r="E21" s="137">
        <f>'Consommation mensuel énergie'!L29</f>
        <v>3859</v>
      </c>
      <c r="F21" s="137">
        <f>'Consommation mensuel énergie'!M29</f>
        <v>9928</v>
      </c>
      <c r="G21" s="137">
        <f>'Consommation mensuel énergie'!N29</f>
        <v>3507</v>
      </c>
      <c r="H21" s="137">
        <f>'Consommation mensuel énergie'!D29</f>
        <v>145</v>
      </c>
      <c r="I21" s="137">
        <f>'Consommation mensuel énergie'!E29</f>
        <v>240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5</v>
      </c>
      <c r="D22" s="141">
        <v>2022</v>
      </c>
      <c r="E22" s="137">
        <f>'Consommation mensuel énergie'!L30</f>
        <v>4574</v>
      </c>
      <c r="F22" s="137">
        <f>'Consommation mensuel énergie'!M30</f>
        <v>9336</v>
      </c>
      <c r="G22" s="137">
        <f>'Consommation mensuel énergie'!N30</f>
        <v>3310</v>
      </c>
      <c r="H22" s="137">
        <f>'Consommation mensuel énergie'!D30</f>
        <v>144</v>
      </c>
      <c r="I22" s="137">
        <f>'Consommation mensuel énergie'!E30</f>
        <v>245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5</v>
      </c>
      <c r="D23" s="141">
        <v>2022</v>
      </c>
      <c r="E23" s="137">
        <f>'Consommation mensuel énergie'!L31</f>
        <v>5171</v>
      </c>
      <c r="F23" s="137">
        <f>'Consommation mensuel énergie'!M31</f>
        <v>9346</v>
      </c>
      <c r="G23" s="137">
        <f>'Consommation mensuel énergie'!N31</f>
        <v>4338</v>
      </c>
      <c r="H23" s="137">
        <f>'Consommation mensuel énergie'!D31</f>
        <v>159</v>
      </c>
      <c r="I23" s="137">
        <f>'Consommation mensuel énergie'!E31</f>
        <v>242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5</v>
      </c>
      <c r="D24" s="141">
        <v>2022</v>
      </c>
      <c r="E24" s="137">
        <f>'Consommation mensuel énergie'!L32</f>
        <v>4812</v>
      </c>
      <c r="F24" s="137">
        <f>'Consommation mensuel énergie'!M32</f>
        <v>7696</v>
      </c>
      <c r="G24" s="137">
        <f>'Consommation mensuel énergie'!N32</f>
        <v>3129</v>
      </c>
      <c r="H24" s="137">
        <f>'Consommation mensuel énergie'!D32</f>
        <v>177</v>
      </c>
      <c r="I24" s="137">
        <f>'Consommation mensuel énergie'!E32</f>
        <v>244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5</v>
      </c>
      <c r="D25" s="141">
        <v>2022</v>
      </c>
      <c r="E25" s="137">
        <f>'Consommation mensuel énergie'!L33</f>
        <v>3977</v>
      </c>
      <c r="F25" s="137">
        <f>'Consommation mensuel énergie'!M33</f>
        <v>7910</v>
      </c>
      <c r="G25" s="137">
        <f>'Consommation mensuel énergie'!N33</f>
        <v>3199</v>
      </c>
      <c r="H25" s="137">
        <f>'Consommation mensuel énergie'!D33</f>
        <v>173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5</v>
      </c>
      <c r="D26" s="141">
        <v>2022</v>
      </c>
      <c r="E26" s="137">
        <f>'Consommation mensuel énergie'!L34</f>
        <v>3827</v>
      </c>
      <c r="F26" s="137">
        <f>'Consommation mensuel énergie'!M34</f>
        <v>7510</v>
      </c>
      <c r="G26" s="137">
        <f>'Consommation mensuel énergie'!N34</f>
        <v>3045</v>
      </c>
      <c r="H26" s="137">
        <f>'Consommation mensuel énergie'!D34</f>
        <v>177</v>
      </c>
      <c r="I26" s="137">
        <f>'Consommation mensuel énergie'!E34</f>
        <v>256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5</v>
      </c>
      <c r="D27" s="141">
        <v>2022</v>
      </c>
      <c r="E27" s="137">
        <f>'Consommation mensuel énergie'!L35</f>
        <v>4004</v>
      </c>
      <c r="F27" s="137">
        <f>'Consommation mensuel énergie'!M35</f>
        <v>7985</v>
      </c>
      <c r="G27" s="137">
        <f>'Consommation mensuel énergie'!N35</f>
        <v>3118</v>
      </c>
      <c r="H27" s="137">
        <f>'Consommation mensuel énergie'!D35</f>
        <v>168</v>
      </c>
      <c r="I27" s="137">
        <f>'Consommation mensuel énergie'!E35</f>
        <v>264</v>
      </c>
      <c r="J27" s="133"/>
    </row>
    <row r="28" spans="1:10">
      <c r="A28" s="136" t="s">
        <v>13</v>
      </c>
      <c r="B28" s="140">
        <f t="shared" si="1"/>
        <v>27</v>
      </c>
      <c r="C28" s="140">
        <v>5</v>
      </c>
      <c r="D28" s="141">
        <v>2022</v>
      </c>
      <c r="E28" s="137">
        <f>'Consommation mensuel énergie'!L36</f>
        <v>4725</v>
      </c>
      <c r="F28" s="137">
        <f>'Consommation mensuel énergie'!M36</f>
        <v>10489</v>
      </c>
      <c r="G28" s="137">
        <f>'Consommation mensuel énergie'!N36</f>
        <v>3966</v>
      </c>
      <c r="H28" s="137">
        <f>'Consommation mensuel énergie'!D36</f>
        <v>165</v>
      </c>
      <c r="I28" s="137">
        <f>'Consommation mensuel énergie'!E36</f>
        <v>269</v>
      </c>
      <c r="J28" s="133"/>
    </row>
    <row r="29" spans="1:10">
      <c r="A29" s="136" t="s">
        <v>13</v>
      </c>
      <c r="B29" s="140">
        <f t="shared" si="1"/>
        <v>28</v>
      </c>
      <c r="C29" s="140">
        <v>5</v>
      </c>
      <c r="D29" s="141">
        <v>2022</v>
      </c>
      <c r="E29" s="137">
        <f>'Consommation mensuel énergie'!L37</f>
        <v>5121</v>
      </c>
      <c r="F29" s="137">
        <f>'Consommation mensuel énergie'!M37</f>
        <v>10040</v>
      </c>
      <c r="G29" s="137">
        <f>'Consommation mensuel énergie'!N37</f>
        <v>4107</v>
      </c>
      <c r="H29" s="137">
        <f>'Consommation mensuel énergie'!D37</f>
        <v>147</v>
      </c>
      <c r="I29" s="137">
        <f>'Consommation mensuel énergie'!E37</f>
        <v>263</v>
      </c>
      <c r="J29" s="133"/>
    </row>
    <row r="30" spans="1:10">
      <c r="A30" s="136" t="s">
        <v>13</v>
      </c>
      <c r="B30" s="140">
        <f t="shared" si="1"/>
        <v>29</v>
      </c>
      <c r="C30" s="140">
        <v>5</v>
      </c>
      <c r="D30" s="141">
        <v>2022</v>
      </c>
      <c r="E30" s="137">
        <f>'Consommation mensuel énergie'!L38</f>
        <v>4349</v>
      </c>
      <c r="F30" s="137">
        <f>'Consommation mensuel énergie'!M38</f>
        <v>9912</v>
      </c>
      <c r="G30" s="137">
        <f>'Consommation mensuel énergie'!N38</f>
        <v>3601</v>
      </c>
      <c r="H30" s="137">
        <f>'Consommation mensuel énergie'!D38</f>
        <v>148</v>
      </c>
      <c r="I30" s="137">
        <f>'Consommation mensuel énergie'!E38</f>
        <v>213</v>
      </c>
      <c r="J30" s="133"/>
    </row>
    <row r="31" spans="1:10">
      <c r="A31" s="136" t="s">
        <v>13</v>
      </c>
      <c r="B31" s="140">
        <f t="shared" si="1"/>
        <v>30</v>
      </c>
      <c r="C31" s="140">
        <v>5</v>
      </c>
      <c r="D31" s="141">
        <v>2022</v>
      </c>
      <c r="E31" s="137">
        <f>'Consommation mensuel énergie'!L39</f>
        <v>4151</v>
      </c>
      <c r="F31" s="137">
        <f>'Consommation mensuel énergie'!M39</f>
        <v>9405</v>
      </c>
      <c r="G31" s="137">
        <f>'Consommation mensuel énergie'!N39</f>
        <v>3784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5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E10" activePane="bottomRight" state="frozen"/>
      <selection pane="bottomRight" activeCell="E39" sqref="E3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44682</v>
      </c>
      <c r="C10" s="7"/>
      <c r="D10" s="143">
        <v>104</v>
      </c>
      <c r="E10" s="143">
        <v>189</v>
      </c>
      <c r="F10" s="13">
        <f>'Suivi EAU-ELEC'!E9</f>
        <v>112</v>
      </c>
      <c r="G10" s="11"/>
      <c r="H10" s="168">
        <f>F10*8.79</f>
        <v>984.4799999999999</v>
      </c>
      <c r="I10" s="169"/>
      <c r="J10" s="169"/>
      <c r="K10" s="60">
        <v>42278</v>
      </c>
      <c r="L10" s="90">
        <f>'Suivi EAU-ELEC'!G9</f>
        <v>3256</v>
      </c>
      <c r="M10" s="91">
        <f>'Suivi EAU-ELEC'!I9</f>
        <v>5659</v>
      </c>
      <c r="N10" s="91">
        <f>'Suivi EAU-ELEC'!K9</f>
        <v>2563</v>
      </c>
      <c r="O10" s="91">
        <f>L10+M10+N10</f>
        <v>11478</v>
      </c>
      <c r="P10" s="11"/>
      <c r="Q10" s="34">
        <f>L10*0.6985+M10*0.9514+N10*1.3304</f>
        <v>11068.103800000001</v>
      </c>
      <c r="R10" s="11"/>
      <c r="S10" s="28"/>
      <c r="T10" s="11"/>
      <c r="U10" s="28"/>
      <c r="V10" s="146">
        <f>'Suvi Gaz'!O4</f>
        <v>351.99131</v>
      </c>
      <c r="W10" s="11"/>
      <c r="X10" s="34">
        <f>V10*13.64</f>
        <v>4801.1614684000006</v>
      </c>
    </row>
    <row r="11" spans="1:24" ht="32.25" customHeight="1">
      <c r="A11" s="2"/>
      <c r="B11" s="6">
        <v>44683</v>
      </c>
      <c r="C11" s="7"/>
      <c r="D11" s="143">
        <v>106</v>
      </c>
      <c r="E11" s="143">
        <v>174</v>
      </c>
      <c r="F11" s="13">
        <f>'Suivi EAU-ELEC'!E10</f>
        <v>101</v>
      </c>
      <c r="G11" s="11"/>
      <c r="H11" s="168">
        <f t="shared" ref="H11:H21" si="0">F11*8.79</f>
        <v>887.79</v>
      </c>
      <c r="I11" s="169"/>
      <c r="J11" s="169"/>
      <c r="K11" s="60">
        <v>42279</v>
      </c>
      <c r="L11" s="90">
        <f>'Suivi EAU-ELEC'!G10</f>
        <v>3245</v>
      </c>
      <c r="M11" s="91">
        <f>'Suivi EAU-ELEC'!I10</f>
        <v>5577</v>
      </c>
      <c r="N11" s="91">
        <f>'Suivi EAU-ELEC'!K10</f>
        <v>2510</v>
      </c>
      <c r="O11" s="91">
        <f>L11+M11+N11</f>
        <v>11332</v>
      </c>
      <c r="P11" s="11"/>
      <c r="Q11" s="34">
        <f>L11*0.6985+M11*0.9514+N14*1.3304</f>
        <v>11005.022300000001</v>
      </c>
      <c r="R11" s="11"/>
      <c r="S11" s="28"/>
      <c r="T11" s="11"/>
      <c r="U11" s="28"/>
      <c r="V11" s="146">
        <f>'Suvi Gaz'!O5</f>
        <v>383.99052</v>
      </c>
      <c r="W11" s="11"/>
      <c r="X11" s="34">
        <f t="shared" ref="X11:X40" si="1">V11*13.64</f>
        <v>5237.6306928000004</v>
      </c>
    </row>
    <row r="12" spans="1:24" ht="32.25" customHeight="1">
      <c r="A12" s="2"/>
      <c r="B12" s="6">
        <v>44684</v>
      </c>
      <c r="C12" s="7"/>
      <c r="D12" s="143">
        <v>112</v>
      </c>
      <c r="E12" s="143">
        <v>196</v>
      </c>
      <c r="F12" s="13">
        <f>'Suivi EAU-ELEC'!E11</f>
        <v>102.10000000000582</v>
      </c>
      <c r="G12" s="11"/>
      <c r="H12" s="168">
        <f t="shared" si="0"/>
        <v>897.45900000005111</v>
      </c>
      <c r="I12" s="169"/>
      <c r="J12" s="169"/>
      <c r="K12" s="60">
        <v>42280</v>
      </c>
      <c r="L12" s="90">
        <f>'Suivi EAU-ELEC'!G11</f>
        <v>2632</v>
      </c>
      <c r="M12" s="91">
        <f>'Suivi EAU-ELEC'!I11</f>
        <v>6108</v>
      </c>
      <c r="N12" s="91">
        <f>'Suivi EAU-ELEC'!K11</f>
        <v>2380</v>
      </c>
      <c r="O12" s="91">
        <f>L12+M12+N12</f>
        <v>11120</v>
      </c>
      <c r="P12" s="11"/>
      <c r="Q12" s="34">
        <f>L12*0.6985+M12*0.9514+N12*1.3304</f>
        <v>10815.9552</v>
      </c>
      <c r="R12" s="11"/>
      <c r="S12" s="28"/>
      <c r="T12" s="11"/>
      <c r="U12" s="28"/>
      <c r="V12" s="146">
        <f>'Suvi Gaz'!O6</f>
        <v>511.98736000000002</v>
      </c>
      <c r="W12" s="11"/>
      <c r="X12" s="34">
        <f t="shared" si="1"/>
        <v>6983.5075904000005</v>
      </c>
    </row>
    <row r="13" spans="1:24" ht="32.25" customHeight="1">
      <c r="A13" s="2"/>
      <c r="B13" s="6">
        <v>44685</v>
      </c>
      <c r="C13" s="7"/>
      <c r="D13" s="143">
        <v>142</v>
      </c>
      <c r="E13" s="143">
        <v>242</v>
      </c>
      <c r="F13" s="13">
        <f>'Suivi EAU-ELEC'!E12</f>
        <v>100.5</v>
      </c>
      <c r="G13" s="11"/>
      <c r="H13" s="168">
        <f t="shared" si="0"/>
        <v>883.39499999999987</v>
      </c>
      <c r="I13" s="169"/>
      <c r="J13" s="169"/>
      <c r="K13" s="60">
        <v>42281</v>
      </c>
      <c r="L13" s="90">
        <f>'Suivi EAU-ELEC'!G12</f>
        <v>3097</v>
      </c>
      <c r="M13" s="91">
        <f>'Suivi EAU-ELEC'!I12</f>
        <v>5439</v>
      </c>
      <c r="N13" s="91">
        <f>'Suivi EAU-ELEC'!K12</f>
        <v>2403</v>
      </c>
      <c r="O13" s="91">
        <f t="shared" ref="O13:O40" si="2">L13+M13+N13</f>
        <v>10939</v>
      </c>
      <c r="P13" s="11"/>
      <c r="Q13" s="34">
        <f t="shared" ref="Q13:Q40" si="3">L13*0.6985+M13*0.9514+N13*1.3304</f>
        <v>10534.8703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5247.5316960000009</v>
      </c>
    </row>
    <row r="14" spans="1:24" ht="32.25" customHeight="1">
      <c r="A14" s="2"/>
      <c r="B14" s="6">
        <v>44686</v>
      </c>
      <c r="C14" s="7"/>
      <c r="D14" s="143">
        <v>147</v>
      </c>
      <c r="E14" s="143">
        <v>252</v>
      </c>
      <c r="F14" s="13">
        <f>'Suivi EAU-ELEC'!E13</f>
        <v>144.29999999998836</v>
      </c>
      <c r="G14" s="12"/>
      <c r="H14" s="168">
        <f t="shared" si="0"/>
        <v>1268.3969999998976</v>
      </c>
      <c r="I14" s="169"/>
      <c r="J14" s="169"/>
      <c r="K14" s="60">
        <v>42282</v>
      </c>
      <c r="L14" s="90">
        <f>'Suivi EAU-ELEC'!G13</f>
        <v>3529</v>
      </c>
      <c r="M14" s="91">
        <f>'Suivi EAU-ELEC'!I13</f>
        <v>5843</v>
      </c>
      <c r="N14" s="91">
        <f>'Suivi EAU-ELEC'!K13</f>
        <v>2580</v>
      </c>
      <c r="O14" s="91">
        <f t="shared" si="2"/>
        <v>11952</v>
      </c>
      <c r="P14" s="12"/>
      <c r="Q14" s="34">
        <f t="shared" si="3"/>
        <v>11456.468700000001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9165.8537124000013</v>
      </c>
    </row>
    <row r="15" spans="1:24" ht="32.25" customHeight="1">
      <c r="A15" s="5"/>
      <c r="B15" s="6">
        <v>44687</v>
      </c>
      <c r="C15" s="7"/>
      <c r="D15" s="143">
        <v>155</v>
      </c>
      <c r="E15" s="143">
        <v>275</v>
      </c>
      <c r="F15" s="13">
        <f>'Suivi EAU-ELEC'!E14</f>
        <v>163.10000000000582</v>
      </c>
      <c r="G15" s="11"/>
      <c r="H15" s="168">
        <f t="shared" si="0"/>
        <v>1433.649000000051</v>
      </c>
      <c r="I15" s="169"/>
      <c r="J15" s="169"/>
      <c r="K15" s="60">
        <v>42283</v>
      </c>
      <c r="L15" s="90">
        <f>'Suivi EAU-ELEC'!G14</f>
        <v>4130</v>
      </c>
      <c r="M15" s="91">
        <f>'Suivi EAU-ELEC'!I14</f>
        <v>6816</v>
      </c>
      <c r="N15" s="91">
        <f>'Suivi EAU-ELEC'!K14</f>
        <v>3082</v>
      </c>
      <c r="O15" s="91">
        <f t="shared" si="2"/>
        <v>14028</v>
      </c>
      <c r="P15" s="12"/>
      <c r="Q15" s="34">
        <f>L15*0.6985+M15*0.9514+N15*1.3304</f>
        <v>13469.840199999999</v>
      </c>
      <c r="R15" s="12"/>
      <c r="S15" s="28"/>
      <c r="T15" s="12"/>
      <c r="U15" s="28"/>
      <c r="V15" s="146">
        <f>'Suvi Gaz'!O9</f>
        <v>543.98657000000003</v>
      </c>
      <c r="W15" s="11"/>
      <c r="X15" s="34">
        <f t="shared" si="1"/>
        <v>7419.9768148000003</v>
      </c>
    </row>
    <row r="16" spans="1:24" ht="32.25" customHeight="1">
      <c r="A16" s="5"/>
      <c r="B16" s="6">
        <v>44688</v>
      </c>
      <c r="C16" s="7"/>
      <c r="D16" s="143">
        <v>102</v>
      </c>
      <c r="E16" s="143">
        <v>156</v>
      </c>
      <c r="F16" s="13">
        <f>'Suivi EAU-ELEC'!E15</f>
        <v>127</v>
      </c>
      <c r="G16" s="11"/>
      <c r="H16" s="168">
        <f t="shared" si="0"/>
        <v>1116.33</v>
      </c>
      <c r="I16" s="169"/>
      <c r="J16" s="169"/>
      <c r="K16" s="60">
        <v>42284</v>
      </c>
      <c r="L16" s="90">
        <f>'Suivi EAU-ELEC'!G15</f>
        <v>4060</v>
      </c>
      <c r="M16" s="91">
        <f>'Suivi EAU-ELEC'!I15</f>
        <v>7136</v>
      </c>
      <c r="N16" s="91">
        <f>'Suivi EAU-ELEC'!K15</f>
        <v>2997</v>
      </c>
      <c r="O16" s="91">
        <f t="shared" si="2"/>
        <v>14193</v>
      </c>
      <c r="P16" s="11"/>
      <c r="Q16" s="34">
        <f t="shared" si="3"/>
        <v>13612.3092</v>
      </c>
      <c r="R16" s="11"/>
      <c r="S16" s="28"/>
      <c r="T16" s="11"/>
      <c r="U16" s="28"/>
      <c r="V16" s="146">
        <f>'Suvi Gaz'!O10</f>
        <v>447.98894000000001</v>
      </c>
      <c r="W16" s="11"/>
      <c r="X16" s="34">
        <f t="shared" si="1"/>
        <v>6110.5691416000009</v>
      </c>
    </row>
    <row r="17" spans="1:24" s="5" customFormat="1" ht="32.25" customHeight="1">
      <c r="A17" s="2"/>
      <c r="B17" s="6">
        <v>44689</v>
      </c>
      <c r="C17" s="7"/>
      <c r="D17" s="143">
        <v>113</v>
      </c>
      <c r="E17" s="143">
        <v>165</v>
      </c>
      <c r="F17" s="13">
        <f>'Suivi EAU-ELEC'!E16</f>
        <v>143</v>
      </c>
      <c r="G17" s="11"/>
      <c r="H17" s="168">
        <f t="shared" si="0"/>
        <v>1256.9699999999998</v>
      </c>
      <c r="I17" s="169"/>
      <c r="J17" s="169"/>
      <c r="K17" s="60">
        <v>42285</v>
      </c>
      <c r="L17" s="90">
        <f>'Suivi EAU-ELEC'!G16</f>
        <v>3016</v>
      </c>
      <c r="M17" s="91">
        <f>'Suivi EAU-ELEC'!I16</f>
        <v>7469</v>
      </c>
      <c r="N17" s="91">
        <f>'Suivi EAU-ELEC'!K16</f>
        <v>2977</v>
      </c>
      <c r="O17" s="91">
        <f t="shared" si="2"/>
        <v>13462</v>
      </c>
      <c r="P17" s="12"/>
      <c r="Q17" s="34">
        <f t="shared" si="3"/>
        <v>13173.2834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4801.1614684000006</v>
      </c>
    </row>
    <row r="18" spans="1:24" ht="32.25" customHeight="1">
      <c r="A18" s="2"/>
      <c r="B18" s="6">
        <v>44690</v>
      </c>
      <c r="C18" s="7"/>
      <c r="D18" s="143">
        <v>159</v>
      </c>
      <c r="E18" s="143">
        <v>218</v>
      </c>
      <c r="F18" s="13">
        <f>'Suivi EAU-ELEC'!E17</f>
        <v>132</v>
      </c>
      <c r="G18" s="11"/>
      <c r="H18" s="168">
        <f t="shared" si="0"/>
        <v>1160.28</v>
      </c>
      <c r="I18" s="169"/>
      <c r="J18" s="169"/>
      <c r="K18" s="60">
        <v>42286</v>
      </c>
      <c r="L18" s="90">
        <f>'Suivi EAU-ELEC'!G17</f>
        <v>4529</v>
      </c>
      <c r="M18" s="91">
        <f>'Suivi EAU-ELEC'!I17</f>
        <v>6959</v>
      </c>
      <c r="N18" s="91">
        <f>'Suivi EAU-ELEC'!K17</f>
        <v>3035</v>
      </c>
      <c r="O18" s="91">
        <f t="shared" si="2"/>
        <v>14523</v>
      </c>
      <c r="P18" s="12"/>
      <c r="Q18" s="34">
        <f t="shared" si="3"/>
        <v>13822.063099999999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3055.2845708000004</v>
      </c>
    </row>
    <row r="19" spans="1:24" ht="32.25" customHeight="1">
      <c r="A19" s="2"/>
      <c r="B19" s="6">
        <v>44691</v>
      </c>
      <c r="C19" s="7"/>
      <c r="D19" s="143">
        <v>166</v>
      </c>
      <c r="E19" s="143">
        <v>221</v>
      </c>
      <c r="F19" s="13">
        <f>'Suivi EAU-ELEC'!E18</f>
        <v>147.29999999998836</v>
      </c>
      <c r="G19" s="12"/>
      <c r="H19" s="168">
        <f t="shared" si="0"/>
        <v>1294.7669999998975</v>
      </c>
      <c r="I19" s="169"/>
      <c r="J19" s="169"/>
      <c r="K19" s="60">
        <v>42287</v>
      </c>
      <c r="L19" s="90">
        <f>'Suivi EAU-ELEC'!G18</f>
        <v>4290</v>
      </c>
      <c r="M19" s="91">
        <f>'Suivi EAU-ELEC'!I18</f>
        <v>8998</v>
      </c>
      <c r="N19" s="91">
        <f>'Suivi EAU-ELEC'!K18</f>
        <v>3221</v>
      </c>
      <c r="O19" s="91">
        <f t="shared" si="2"/>
        <v>16509</v>
      </c>
      <c r="P19" s="12"/>
      <c r="Q19" s="34">
        <f t="shared" si="3"/>
        <v>15842.480600000001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1309.4076732000001</v>
      </c>
    </row>
    <row r="20" spans="1:24" ht="32.25" customHeight="1">
      <c r="A20" s="2"/>
      <c r="B20" s="6">
        <v>44692</v>
      </c>
      <c r="C20" s="7"/>
      <c r="D20" s="143">
        <v>167</v>
      </c>
      <c r="E20" s="143">
        <v>210</v>
      </c>
      <c r="F20" s="13">
        <f>'Suivi EAU-ELEC'!E19</f>
        <v>136.40000000002328</v>
      </c>
      <c r="G20" s="12"/>
      <c r="H20" s="168">
        <f t="shared" si="0"/>
        <v>1198.9560000002045</v>
      </c>
      <c r="I20" s="169"/>
      <c r="J20" s="169"/>
      <c r="K20" s="60">
        <v>42288</v>
      </c>
      <c r="L20" s="90">
        <f>'Suivi EAU-ELEC'!G19</f>
        <v>4126</v>
      </c>
      <c r="M20" s="91">
        <f>'Suivi EAU-ELEC'!I19</f>
        <v>9650</v>
      </c>
      <c r="N20" s="91">
        <f>'Suivi EAU-ELEC'!K19</f>
        <v>3219</v>
      </c>
      <c r="O20" s="91">
        <f t="shared" si="2"/>
        <v>16995</v>
      </c>
      <c r="P20" s="12"/>
      <c r="Q20" s="34">
        <f t="shared" si="3"/>
        <v>16345.578600000001</v>
      </c>
      <c r="R20" s="12"/>
      <c r="S20" s="28"/>
      <c r="T20" s="12"/>
      <c r="U20" s="28"/>
      <c r="V20" s="146">
        <f>'Suvi Gaz'!O14</f>
        <v>511.98736000000002</v>
      </c>
      <c r="W20" s="11"/>
      <c r="X20" s="34">
        <f t="shared" si="1"/>
        <v>6983.5075904000005</v>
      </c>
    </row>
    <row r="21" spans="1:24" ht="32.25" customHeight="1">
      <c r="A21" s="2"/>
      <c r="B21" s="6">
        <v>44693</v>
      </c>
      <c r="C21" s="7"/>
      <c r="D21" s="143">
        <v>175</v>
      </c>
      <c r="E21" s="143">
        <v>248</v>
      </c>
      <c r="F21" s="13">
        <f>'Suivi EAU-ELEC'!E20</f>
        <v>197.29999999998836</v>
      </c>
      <c r="G21" s="12"/>
      <c r="H21" s="168">
        <f t="shared" si="0"/>
        <v>1734.2669999998975</v>
      </c>
      <c r="I21" s="169"/>
      <c r="J21" s="169"/>
      <c r="K21" s="60">
        <v>42289</v>
      </c>
      <c r="L21" s="90">
        <f>'Suivi EAU-ELEC'!G20</f>
        <v>3866</v>
      </c>
      <c r="M21" s="91">
        <f>'Suivi EAU-ELEC'!I20</f>
        <v>7644</v>
      </c>
      <c r="N21" s="91">
        <f>'Suivi EAU-ELEC'!K20</f>
        <v>2794</v>
      </c>
      <c r="O21" s="91">
        <f>L21+M21+N21</f>
        <v>14304</v>
      </c>
      <c r="P21" s="12"/>
      <c r="Q21" s="34">
        <f t="shared" si="3"/>
        <v>13690.040200000001</v>
      </c>
      <c r="R21" s="12"/>
      <c r="S21" s="28"/>
      <c r="T21" s="12"/>
      <c r="U21" s="28"/>
      <c r="V21" s="146">
        <f>'Suvi Gaz'!O15</f>
        <v>319.99209999999999</v>
      </c>
      <c r="W21" s="11"/>
      <c r="X21" s="34">
        <f t="shared" si="1"/>
        <v>4364.6922439999998</v>
      </c>
    </row>
    <row r="22" spans="1:24" ht="32.25" customHeight="1">
      <c r="A22" s="2"/>
      <c r="B22" s="6">
        <v>44694</v>
      </c>
      <c r="C22" s="7"/>
      <c r="D22" s="143">
        <v>143</v>
      </c>
      <c r="E22" s="143">
        <v>219</v>
      </c>
      <c r="F22" s="13">
        <f>'Suivi EAU-ELEC'!E21</f>
        <v>279.79999999998836</v>
      </c>
      <c r="G22" s="12"/>
      <c r="H22" s="168">
        <f t="shared" ref="H22:H35" si="4">F22*8.79</f>
        <v>2459.4419999998972</v>
      </c>
      <c r="I22" s="169"/>
      <c r="J22" s="169"/>
      <c r="K22" s="60">
        <v>42290</v>
      </c>
      <c r="L22" s="90">
        <f>'Suivi EAU-ELEC'!G21</f>
        <v>4267</v>
      </c>
      <c r="M22" s="91">
        <f>'Suivi EAU-ELEC'!I21</f>
        <v>8132</v>
      </c>
      <c r="N22" s="91">
        <f>'Suivi EAU-ELEC'!K21</f>
        <v>3421</v>
      </c>
      <c r="O22" s="91">
        <f t="shared" si="2"/>
        <v>15820</v>
      </c>
      <c r="P22" s="12"/>
      <c r="Q22" s="34">
        <f t="shared" si="3"/>
        <v>15268.582699999999</v>
      </c>
      <c r="R22" s="12"/>
      <c r="S22" s="28"/>
      <c r="T22" s="12"/>
      <c r="U22" s="28"/>
      <c r="V22" s="146">
        <f>'Suvi Gaz'!O16</f>
        <v>383.99052</v>
      </c>
      <c r="W22" s="11"/>
      <c r="X22" s="34">
        <f t="shared" si="1"/>
        <v>5237.6306928000004</v>
      </c>
    </row>
    <row r="23" spans="1:24" ht="32.25" customHeight="1">
      <c r="A23" s="2"/>
      <c r="B23" s="6">
        <v>44695</v>
      </c>
      <c r="C23" s="7"/>
      <c r="D23" s="143">
        <v>132</v>
      </c>
      <c r="E23" s="143">
        <v>222</v>
      </c>
      <c r="F23" s="13">
        <f>'Suivi EAU-ELEC'!E22</f>
        <v>169.5</v>
      </c>
      <c r="G23" s="14"/>
      <c r="H23" s="168">
        <f t="shared" si="4"/>
        <v>1489.9049999999997</v>
      </c>
      <c r="I23" s="169"/>
      <c r="J23" s="169"/>
      <c r="K23" s="60">
        <v>42291</v>
      </c>
      <c r="L23" s="90">
        <f>'Suivi EAU-ELEC'!G22</f>
        <v>3821</v>
      </c>
      <c r="M23" s="91">
        <f>'Suivi EAU-ELEC'!I22</f>
        <v>8714</v>
      </c>
      <c r="N23" s="91">
        <f>'Suivi EAU-ELEC'!K22</f>
        <v>3162</v>
      </c>
      <c r="O23" s="91">
        <f>L23+M23+N23</f>
        <v>15697</v>
      </c>
      <c r="P23" s="12"/>
      <c r="Q23" s="34">
        <f>L23*0.6985+M23*0.9514+N23*1.3304</f>
        <v>15166.192900000002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5674.0999172000002</v>
      </c>
    </row>
    <row r="24" spans="1:24" ht="32.25" customHeight="1">
      <c r="A24" s="2"/>
      <c r="B24" s="6">
        <v>44696</v>
      </c>
      <c r="C24" s="7"/>
      <c r="D24" s="143">
        <v>134</v>
      </c>
      <c r="E24" s="143">
        <v>210</v>
      </c>
      <c r="F24" s="13">
        <f>'Suivi EAU-ELEC'!E23</f>
        <v>192.70000000001164</v>
      </c>
      <c r="G24" s="14"/>
      <c r="H24" s="168">
        <f t="shared" si="4"/>
        <v>1693.8330000001022</v>
      </c>
      <c r="I24" s="169"/>
      <c r="J24" s="169"/>
      <c r="K24" s="60">
        <v>42292</v>
      </c>
      <c r="L24" s="90">
        <f>'Suivi EAU-ELEC'!G23</f>
        <v>4667</v>
      </c>
      <c r="M24" s="91">
        <f>'Suivi EAU-ELEC'!I23</f>
        <v>7739</v>
      </c>
      <c r="N24" s="91">
        <f>'Suivi EAU-ELEC'!K23</f>
        <v>2958</v>
      </c>
      <c r="O24" s="91">
        <f>L24+M24+N24</f>
        <v>15364</v>
      </c>
      <c r="P24" s="12"/>
      <c r="Q24" s="34">
        <f>L24*0.6985+M24*0.9514+N24*1.3304</f>
        <v>14558.107300000001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3055.2845708000004</v>
      </c>
    </row>
    <row r="25" spans="1:24" ht="32.25" customHeight="1">
      <c r="A25" s="2"/>
      <c r="B25" s="6">
        <v>44697</v>
      </c>
      <c r="C25" s="7"/>
      <c r="D25" s="143">
        <v>132</v>
      </c>
      <c r="E25" s="143">
        <v>191</v>
      </c>
      <c r="F25" s="13">
        <f>'Suivi EAU-ELEC'!E24</f>
        <v>125</v>
      </c>
      <c r="G25" s="14"/>
      <c r="H25" s="168">
        <f t="shared" si="4"/>
        <v>1098.75</v>
      </c>
      <c r="I25" s="169"/>
      <c r="J25" s="169"/>
      <c r="K25" s="60">
        <v>42293</v>
      </c>
      <c r="L25" s="90">
        <f>'Suivi EAU-ELEC'!G24</f>
        <v>3990</v>
      </c>
      <c r="M25" s="91">
        <f>'Suivi EAU-ELEC'!I24</f>
        <v>8053</v>
      </c>
      <c r="N25" s="91">
        <f>'Suivi EAU-ELEC'!K24</f>
        <v>3416</v>
      </c>
      <c r="O25" s="91">
        <f>L25+M25+N25</f>
        <v>15459</v>
      </c>
      <c r="P25" s="12"/>
      <c r="Q25" s="34">
        <f>L25*0.6985+M25*0.9514+N25*1.3304</f>
        <v>14993.285599999999</v>
      </c>
      <c r="R25" s="12"/>
      <c r="S25" s="28"/>
      <c r="T25" s="14"/>
      <c r="U25" s="28"/>
      <c r="V25" s="146">
        <f>'Suvi Gaz'!O19</f>
        <v>415.98973000000001</v>
      </c>
      <c r="W25" s="11"/>
      <c r="X25" s="34">
        <f t="shared" si="1"/>
        <v>5674.0999172000002</v>
      </c>
    </row>
    <row r="26" spans="1:24" ht="32.25" customHeight="1">
      <c r="A26" s="2"/>
      <c r="B26" s="6">
        <v>44698</v>
      </c>
      <c r="C26" s="7"/>
      <c r="D26" s="143">
        <v>171</v>
      </c>
      <c r="E26" s="143">
        <v>254</v>
      </c>
      <c r="F26" s="13">
        <f>'Suivi EAU-ELEC'!E25</f>
        <v>154</v>
      </c>
      <c r="G26" s="14"/>
      <c r="H26" s="168">
        <f t="shared" si="4"/>
        <v>1353.6599999999999</v>
      </c>
      <c r="I26" s="169"/>
      <c r="J26" s="169"/>
      <c r="K26" s="60">
        <v>42294</v>
      </c>
      <c r="L26" s="90">
        <f>'Suivi EAU-ELEC'!G25</f>
        <v>4394</v>
      </c>
      <c r="M26" s="91">
        <f>'Suivi EAU-ELEC'!I25</f>
        <v>9955</v>
      </c>
      <c r="N26" s="91">
        <f>'Suivi EAU-ELEC'!K25</f>
        <v>3639</v>
      </c>
      <c r="O26" s="91">
        <f>L26+M26+N26</f>
        <v>17988</v>
      </c>
      <c r="P26" s="14"/>
      <c r="Q26" s="34">
        <f>L26*0.6985+M26*0.9514+N26*1.3304</f>
        <v>17381.721600000001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3491.7537952000002</v>
      </c>
    </row>
    <row r="27" spans="1:24" ht="32.25" customHeight="1">
      <c r="A27" s="2"/>
      <c r="B27" s="6">
        <v>44699</v>
      </c>
      <c r="C27" s="7"/>
      <c r="D27" s="143">
        <v>164</v>
      </c>
      <c r="E27" s="143">
        <v>239</v>
      </c>
      <c r="F27" s="13">
        <f>'Suivi EAU-ELEC'!E26</f>
        <v>135</v>
      </c>
      <c r="G27" s="14"/>
      <c r="H27" s="168">
        <f t="shared" si="4"/>
        <v>1186.6499999999999</v>
      </c>
      <c r="I27" s="169"/>
      <c r="J27" s="169"/>
      <c r="K27" s="60">
        <v>42295</v>
      </c>
      <c r="L27" s="90">
        <f>'Suivi EAU-ELEC'!G26</f>
        <v>4620</v>
      </c>
      <c r="M27" s="91">
        <f>'Suivi EAU-ELEC'!I26</f>
        <v>10437</v>
      </c>
      <c r="N27" s="91">
        <f>'Suivi EAU-ELEC'!K26</f>
        <v>3980</v>
      </c>
      <c r="O27" s="91">
        <f t="shared" si="2"/>
        <v>19037</v>
      </c>
      <c r="P27" s="14"/>
      <c r="Q27" s="34">
        <f t="shared" si="3"/>
        <v>18451.823799999998</v>
      </c>
      <c r="R27" s="14"/>
      <c r="S27" s="28"/>
      <c r="T27" s="14"/>
      <c r="U27" s="28"/>
      <c r="V27" s="146">
        <f>'Suvi Gaz'!O21</f>
        <v>95.997630000000001</v>
      </c>
      <c r="W27" s="11"/>
      <c r="X27" s="34">
        <f t="shared" si="1"/>
        <v>1309.4076732000001</v>
      </c>
    </row>
    <row r="28" spans="1:24" ht="32.25" customHeight="1">
      <c r="A28" s="2"/>
      <c r="B28" s="6">
        <v>44700</v>
      </c>
      <c r="C28" s="7"/>
      <c r="D28" s="143">
        <v>135</v>
      </c>
      <c r="E28" s="143">
        <v>202</v>
      </c>
      <c r="F28" s="13">
        <f>'Suivi EAU-ELEC'!E27</f>
        <v>143</v>
      </c>
      <c r="G28" s="11"/>
      <c r="H28" s="168">
        <f t="shared" si="4"/>
        <v>1256.9699999999998</v>
      </c>
      <c r="I28" s="169"/>
      <c r="J28" s="169"/>
      <c r="K28" s="60">
        <v>42296</v>
      </c>
      <c r="L28" s="90">
        <f>'Suivi EAU-ELEC'!G27</f>
        <v>4184</v>
      </c>
      <c r="M28" s="91">
        <f>'Suivi EAU-ELEC'!I27</f>
        <v>9661</v>
      </c>
      <c r="N28" s="91">
        <f>'Suivi EAU-ELEC'!K27</f>
        <v>3426</v>
      </c>
      <c r="O28" s="91">
        <f t="shared" si="2"/>
        <v>17271</v>
      </c>
      <c r="P28" s="11"/>
      <c r="Q28" s="34">
        <f>L28*0.6985+M28*0.9514+N28*1.3304</f>
        <v>16671.949799999999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3055.2845708000004</v>
      </c>
    </row>
    <row r="29" spans="1:24" ht="32.25" customHeight="1">
      <c r="A29" s="2"/>
      <c r="B29" s="6">
        <v>44701</v>
      </c>
      <c r="C29" s="7"/>
      <c r="D29" s="143">
        <v>145</v>
      </c>
      <c r="E29" s="143">
        <v>240</v>
      </c>
      <c r="F29" s="13">
        <f>'Suivi EAU-ELEC'!E28</f>
        <v>127.10000000000582</v>
      </c>
      <c r="G29" s="11"/>
      <c r="H29" s="168">
        <f t="shared" si="4"/>
        <v>1117.209000000051</v>
      </c>
      <c r="I29" s="169"/>
      <c r="J29" s="169"/>
      <c r="K29" s="60">
        <v>42297</v>
      </c>
      <c r="L29" s="90">
        <f>'Suivi EAU-ELEC'!G28</f>
        <v>3859</v>
      </c>
      <c r="M29" s="91">
        <f>'Suivi EAU-ELEC'!I28</f>
        <v>9928</v>
      </c>
      <c r="N29" s="91">
        <f>'Suivi EAU-ELEC'!K28</f>
        <v>3507</v>
      </c>
      <c r="O29" s="91">
        <f>L29+M29+N29</f>
        <v>17294</v>
      </c>
      <c r="P29" s="11"/>
      <c r="Q29" s="34">
        <f t="shared" si="3"/>
        <v>16806.7235</v>
      </c>
      <c r="R29" s="11"/>
      <c r="S29" s="28"/>
      <c r="T29" s="11"/>
      <c r="U29" s="28"/>
      <c r="V29" s="146">
        <f>'Suvi Gaz'!O23</f>
        <v>447.98894000000001</v>
      </c>
      <c r="W29" s="11"/>
      <c r="X29" s="34">
        <f t="shared" si="1"/>
        <v>6110.5691416000009</v>
      </c>
    </row>
    <row r="30" spans="1:24" ht="32.25" customHeight="1">
      <c r="A30" s="2"/>
      <c r="B30" s="6">
        <v>44702</v>
      </c>
      <c r="C30" s="7"/>
      <c r="D30" s="143">
        <v>144</v>
      </c>
      <c r="E30" s="143">
        <v>245</v>
      </c>
      <c r="F30" s="13">
        <f>'Suivi EAU-ELEC'!E29</f>
        <v>141.19999999998254</v>
      </c>
      <c r="G30" s="11"/>
      <c r="H30" s="168">
        <f t="shared" si="4"/>
        <v>1241.1479999998464</v>
      </c>
      <c r="I30" s="169"/>
      <c r="J30" s="169"/>
      <c r="K30" s="60">
        <v>42298</v>
      </c>
      <c r="L30" s="90">
        <f>'Suivi EAU-ELEC'!G29</f>
        <v>4574</v>
      </c>
      <c r="M30" s="91">
        <f>'Suivi EAU-ELEC'!I29</f>
        <v>9336</v>
      </c>
      <c r="N30" s="91">
        <f>'Suivi EAU-ELEC'!K29</f>
        <v>3310</v>
      </c>
      <c r="O30" s="91">
        <f>L30+M30+N30</f>
        <v>17220</v>
      </c>
      <c r="P30" s="11"/>
      <c r="Q30" s="34">
        <f>L30*0.6985+M30*0.9514+N30*1.3304</f>
        <v>16480.8334</v>
      </c>
      <c r="R30" s="11"/>
      <c r="S30" s="28"/>
      <c r="T30" s="11"/>
      <c r="U30" s="28"/>
      <c r="V30" s="146">
        <f>'Suvi Gaz'!O24</f>
        <v>95.997630000000001</v>
      </c>
      <c r="W30" s="11"/>
      <c r="X30" s="34">
        <f t="shared" si="1"/>
        <v>1309.4076732000001</v>
      </c>
    </row>
    <row r="31" spans="1:24" ht="27.75" customHeight="1">
      <c r="A31" s="2"/>
      <c r="B31" s="6">
        <v>44703</v>
      </c>
      <c r="C31" s="7"/>
      <c r="D31" s="143">
        <v>159</v>
      </c>
      <c r="E31" s="143">
        <v>242</v>
      </c>
      <c r="F31" s="13">
        <f>'Suivi EAU-ELEC'!E30</f>
        <v>155.70000000001164</v>
      </c>
      <c r="G31" s="11"/>
      <c r="H31" s="168">
        <f t="shared" si="4"/>
        <v>1368.6030000001022</v>
      </c>
      <c r="I31" s="169"/>
      <c r="J31" s="169"/>
      <c r="K31" s="60">
        <v>42299</v>
      </c>
      <c r="L31" s="90">
        <f>'Suivi EAU-ELEC'!G30</f>
        <v>5171</v>
      </c>
      <c r="M31" s="91">
        <f>'Suivi EAU-ELEC'!I30</f>
        <v>9346</v>
      </c>
      <c r="N31" s="91">
        <f>'Suivi EAU-ELEC'!K30</f>
        <v>4338</v>
      </c>
      <c r="O31" s="91">
        <f>L31+M31+N31</f>
        <v>18855</v>
      </c>
      <c r="P31" s="11"/>
      <c r="Q31" s="34">
        <f>L31*0.6985+M31*0.9514+N31*1.3304</f>
        <v>18275.003100000002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2618.8153464000002</v>
      </c>
    </row>
    <row r="32" spans="1:24" ht="37.5" customHeight="1">
      <c r="A32" s="2"/>
      <c r="B32" s="6">
        <v>44704</v>
      </c>
      <c r="C32" s="7"/>
      <c r="D32" s="143">
        <v>177</v>
      </c>
      <c r="E32" s="143">
        <v>244</v>
      </c>
      <c r="F32" s="13">
        <f>'Suivi EAU-ELEC'!E31</f>
        <v>135</v>
      </c>
      <c r="G32" s="11"/>
      <c r="H32" s="168">
        <f t="shared" si="4"/>
        <v>1186.6499999999999</v>
      </c>
      <c r="I32" s="169"/>
      <c r="J32" s="169"/>
      <c r="K32" s="60">
        <v>42300</v>
      </c>
      <c r="L32" s="90">
        <f>'Suivi EAU-ELEC'!G31</f>
        <v>4812</v>
      </c>
      <c r="M32" s="91">
        <f>'Suivi EAU-ELEC'!I31</f>
        <v>7696</v>
      </c>
      <c r="N32" s="91">
        <f>'Suivi EAU-ELEC'!K31</f>
        <v>3129</v>
      </c>
      <c r="O32" s="91">
        <f t="shared" si="2"/>
        <v>15637</v>
      </c>
      <c r="P32" s="11"/>
      <c r="Q32" s="34">
        <f t="shared" si="3"/>
        <v>14845.977999999999</v>
      </c>
      <c r="R32" s="11"/>
      <c r="S32" s="28"/>
      <c r="T32" s="11"/>
      <c r="U32" s="28"/>
      <c r="V32" s="146">
        <f>'Suvi Gaz'!O26</f>
        <v>447.98894000000001</v>
      </c>
      <c r="W32" s="11"/>
      <c r="X32" s="34">
        <f t="shared" si="1"/>
        <v>6110.5691416000009</v>
      </c>
    </row>
    <row r="33" spans="1:24" ht="37.5" customHeight="1">
      <c r="A33" s="2"/>
      <c r="B33" s="6">
        <v>44705</v>
      </c>
      <c r="C33" s="7"/>
      <c r="D33" s="143">
        <v>173</v>
      </c>
      <c r="E33" s="143">
        <v>229</v>
      </c>
      <c r="F33" s="13">
        <f>'Suivi EAU-ELEC'!E32</f>
        <v>143</v>
      </c>
      <c r="G33" s="11"/>
      <c r="H33" s="168">
        <f t="shared" si="4"/>
        <v>1256.9699999999998</v>
      </c>
      <c r="I33" s="169"/>
      <c r="J33" s="169"/>
      <c r="K33" s="60">
        <v>42301</v>
      </c>
      <c r="L33" s="90">
        <f>'Suivi EAU-ELEC'!G32</f>
        <v>3977</v>
      </c>
      <c r="M33" s="91">
        <f>'Suivi EAU-ELEC'!I32</f>
        <v>7910</v>
      </c>
      <c r="N33" s="91">
        <f>'Suivi EAU-ELEC'!K32</f>
        <v>3199</v>
      </c>
      <c r="O33" s="91">
        <f t="shared" si="2"/>
        <v>15086</v>
      </c>
      <c r="P33" s="11"/>
      <c r="Q33" s="34">
        <f t="shared" si="3"/>
        <v>14559.4581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3055.2845708000004</v>
      </c>
    </row>
    <row r="34" spans="1:24" ht="37.5" customHeight="1">
      <c r="A34" s="2"/>
      <c r="B34" s="6">
        <v>44706</v>
      </c>
      <c r="C34" s="7"/>
      <c r="D34" s="143">
        <v>177</v>
      </c>
      <c r="E34" s="143">
        <v>256</v>
      </c>
      <c r="F34" s="13">
        <f>'Suivi EAU-ELEC'!E33</f>
        <v>139.79999999998836</v>
      </c>
      <c r="G34" s="11"/>
      <c r="H34" s="168">
        <f t="shared" si="4"/>
        <v>1228.8419999998976</v>
      </c>
      <c r="I34" s="169"/>
      <c r="J34" s="169"/>
      <c r="K34" s="60">
        <v>42302</v>
      </c>
      <c r="L34" s="90">
        <f>'Suivi EAU-ELEC'!G33</f>
        <v>3827</v>
      </c>
      <c r="M34" s="91">
        <f>'Suivi EAU-ELEC'!I33</f>
        <v>7510</v>
      </c>
      <c r="N34" s="91">
        <f>'Suivi EAU-ELEC'!K33</f>
        <v>3045</v>
      </c>
      <c r="O34" s="91">
        <f t="shared" si="2"/>
        <v>14382</v>
      </c>
      <c r="P34" s="11"/>
      <c r="Q34" s="34">
        <f t="shared" si="3"/>
        <v>13869.2415</v>
      </c>
      <c r="R34" s="11"/>
      <c r="S34" s="28"/>
      <c r="T34" s="11"/>
      <c r="U34" s="28"/>
      <c r="V34" s="146">
        <f>'Suvi Gaz'!O28</f>
        <v>575.98577999999998</v>
      </c>
      <c r="W34" s="11"/>
      <c r="X34" s="34">
        <f t="shared" si="1"/>
        <v>7856.4460392000001</v>
      </c>
    </row>
    <row r="35" spans="1:24" ht="33.75" customHeight="1">
      <c r="A35" s="2"/>
      <c r="B35" s="6">
        <v>44707</v>
      </c>
      <c r="C35" s="7"/>
      <c r="D35" s="143">
        <v>168</v>
      </c>
      <c r="E35" s="143">
        <v>264</v>
      </c>
      <c r="F35" s="13">
        <f>'Suivi EAU-ELEC'!E34</f>
        <v>130.90000000002328</v>
      </c>
      <c r="G35" s="11"/>
      <c r="H35" s="168">
        <f t="shared" si="4"/>
        <v>1150.6110000002045</v>
      </c>
      <c r="I35" s="169"/>
      <c r="J35" s="169"/>
      <c r="K35" s="60">
        <v>42303</v>
      </c>
      <c r="L35" s="90">
        <f>'Suivi EAU-ELEC'!G34</f>
        <v>4004</v>
      </c>
      <c r="M35" s="91">
        <f>'Suivi EAU-ELEC'!I34</f>
        <v>7985</v>
      </c>
      <c r="N35" s="91">
        <f>'Suivi EAU-ELEC'!K34</f>
        <v>3118</v>
      </c>
      <c r="O35" s="91">
        <f t="shared" si="2"/>
        <v>15107</v>
      </c>
      <c r="P35" s="11"/>
      <c r="Q35" s="34">
        <f t="shared" si="3"/>
        <v>14541.9102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1745.8768976000001</v>
      </c>
    </row>
    <row r="36" spans="1:24" ht="33.75" customHeight="1">
      <c r="A36" s="2"/>
      <c r="B36" s="6">
        <v>44708</v>
      </c>
      <c r="C36" s="7"/>
      <c r="D36" s="143">
        <v>165</v>
      </c>
      <c r="E36" s="143">
        <v>269</v>
      </c>
      <c r="F36" s="13">
        <f>'Suivi EAU-ELEC'!E35</f>
        <v>158.29999999998836</v>
      </c>
      <c r="G36" s="11"/>
      <c r="H36" s="168">
        <f t="shared" ref="H36:H37" si="5">F36*8.79</f>
        <v>1391.4569999998976</v>
      </c>
      <c r="I36" s="169"/>
      <c r="J36" s="169"/>
      <c r="K36" s="60"/>
      <c r="L36" s="90">
        <f>'Suivi EAU-ELEC'!G35</f>
        <v>4725</v>
      </c>
      <c r="M36" s="91">
        <f>'Suivi EAU-ELEC'!I35</f>
        <v>10489</v>
      </c>
      <c r="N36" s="91">
        <f>'Suivi EAU-ELEC'!K35</f>
        <v>3966</v>
      </c>
      <c r="O36" s="91">
        <f t="shared" si="2"/>
        <v>19180</v>
      </c>
      <c r="P36" s="11"/>
      <c r="Q36" s="34">
        <f t="shared" si="3"/>
        <v>18556.013500000001</v>
      </c>
      <c r="R36" s="11"/>
      <c r="S36" s="28"/>
      <c r="T36" s="11"/>
      <c r="U36" s="28"/>
      <c r="V36" s="146">
        <f>'Suvi Gaz'!O30</f>
        <v>479.98815000000002</v>
      </c>
      <c r="W36" s="11"/>
      <c r="X36" s="34">
        <f t="shared" si="1"/>
        <v>6547.0383660000007</v>
      </c>
    </row>
    <row r="37" spans="1:24" ht="33.75" customHeight="1">
      <c r="A37" s="2"/>
      <c r="B37" s="6">
        <v>44709</v>
      </c>
      <c r="C37" s="7"/>
      <c r="D37" s="143">
        <v>147</v>
      </c>
      <c r="E37" s="143">
        <v>263</v>
      </c>
      <c r="F37" s="13">
        <f>'Suivi EAU-ELEC'!E36</f>
        <v>159</v>
      </c>
      <c r="G37" s="11"/>
      <c r="H37" s="168">
        <f t="shared" si="5"/>
        <v>1397.61</v>
      </c>
      <c r="I37" s="169"/>
      <c r="J37" s="169"/>
      <c r="K37" s="60"/>
      <c r="L37" s="90">
        <f>'Suivi EAU-ELEC'!G36</f>
        <v>5121</v>
      </c>
      <c r="M37" s="91">
        <f>'Suivi EAU-ELEC'!I36</f>
        <v>10040</v>
      </c>
      <c r="N37" s="91">
        <f>'Suivi EAU-ELEC'!K36</f>
        <v>4107</v>
      </c>
      <c r="O37" s="91">
        <f>L37+M37+N37</f>
        <v>19268</v>
      </c>
      <c r="P37" s="11"/>
      <c r="Q37" s="34">
        <f>L37*0.6985+M37*0.9514+N37*1.3304</f>
        <v>18593.027300000002</v>
      </c>
      <c r="R37" s="11"/>
      <c r="S37" s="28"/>
      <c r="T37" s="11"/>
      <c r="U37" s="28"/>
      <c r="V37" s="146">
        <f>'Suvi Gaz'!O31</f>
        <v>479.98815000000002</v>
      </c>
      <c r="W37" s="11"/>
      <c r="X37" s="34">
        <f t="shared" si="1"/>
        <v>6547.0383660000007</v>
      </c>
    </row>
    <row r="38" spans="1:24" ht="33.75" customHeight="1">
      <c r="A38" s="2"/>
      <c r="B38" s="6">
        <v>44710</v>
      </c>
      <c r="C38" s="7"/>
      <c r="D38" s="143">
        <v>148</v>
      </c>
      <c r="E38" s="143">
        <v>213</v>
      </c>
      <c r="F38" s="13">
        <f>'Suivi EAU-ELEC'!E37</f>
        <v>161</v>
      </c>
      <c r="G38" s="11"/>
      <c r="H38" s="168">
        <f>F38*8.79</f>
        <v>1415.1899999999998</v>
      </c>
      <c r="I38" s="169"/>
      <c r="J38" s="169"/>
      <c r="K38" s="60">
        <v>42304</v>
      </c>
      <c r="L38" s="90">
        <f>'Suivi EAU-ELEC'!G37</f>
        <v>4349</v>
      </c>
      <c r="M38" s="91">
        <f>'Suivi EAU-ELEC'!I37</f>
        <v>9912</v>
      </c>
      <c r="N38" s="91">
        <f>'Suivi EAU-ELEC'!K37</f>
        <v>3601</v>
      </c>
      <c r="O38" s="91">
        <f>L38+M38+N38</f>
        <v>17862</v>
      </c>
      <c r="P38" s="11"/>
      <c r="Q38" s="34">
        <f>L38*0.6985+M38*0.9514+N38*1.3304</f>
        <v>17258.823700000001</v>
      </c>
      <c r="R38" s="11"/>
      <c r="S38" s="28"/>
      <c r="T38" s="11"/>
      <c r="U38" s="28"/>
      <c r="V38" s="146">
        <f>'Suvi Gaz'!O32</f>
        <v>351.99131</v>
      </c>
      <c r="W38" s="11"/>
      <c r="X38" s="34">
        <f t="shared" si="1"/>
        <v>4801.1614684000006</v>
      </c>
    </row>
    <row r="39" spans="1:24" ht="33.75" customHeight="1">
      <c r="A39" s="2"/>
      <c r="B39" s="6">
        <v>44711</v>
      </c>
      <c r="C39" s="7"/>
      <c r="D39" s="143"/>
      <c r="E39" s="143"/>
      <c r="F39" s="13">
        <f>'Suivi EAU-ELEC'!E38</f>
        <v>140</v>
      </c>
      <c r="G39" s="11"/>
      <c r="H39" s="168">
        <f>F39*8.79</f>
        <v>1230.5999999999999</v>
      </c>
      <c r="I39" s="169"/>
      <c r="J39" s="169"/>
      <c r="K39" s="60"/>
      <c r="L39" s="90">
        <f>'Suivi EAU-ELEC'!G38</f>
        <v>4151</v>
      </c>
      <c r="M39" s="91">
        <f>'Suivi EAU-ELEC'!I38</f>
        <v>9405</v>
      </c>
      <c r="N39" s="91">
        <f>'Suivi EAU-ELEC'!K38</f>
        <v>3784</v>
      </c>
      <c r="O39" s="91">
        <f t="shared" ref="O39:O40" si="6">L39+M39+N39</f>
        <v>17340</v>
      </c>
      <c r="P39" s="11"/>
      <c r="Q39" s="34">
        <f t="shared" ref="Q39:Q41" si="7">L39*0.6985+M39*0.9514+N39*1.3304</f>
        <v>16881.624100000001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44712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4262</v>
      </c>
      <c r="E41" s="8">
        <f>SUM(E10:E40)</f>
        <v>6548</v>
      </c>
      <c r="F41" s="152">
        <f>SUM(F10:F40)</f>
        <v>4396</v>
      </c>
      <c r="G41" s="1"/>
      <c r="H41" s="249">
        <f>SUM(H10:H40)</f>
        <v>38640.840000000011</v>
      </c>
      <c r="I41" s="250"/>
      <c r="J41" s="251"/>
      <c r="K41" s="1"/>
      <c r="L41" s="53">
        <f>SUM(L10:L40)</f>
        <v>122289</v>
      </c>
      <c r="M41" s="53">
        <f>SUM(M10:M40)</f>
        <v>245546</v>
      </c>
      <c r="N41" s="54">
        <f>SUM(N10:N40)</f>
        <v>96867</v>
      </c>
      <c r="O41" s="55">
        <f>SUM(O10:O40)</f>
        <v>464702</v>
      </c>
      <c r="P41" s="31"/>
      <c r="Q41" s="34">
        <f t="shared" si="7"/>
        <v>447903.18770000001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10240.473079999998</v>
      </c>
      <c r="W41" s="31"/>
      <c r="X41" s="32">
        <f>SUM(X10:X40)</f>
        <v>139680.05281120003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122289</v>
      </c>
      <c r="J44" s="210"/>
      <c r="K44" s="211"/>
      <c r="L44" s="170">
        <f>I44*H44</f>
        <v>85418.866500000004</v>
      </c>
      <c r="M44" s="171"/>
      <c r="N44" s="227">
        <f>L44+L45+L46</f>
        <v>447903.18770000001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245546</v>
      </c>
      <c r="J45" s="210"/>
      <c r="K45" s="211"/>
      <c r="L45" s="170">
        <f>I45*H45</f>
        <v>233612.4644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96867</v>
      </c>
      <c r="J46" s="241"/>
      <c r="K46" s="242"/>
      <c r="L46" s="170">
        <f>I46*H46</f>
        <v>128871.85680000001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582274.14401000005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4396</v>
      </c>
      <c r="J48" s="202"/>
      <c r="K48" s="203"/>
      <c r="L48" s="207">
        <f>I48*H48</f>
        <v>38640.839999999997</v>
      </c>
      <c r="M48" s="208"/>
      <c r="N48" s="224">
        <f>L48</f>
        <v>38640.839999999997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13.64</v>
      </c>
      <c r="I49" s="199">
        <f>V41</f>
        <v>10240.473079999998</v>
      </c>
      <c r="J49" s="239"/>
      <c r="K49" s="200"/>
      <c r="L49" s="199">
        <f>I49*H49</f>
        <v>139680.05281119997</v>
      </c>
      <c r="M49" s="200"/>
      <c r="N49" s="221">
        <f>L49</f>
        <v>139680.05281119997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3" activePane="bottomRight" state="frozen"/>
      <selection pane="bottomRight" activeCell="B36" sqref="B36:K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44682</v>
      </c>
      <c r="B9" s="116">
        <v>2560</v>
      </c>
      <c r="C9" s="115">
        <v>0</v>
      </c>
      <c r="D9" s="57">
        <v>143745</v>
      </c>
      <c r="E9" s="50">
        <v>112</v>
      </c>
      <c r="F9" s="51">
        <v>11716956</v>
      </c>
      <c r="G9" s="50">
        <v>3256</v>
      </c>
      <c r="H9" s="51">
        <v>19848066</v>
      </c>
      <c r="I9" s="50">
        <v>5659</v>
      </c>
      <c r="J9" s="51">
        <v>8727820</v>
      </c>
      <c r="K9" s="50">
        <v>2563</v>
      </c>
    </row>
    <row r="10" spans="1:12" ht="19.5">
      <c r="A10" s="59">
        <v>44683</v>
      </c>
      <c r="B10" s="116">
        <v>2560</v>
      </c>
      <c r="C10" s="115">
        <f>B10-B9</f>
        <v>0</v>
      </c>
      <c r="D10" s="57">
        <v>143846</v>
      </c>
      <c r="E10" s="50">
        <f>D10-D9</f>
        <v>101</v>
      </c>
      <c r="F10" s="51">
        <v>11720201</v>
      </c>
      <c r="G10" s="50">
        <f>F10-F9</f>
        <v>3245</v>
      </c>
      <c r="H10" s="51">
        <v>19853643</v>
      </c>
      <c r="I10" s="50">
        <f>H10-H9</f>
        <v>5577</v>
      </c>
      <c r="J10" s="51">
        <v>8730330</v>
      </c>
      <c r="K10" s="50">
        <f>J10-J9</f>
        <v>2510</v>
      </c>
    </row>
    <row r="11" spans="1:12" ht="19.5">
      <c r="A11" s="59">
        <v>44684</v>
      </c>
      <c r="B11" s="116">
        <v>2560</v>
      </c>
      <c r="C11" s="115">
        <f t="shared" ref="C11:C38" si="0">B11-B10</f>
        <v>0</v>
      </c>
      <c r="D11" s="57">
        <v>143948.1</v>
      </c>
      <c r="E11" s="50">
        <f t="shared" ref="E11:E38" si="1">D11-D10</f>
        <v>102.10000000000582</v>
      </c>
      <c r="F11" s="51">
        <v>11722833</v>
      </c>
      <c r="G11" s="50">
        <f t="shared" ref="G11:G38" si="2">F11-F10</f>
        <v>2632</v>
      </c>
      <c r="H11" s="51">
        <v>19859751</v>
      </c>
      <c r="I11" s="50">
        <f t="shared" ref="I11:I38" si="3">H11-H10</f>
        <v>6108</v>
      </c>
      <c r="J11" s="51">
        <v>8732710</v>
      </c>
      <c r="K11" s="50">
        <f t="shared" ref="K11:K38" si="4">J11-J10</f>
        <v>2380</v>
      </c>
    </row>
    <row r="12" spans="1:12" ht="19.5">
      <c r="A12" s="59">
        <v>44685</v>
      </c>
      <c r="B12" s="116">
        <v>2560</v>
      </c>
      <c r="C12" s="115">
        <f t="shared" si="0"/>
        <v>0</v>
      </c>
      <c r="D12" s="57">
        <v>144048.6</v>
      </c>
      <c r="E12" s="50">
        <f t="shared" si="1"/>
        <v>100.5</v>
      </c>
      <c r="F12" s="51">
        <v>11725930</v>
      </c>
      <c r="G12" s="50">
        <f t="shared" si="2"/>
        <v>3097</v>
      </c>
      <c r="H12" s="51">
        <v>19865190</v>
      </c>
      <c r="I12" s="50">
        <f t="shared" si="3"/>
        <v>5439</v>
      </c>
      <c r="J12" s="51">
        <v>8735113</v>
      </c>
      <c r="K12" s="50">
        <f t="shared" si="4"/>
        <v>2403</v>
      </c>
    </row>
    <row r="13" spans="1:12" ht="19.5">
      <c r="A13" s="59">
        <v>44686</v>
      </c>
      <c r="B13" s="116">
        <v>2560</v>
      </c>
      <c r="C13" s="115">
        <f t="shared" si="0"/>
        <v>0</v>
      </c>
      <c r="D13" s="57">
        <v>144192.9</v>
      </c>
      <c r="E13" s="50">
        <f t="shared" si="1"/>
        <v>144.29999999998836</v>
      </c>
      <c r="F13" s="51">
        <v>11729459</v>
      </c>
      <c r="G13" s="50">
        <f t="shared" si="2"/>
        <v>3529</v>
      </c>
      <c r="H13" s="51">
        <v>19871033</v>
      </c>
      <c r="I13" s="50">
        <f t="shared" si="3"/>
        <v>5843</v>
      </c>
      <c r="J13" s="51">
        <v>8737693</v>
      </c>
      <c r="K13" s="50">
        <f t="shared" si="4"/>
        <v>2580</v>
      </c>
    </row>
    <row r="14" spans="1:12" ht="19.5">
      <c r="A14" s="59">
        <v>44687</v>
      </c>
      <c r="B14" s="116">
        <v>2560</v>
      </c>
      <c r="C14" s="115">
        <f t="shared" si="0"/>
        <v>0</v>
      </c>
      <c r="D14" s="57">
        <v>144356</v>
      </c>
      <c r="E14" s="50">
        <f t="shared" si="1"/>
        <v>163.10000000000582</v>
      </c>
      <c r="F14" s="51">
        <v>11733589</v>
      </c>
      <c r="G14" s="50">
        <f t="shared" si="2"/>
        <v>4130</v>
      </c>
      <c r="H14" s="51">
        <v>19877849</v>
      </c>
      <c r="I14" s="50">
        <f t="shared" si="3"/>
        <v>6816</v>
      </c>
      <c r="J14" s="51">
        <v>8740775</v>
      </c>
      <c r="K14" s="50">
        <f t="shared" si="4"/>
        <v>3082</v>
      </c>
    </row>
    <row r="15" spans="1:12" ht="19.5">
      <c r="A15" s="59">
        <v>44688</v>
      </c>
      <c r="B15" s="116">
        <v>2560</v>
      </c>
      <c r="C15" s="115">
        <f t="shared" si="0"/>
        <v>0</v>
      </c>
      <c r="D15" s="57">
        <v>144483</v>
      </c>
      <c r="E15" s="50">
        <f t="shared" si="1"/>
        <v>127</v>
      </c>
      <c r="F15" s="51">
        <v>11737649</v>
      </c>
      <c r="G15" s="50">
        <f t="shared" si="2"/>
        <v>4060</v>
      </c>
      <c r="H15" s="51">
        <v>19884985</v>
      </c>
      <c r="I15" s="50">
        <f t="shared" si="3"/>
        <v>7136</v>
      </c>
      <c r="J15" s="51">
        <v>8743772</v>
      </c>
      <c r="K15" s="50">
        <f t="shared" si="4"/>
        <v>2997</v>
      </c>
    </row>
    <row r="16" spans="1:12" ht="19.5">
      <c r="A16" s="59">
        <v>44689</v>
      </c>
      <c r="B16" s="116">
        <v>2560</v>
      </c>
      <c r="C16" s="115">
        <f t="shared" si="0"/>
        <v>0</v>
      </c>
      <c r="D16" s="57">
        <v>144626</v>
      </c>
      <c r="E16" s="50">
        <f t="shared" si="1"/>
        <v>143</v>
      </c>
      <c r="F16" s="51">
        <v>11740665</v>
      </c>
      <c r="G16" s="50">
        <f t="shared" si="2"/>
        <v>3016</v>
      </c>
      <c r="H16" s="51">
        <v>19892454</v>
      </c>
      <c r="I16" s="50">
        <f t="shared" si="3"/>
        <v>7469</v>
      </c>
      <c r="J16" s="51">
        <v>8746749</v>
      </c>
      <c r="K16" s="50">
        <f t="shared" si="4"/>
        <v>2977</v>
      </c>
    </row>
    <row r="17" spans="1:29" ht="19.5">
      <c r="A17" s="59">
        <v>44690</v>
      </c>
      <c r="B17" s="116">
        <v>2560</v>
      </c>
      <c r="C17" s="115">
        <f t="shared" si="0"/>
        <v>0</v>
      </c>
      <c r="D17" s="57">
        <v>144758</v>
      </c>
      <c r="E17" s="50">
        <f t="shared" si="1"/>
        <v>132</v>
      </c>
      <c r="F17" s="51">
        <v>11745194</v>
      </c>
      <c r="G17" s="50">
        <f t="shared" si="2"/>
        <v>4529</v>
      </c>
      <c r="H17" s="51">
        <v>19899413</v>
      </c>
      <c r="I17" s="50">
        <f t="shared" si="3"/>
        <v>6959</v>
      </c>
      <c r="J17" s="51">
        <v>8749784</v>
      </c>
      <c r="K17" s="50">
        <f t="shared" si="4"/>
        <v>3035</v>
      </c>
    </row>
    <row r="18" spans="1:29" ht="19.5">
      <c r="A18" s="59">
        <v>44691</v>
      </c>
      <c r="B18" s="116">
        <v>2560</v>
      </c>
      <c r="C18" s="115">
        <f t="shared" si="0"/>
        <v>0</v>
      </c>
      <c r="D18" s="57">
        <v>144905.29999999999</v>
      </c>
      <c r="E18" s="50">
        <f t="shared" si="1"/>
        <v>147.29999999998836</v>
      </c>
      <c r="F18" s="51">
        <v>11749484</v>
      </c>
      <c r="G18" s="50">
        <f t="shared" si="2"/>
        <v>4290</v>
      </c>
      <c r="H18" s="51">
        <v>19908411</v>
      </c>
      <c r="I18" s="50">
        <f t="shared" si="3"/>
        <v>8998</v>
      </c>
      <c r="J18" s="51">
        <v>8753005</v>
      </c>
      <c r="K18" s="50">
        <f t="shared" si="4"/>
        <v>3221</v>
      </c>
    </row>
    <row r="19" spans="1:29" ht="19.5">
      <c r="A19" s="59">
        <v>44692</v>
      </c>
      <c r="B19" s="116">
        <v>2560</v>
      </c>
      <c r="C19" s="115">
        <f t="shared" si="0"/>
        <v>0</v>
      </c>
      <c r="D19" s="57">
        <v>145041.70000000001</v>
      </c>
      <c r="E19" s="50">
        <f t="shared" si="1"/>
        <v>136.40000000002328</v>
      </c>
      <c r="F19" s="51">
        <v>11753610</v>
      </c>
      <c r="G19" s="50">
        <f t="shared" si="2"/>
        <v>4126</v>
      </c>
      <c r="H19" s="51">
        <v>19918061</v>
      </c>
      <c r="I19" s="50">
        <f t="shared" si="3"/>
        <v>9650</v>
      </c>
      <c r="J19" s="51">
        <v>8756224</v>
      </c>
      <c r="K19" s="50">
        <f t="shared" si="4"/>
        <v>3219</v>
      </c>
    </row>
    <row r="20" spans="1:29" ht="25.5">
      <c r="A20" s="59">
        <v>44693</v>
      </c>
      <c r="B20" s="116">
        <v>2560</v>
      </c>
      <c r="C20" s="115">
        <f t="shared" si="0"/>
        <v>0</v>
      </c>
      <c r="D20" s="57">
        <v>145239</v>
      </c>
      <c r="E20" s="50">
        <f t="shared" si="1"/>
        <v>197.29999999998836</v>
      </c>
      <c r="F20" s="51">
        <v>11757476</v>
      </c>
      <c r="G20" s="50">
        <f t="shared" si="2"/>
        <v>3866</v>
      </c>
      <c r="H20" s="51">
        <v>19925705</v>
      </c>
      <c r="I20" s="50">
        <f t="shared" si="3"/>
        <v>7644</v>
      </c>
      <c r="J20" s="51">
        <v>8759018</v>
      </c>
      <c r="K20" s="50">
        <f t="shared" si="4"/>
        <v>2794</v>
      </c>
      <c r="L20" s="117" t="s">
        <v>18</v>
      </c>
      <c r="AC20" t="s">
        <v>56</v>
      </c>
    </row>
    <row r="21" spans="1:29" ht="19.5">
      <c r="A21" s="59">
        <v>44694</v>
      </c>
      <c r="B21" s="116">
        <v>2560</v>
      </c>
      <c r="C21" s="115">
        <f t="shared" si="0"/>
        <v>0</v>
      </c>
      <c r="D21" s="57">
        <v>145518.79999999999</v>
      </c>
      <c r="E21" s="50">
        <f t="shared" si="1"/>
        <v>279.79999999998836</v>
      </c>
      <c r="F21" s="51">
        <v>11761743</v>
      </c>
      <c r="G21" s="50">
        <f t="shared" si="2"/>
        <v>4267</v>
      </c>
      <c r="H21" s="51">
        <v>19933837</v>
      </c>
      <c r="I21" s="50">
        <f t="shared" si="3"/>
        <v>8132</v>
      </c>
      <c r="J21" s="51">
        <v>8762439</v>
      </c>
      <c r="K21" s="50">
        <f t="shared" si="4"/>
        <v>3421</v>
      </c>
    </row>
    <row r="22" spans="1:29" ht="19.5">
      <c r="A22" s="59">
        <v>44695</v>
      </c>
      <c r="B22" s="116">
        <v>2560</v>
      </c>
      <c r="C22" s="115">
        <f t="shared" si="0"/>
        <v>0</v>
      </c>
      <c r="D22" s="57">
        <v>145688.29999999999</v>
      </c>
      <c r="E22" s="50">
        <f t="shared" si="1"/>
        <v>169.5</v>
      </c>
      <c r="F22" s="51">
        <v>11765564</v>
      </c>
      <c r="G22" s="50">
        <f t="shared" si="2"/>
        <v>3821</v>
      </c>
      <c r="H22" s="51">
        <v>19942551</v>
      </c>
      <c r="I22" s="50">
        <f t="shared" si="3"/>
        <v>8714</v>
      </c>
      <c r="J22" s="51">
        <v>8765601</v>
      </c>
      <c r="K22" s="50">
        <f t="shared" si="4"/>
        <v>3162</v>
      </c>
    </row>
    <row r="23" spans="1:29" ht="19.5">
      <c r="A23" s="59">
        <v>44696</v>
      </c>
      <c r="B23" s="116">
        <v>2560</v>
      </c>
      <c r="C23" s="115">
        <f t="shared" si="0"/>
        <v>0</v>
      </c>
      <c r="D23" s="57">
        <v>145881</v>
      </c>
      <c r="E23" s="50">
        <f t="shared" si="1"/>
        <v>192.70000000001164</v>
      </c>
      <c r="F23" s="51">
        <v>11770231</v>
      </c>
      <c r="G23" s="50">
        <f t="shared" si="2"/>
        <v>4667</v>
      </c>
      <c r="H23" s="51">
        <v>19950290</v>
      </c>
      <c r="I23" s="50">
        <f t="shared" si="3"/>
        <v>7739</v>
      </c>
      <c r="J23" s="51">
        <v>8768559</v>
      </c>
      <c r="K23" s="50">
        <f t="shared" si="4"/>
        <v>2958</v>
      </c>
    </row>
    <row r="24" spans="1:29" ht="19.5">
      <c r="A24" s="59">
        <v>44697</v>
      </c>
      <c r="B24" s="116">
        <v>2560</v>
      </c>
      <c r="C24" s="115">
        <f t="shared" si="0"/>
        <v>0</v>
      </c>
      <c r="D24" s="57">
        <v>146006</v>
      </c>
      <c r="E24" s="50">
        <f t="shared" si="1"/>
        <v>125</v>
      </c>
      <c r="F24" s="51">
        <v>11774221</v>
      </c>
      <c r="G24" s="50">
        <f t="shared" si="2"/>
        <v>3990</v>
      </c>
      <c r="H24" s="51">
        <v>19958343</v>
      </c>
      <c r="I24" s="50">
        <f t="shared" si="3"/>
        <v>8053</v>
      </c>
      <c r="J24" s="51">
        <v>8771975</v>
      </c>
      <c r="K24" s="50">
        <f t="shared" si="4"/>
        <v>3416</v>
      </c>
    </row>
    <row r="25" spans="1:29" ht="19.5">
      <c r="A25" s="59">
        <v>44698</v>
      </c>
      <c r="B25" s="116">
        <v>2560</v>
      </c>
      <c r="C25" s="115">
        <f t="shared" si="0"/>
        <v>0</v>
      </c>
      <c r="D25" s="57">
        <v>146160</v>
      </c>
      <c r="E25" s="50">
        <f t="shared" si="1"/>
        <v>154</v>
      </c>
      <c r="F25" s="51">
        <v>11778615</v>
      </c>
      <c r="G25" s="50">
        <f t="shared" si="2"/>
        <v>4394</v>
      </c>
      <c r="H25" s="51">
        <v>19968298</v>
      </c>
      <c r="I25" s="50">
        <f t="shared" si="3"/>
        <v>9955</v>
      </c>
      <c r="J25" s="51">
        <v>8775614</v>
      </c>
      <c r="K25" s="50">
        <f t="shared" si="4"/>
        <v>3639</v>
      </c>
    </row>
    <row r="26" spans="1:29" ht="19.5">
      <c r="A26" s="59">
        <v>44699</v>
      </c>
      <c r="B26" s="116">
        <v>2560</v>
      </c>
      <c r="C26" s="115">
        <f t="shared" si="0"/>
        <v>0</v>
      </c>
      <c r="D26" s="57">
        <v>146295</v>
      </c>
      <c r="E26" s="50">
        <f t="shared" si="1"/>
        <v>135</v>
      </c>
      <c r="F26" s="51">
        <v>11783235</v>
      </c>
      <c r="G26" s="50">
        <f t="shared" si="2"/>
        <v>4620</v>
      </c>
      <c r="H26" s="51">
        <v>19978735</v>
      </c>
      <c r="I26" s="50">
        <f t="shared" si="3"/>
        <v>10437</v>
      </c>
      <c r="J26" s="51">
        <v>8779594</v>
      </c>
      <c r="K26" s="50">
        <f t="shared" si="4"/>
        <v>3980</v>
      </c>
    </row>
    <row r="27" spans="1:29" ht="19.5">
      <c r="A27" s="59">
        <v>44700</v>
      </c>
      <c r="B27" s="116">
        <v>2560</v>
      </c>
      <c r="C27" s="115">
        <f t="shared" si="0"/>
        <v>0</v>
      </c>
      <c r="D27" s="57">
        <v>146438</v>
      </c>
      <c r="E27" s="50">
        <f t="shared" si="1"/>
        <v>143</v>
      </c>
      <c r="F27" s="51">
        <v>11787419</v>
      </c>
      <c r="G27" s="50">
        <f t="shared" si="2"/>
        <v>4184</v>
      </c>
      <c r="H27" s="51">
        <v>19988396</v>
      </c>
      <c r="I27" s="50">
        <f t="shared" si="3"/>
        <v>9661</v>
      </c>
      <c r="J27" s="51">
        <v>8783020</v>
      </c>
      <c r="K27" s="50">
        <f t="shared" si="4"/>
        <v>3426</v>
      </c>
    </row>
    <row r="28" spans="1:29" ht="19.5">
      <c r="A28" s="59">
        <v>44701</v>
      </c>
      <c r="B28" s="116">
        <v>2560</v>
      </c>
      <c r="C28" s="115">
        <f t="shared" si="0"/>
        <v>0</v>
      </c>
      <c r="D28" s="57">
        <v>146565.1</v>
      </c>
      <c r="E28" s="50">
        <f t="shared" si="1"/>
        <v>127.10000000000582</v>
      </c>
      <c r="F28" s="51">
        <v>11791278</v>
      </c>
      <c r="G28" s="50">
        <f t="shared" si="2"/>
        <v>3859</v>
      </c>
      <c r="H28" s="51">
        <v>19998324</v>
      </c>
      <c r="I28" s="50">
        <f t="shared" si="3"/>
        <v>9928</v>
      </c>
      <c r="J28" s="51">
        <v>8786527</v>
      </c>
      <c r="K28" s="50">
        <f t="shared" si="4"/>
        <v>3507</v>
      </c>
    </row>
    <row r="29" spans="1:29" ht="19.5">
      <c r="A29" s="59">
        <v>44702</v>
      </c>
      <c r="B29" s="116">
        <v>2560</v>
      </c>
      <c r="C29" s="115">
        <f t="shared" si="0"/>
        <v>0</v>
      </c>
      <c r="D29" s="57">
        <v>146706.29999999999</v>
      </c>
      <c r="E29" s="50">
        <f t="shared" si="1"/>
        <v>141.19999999998254</v>
      </c>
      <c r="F29" s="51">
        <v>11795852</v>
      </c>
      <c r="G29" s="50">
        <f t="shared" si="2"/>
        <v>4574</v>
      </c>
      <c r="H29" s="51">
        <v>20007660</v>
      </c>
      <c r="I29" s="50">
        <f t="shared" si="3"/>
        <v>9336</v>
      </c>
      <c r="J29" s="51">
        <v>8789837</v>
      </c>
      <c r="K29" s="50">
        <f t="shared" si="4"/>
        <v>3310</v>
      </c>
    </row>
    <row r="30" spans="1:29" ht="19.5">
      <c r="A30" s="59">
        <v>44703</v>
      </c>
      <c r="B30" s="116">
        <v>2560</v>
      </c>
      <c r="C30" s="115">
        <f t="shared" si="0"/>
        <v>0</v>
      </c>
      <c r="D30" s="57">
        <v>146862</v>
      </c>
      <c r="E30" s="50">
        <f t="shared" si="1"/>
        <v>155.70000000001164</v>
      </c>
      <c r="F30" s="51">
        <v>11801023</v>
      </c>
      <c r="G30" s="50">
        <f t="shared" si="2"/>
        <v>5171</v>
      </c>
      <c r="H30" s="51">
        <v>20017006</v>
      </c>
      <c r="I30" s="50">
        <f t="shared" si="3"/>
        <v>9346</v>
      </c>
      <c r="J30" s="51">
        <v>8794175</v>
      </c>
      <c r="K30" s="50">
        <f t="shared" si="4"/>
        <v>4338</v>
      </c>
    </row>
    <row r="31" spans="1:29" ht="19.5">
      <c r="A31" s="59">
        <v>44704</v>
      </c>
      <c r="B31" s="116">
        <v>2560</v>
      </c>
      <c r="C31" s="115">
        <f t="shared" si="0"/>
        <v>0</v>
      </c>
      <c r="D31" s="57">
        <v>146997</v>
      </c>
      <c r="E31" s="50">
        <f t="shared" si="1"/>
        <v>135</v>
      </c>
      <c r="F31" s="51">
        <v>11805835</v>
      </c>
      <c r="G31" s="50">
        <f t="shared" si="2"/>
        <v>4812</v>
      </c>
      <c r="H31" s="51">
        <v>20024702</v>
      </c>
      <c r="I31" s="50">
        <f t="shared" si="3"/>
        <v>7696</v>
      </c>
      <c r="J31" s="51">
        <v>8797304</v>
      </c>
      <c r="K31" s="50">
        <f t="shared" si="4"/>
        <v>3129</v>
      </c>
    </row>
    <row r="32" spans="1:29" ht="19.5">
      <c r="A32" s="59">
        <v>44705</v>
      </c>
      <c r="B32" s="116">
        <v>2560</v>
      </c>
      <c r="C32" s="115">
        <f t="shared" si="0"/>
        <v>0</v>
      </c>
      <c r="D32" s="57">
        <v>147140</v>
      </c>
      <c r="E32" s="50">
        <f t="shared" si="1"/>
        <v>143</v>
      </c>
      <c r="F32" s="51">
        <v>11809812</v>
      </c>
      <c r="G32" s="50">
        <f t="shared" si="2"/>
        <v>3977</v>
      </c>
      <c r="H32" s="51">
        <v>20032612</v>
      </c>
      <c r="I32" s="50">
        <f t="shared" si="3"/>
        <v>7910</v>
      </c>
      <c r="J32" s="51">
        <v>8800503</v>
      </c>
      <c r="K32" s="50">
        <f t="shared" si="4"/>
        <v>3199</v>
      </c>
    </row>
    <row r="33" spans="1:11" ht="19.5">
      <c r="A33" s="59">
        <v>44706</v>
      </c>
      <c r="B33" s="116">
        <v>2560</v>
      </c>
      <c r="C33" s="115">
        <f t="shared" si="0"/>
        <v>0</v>
      </c>
      <c r="D33" s="57">
        <v>147279.79999999999</v>
      </c>
      <c r="E33" s="50">
        <f t="shared" si="1"/>
        <v>139.79999999998836</v>
      </c>
      <c r="F33" s="51">
        <v>11813639</v>
      </c>
      <c r="G33" s="50">
        <f t="shared" si="2"/>
        <v>3827</v>
      </c>
      <c r="H33" s="51">
        <v>20040122</v>
      </c>
      <c r="I33" s="50">
        <f t="shared" si="3"/>
        <v>7510</v>
      </c>
      <c r="J33" s="51">
        <v>8803548</v>
      </c>
      <c r="K33" s="50">
        <f t="shared" si="4"/>
        <v>3045</v>
      </c>
    </row>
    <row r="34" spans="1:11" ht="19.5">
      <c r="A34" s="59">
        <v>44707</v>
      </c>
      <c r="B34" s="116">
        <v>2560</v>
      </c>
      <c r="C34" s="115">
        <f t="shared" si="0"/>
        <v>0</v>
      </c>
      <c r="D34" s="57">
        <v>147410.70000000001</v>
      </c>
      <c r="E34" s="50">
        <f t="shared" si="1"/>
        <v>130.90000000002328</v>
      </c>
      <c r="F34" s="51">
        <v>11817643</v>
      </c>
      <c r="G34" s="50">
        <f t="shared" si="2"/>
        <v>4004</v>
      </c>
      <c r="H34" s="51">
        <v>20048107</v>
      </c>
      <c r="I34" s="50">
        <f t="shared" si="3"/>
        <v>7985</v>
      </c>
      <c r="J34" s="51">
        <v>8806666</v>
      </c>
      <c r="K34" s="50">
        <f t="shared" si="4"/>
        <v>3118</v>
      </c>
    </row>
    <row r="35" spans="1:11" ht="19.5">
      <c r="A35" s="59">
        <v>44708</v>
      </c>
      <c r="B35" s="116">
        <v>2560</v>
      </c>
      <c r="C35" s="115">
        <f t="shared" si="0"/>
        <v>0</v>
      </c>
      <c r="D35" s="57">
        <v>147569</v>
      </c>
      <c r="E35" s="50">
        <f t="shared" si="1"/>
        <v>158.29999999998836</v>
      </c>
      <c r="F35" s="51">
        <v>11822368</v>
      </c>
      <c r="G35" s="50">
        <f t="shared" si="2"/>
        <v>4725</v>
      </c>
      <c r="H35" s="51">
        <v>20058596</v>
      </c>
      <c r="I35" s="50">
        <f t="shared" si="3"/>
        <v>10489</v>
      </c>
      <c r="J35" s="51">
        <v>8810632</v>
      </c>
      <c r="K35" s="50">
        <f t="shared" si="4"/>
        <v>3966</v>
      </c>
    </row>
    <row r="36" spans="1:11" ht="19.5">
      <c r="A36" s="59">
        <v>44709</v>
      </c>
      <c r="B36" s="116">
        <v>2560</v>
      </c>
      <c r="C36" s="115">
        <f t="shared" si="0"/>
        <v>0</v>
      </c>
      <c r="D36" s="57">
        <v>147728</v>
      </c>
      <c r="E36" s="50">
        <f t="shared" si="1"/>
        <v>159</v>
      </c>
      <c r="F36" s="51">
        <v>11827489</v>
      </c>
      <c r="G36" s="50">
        <f t="shared" si="2"/>
        <v>5121</v>
      </c>
      <c r="H36" s="51">
        <v>20068636</v>
      </c>
      <c r="I36" s="50">
        <f t="shared" si="3"/>
        <v>10040</v>
      </c>
      <c r="J36" s="51">
        <v>8814739</v>
      </c>
      <c r="K36" s="50">
        <f t="shared" si="4"/>
        <v>4107</v>
      </c>
    </row>
    <row r="37" spans="1:11" ht="19.5">
      <c r="A37" s="59">
        <v>44710</v>
      </c>
      <c r="B37" s="116">
        <v>2560</v>
      </c>
      <c r="C37" s="115">
        <f t="shared" si="0"/>
        <v>0</v>
      </c>
      <c r="D37" s="57">
        <v>147889</v>
      </c>
      <c r="E37" s="50">
        <f t="shared" si="1"/>
        <v>161</v>
      </c>
      <c r="F37" s="51">
        <v>11831838</v>
      </c>
      <c r="G37" s="50">
        <f t="shared" si="2"/>
        <v>4349</v>
      </c>
      <c r="H37" s="51">
        <v>20078548</v>
      </c>
      <c r="I37" s="50">
        <f t="shared" si="3"/>
        <v>9912</v>
      </c>
      <c r="J37" s="51">
        <v>8818340</v>
      </c>
      <c r="K37" s="50">
        <f t="shared" si="4"/>
        <v>3601</v>
      </c>
    </row>
    <row r="38" spans="1:11" ht="19.5">
      <c r="A38" s="59">
        <v>44711</v>
      </c>
      <c r="B38" s="116">
        <v>2560</v>
      </c>
      <c r="C38" s="115">
        <f t="shared" si="0"/>
        <v>0</v>
      </c>
      <c r="D38" s="57">
        <v>148029</v>
      </c>
      <c r="E38" s="50">
        <f t="shared" si="1"/>
        <v>140</v>
      </c>
      <c r="F38" s="51">
        <v>11835989</v>
      </c>
      <c r="G38" s="50">
        <f t="shared" si="2"/>
        <v>4151</v>
      </c>
      <c r="H38" s="51">
        <v>20087953</v>
      </c>
      <c r="I38" s="50">
        <f t="shared" si="3"/>
        <v>9405</v>
      </c>
      <c r="J38" s="51">
        <v>8822124</v>
      </c>
      <c r="K38" s="50">
        <f t="shared" si="4"/>
        <v>3784</v>
      </c>
    </row>
    <row r="39" spans="1:11" ht="19.5">
      <c r="A39" s="59">
        <v>44712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4" priority="61" stopIfTrue="1" operator="lessThanOrEqual">
      <formula>0</formula>
    </cfRule>
  </conditionalFormatting>
  <conditionalFormatting sqref="E10:E39">
    <cfRule type="cellIs" dxfId="3" priority="8" stopIfTrue="1" operator="lessThanOrEqual">
      <formula>0</formula>
    </cfRule>
  </conditionalFormatting>
  <conditionalFormatting sqref="E10:E39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B31" sqref="B31:H3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44682</v>
      </c>
      <c r="B4" s="41">
        <v>80</v>
      </c>
      <c r="C4" s="39">
        <f t="shared" ref="C4" si="0">IF(AC4&gt;0,((B4-R4)+(S4-B5)),IF(B5=0, ,(B4-B5)))</f>
        <v>0</v>
      </c>
      <c r="D4" s="41">
        <v>85</v>
      </c>
      <c r="E4" s="39">
        <f t="shared" ref="E4" si="1">IF(AC4&gt;0,((D4-U4)+(V4-D5)),IF(D5=0, ,(D4-D5)))</f>
        <v>4</v>
      </c>
      <c r="F4" s="41">
        <v>85</v>
      </c>
      <c r="G4" s="39">
        <f t="shared" ref="G4" si="2">IF(AC4&gt;0,((F4-X4)+(Y4-F5)),IF(F5=0, ,(F4-F5)))</f>
        <v>4</v>
      </c>
      <c r="H4" s="41">
        <v>85</v>
      </c>
      <c r="I4" s="39">
        <f>IF(AC4&gt;0,((H4-AA4)+(AB4-H5)),IF(H5=0, ,(H4-H5)))</f>
        <v>3</v>
      </c>
      <c r="J4" s="39">
        <f>B4+D4+F4+H4</f>
        <v>335</v>
      </c>
      <c r="K4" s="39">
        <f>J4/4</f>
        <v>83.75</v>
      </c>
      <c r="L4" s="39">
        <f>IF(AC4&gt;0,((K4-AD4)+(AE4-K5)),IF(K5=0, ,(K4-K5)))</f>
        <v>2.75</v>
      </c>
      <c r="M4" s="149">
        <f t="shared" ref="M4:M7" si="3">6049*4</f>
        <v>24196</v>
      </c>
      <c r="N4" s="39">
        <f>L4*M4/100</f>
        <v>665.39</v>
      </c>
      <c r="O4" s="167">
        <f>N4*0.529</f>
        <v>351.99131</v>
      </c>
      <c r="P4" s="42">
        <f>O4*13.64</f>
        <v>4801.1614684000006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44683</v>
      </c>
      <c r="B5" s="41">
        <v>80</v>
      </c>
      <c r="C5" s="39">
        <f t="shared" ref="C4:C35" si="7">IF(AC5&gt;0,((B5-R5)+(S5-B6)),IF(B6=0, ,(B5-B6)))</f>
        <v>1</v>
      </c>
      <c r="D5" s="41">
        <v>81</v>
      </c>
      <c r="E5" s="39">
        <f t="shared" ref="E4:E35" si="8">IF(AC5&gt;0,((D5-U5)+(V5-D6)),IF(D6=0, ,(D5-D6)))</f>
        <v>6</v>
      </c>
      <c r="F5" s="41">
        <v>81</v>
      </c>
      <c r="G5" s="39">
        <f t="shared" ref="G4:G35" si="9">IF(AC5&gt;0,((F5-X5)+(Y5-F6)),IF(F6=0, ,(F5-F6)))</f>
        <v>3</v>
      </c>
      <c r="H5" s="41">
        <v>82</v>
      </c>
      <c r="I5" s="39">
        <f>IF(AC5&gt;0,((H5-AA5)+(AB5-H6)),IF(H6=0, ,(H5-H6)))</f>
        <v>2</v>
      </c>
      <c r="J5" s="39">
        <f>B5+D5+F5+H5</f>
        <v>324</v>
      </c>
      <c r="K5" s="39">
        <f>J5/4</f>
        <v>81</v>
      </c>
      <c r="L5" s="39">
        <f>IF(AC5&gt;0,((K5-AD5)+(AE5-K6)),IF(K6=0, ,(K5-K6)))</f>
        <v>3</v>
      </c>
      <c r="M5" s="149">
        <f t="shared" si="3"/>
        <v>24196</v>
      </c>
      <c r="N5" s="39">
        <f>L5*M5/100</f>
        <v>725.88</v>
      </c>
      <c r="O5" s="39">
        <f>N5*0.529</f>
        <v>383.99052</v>
      </c>
      <c r="P5" s="42">
        <f t="shared" ref="P5:P36" si="10">O5*13.64</f>
        <v>5237.6306928000004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44684</v>
      </c>
      <c r="B6" s="41">
        <v>79</v>
      </c>
      <c r="C6" s="39">
        <f t="shared" si="7"/>
        <v>4</v>
      </c>
      <c r="D6" s="41">
        <v>75</v>
      </c>
      <c r="E6" s="39">
        <f t="shared" si="8"/>
        <v>4</v>
      </c>
      <c r="F6" s="41">
        <v>78</v>
      </c>
      <c r="G6" s="39">
        <f t="shared" si="9"/>
        <v>3</v>
      </c>
      <c r="H6" s="41">
        <v>80</v>
      </c>
      <c r="I6" s="39">
        <f t="shared" ref="I6:I36" si="11">IF(AC6&gt;0,((H6-AA6)+(AB6-H7)),IF(H7=0, ,(H6-H7)))</f>
        <v>5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4</v>
      </c>
      <c r="M6" s="149">
        <f t="shared" si="3"/>
        <v>24196</v>
      </c>
      <c r="N6" s="39">
        <f t="shared" ref="N6:N42" si="15">L6*M6/100</f>
        <v>967.84</v>
      </c>
      <c r="O6" s="39">
        <f>N6*0.529</f>
        <v>511.98736000000002</v>
      </c>
      <c r="P6" s="42">
        <f t="shared" si="10"/>
        <v>6983.5075904000005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44685</v>
      </c>
      <c r="B7" s="41">
        <v>75</v>
      </c>
      <c r="C7" s="39">
        <f t="shared" si="7"/>
        <v>3</v>
      </c>
      <c r="D7" s="41">
        <v>71</v>
      </c>
      <c r="E7" s="39">
        <f t="shared" si="8"/>
        <v>1</v>
      </c>
      <c r="F7" s="41">
        <v>75</v>
      </c>
      <c r="G7" s="39">
        <f t="shared" si="9"/>
        <v>5</v>
      </c>
      <c r="H7" s="41">
        <v>75</v>
      </c>
      <c r="I7" s="39">
        <f t="shared" si="11"/>
        <v>3</v>
      </c>
      <c r="J7" s="39">
        <f t="shared" si="12"/>
        <v>296</v>
      </c>
      <c r="K7" s="39">
        <f t="shared" si="13"/>
        <v>74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5247.5316960000009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44686</v>
      </c>
      <c r="B8" s="41">
        <v>72</v>
      </c>
      <c r="C8" s="39">
        <f t="shared" si="7"/>
        <v>5</v>
      </c>
      <c r="D8" s="41">
        <v>70</v>
      </c>
      <c r="E8" s="39">
        <f t="shared" si="8"/>
        <v>2</v>
      </c>
      <c r="F8" s="41">
        <v>70</v>
      </c>
      <c r="G8" s="39">
        <f t="shared" si="9"/>
        <v>8</v>
      </c>
      <c r="H8" s="41">
        <v>72</v>
      </c>
      <c r="I8" s="39">
        <f t="shared" si="11"/>
        <v>6</v>
      </c>
      <c r="J8" s="39">
        <f t="shared" si="12"/>
        <v>284</v>
      </c>
      <c r="K8" s="39">
        <f t="shared" si="13"/>
        <v>71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9165.8537124000013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44687</v>
      </c>
      <c r="B9" s="41">
        <v>67</v>
      </c>
      <c r="C9" s="39">
        <f t="shared" si="7"/>
        <v>3</v>
      </c>
      <c r="D9" s="41">
        <v>68</v>
      </c>
      <c r="E9" s="39">
        <f t="shared" si="8"/>
        <v>4</v>
      </c>
      <c r="F9" s="41">
        <v>62</v>
      </c>
      <c r="G9" s="39">
        <f t="shared" si="9"/>
        <v>5</v>
      </c>
      <c r="H9" s="41">
        <v>66</v>
      </c>
      <c r="I9" s="39">
        <f t="shared" si="11"/>
        <v>5</v>
      </c>
      <c r="J9" s="39">
        <f t="shared" si="12"/>
        <v>263</v>
      </c>
      <c r="K9" s="39">
        <f t="shared" si="13"/>
        <v>65.75</v>
      </c>
      <c r="L9" s="39">
        <f t="shared" si="14"/>
        <v>4.25</v>
      </c>
      <c r="M9" s="149">
        <f t="shared" ref="M9:M42" si="17">6049*4</f>
        <v>24196</v>
      </c>
      <c r="N9" s="39">
        <f t="shared" si="15"/>
        <v>1028.33</v>
      </c>
      <c r="O9" s="39">
        <f t="shared" si="16"/>
        <v>543.98657000000003</v>
      </c>
      <c r="P9" s="42">
        <f t="shared" si="10"/>
        <v>7419.9768148000003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44688</v>
      </c>
      <c r="B10" s="41">
        <v>64</v>
      </c>
      <c r="C10" s="39">
        <f t="shared" si="7"/>
        <v>5</v>
      </c>
      <c r="D10" s="41">
        <v>64</v>
      </c>
      <c r="E10" s="39">
        <f t="shared" si="8"/>
        <v>4</v>
      </c>
      <c r="F10" s="41">
        <v>57</v>
      </c>
      <c r="G10" s="39">
        <f t="shared" si="9"/>
        <v>2</v>
      </c>
      <c r="H10" s="41">
        <v>61</v>
      </c>
      <c r="I10" s="39">
        <f t="shared" si="11"/>
        <v>3</v>
      </c>
      <c r="J10" s="39">
        <f t="shared" si="12"/>
        <v>246</v>
      </c>
      <c r="K10" s="39">
        <f t="shared" si="13"/>
        <v>61.5</v>
      </c>
      <c r="L10" s="39">
        <f t="shared" si="14"/>
        <v>3.5</v>
      </c>
      <c r="M10" s="149">
        <f t="shared" si="17"/>
        <v>24196</v>
      </c>
      <c r="N10" s="39">
        <f t="shared" si="15"/>
        <v>846.86</v>
      </c>
      <c r="O10" s="148">
        <f t="shared" si="16"/>
        <v>447.98894000000001</v>
      </c>
      <c r="P10" s="42">
        <f t="shared" si="10"/>
        <v>6110.5691416000009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44689</v>
      </c>
      <c r="B11" s="41">
        <v>59</v>
      </c>
      <c r="C11" s="39">
        <f t="shared" si="7"/>
        <v>4</v>
      </c>
      <c r="D11" s="41">
        <v>60</v>
      </c>
      <c r="E11" s="39">
        <f t="shared" si="8"/>
        <v>2</v>
      </c>
      <c r="F11" s="41">
        <v>55</v>
      </c>
      <c r="G11" s="39">
        <f t="shared" si="9"/>
        <v>3</v>
      </c>
      <c r="H11" s="41">
        <v>58</v>
      </c>
      <c r="I11" s="39">
        <f t="shared" si="11"/>
        <v>2</v>
      </c>
      <c r="J11" s="39">
        <f t="shared" si="12"/>
        <v>232</v>
      </c>
      <c r="K11" s="39">
        <f t="shared" si="13"/>
        <v>58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4801.1614684000006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44690</v>
      </c>
      <c r="B12" s="41">
        <v>55</v>
      </c>
      <c r="C12" s="39">
        <f t="shared" si="7"/>
        <v>2</v>
      </c>
      <c r="D12" s="41">
        <v>58</v>
      </c>
      <c r="E12" s="39">
        <f t="shared" si="8"/>
        <v>5</v>
      </c>
      <c r="F12" s="41">
        <v>52</v>
      </c>
      <c r="G12" s="39">
        <f t="shared" si="9"/>
        <v>0</v>
      </c>
      <c r="H12" s="41">
        <v>56</v>
      </c>
      <c r="I12" s="39">
        <f t="shared" si="11"/>
        <v>0</v>
      </c>
      <c r="J12" s="39">
        <f t="shared" si="12"/>
        <v>221</v>
      </c>
      <c r="K12" s="39">
        <f t="shared" si="13"/>
        <v>55.25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3055.2845708000004</v>
      </c>
      <c r="Q12" s="39">
        <v>1109</v>
      </c>
      <c r="R12" s="39">
        <v>55</v>
      </c>
      <c r="S12" s="39">
        <v>78</v>
      </c>
      <c r="T12" s="39"/>
      <c r="U12" s="39"/>
      <c r="V12" s="39"/>
      <c r="W12" s="39">
        <v>2500</v>
      </c>
      <c r="X12" s="39">
        <v>52</v>
      </c>
      <c r="Y12" s="39">
        <v>85</v>
      </c>
      <c r="Z12" s="39">
        <v>2400</v>
      </c>
      <c r="AA12" s="39">
        <v>56</v>
      </c>
      <c r="AB12" s="39">
        <v>85</v>
      </c>
      <c r="AC12" s="39">
        <f t="shared" si="4"/>
        <v>6009</v>
      </c>
      <c r="AD12" s="38">
        <f t="shared" si="5"/>
        <v>40.75</v>
      </c>
      <c r="AE12" s="38">
        <f t="shared" si="6"/>
        <v>62</v>
      </c>
    </row>
    <row r="13" spans="1:31" ht="32.25" customHeight="1">
      <c r="A13" s="40">
        <v>44691</v>
      </c>
      <c r="B13" s="41">
        <v>76</v>
      </c>
      <c r="C13" s="39">
        <f t="shared" si="7"/>
        <v>1</v>
      </c>
      <c r="D13" s="41">
        <v>53</v>
      </c>
      <c r="E13" s="39">
        <f t="shared" si="8"/>
        <v>1</v>
      </c>
      <c r="F13" s="41">
        <v>85</v>
      </c>
      <c r="G13" s="39">
        <f t="shared" si="9"/>
        <v>1</v>
      </c>
      <c r="H13" s="41">
        <v>85</v>
      </c>
      <c r="I13" s="39">
        <f t="shared" si="11"/>
        <v>0</v>
      </c>
      <c r="J13" s="39">
        <f t="shared" si="12"/>
        <v>299</v>
      </c>
      <c r="K13" s="39">
        <f t="shared" si="13"/>
        <v>74.75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1309.4076732000001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44692</v>
      </c>
      <c r="B14" s="41">
        <v>75</v>
      </c>
      <c r="C14" s="39">
        <f t="shared" si="7"/>
        <v>5</v>
      </c>
      <c r="D14" s="41">
        <v>52</v>
      </c>
      <c r="E14" s="39">
        <f t="shared" si="8"/>
        <v>2</v>
      </c>
      <c r="F14" s="41">
        <v>84</v>
      </c>
      <c r="G14" s="39">
        <f t="shared" si="9"/>
        <v>4</v>
      </c>
      <c r="H14" s="41">
        <v>85</v>
      </c>
      <c r="I14" s="39">
        <f>IF(AC14&gt;0,((H14-AA14)+(AB14-H15)),IF(H15=0, ,(H14-H15)))</f>
        <v>5</v>
      </c>
      <c r="J14" s="39">
        <f t="shared" si="12"/>
        <v>296</v>
      </c>
      <c r="K14" s="39">
        <f t="shared" si="13"/>
        <v>74</v>
      </c>
      <c r="L14" s="39">
        <f t="shared" si="14"/>
        <v>4</v>
      </c>
      <c r="M14" s="149">
        <f t="shared" si="17"/>
        <v>24196</v>
      </c>
      <c r="N14" s="39">
        <f t="shared" si="15"/>
        <v>967.84</v>
      </c>
      <c r="O14" s="39">
        <f t="shared" si="16"/>
        <v>511.98736000000002</v>
      </c>
      <c r="P14" s="42">
        <f t="shared" si="10"/>
        <v>6983.5075904000005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44693</v>
      </c>
      <c r="B15" s="41">
        <v>70</v>
      </c>
      <c r="C15" s="39">
        <f t="shared" si="7"/>
        <v>2</v>
      </c>
      <c r="D15" s="41">
        <v>50</v>
      </c>
      <c r="E15" s="39">
        <f t="shared" si="8"/>
        <v>0</v>
      </c>
      <c r="F15" s="41">
        <v>80</v>
      </c>
      <c r="G15" s="39">
        <f t="shared" si="9"/>
        <v>4</v>
      </c>
      <c r="H15" s="41">
        <v>80</v>
      </c>
      <c r="I15" s="39">
        <f>IF(AC15&gt;0,((H15-AA15)+(AB15-H16)),IF(H16=0, ,(H15-H16)))</f>
        <v>4</v>
      </c>
      <c r="J15" s="39">
        <f t="shared" si="12"/>
        <v>280</v>
      </c>
      <c r="K15" s="39">
        <f t="shared" si="13"/>
        <v>70</v>
      </c>
      <c r="L15" s="39">
        <f t="shared" si="14"/>
        <v>2.5</v>
      </c>
      <c r="M15" s="149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4364.6922439999998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44694</v>
      </c>
      <c r="B16" s="41">
        <v>68</v>
      </c>
      <c r="C16" s="39">
        <f t="shared" si="7"/>
        <v>3</v>
      </c>
      <c r="D16" s="41">
        <v>50</v>
      </c>
      <c r="E16" s="39">
        <f t="shared" si="8"/>
        <v>5</v>
      </c>
      <c r="F16" s="41">
        <v>76</v>
      </c>
      <c r="G16" s="39">
        <f t="shared" si="9"/>
        <v>2</v>
      </c>
      <c r="H16" s="41">
        <v>76</v>
      </c>
      <c r="I16" s="39">
        <f t="shared" si="11"/>
        <v>2</v>
      </c>
      <c r="J16" s="39">
        <f t="shared" si="12"/>
        <v>270</v>
      </c>
      <c r="K16" s="39">
        <f t="shared" si="13"/>
        <v>67.5</v>
      </c>
      <c r="L16" s="39">
        <f t="shared" si="14"/>
        <v>3</v>
      </c>
      <c r="M16" s="149">
        <f t="shared" si="17"/>
        <v>24196</v>
      </c>
      <c r="N16" s="39">
        <f t="shared" si="15"/>
        <v>725.88</v>
      </c>
      <c r="O16" s="39">
        <f t="shared" si="16"/>
        <v>383.99052</v>
      </c>
      <c r="P16" s="42">
        <f t="shared" si="10"/>
        <v>5237.6306928000004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44695</v>
      </c>
      <c r="B17" s="41">
        <v>65</v>
      </c>
      <c r="C17" s="39">
        <f t="shared" si="7"/>
        <v>4</v>
      </c>
      <c r="D17" s="41">
        <v>45</v>
      </c>
      <c r="E17" s="39">
        <f t="shared" si="8"/>
        <v>1</v>
      </c>
      <c r="F17" s="41">
        <v>74</v>
      </c>
      <c r="G17" s="39">
        <f t="shared" si="9"/>
        <v>4</v>
      </c>
      <c r="H17" s="41">
        <v>74</v>
      </c>
      <c r="I17" s="39">
        <f t="shared" si="11"/>
        <v>4</v>
      </c>
      <c r="J17" s="39">
        <f t="shared" si="12"/>
        <v>258</v>
      </c>
      <c r="K17" s="39">
        <f t="shared" si="13"/>
        <v>64.5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5674.0999172000002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44696</v>
      </c>
      <c r="B18" s="41">
        <v>61</v>
      </c>
      <c r="C18" s="39">
        <f t="shared" si="7"/>
        <v>1</v>
      </c>
      <c r="D18" s="41">
        <v>44</v>
      </c>
      <c r="E18" s="39">
        <f t="shared" si="8"/>
        <v>4</v>
      </c>
      <c r="F18" s="41">
        <v>70</v>
      </c>
      <c r="G18" s="39">
        <f t="shared" si="9"/>
        <v>2</v>
      </c>
      <c r="H18" s="41">
        <v>70</v>
      </c>
      <c r="I18" s="39">
        <f t="shared" si="11"/>
        <v>0</v>
      </c>
      <c r="J18" s="39">
        <f t="shared" si="12"/>
        <v>245</v>
      </c>
      <c r="K18" s="39">
        <f t="shared" si="13"/>
        <v>61.25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3055.2845708000004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44697</v>
      </c>
      <c r="B19" s="41">
        <v>60</v>
      </c>
      <c r="C19" s="39">
        <f t="shared" si="7"/>
        <v>5</v>
      </c>
      <c r="D19" s="41">
        <v>40</v>
      </c>
      <c r="E19" s="39">
        <f t="shared" si="8"/>
        <v>0</v>
      </c>
      <c r="F19" s="41">
        <v>68</v>
      </c>
      <c r="G19" s="39">
        <f t="shared" si="9"/>
        <v>3</v>
      </c>
      <c r="H19" s="41">
        <v>70</v>
      </c>
      <c r="I19" s="39">
        <f t="shared" si="11"/>
        <v>5</v>
      </c>
      <c r="J19" s="39">
        <f t="shared" si="12"/>
        <v>238</v>
      </c>
      <c r="K19" s="39">
        <f t="shared" si="13"/>
        <v>59.5</v>
      </c>
      <c r="L19" s="39">
        <f t="shared" si="14"/>
        <v>3.25</v>
      </c>
      <c r="M19" s="149">
        <f t="shared" si="17"/>
        <v>24196</v>
      </c>
      <c r="N19" s="39">
        <f t="shared" si="15"/>
        <v>786.37</v>
      </c>
      <c r="O19" s="39">
        <f t="shared" si="16"/>
        <v>415.98973000000001</v>
      </c>
      <c r="P19" s="42">
        <f t="shared" si="10"/>
        <v>5674.0999172000002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44698</v>
      </c>
      <c r="B20" s="41">
        <v>55</v>
      </c>
      <c r="C20" s="39">
        <f t="shared" si="7"/>
        <v>0</v>
      </c>
      <c r="D20" s="41">
        <v>40</v>
      </c>
      <c r="E20" s="39">
        <f t="shared" si="8"/>
        <v>3</v>
      </c>
      <c r="F20" s="41">
        <v>65</v>
      </c>
      <c r="G20" s="39">
        <f t="shared" si="9"/>
        <v>0</v>
      </c>
      <c r="H20" s="41">
        <v>65</v>
      </c>
      <c r="I20" s="39">
        <f t="shared" si="11"/>
        <v>5</v>
      </c>
      <c r="J20" s="39">
        <f t="shared" si="12"/>
        <v>225</v>
      </c>
      <c r="K20" s="39">
        <f t="shared" si="13"/>
        <v>56.25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3491.7537952000002</v>
      </c>
      <c r="Q20" s="39">
        <v>2480</v>
      </c>
      <c r="R20" s="39">
        <v>55</v>
      </c>
      <c r="S20" s="39">
        <v>85</v>
      </c>
      <c r="T20" s="39">
        <v>3591</v>
      </c>
      <c r="U20" s="39">
        <v>40</v>
      </c>
      <c r="V20" s="39">
        <v>85</v>
      </c>
      <c r="W20" s="39">
        <v>1891</v>
      </c>
      <c r="X20" s="39">
        <v>65</v>
      </c>
      <c r="Y20" s="39">
        <v>85</v>
      </c>
      <c r="Z20" s="39">
        <v>1950</v>
      </c>
      <c r="AA20" s="39">
        <v>60</v>
      </c>
      <c r="AB20" s="39">
        <v>85</v>
      </c>
      <c r="AC20" s="39">
        <f t="shared" si="4"/>
        <v>9912</v>
      </c>
      <c r="AD20" s="38">
        <f t="shared" si="5"/>
        <v>55</v>
      </c>
      <c r="AE20" s="38">
        <f t="shared" si="6"/>
        <v>85</v>
      </c>
    </row>
    <row r="21" spans="1:31" ht="32.25" customHeight="1">
      <c r="A21" s="40">
        <v>44699</v>
      </c>
      <c r="B21" s="41">
        <v>85</v>
      </c>
      <c r="C21" s="39">
        <f t="shared" si="7"/>
        <v>1</v>
      </c>
      <c r="D21" s="41">
        <v>82</v>
      </c>
      <c r="E21" s="39">
        <f t="shared" si="8"/>
        <v>2</v>
      </c>
      <c r="F21" s="41">
        <v>85</v>
      </c>
      <c r="G21" s="39">
        <f t="shared" si="9"/>
        <v>0</v>
      </c>
      <c r="H21" s="41">
        <v>85</v>
      </c>
      <c r="I21" s="39">
        <f t="shared" si="11"/>
        <v>0</v>
      </c>
      <c r="J21" s="39">
        <f t="shared" si="12"/>
        <v>337</v>
      </c>
      <c r="K21" s="39">
        <f t="shared" si="13"/>
        <v>84.25</v>
      </c>
      <c r="L21" s="39">
        <f>IF(AC21&gt;0,((K21-AD21)+(AE21-K22)),IF(K22=0, ,(K21-K22)))</f>
        <v>0.75</v>
      </c>
      <c r="M21" s="149">
        <f t="shared" si="17"/>
        <v>24196</v>
      </c>
      <c r="N21" s="39">
        <f t="shared" si="15"/>
        <v>181.47</v>
      </c>
      <c r="O21" s="39">
        <f t="shared" si="16"/>
        <v>95.997630000000001</v>
      </c>
      <c r="P21" s="42">
        <f t="shared" si="10"/>
        <v>1309.4076732000001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44700</v>
      </c>
      <c r="B22" s="41">
        <v>84</v>
      </c>
      <c r="C22" s="39">
        <f t="shared" si="7"/>
        <v>4</v>
      </c>
      <c r="D22" s="41">
        <v>80</v>
      </c>
      <c r="E22" s="39">
        <f t="shared" si="8"/>
        <v>3</v>
      </c>
      <c r="F22" s="41">
        <v>85</v>
      </c>
      <c r="G22" s="39">
        <f t="shared" si="9"/>
        <v>0</v>
      </c>
      <c r="H22" s="41">
        <v>85</v>
      </c>
      <c r="I22" s="39">
        <f t="shared" si="11"/>
        <v>0</v>
      </c>
      <c r="J22" s="39">
        <f t="shared" si="12"/>
        <v>334</v>
      </c>
      <c r="K22" s="39">
        <f t="shared" si="13"/>
        <v>83.5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3055.2845708000004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44701</v>
      </c>
      <c r="B23" s="41">
        <v>80</v>
      </c>
      <c r="C23" s="39">
        <f t="shared" si="7"/>
        <v>5</v>
      </c>
      <c r="D23" s="41">
        <v>77</v>
      </c>
      <c r="E23" s="39">
        <f t="shared" si="8"/>
        <v>2</v>
      </c>
      <c r="F23" s="41">
        <v>85</v>
      </c>
      <c r="G23" s="39">
        <f t="shared" si="9"/>
        <v>3</v>
      </c>
      <c r="H23" s="41">
        <v>85</v>
      </c>
      <c r="I23" s="39">
        <f t="shared" si="11"/>
        <v>4</v>
      </c>
      <c r="J23" s="39">
        <f t="shared" si="12"/>
        <v>327</v>
      </c>
      <c r="K23" s="39">
        <f t="shared" si="13"/>
        <v>81.75</v>
      </c>
      <c r="L23" s="39">
        <f t="shared" si="18"/>
        <v>3.5</v>
      </c>
      <c r="M23" s="149">
        <f t="shared" si="17"/>
        <v>24196</v>
      </c>
      <c r="N23" s="39">
        <f t="shared" si="15"/>
        <v>846.86</v>
      </c>
      <c r="O23" s="39">
        <f t="shared" si="16"/>
        <v>447.98894000000001</v>
      </c>
      <c r="P23" s="42">
        <f t="shared" si="10"/>
        <v>6110.5691416000009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44702</v>
      </c>
      <c r="B24" s="41">
        <v>75</v>
      </c>
      <c r="C24" s="39">
        <f t="shared" si="7"/>
        <v>0</v>
      </c>
      <c r="D24" s="41">
        <v>75</v>
      </c>
      <c r="E24" s="39">
        <f t="shared" si="8"/>
        <v>1</v>
      </c>
      <c r="F24" s="41">
        <v>82</v>
      </c>
      <c r="G24" s="39">
        <f t="shared" si="9"/>
        <v>1</v>
      </c>
      <c r="H24" s="41">
        <v>81</v>
      </c>
      <c r="I24" s="39">
        <f t="shared" si="11"/>
        <v>1</v>
      </c>
      <c r="J24" s="39">
        <f t="shared" si="12"/>
        <v>313</v>
      </c>
      <c r="K24" s="39">
        <f t="shared" si="13"/>
        <v>78.25</v>
      </c>
      <c r="L24" s="39">
        <f t="shared" si="18"/>
        <v>0.75</v>
      </c>
      <c r="M24" s="149">
        <f t="shared" si="17"/>
        <v>24196</v>
      </c>
      <c r="N24" s="39">
        <f t="shared" si="15"/>
        <v>181.47</v>
      </c>
      <c r="O24" s="39">
        <f t="shared" si="16"/>
        <v>95.997630000000001</v>
      </c>
      <c r="P24" s="42">
        <f t="shared" si="10"/>
        <v>1309.4076732000001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44703</v>
      </c>
      <c r="B25" s="41">
        <v>75</v>
      </c>
      <c r="C25" s="39">
        <f t="shared" si="7"/>
        <v>0</v>
      </c>
      <c r="D25" s="41">
        <v>74</v>
      </c>
      <c r="E25" s="39">
        <f t="shared" si="8"/>
        <v>4</v>
      </c>
      <c r="F25" s="41">
        <v>81</v>
      </c>
      <c r="G25" s="39">
        <f t="shared" si="9"/>
        <v>1</v>
      </c>
      <c r="H25" s="41">
        <v>80</v>
      </c>
      <c r="I25" s="39">
        <f t="shared" si="11"/>
        <v>1</v>
      </c>
      <c r="J25" s="39">
        <f t="shared" si="12"/>
        <v>310</v>
      </c>
      <c r="K25" s="39">
        <f t="shared" si="13"/>
        <v>77.5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2618.8153464000002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44704</v>
      </c>
      <c r="B26" s="41">
        <v>75</v>
      </c>
      <c r="C26" s="39">
        <f t="shared" si="7"/>
        <v>3</v>
      </c>
      <c r="D26" s="41">
        <v>70</v>
      </c>
      <c r="E26" s="39">
        <f t="shared" si="8"/>
        <v>3</v>
      </c>
      <c r="F26" s="41">
        <v>80</v>
      </c>
      <c r="G26" s="39">
        <f t="shared" si="9"/>
        <v>5</v>
      </c>
      <c r="H26" s="41">
        <v>79</v>
      </c>
      <c r="I26" s="39">
        <f t="shared" si="11"/>
        <v>3</v>
      </c>
      <c r="J26" s="39">
        <f t="shared" si="12"/>
        <v>304</v>
      </c>
      <c r="K26" s="39">
        <f t="shared" si="13"/>
        <v>76</v>
      </c>
      <c r="L26" s="39">
        <f t="shared" si="18"/>
        <v>3.5</v>
      </c>
      <c r="M26" s="149">
        <f t="shared" si="17"/>
        <v>24196</v>
      </c>
      <c r="N26" s="39">
        <f t="shared" si="15"/>
        <v>846.86</v>
      </c>
      <c r="O26" s="39">
        <f t="shared" si="16"/>
        <v>447.98894000000001</v>
      </c>
      <c r="P26" s="42">
        <f t="shared" si="10"/>
        <v>6110.5691416000009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44705</v>
      </c>
      <c r="B27" s="41">
        <v>72</v>
      </c>
      <c r="C27" s="39">
        <f t="shared" ref="C27" si="21">IF(AC27&gt;0,((B27-R27)+(S27-B28)),IF(B28=0, ,(B27-B28)))</f>
        <v>2</v>
      </c>
      <c r="D27" s="41">
        <v>67</v>
      </c>
      <c r="E27" s="39">
        <f t="shared" ref="E27" si="22">IF(AC27&gt;0,((D27-U27)+(V27-D28)),IF(D28=0, ,(D27-D28)))</f>
        <v>2</v>
      </c>
      <c r="F27" s="41">
        <v>75</v>
      </c>
      <c r="G27" s="39">
        <f t="shared" ref="G27" si="23">IF(AC27&gt;0,((F27-X27)+(Y27-F28)),IF(F28=0, ,(F27-F28)))</f>
        <v>2</v>
      </c>
      <c r="H27" s="41">
        <v>76</v>
      </c>
      <c r="I27" s="39">
        <f t="shared" si="11"/>
        <v>1</v>
      </c>
      <c r="J27" s="39">
        <f t="shared" si="12"/>
        <v>290</v>
      </c>
      <c r="K27" s="39">
        <f t="shared" si="13"/>
        <v>72.5</v>
      </c>
      <c r="L27" s="39">
        <f t="shared" si="18"/>
        <v>1.75</v>
      </c>
      <c r="M27" s="149">
        <f t="shared" si="17"/>
        <v>24196</v>
      </c>
      <c r="N27" s="39">
        <f t="shared" si="15"/>
        <v>423.43</v>
      </c>
      <c r="O27" s="39">
        <f t="shared" si="16"/>
        <v>223.99447000000001</v>
      </c>
      <c r="P27" s="42">
        <f t="shared" si="10"/>
        <v>3055.2845708000004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44706</v>
      </c>
      <c r="B28" s="41">
        <v>70</v>
      </c>
      <c r="C28" s="39">
        <f t="shared" si="7"/>
        <v>5</v>
      </c>
      <c r="D28" s="41">
        <v>65</v>
      </c>
      <c r="E28" s="39">
        <f t="shared" si="8"/>
        <v>5</v>
      </c>
      <c r="F28" s="41">
        <v>73</v>
      </c>
      <c r="G28" s="39">
        <f t="shared" si="9"/>
        <v>3</v>
      </c>
      <c r="H28" s="41">
        <v>75</v>
      </c>
      <c r="I28" s="39">
        <f>IF(AC28&gt;0,((H28-AA28)+(AB28-H29)),IF(H29=0, ,(H28-H29)))</f>
        <v>5</v>
      </c>
      <c r="J28" s="39">
        <f t="shared" si="12"/>
        <v>283</v>
      </c>
      <c r="K28" s="39">
        <f t="shared" si="13"/>
        <v>70.75</v>
      </c>
      <c r="L28" s="39">
        <f t="shared" si="18"/>
        <v>4.5</v>
      </c>
      <c r="M28" s="149">
        <f t="shared" si="17"/>
        <v>24196</v>
      </c>
      <c r="N28" s="39">
        <f t="shared" si="15"/>
        <v>1088.82</v>
      </c>
      <c r="O28" s="39">
        <f t="shared" si="16"/>
        <v>575.98577999999998</v>
      </c>
      <c r="P28" s="42">
        <f t="shared" si="10"/>
        <v>7856.4460392000001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44707</v>
      </c>
      <c r="B29" s="41">
        <v>65</v>
      </c>
      <c r="C29" s="39">
        <f t="shared" si="7"/>
        <v>1</v>
      </c>
      <c r="D29" s="41">
        <v>60</v>
      </c>
      <c r="E29" s="39">
        <f t="shared" si="8"/>
        <v>0</v>
      </c>
      <c r="F29" s="41">
        <v>70</v>
      </c>
      <c r="G29" s="39">
        <f t="shared" si="9"/>
        <v>2</v>
      </c>
      <c r="H29" s="41">
        <v>70</v>
      </c>
      <c r="I29" s="39">
        <f t="shared" si="11"/>
        <v>1</v>
      </c>
      <c r="J29" s="39">
        <f t="shared" si="12"/>
        <v>265</v>
      </c>
      <c r="K29" s="39">
        <f t="shared" si="13"/>
        <v>66.25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1745.8768976000001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44708</v>
      </c>
      <c r="B30" s="41">
        <v>64</v>
      </c>
      <c r="C30" s="39">
        <f t="shared" si="7"/>
        <v>4</v>
      </c>
      <c r="D30" s="41">
        <v>60</v>
      </c>
      <c r="E30" s="39">
        <f t="shared" si="8"/>
        <v>4</v>
      </c>
      <c r="F30" s="41">
        <v>68</v>
      </c>
      <c r="G30" s="39">
        <f t="shared" si="9"/>
        <v>3</v>
      </c>
      <c r="H30" s="41">
        <v>69</v>
      </c>
      <c r="I30" s="39">
        <f t="shared" si="11"/>
        <v>4</v>
      </c>
      <c r="J30" s="39">
        <f t="shared" si="12"/>
        <v>261</v>
      </c>
      <c r="K30" s="39">
        <f t="shared" si="13"/>
        <v>65.25</v>
      </c>
      <c r="L30" s="39">
        <f t="shared" si="18"/>
        <v>3.75</v>
      </c>
      <c r="M30" s="149">
        <f t="shared" si="17"/>
        <v>24196</v>
      </c>
      <c r="N30" s="39">
        <f t="shared" si="15"/>
        <v>907.35</v>
      </c>
      <c r="O30" s="39">
        <f t="shared" si="16"/>
        <v>479.98815000000002</v>
      </c>
      <c r="P30" s="42">
        <f t="shared" si="10"/>
        <v>6547.0383660000007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44709</v>
      </c>
      <c r="B31" s="41">
        <v>60</v>
      </c>
      <c r="C31" s="39">
        <f t="shared" si="7"/>
        <v>2</v>
      </c>
      <c r="D31" s="41">
        <v>56</v>
      </c>
      <c r="E31" s="39">
        <f t="shared" si="8"/>
        <v>2</v>
      </c>
      <c r="F31" s="41">
        <v>65</v>
      </c>
      <c r="G31" s="39">
        <f t="shared" si="9"/>
        <v>6</v>
      </c>
      <c r="H31" s="41">
        <v>65</v>
      </c>
      <c r="I31" s="39">
        <f t="shared" si="11"/>
        <v>5</v>
      </c>
      <c r="J31" s="39">
        <f t="shared" si="12"/>
        <v>246</v>
      </c>
      <c r="K31" s="39">
        <f t="shared" si="13"/>
        <v>61.5</v>
      </c>
      <c r="L31" s="39">
        <f t="shared" si="18"/>
        <v>3.75</v>
      </c>
      <c r="M31" s="149">
        <f t="shared" si="17"/>
        <v>24196</v>
      </c>
      <c r="N31" s="39">
        <f t="shared" si="15"/>
        <v>907.35</v>
      </c>
      <c r="O31" s="39">
        <f t="shared" si="16"/>
        <v>479.98815000000002</v>
      </c>
      <c r="P31" s="42">
        <f t="shared" si="10"/>
        <v>6547.0383660000007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44710</v>
      </c>
      <c r="B32" s="41">
        <v>58</v>
      </c>
      <c r="C32" s="39">
        <f t="shared" si="7"/>
        <v>2</v>
      </c>
      <c r="D32" s="41">
        <v>54</v>
      </c>
      <c r="E32" s="39">
        <f t="shared" si="8"/>
        <v>2</v>
      </c>
      <c r="F32" s="41">
        <v>59</v>
      </c>
      <c r="G32" s="39">
        <f t="shared" si="9"/>
        <v>5</v>
      </c>
      <c r="H32" s="41">
        <v>60</v>
      </c>
      <c r="I32" s="39">
        <f t="shared" si="11"/>
        <v>2</v>
      </c>
      <c r="J32" s="39">
        <f t="shared" si="12"/>
        <v>231</v>
      </c>
      <c r="K32" s="39">
        <f t="shared" si="13"/>
        <v>57.75</v>
      </c>
      <c r="L32" s="39">
        <f t="shared" si="18"/>
        <v>2.75</v>
      </c>
      <c r="M32" s="149">
        <f t="shared" si="17"/>
        <v>24196</v>
      </c>
      <c r="N32" s="39">
        <f t="shared" si="15"/>
        <v>665.39</v>
      </c>
      <c r="O32" s="149">
        <f t="shared" si="16"/>
        <v>351.99131</v>
      </c>
      <c r="P32" s="42">
        <f t="shared" si="10"/>
        <v>4801.1614684000006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44711</v>
      </c>
      <c r="B33" s="41">
        <v>56</v>
      </c>
      <c r="C33" s="39">
        <f t="shared" si="7"/>
        <v>0</v>
      </c>
      <c r="D33" s="41">
        <v>52</v>
      </c>
      <c r="E33" s="39">
        <f t="shared" si="8"/>
        <v>0</v>
      </c>
      <c r="F33" s="41">
        <v>54</v>
      </c>
      <c r="G33" s="39">
        <f t="shared" si="9"/>
        <v>0</v>
      </c>
      <c r="H33" s="41">
        <v>58</v>
      </c>
      <c r="I33" s="39">
        <f t="shared" si="11"/>
        <v>0</v>
      </c>
      <c r="J33" s="39">
        <f t="shared" si="12"/>
        <v>220</v>
      </c>
      <c r="K33" s="39">
        <f t="shared" si="13"/>
        <v>55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44712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44713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0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1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2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3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3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3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19356.8</v>
      </c>
      <c r="O43" s="39">
        <f>N43*0.529</f>
        <v>10239.7472</v>
      </c>
      <c r="P43" s="42">
        <f>O43*13.64</f>
        <v>139670.151808</v>
      </c>
      <c r="Q43" s="286">
        <f>SUM(Q4:Q42)</f>
        <v>3589</v>
      </c>
      <c r="R43" s="287"/>
      <c r="S43" s="288"/>
      <c r="T43" s="289">
        <f>SUM(T4:T42)</f>
        <v>3591</v>
      </c>
      <c r="U43" s="287"/>
      <c r="V43" s="288"/>
      <c r="W43" s="289">
        <f>SUM(W4:W42)</f>
        <v>4391</v>
      </c>
      <c r="X43" s="287"/>
      <c r="Y43" s="288"/>
      <c r="Z43" s="289">
        <f>SUM(Z4:Z42)</f>
        <v>4350</v>
      </c>
      <c r="AA43" s="287"/>
      <c r="AB43" s="288"/>
      <c r="AC43" s="39">
        <f t="shared" si="20"/>
        <v>15921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15921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15921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19356.8</v>
      </c>
      <c r="L47" s="46">
        <f>O43</f>
        <v>10239.7472</v>
      </c>
      <c r="M47" s="46">
        <f>P43</f>
        <v>139670.151808</v>
      </c>
    </row>
    <row r="48" spans="1:31" ht="54.75" customHeight="1" thickBot="1">
      <c r="H48" s="282" t="s">
        <v>86</v>
      </c>
      <c r="I48" s="283"/>
      <c r="J48" s="284"/>
      <c r="K48" s="43">
        <f>AC44</f>
        <v>15921</v>
      </c>
      <c r="L48" s="44">
        <f>K48*0.529</f>
        <v>8422.2090000000007</v>
      </c>
      <c r="M48" s="44">
        <f>L48*13.64</f>
        <v>114878.93076000002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44655</v>
      </c>
      <c r="D8" s="350"/>
      <c r="E8" s="113">
        <v>44685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793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29"/>
      <c r="H17" s="330"/>
      <c r="I17" s="329">
        <f>+E17</f>
        <v>6887</v>
      </c>
      <c r="J17" s="330"/>
    </row>
    <row r="18" spans="1:10">
      <c r="A18" s="327" t="s">
        <v>111</v>
      </c>
      <c r="B18" s="32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29"/>
      <c r="H18" s="330"/>
      <c r="I18" s="329">
        <f>+E18</f>
        <v>3799</v>
      </c>
      <c r="J18" s="330"/>
    </row>
    <row r="19" spans="1:10">
      <c r="A19" s="327" t="s">
        <v>112</v>
      </c>
      <c r="B19" s="32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29"/>
      <c r="H19" s="330"/>
      <c r="I19" s="329">
        <f>+E19</f>
        <v>3073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D29" sqref="D2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44314</v>
      </c>
      <c r="D8" s="350"/>
      <c r="E8" s="113">
        <v>44709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1135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29"/>
      <c r="H17" s="330"/>
      <c r="I17" s="329">
        <f>+E17</f>
        <v>237864</v>
      </c>
      <c r="J17" s="330"/>
    </row>
    <row r="18" spans="1:10">
      <c r="A18" s="327" t="s">
        <v>111</v>
      </c>
      <c r="B18" s="328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29"/>
      <c r="H18" s="330"/>
      <c r="I18" s="329">
        <f>+E18</f>
        <v>119775</v>
      </c>
      <c r="J18" s="330"/>
    </row>
    <row r="19" spans="1:10">
      <c r="A19" s="327" t="s">
        <v>112</v>
      </c>
      <c r="B19" s="328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29"/>
      <c r="H19" s="330"/>
      <c r="I19" s="329">
        <f>+E19</f>
        <v>94787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452426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04">
        <f>SUM(H25,F25)</f>
        <v>257986.342944</v>
      </c>
      <c r="J25" s="305"/>
    </row>
    <row r="26" spans="1:10" ht="15">
      <c r="A26" s="301" t="s">
        <v>124</v>
      </c>
      <c r="B26" s="302"/>
      <c r="C26" s="303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04">
        <f t="shared" ref="I26:I31" si="0">SUM(H26,F26)</f>
        <v>95375.634749999997</v>
      </c>
      <c r="J26" s="305"/>
    </row>
    <row r="27" spans="1:10" ht="15">
      <c r="A27" s="301" t="s">
        <v>125</v>
      </c>
      <c r="B27" s="302"/>
      <c r="C27" s="303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04">
        <f>SUM(H27,F27)</f>
        <v>143759.272272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17">
        <f t="shared" si="0"/>
        <v>10130.083519500002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491171.98007499997</v>
      </c>
      <c r="G32" s="85"/>
      <c r="H32" s="86"/>
      <c r="I32" s="313">
        <f>SUM(I25:J31)</f>
        <v>559882.07728549989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140352</v>
      </c>
      <c r="D8" s="97">
        <v>44652</v>
      </c>
      <c r="E8" s="96">
        <v>143745</v>
      </c>
      <c r="F8" s="97">
        <v>44682</v>
      </c>
      <c r="G8" s="98">
        <f>E8-C8</f>
        <v>3393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3393</v>
      </c>
      <c r="C13" s="397"/>
      <c r="D13" s="397">
        <v>8.7899999999999991</v>
      </c>
      <c r="E13" s="397"/>
      <c r="F13" s="399">
        <f>PRODUCT(D13,B13)</f>
        <v>29824.469999999998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3393</v>
      </c>
      <c r="C19" s="397"/>
      <c r="D19" s="397">
        <v>2.61</v>
      </c>
      <c r="E19" s="397"/>
      <c r="F19" s="397">
        <f>PRODUCT(D19,B19)</f>
        <v>8855.73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38703.199999999997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2709.2240000000002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2917.4840000000004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41620.683999999994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C1"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119.80000000000291</v>
      </c>
      <c r="C13" s="397"/>
      <c r="D13" s="397">
        <v>8.5</v>
      </c>
      <c r="E13" s="397"/>
      <c r="F13" s="399">
        <f>PRODUCT(D13,B13)</f>
        <v>1018.3000000000247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1345.5920000000322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94.19144000000226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302.45144000000226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1648.0434400000345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44287</v>
      </c>
      <c r="E8" s="96">
        <v>2560</v>
      </c>
      <c r="F8" s="97">
        <v>44682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6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F26" sqref="F26:H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/>
      <c r="F15" s="104">
        <v>23168.613000000001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/>
      <c r="F26" s="104">
        <v>316019.88132000004</v>
      </c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2022-05-30T09:35:21Z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