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2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184" documentId="11_BAA942FCA7BEAABB974CAE7280EFB50BD3AD1A25" xr6:coauthVersionLast="47" xr6:coauthVersionMax="47" xr10:uidLastSave="{EA18473C-0204-4646-845D-F1F4293BE43A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Nov 2022" sheetId="14" r:id="rId2"/>
    <sheet name="RNs &amp; Covers Nov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8" i="14" l="1"/>
  <c r="Y49" i="14"/>
  <c r="V42" i="14"/>
  <c r="Y43" i="14"/>
  <c r="W43" i="14"/>
  <c r="V12" i="14"/>
  <c r="K12" i="11"/>
  <c r="Y45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O12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12" i="14"/>
  <c r="X45" i="14" l="1"/>
  <c r="I45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5" i="14" l="1"/>
  <c r="AB45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5" i="14"/>
  <c r="L45" i="14"/>
  <c r="K45" i="14"/>
  <c r="J45" i="14"/>
  <c r="H45" i="14"/>
  <c r="G45" i="14"/>
  <c r="F45" i="14"/>
  <c r="E45" i="14"/>
  <c r="AK45" i="14" l="1"/>
  <c r="AJ45" i="14"/>
  <c r="AH45" i="14"/>
  <c r="AF45" i="14"/>
  <c r="AE45" i="14"/>
  <c r="M45" i="14"/>
  <c r="C45" i="14"/>
  <c r="D45" i="14"/>
  <c r="Z45" i="14"/>
  <c r="W45" i="14"/>
  <c r="AK47" i="14" l="1"/>
  <c r="AI45" i="14"/>
  <c r="AL45" i="14"/>
  <c r="C36" i="10" l="1"/>
  <c r="B36" i="10"/>
  <c r="AG45" i="14" l="1"/>
  <c r="AH47" i="14" s="1"/>
  <c r="N45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5" i="14" l="1"/>
  <c r="AA47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5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4" i="11"/>
  <c r="L2" i="11"/>
  <c r="H2" i="11"/>
  <c r="J2" i="11"/>
  <c r="AC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5" i="14" l="1"/>
  <c r="P47" i="14" s="1"/>
  <c r="F7" i="11"/>
  <c r="F2" i="11"/>
  <c r="L6" i="11"/>
  <c r="U46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<sst xmlns="http://schemas.openxmlformats.org/spreadsheetml/2006/main" count="100" uniqueCount="55">
  <si>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</si>
  <si>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</si>
  <si>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</si>
  <si>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</si>
  <si>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</si>
  <si>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</si>
  <si>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</si>
  <si>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</si>
  <si>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</si>
  <si>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</si>
  <si>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</si>
  <si>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</si>
  <si>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</si>
  <si>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</si>
  <si>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</si>
  <si>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</si>
  <si>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</si>
  <si>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NOVEMBER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</si>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</sst>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"/>
    <numFmt numFmtId="167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53">
    <xf numFmtId="0" fontId="0" fillId="0" borderId="0" xfId="0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6" fillId="3" borderId="0" xfId="0" applyNumberFormat="1" applyFont="1" applyFill="1"/>
    <xf numFmtId="166" fontId="0" fillId="0" borderId="21" xfId="2" applyNumberFormat="1" applyFont="1" applyBorder="1"/>
    <xf numFmtId="166" fontId="0" fillId="3" borderId="5" xfId="0" applyNumberFormat="1" applyFill="1" applyBorder="1"/>
    <xf numFmtId="166" fontId="0" fillId="0" borderId="0" xfId="0" applyNumberFormat="1"/>
    <xf numFmtId="0" fontId="0" fillId="0" borderId="13" xfId="0" applyBorder="1" applyAlignment="1">
      <alignment horizontal="center" vertical="center" wrapText="1"/>
    </xf>
    <xf numFmtId="166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 wrapText="1"/>
    </xf>
    <xf numFmtId="166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6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3" borderId="0" xfId="2" applyNumberFormat="1" applyFont="1" applyFill="1" applyBorder="1" applyAlignment="1"/>
    <xf numFmtId="167" fontId="0" fillId="3" borderId="0" xfId="2" applyNumberFormat="1" applyFont="1" applyFill="1" applyBorder="1"/>
    <xf numFmtId="167" fontId="0" fillId="3" borderId="47" xfId="2" applyNumberFormat="1" applyFont="1" applyFill="1" applyBorder="1"/>
    <xf numFmtId="167" fontId="0" fillId="0" borderId="0" xfId="2" applyNumberFormat="1" applyFont="1" applyBorder="1"/>
    <xf numFmtId="167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167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1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7" fontId="0" fillId="0" borderId="41" xfId="2" applyNumberFormat="1" applyFont="1" applyBorder="1" applyAlignment="1">
      <alignment horizontal="center" vertical="center" wrapText="1"/>
    </xf>
    <xf numFmtId="167" fontId="0" fillId="0" borderId="25" xfId="2" applyNumberFormat="1" applyFont="1" applyBorder="1" applyAlignment="1">
      <alignment horizontal="center" vertical="center" wrapText="1"/>
    </xf>
    <xf numFmtId="167" fontId="0" fillId="0" borderId="22" xfId="2" applyNumberFormat="1" applyFont="1" applyBorder="1"/>
    <xf numFmtId="167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7" fontId="17" fillId="0" borderId="0" xfId="2" applyNumberFormat="1" applyFont="1"/>
    <xf numFmtId="166" fontId="17" fillId="0" borderId="0" xfId="0" applyNumberFormat="1" applyFont="1"/>
    <xf numFmtId="167" fontId="0" fillId="0" borderId="16" xfId="2" applyNumberFormat="1" applyFont="1" applyBorder="1"/>
    <xf numFmtId="167" fontId="0" fillId="0" borderId="14" xfId="2" applyNumberFormat="1" applyFont="1" applyBorder="1"/>
    <xf numFmtId="167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7" fontId="17" fillId="3" borderId="14" xfId="2" applyNumberFormat="1" applyFont="1" applyFill="1" applyBorder="1" applyAlignment="1">
      <alignment vertical="top" wrapText="1"/>
    </xf>
    <xf numFmtId="167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4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164" fontId="0" fillId="3" borderId="0" xfId="2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0" fillId="14" borderId="23" xfId="0" applyNumberFormat="1" applyFont="1" applyFill="1" applyBorder="1"/>
    <xf numFmtId="1" fontId="20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1" fontId="0" fillId="0" borderId="13" xfId="2" applyNumberFormat="1" applyFont="1" applyBorder="1" applyAlignment="1">
      <alignment horizontal="center" vertical="center" wrapText="1"/>
    </xf>
    <xf numFmtId="165" fontId="4" fillId="0" borderId="0" xfId="0" applyNumberFormat="1" applyFont="1"/>
    <xf numFmtId="0" fontId="11" fillId="11" borderId="66" xfId="0" applyFont="1" applyFill="1" applyBorder="1" applyAlignment="1">
      <alignment horizontal="center" vertical="center" shrinkToFit="1"/>
    </xf>
    <xf numFmtId="1" fontId="0" fillId="0" borderId="67" xfId="2" applyNumberFormat="1" applyFont="1" applyBorder="1"/>
    <xf numFmtId="0" fontId="0" fillId="0" borderId="9" xfId="0" applyBorder="1"/>
    <xf numFmtId="0" fontId="21" fillId="0" borderId="8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24" xfId="0" applyFont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67" fontId="1" fillId="4" borderId="1" xfId="2" applyNumberFormat="1" applyFont="1" applyFill="1" applyBorder="1" applyAlignment="1">
      <alignment horizontal="center" vertical="center"/>
    </xf>
    <xf numFmtId="167" fontId="1" fillId="4" borderId="40" xfId="2" applyNumberFormat="1" applyFont="1" applyFill="1" applyBorder="1" applyAlignment="1">
      <alignment horizontal="center" vertical="center"/>
    </xf>
    <xf numFmtId="167" fontId="1" fillId="4" borderId="2" xfId="2" applyNumberFormat="1" applyFont="1" applyFill="1" applyBorder="1" applyAlignment="1">
      <alignment horizontal="center" vertical="center"/>
    </xf>
    <xf numFmtId="167" fontId="1" fillId="0" borderId="35" xfId="2" applyNumberFormat="1" applyFont="1" applyBorder="1" applyAlignment="1">
      <alignment horizontal="center" vertical="center" wrapText="1"/>
    </xf>
    <xf numFmtId="167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5" fontId="0" fillId="3" borderId="50" xfId="0" applyNumberFormat="1" applyFill="1" applyBorder="1"/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 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opLeftCell="F1" workbookViewId="0">
      <selection activeCell="K3" sqref="K3"/>
    </sheetView>
  </sheetViews>
  <sheetFormatPr defaultColWidth="11.5703125" defaultRowHeight="15"/>
  <cols>
    <col min="1" max="1" width="18.42578125" style="123" customWidth="1"/>
    <col min="2" max="2" width="11.5703125" style="124"/>
    <col min="3" max="3" width="11.5703125" style="125"/>
    <col min="4" max="4" width="13.42578125" style="124" customWidth="1"/>
    <col min="5" max="5" width="12.5703125" style="122" customWidth="1"/>
    <col min="6" max="6" width="12.5703125" style="126" customWidth="1"/>
    <col min="7" max="7" width="11.5703125" style="122"/>
    <col min="8" max="8" width="11.5703125" style="126"/>
    <col min="9" max="9" width="11.5703125" style="127"/>
    <col min="10" max="10" width="11.5703125" style="128"/>
    <col min="11" max="11" width="11.5703125" style="122"/>
    <col min="12" max="12" width="11.5703125" style="128"/>
    <col min="13" max="25" width="11.5703125" style="122"/>
  </cols>
  <sheetData>
    <row r="1" spans="1:15" s="116" customFormat="1" ht="60">
      <c r="A1" s="112" t="s">
        <v>0</v>
      </c>
      <c r="B1" s="112" t="s">
        <v>1</v>
      </c>
      <c r="C1" s="113" t="s">
        <v>2</v>
      </c>
      <c r="D1" s="112" t="s">
        <v>3</v>
      </c>
      <c r="E1" s="111" t="s">
        <v>4</v>
      </c>
      <c r="F1" s="114" t="s">
        <v>5</v>
      </c>
      <c r="G1" s="111" t="s">
        <v>6</v>
      </c>
      <c r="H1" s="114" t="s">
        <v>7</v>
      </c>
      <c r="I1" s="111" t="s">
        <v>8</v>
      </c>
      <c r="J1" s="114" t="s">
        <v>9</v>
      </c>
      <c r="K1" s="111" t="s">
        <v>10</v>
      </c>
      <c r="L1" s="115" t="s">
        <v>11</v>
      </c>
      <c r="M1" s="111" t="s">
        <v>12</v>
      </c>
      <c r="N1" s="111" t="s">
        <v>13</v>
      </c>
    </row>
    <row r="2" spans="1:15">
      <c r="A2" s="117" t="s">
        <v>14</v>
      </c>
      <c r="B2" s="118">
        <v>1</v>
      </c>
      <c r="C2" s="119">
        <v>11</v>
      </c>
      <c r="D2" s="118">
        <v>2022</v>
      </c>
      <c r="E2" s="120">
        <f>'FS Jimbaran Nov 2022'!P12</f>
        <v>13480.000000000928</v>
      </c>
      <c r="F2" s="129">
        <f>'FS Jimbaran Nov 2022'!O12/'FS Jimbaran Nov 2022'!P12</f>
        <v>1201.7506824925765</v>
      </c>
      <c r="G2" s="120">
        <f>'FS Jimbaran Nov 2022'!AG12</f>
        <v>206.91147999999939</v>
      </c>
      <c r="H2" s="129">
        <f>'FS Jimbaran Nov 2022'!AH12/'FS Jimbaran Nov 2022'!AG12</f>
        <v>16927.872216659995</v>
      </c>
      <c r="I2" s="120">
        <f>'FS Jimbaran Nov 2022'!AJ12</f>
        <v>50.670000000012806</v>
      </c>
      <c r="J2" s="121">
        <f>'FS Jimbaran Nov 2022'!AK12/'FS Jimbaran Nov 2022'!AJ12</f>
        <v>18000</v>
      </c>
      <c r="K2" s="120">
        <f>'FS Jimbaran Nov 2022'!V12</f>
        <v>768.07</v>
      </c>
      <c r="L2" s="129">
        <f>'FS Jimbaran Nov 2022'!AA12/'FS Jimbaran Nov 2022'!V12</f>
        <v>8490.8958980301286</v>
      </c>
      <c r="M2" s="120">
        <f>'RNs &amp; Covers Nov 2022'!B6</f>
        <v>65</v>
      </c>
      <c r="N2" s="120">
        <f>'RNs &amp; Covers Nov 2022'!C6</f>
        <v>351</v>
      </c>
    </row>
    <row r="3" spans="1:15">
      <c r="A3" s="117" t="s">
        <v>14</v>
      </c>
      <c r="B3" s="118">
        <f>B2+1</f>
        <v>2</v>
      </c>
      <c r="C3" s="119">
        <v>11</v>
      </c>
      <c r="D3" s="118">
        <v>2022</v>
      </c>
      <c r="E3" s="120">
        <f>'FS Jimbaran Nov 2022'!P13</f>
        <v>22680.000000000236</v>
      </c>
      <c r="F3" s="129">
        <f>'FS Jimbaran Nov 2022'!O13/'FS Jimbaran Nov 2022'!P13</f>
        <v>1136.2524867724837</v>
      </c>
      <c r="G3" s="120">
        <f>'FS Jimbaran Nov 2022'!AG13</f>
        <v>690.42423999999494</v>
      </c>
      <c r="H3" s="129">
        <f>'FS Jimbaran Nov 2022'!AH13/'FS Jimbaran Nov 2022'!AG13</f>
        <v>16086.184577317857</v>
      </c>
      <c r="I3" s="120">
        <f>'FS Jimbaran Nov 2022'!AJ13</f>
        <v>48.729999999995925</v>
      </c>
      <c r="J3" s="121">
        <f>'FS Jimbaran Nov 2022'!AK13/'FS Jimbaran Nov 2022'!AJ13</f>
        <v>18000</v>
      </c>
      <c r="K3" s="120">
        <f>'FS Jimbaran Nov 2022'!V13</f>
        <v>1068</v>
      </c>
      <c r="L3" s="129">
        <f>'FS Jimbaran Nov 2022'!AA13/'FS Jimbaran Nov 2022'!V13</f>
        <v>5457.5832666666665</v>
      </c>
      <c r="M3" s="120">
        <f>'RNs &amp; Covers Nov 2022'!B7</f>
        <v>70</v>
      </c>
      <c r="N3" s="120">
        <f>'RNs &amp; Covers Nov 2022'!C7</f>
        <v>373</v>
      </c>
    </row>
    <row r="4" spans="1:15">
      <c r="A4" s="117" t="s">
        <v>14</v>
      </c>
      <c r="B4" s="118">
        <f t="shared" ref="B4:B31" si="0">B3+1</f>
        <v>3</v>
      </c>
      <c r="C4" s="119">
        <v>11</v>
      </c>
      <c r="D4" s="118">
        <v>2022</v>
      </c>
      <c r="E4" s="120">
        <f>'FS Jimbaran Nov 2022'!P14</f>
        <v>24439.999999999316</v>
      </c>
      <c r="F4" s="129">
        <f>'FS Jimbaran Nov 2022'!O14/'FS Jimbaran Nov 2022'!P14</f>
        <v>1142.1551145662861</v>
      </c>
      <c r="G4" s="120">
        <f>'FS Jimbaran Nov 2022'!AG14</f>
        <v>659.73924000000886</v>
      </c>
      <c r="H4" s="129">
        <f>'FS Jimbaran Nov 2022'!AH14/'FS Jimbaran Nov 2022'!AG14</f>
        <v>16061.318981983241</v>
      </c>
      <c r="I4" s="120">
        <f>'FS Jimbaran Nov 2022'!AJ14</f>
        <v>72.110000000015134</v>
      </c>
      <c r="J4" s="121">
        <f>'FS Jimbaran Nov 2022'!AK14/'FS Jimbaran Nov 2022'!AJ14</f>
        <v>18000</v>
      </c>
      <c r="K4" s="120">
        <f>'FS Jimbaran Nov 2022'!V14</f>
        <v>1095.5900000000001</v>
      </c>
      <c r="L4" s="129">
        <f>'FS Jimbaran Nov 2022'!AA14/'FS Jimbaran Nov 2022'!V14</f>
        <v>6843.0675385865152</v>
      </c>
      <c r="M4" s="120">
        <f>'RNs &amp; Covers Nov 2022'!B8</f>
        <v>108</v>
      </c>
      <c r="N4" s="120">
        <f>'RNs &amp; Covers Nov 2022'!C8</f>
        <v>600</v>
      </c>
    </row>
    <row r="5" spans="1:15">
      <c r="A5" s="117" t="s">
        <v>14</v>
      </c>
      <c r="B5" s="118">
        <f t="shared" si="0"/>
        <v>4</v>
      </c>
      <c r="C5" s="119">
        <v>11</v>
      </c>
      <c r="D5" s="118">
        <v>2022</v>
      </c>
      <c r="E5" s="120">
        <f>'FS Jimbaran Nov 2022'!P15</f>
        <v>23940.00000000028</v>
      </c>
      <c r="F5" s="129">
        <f>'FS Jimbaran Nov 2022'!O15/'FS Jimbaran Nov 2022'!P15</f>
        <v>1138.3196240601496</v>
      </c>
      <c r="G5" s="120">
        <f>'FS Jimbaran Nov 2022'!AG15</f>
        <v>505.43344000000786</v>
      </c>
      <c r="H5" s="129">
        <f>'FS Jimbaran Nov 2022'!AH15/'FS Jimbaran Nov 2022'!AG15</f>
        <v>16011.325592923167</v>
      </c>
      <c r="I5" s="120">
        <f>'FS Jimbaran Nov 2022'!AJ15</f>
        <v>33.419999999998254</v>
      </c>
      <c r="J5" s="121">
        <f>'FS Jimbaran Nov 2022'!AK15/'FS Jimbaran Nov 2022'!AJ15</f>
        <v>18000</v>
      </c>
      <c r="K5" s="120">
        <f>'FS Jimbaran Nov 2022'!V15</f>
        <v>982.56</v>
      </c>
      <c r="L5" s="129">
        <f>'FS Jimbaran Nov 2022'!AA15/'FS Jimbaran Nov 2022'!V15</f>
        <v>5003.5536594202904</v>
      </c>
      <c r="M5" s="120">
        <f>'RNs &amp; Covers Nov 2022'!B9</f>
        <v>115</v>
      </c>
      <c r="N5" s="120">
        <f>'RNs &amp; Covers Nov 2022'!C9</f>
        <v>482</v>
      </c>
    </row>
    <row r="6" spans="1:15">
      <c r="A6" s="117" t="s">
        <v>14</v>
      </c>
      <c r="B6" s="118">
        <f t="shared" si="0"/>
        <v>5</v>
      </c>
      <c r="C6" s="119">
        <v>11</v>
      </c>
      <c r="D6" s="118">
        <v>2022</v>
      </c>
      <c r="E6" s="120">
        <f>'FS Jimbaran Nov 2022'!P16</f>
        <v>24620.00000000012</v>
      </c>
      <c r="F6" s="129">
        <f>'FS Jimbaran Nov 2022'!O16/'FS Jimbaran Nov 2022'!P16</f>
        <v>1137.5910316815623</v>
      </c>
      <c r="G6" s="120">
        <f>'FS Jimbaran Nov 2022'!AG16</f>
        <v>515.42288000001031</v>
      </c>
      <c r="H6" s="129">
        <f>'FS Jimbaran Nov 2022'!AH16/'FS Jimbaran Nov 2022'!AG16</f>
        <v>15947.389929665518</v>
      </c>
      <c r="I6" s="120">
        <f>'FS Jimbaran Nov 2022'!AJ16</f>
        <v>22.119999999995343</v>
      </c>
      <c r="J6" s="121">
        <f>'FS Jimbaran Nov 2022'!AK16/'FS Jimbaran Nov 2022'!AJ16</f>
        <v>18000</v>
      </c>
      <c r="K6" s="120">
        <f>'FS Jimbaran Nov 2022'!V16</f>
        <v>1097.3699999999999</v>
      </c>
      <c r="L6" s="129">
        <f>'FS Jimbaran Nov 2022'!AA16/'FS Jimbaran Nov 2022'!V16</f>
        <v>6827.7219626926199</v>
      </c>
      <c r="M6" s="120">
        <f>'RNs &amp; Covers Nov 2022'!B10</f>
        <v>110</v>
      </c>
      <c r="N6" s="120">
        <f>'RNs &amp; Covers Nov 2022'!C10</f>
        <v>602</v>
      </c>
    </row>
    <row r="7" spans="1:15">
      <c r="A7" s="117" t="s">
        <v>14</v>
      </c>
      <c r="B7" s="118">
        <f t="shared" si="0"/>
        <v>6</v>
      </c>
      <c r="C7" s="119">
        <v>11</v>
      </c>
      <c r="D7" s="118">
        <v>2022</v>
      </c>
      <c r="E7" s="120">
        <f>'FS Jimbaran Nov 2022'!P17</f>
        <v>24040.000000000477</v>
      </c>
      <c r="F7" s="129">
        <f>'FS Jimbaran Nov 2022'!O17/'FS Jimbaran Nov 2022'!P17</f>
        <v>1135.7388019966686</v>
      </c>
      <c r="G7" s="120">
        <f>'FS Jimbaran Nov 2022'!AG17</f>
        <v>590.90415999999834</v>
      </c>
      <c r="H7" s="129">
        <f>'FS Jimbaran Nov 2022'!AH17/'FS Jimbaran Nov 2022'!AG17</f>
        <v>15938.342384490908</v>
      </c>
      <c r="I7" s="120">
        <f>'FS Jimbaran Nov 2022'!AJ17</f>
        <v>375.5</v>
      </c>
      <c r="J7" s="121">
        <f>'FS Jimbaran Nov 2022'!AK17/'FS Jimbaran Nov 2022'!AJ17</f>
        <v>18000</v>
      </c>
      <c r="K7" s="120">
        <f>'FS Jimbaran Nov 2022'!V17</f>
        <v>1027.95</v>
      </c>
      <c r="L7" s="129">
        <f>'FS Jimbaran Nov 2022'!AA17/'FS Jimbaran Nov 2022'!V17</f>
        <v>6087.1060606060601</v>
      </c>
      <c r="M7" s="120">
        <f>'RNs &amp; Covers Nov 2022'!B11</f>
        <v>104</v>
      </c>
      <c r="N7" s="120">
        <f>'RNs &amp; Covers Nov 2022'!C11</f>
        <v>498</v>
      </c>
    </row>
    <row r="8" spans="1:15">
      <c r="A8" s="117" t="s">
        <v>14</v>
      </c>
      <c r="B8" s="118">
        <f t="shared" si="0"/>
        <v>7</v>
      </c>
      <c r="C8" s="119">
        <v>11</v>
      </c>
      <c r="D8" s="118">
        <v>2022</v>
      </c>
      <c r="E8" s="120">
        <f>'FS Jimbaran Nov 2022'!P18</f>
        <v>22119.999999999327</v>
      </c>
      <c r="F8" s="129">
        <f>'FS Jimbaran Nov 2022'!O18/'FS Jimbaran Nov 2022'!P18</f>
        <v>1129.8992495479254</v>
      </c>
      <c r="G8" s="120">
        <f>'FS Jimbaran Nov 2022'!AG18</f>
        <v>565.04440000000477</v>
      </c>
      <c r="H8" s="129">
        <f>'FS Jimbaran Nov 2022'!AH18/'FS Jimbaran Nov 2022'!AG18</f>
        <v>15984.498128192397</v>
      </c>
      <c r="I8" s="120">
        <f>'FS Jimbaran Nov 2022'!AJ18</f>
        <v>0.52999999999883585</v>
      </c>
      <c r="J8" s="121">
        <f>'FS Jimbaran Nov 2022'!AK18/'FS Jimbaran Nov 2022'!AJ18</f>
        <v>18000</v>
      </c>
      <c r="K8" s="120">
        <f>'FS Jimbaran Nov 2022'!V18</f>
        <v>1036.8499999999999</v>
      </c>
      <c r="L8" s="129">
        <f>'FS Jimbaran Nov 2022'!AA18/'FS Jimbaran Nov 2022'!V18</f>
        <v>7002.0253905579411</v>
      </c>
      <c r="M8" s="120">
        <f>'RNs &amp; Covers Nov 2022'!B12</f>
        <v>57</v>
      </c>
      <c r="N8" s="120">
        <f>'RNs &amp; Covers Nov 2022'!C12</f>
        <v>376</v>
      </c>
    </row>
    <row r="9" spans="1:15">
      <c r="A9" s="117" t="s">
        <v>14</v>
      </c>
      <c r="B9" s="118">
        <f t="shared" si="0"/>
        <v>8</v>
      </c>
      <c r="C9" s="119">
        <v>11</v>
      </c>
      <c r="D9" s="118">
        <v>2022</v>
      </c>
      <c r="E9" s="120">
        <f>'FS Jimbaran Nov 2022'!P19</f>
        <v>20339.999999999858</v>
      </c>
      <c r="F9" s="129">
        <f>'FS Jimbaran Nov 2022'!O19/'FS Jimbaran Nov 2022'!P19</f>
        <v>1135.5896755162196</v>
      </c>
      <c r="G9" s="120">
        <f>'FS Jimbaran Nov 2022'!AG19</f>
        <v>604.43823999997596</v>
      </c>
      <c r="H9" s="129">
        <f>'FS Jimbaran Nov 2022'!AH19/'FS Jimbaran Nov 2022'!AG19</f>
        <v>15989.565260231075</v>
      </c>
      <c r="I9" s="120">
        <f>'FS Jimbaran Nov 2022'!AJ19</f>
        <v>0.25</v>
      </c>
      <c r="J9" s="121">
        <f>'FS Jimbaran Nov 2022'!AK19/'FS Jimbaran Nov 2022'!AJ19</f>
        <v>18000</v>
      </c>
      <c r="K9" s="120">
        <f>'FS Jimbaran Nov 2022'!V19</f>
        <v>1046.6400000000001</v>
      </c>
      <c r="L9" s="129">
        <f>'FS Jimbaran Nov 2022'!AA19/'FS Jimbaran Nov 2022'!V19</f>
        <v>6030.8721428571425</v>
      </c>
      <c r="M9" s="120">
        <f>'RNs &amp; Covers Nov 2022'!B13</f>
        <v>44</v>
      </c>
      <c r="N9" s="120">
        <f>'RNs &amp; Covers Nov 2022'!C13</f>
        <v>272</v>
      </c>
      <c r="O9" s="122" t="s">
        <v>15</v>
      </c>
    </row>
    <row r="10" spans="1:15">
      <c r="A10" s="117" t="s">
        <v>14</v>
      </c>
      <c r="B10" s="118">
        <f t="shared" si="0"/>
        <v>9</v>
      </c>
      <c r="C10" s="119">
        <v>11</v>
      </c>
      <c r="D10" s="118">
        <v>2022</v>
      </c>
      <c r="E10" s="120">
        <f>'FS Jimbaran Nov 2022'!P20</f>
        <v>21380.000000000397</v>
      </c>
      <c r="F10" s="129">
        <f>'FS Jimbaran Nov 2022'!O20/'FS Jimbaran Nov 2022'!P20</f>
        <v>1136.0636576239494</v>
      </c>
      <c r="G10" s="120">
        <f>'FS Jimbaran Nov 2022'!AG20</f>
        <v>697.63092000002985</v>
      </c>
      <c r="H10" s="129">
        <f>'FS Jimbaran Nov 2022'!AH20/'FS Jimbaran Nov 2022'!AG20</f>
        <v>16089.249844564782</v>
      </c>
      <c r="I10" s="120">
        <f>'FS Jimbaran Nov 2022'!AJ20</f>
        <v>0.19999999999708962</v>
      </c>
      <c r="J10" s="121">
        <f>'FS Jimbaran Nov 2022'!AK20/'FS Jimbaran Nov 2022'!AJ20</f>
        <v>18000</v>
      </c>
      <c r="K10" s="120">
        <f>'FS Jimbaran Nov 2022'!V20</f>
        <v>1128.52</v>
      </c>
      <c r="L10" s="129">
        <f>'FS Jimbaran Nov 2022'!AA20/'FS Jimbaran Nov 2022'!V20</f>
        <v>7016.2225236593067</v>
      </c>
      <c r="M10" s="120">
        <f>'RNs &amp; Covers Nov 2022'!B14</f>
        <v>61</v>
      </c>
      <c r="N10" s="120">
        <f>'RNs &amp; Covers Nov 2022'!C14</f>
        <v>296</v>
      </c>
    </row>
    <row r="11" spans="1:15">
      <c r="A11" s="117" t="s">
        <v>14</v>
      </c>
      <c r="B11" s="118">
        <f t="shared" si="0"/>
        <v>10</v>
      </c>
      <c r="C11" s="119">
        <v>11</v>
      </c>
      <c r="D11" s="118">
        <v>2022</v>
      </c>
      <c r="E11" s="120">
        <f>'FS Jimbaran Nov 2022'!P21</f>
        <v>22399.999999998956</v>
      </c>
      <c r="F11" s="129">
        <f>'FS Jimbaran Nov 2022'!O21/'FS Jimbaran Nov 2022'!P21</f>
        <v>1137.5083928571496</v>
      </c>
      <c r="G11" s="120">
        <f>'FS Jimbaran Nov 2022'!AG21</f>
        <v>684.67599999997697</v>
      </c>
      <c r="H11" s="129">
        <f>'FS Jimbaran Nov 2022'!AH21/'FS Jimbaran Nov 2022'!AG21</f>
        <v>15974.742031361999</v>
      </c>
      <c r="I11" s="120">
        <f>'FS Jimbaran Nov 2022'!AJ21</f>
        <v>0.25</v>
      </c>
      <c r="J11" s="121">
        <f>'FS Jimbaran Nov 2022'!AK21/'FS Jimbaran Nov 2022'!AJ21</f>
        <v>18000</v>
      </c>
      <c r="K11" s="120">
        <f>'FS Jimbaran Nov 2022'!V21</f>
        <v>1076.9000000000001</v>
      </c>
      <c r="L11" s="129">
        <f>'FS Jimbaran Nov 2022'!AA21/'FS Jimbaran Nov 2022'!V21</f>
        <v>5572.3390413223133</v>
      </c>
      <c r="M11" s="120">
        <f>'RNs &amp; Covers Nov 2022'!B15</f>
        <v>68</v>
      </c>
      <c r="N11" s="120">
        <f>'RNs &amp; Covers Nov 2022'!C15</f>
        <v>388</v>
      </c>
    </row>
    <row r="12" spans="1:15">
      <c r="A12" s="117" t="s">
        <v>14</v>
      </c>
      <c r="B12" s="118">
        <f t="shared" si="0"/>
        <v>11</v>
      </c>
      <c r="C12" s="119">
        <v>11</v>
      </c>
      <c r="D12" s="118">
        <v>2022</v>
      </c>
      <c r="E12" s="120">
        <f>'FS Jimbaran Nov 2022'!P22</f>
        <v>22020.000000000833</v>
      </c>
      <c r="F12" s="129">
        <f>'FS Jimbaran Nov 2022'!O22/'FS Jimbaran Nov 2022'!P22</f>
        <v>1135.5008719346001</v>
      </c>
      <c r="G12" s="120">
        <f>'FS Jimbaran Nov 2022'!AG22</f>
        <v>698.40459999997438</v>
      </c>
      <c r="H12" s="129">
        <f>'FS Jimbaran Nov 2022'!AH22/'FS Jimbaran Nov 2022'!AG22</f>
        <v>16020.451772213428</v>
      </c>
      <c r="I12" s="120">
        <f>'FS Jimbaran Nov 2022'!AJ22</f>
        <v>0.57000000000698492</v>
      </c>
      <c r="J12" s="121">
        <f>'FS Jimbaran Nov 2022'!AK22/'FS Jimbaran Nov 2022'!AJ22</f>
        <v>18000</v>
      </c>
      <c r="K12" s="120">
        <f>'FS Jimbaran Nov 2022'!V22</f>
        <v>1047.53</v>
      </c>
      <c r="L12" s="129">
        <f>'FS Jimbaran Nov 2022'!AA22/'FS Jimbaran Nov 2022'!V22</f>
        <v>6099.3226338147833</v>
      </c>
      <c r="M12" s="120">
        <f>'RNs &amp; Covers Nov 2022'!B16</f>
        <v>62</v>
      </c>
      <c r="N12" s="120">
        <f>'RNs &amp; Covers Nov 2022'!C16</f>
        <v>496</v>
      </c>
    </row>
    <row r="13" spans="1:15">
      <c r="A13" s="117" t="s">
        <v>14</v>
      </c>
      <c r="B13" s="118">
        <f t="shared" si="0"/>
        <v>12</v>
      </c>
      <c r="C13" s="119">
        <v>11</v>
      </c>
      <c r="D13" s="118">
        <v>2022</v>
      </c>
      <c r="E13" s="120">
        <f>'FS Jimbaran Nov 2022'!P23</f>
        <v>22440.000000000226</v>
      </c>
      <c r="F13" s="129">
        <f>'FS Jimbaran Nov 2022'!O23/'FS Jimbaran Nov 2022'!P23</f>
        <v>1137.3270588235237</v>
      </c>
      <c r="G13" s="120">
        <f>'FS Jimbaran Nov 2022'!AG23</f>
        <v>580.27024000004337</v>
      </c>
      <c r="H13" s="129">
        <f>'FS Jimbaran Nov 2022'!AH23/'FS Jimbaran Nov 2022'!AG23</f>
        <v>16024.982965415533</v>
      </c>
      <c r="I13" s="120">
        <f>'FS Jimbaran Nov 2022'!AJ23</f>
        <v>50.16999999996915</v>
      </c>
      <c r="J13" s="121">
        <f>'FS Jimbaran Nov 2022'!AK23/'FS Jimbaran Nov 2022'!AJ23</f>
        <v>18000</v>
      </c>
      <c r="K13" s="120">
        <f>'FS Jimbaran Nov 2022'!V23</f>
        <v>1078.68</v>
      </c>
      <c r="L13" s="129">
        <f>'FS Jimbaran Nov 2022'!AA23/'FS Jimbaran Nov 2022'!V23</f>
        <v>6125.0505610561058</v>
      </c>
      <c r="M13" s="120">
        <f>'RNs &amp; Covers Nov 2022'!B17</f>
        <v>79</v>
      </c>
      <c r="N13" s="120">
        <f>'RNs &amp; Covers Nov 2022'!C17</f>
        <v>433</v>
      </c>
    </row>
    <row r="14" spans="1:15">
      <c r="A14" s="117" t="s">
        <v>14</v>
      </c>
      <c r="B14" s="118">
        <f t="shared" si="0"/>
        <v>13</v>
      </c>
      <c r="C14" s="119">
        <v>11</v>
      </c>
      <c r="D14" s="118">
        <v>2022</v>
      </c>
      <c r="E14" s="120">
        <f>'FS Jimbaran Nov 2022'!P24</f>
        <v>22419.999999998709</v>
      </c>
      <c r="F14" s="129">
        <f>'FS Jimbaran Nov 2022'!O24/'FS Jimbaran Nov 2022'!P24</f>
        <v>1136.9556556645935</v>
      </c>
      <c r="G14" s="120">
        <f>'FS Jimbaran Nov 2022'!AG24</f>
        <v>696.59887999995385</v>
      </c>
      <c r="H14" s="129">
        <f>'FS Jimbaran Nov 2022'!AH24/'FS Jimbaran Nov 2022'!AG24</f>
        <v>15968.666743971828</v>
      </c>
      <c r="I14" s="120">
        <f>'FS Jimbaran Nov 2022'!AJ24</f>
        <v>1.2700000000040745</v>
      </c>
      <c r="J14" s="121">
        <f>'FS Jimbaran Nov 2022'!AK24/'FS Jimbaran Nov 2022'!AJ24</f>
        <v>18000</v>
      </c>
      <c r="K14" s="120">
        <f>'FS Jimbaran Nov 2022'!V24</f>
        <v>995.91000000000008</v>
      </c>
      <c r="L14" s="129">
        <f>'FS Jimbaran Nov 2022'!AA24/'FS Jimbaran Nov 2022'!V24</f>
        <v>4846.1993744414658</v>
      </c>
      <c r="M14" s="120">
        <f>'RNs &amp; Covers Nov 2022'!B18</f>
        <v>81</v>
      </c>
      <c r="N14" s="120">
        <f>'RNs &amp; Covers Nov 2022'!C18</f>
        <v>555</v>
      </c>
    </row>
    <row r="15" spans="1:15">
      <c r="A15" s="117" t="s">
        <v>14</v>
      </c>
      <c r="B15" s="118">
        <f t="shared" si="0"/>
        <v>14</v>
      </c>
      <c r="C15" s="119">
        <v>11</v>
      </c>
      <c r="D15" s="118">
        <v>2022</v>
      </c>
      <c r="E15" s="120">
        <f>'FS Jimbaran Nov 2022'!P25</f>
        <v>21940.000000000964</v>
      </c>
      <c r="F15" s="129">
        <f>'FS Jimbaran Nov 2022'!O25/'FS Jimbaran Nov 2022'!P25</f>
        <v>1141.5296444849548</v>
      </c>
      <c r="G15" s="120">
        <f>'FS Jimbaran Nov 2022'!AG25</f>
        <v>675.95596800000646</v>
      </c>
      <c r="H15" s="129">
        <f>'FS Jimbaran Nov 2022'!AH25/'FS Jimbaran Nov 2022'!AG25</f>
        <v>15978.98210196909</v>
      </c>
      <c r="I15" s="120">
        <f>'FS Jimbaran Nov 2022'!AJ25</f>
        <v>10.519999999989523</v>
      </c>
      <c r="J15" s="121">
        <f>'FS Jimbaran Nov 2022'!AK25/'FS Jimbaran Nov 2022'!AJ25</f>
        <v>18000</v>
      </c>
      <c r="K15" s="120">
        <f>'FS Jimbaran Nov 2022'!V25</f>
        <v>1105.3800000000001</v>
      </c>
      <c r="L15" s="129">
        <f>'FS Jimbaran Nov 2022'!AA25/'FS Jimbaran Nov 2022'!V25</f>
        <v>6123.8469887278579</v>
      </c>
      <c r="M15" s="120">
        <f>'RNs &amp; Covers Nov 2022'!B19</f>
        <v>74</v>
      </c>
      <c r="N15" s="120">
        <f>'RNs &amp; Covers Nov 2022'!C19</f>
        <v>575</v>
      </c>
    </row>
    <row r="16" spans="1:15">
      <c r="A16" s="117" t="s">
        <v>14</v>
      </c>
      <c r="B16" s="118">
        <f t="shared" si="0"/>
        <v>15</v>
      </c>
      <c r="C16" s="119">
        <v>11</v>
      </c>
      <c r="D16" s="118">
        <v>2022</v>
      </c>
      <c r="E16" s="120">
        <f>'FS Jimbaran Nov 2022'!P26</f>
        <v>21819.999999999654</v>
      </c>
      <c r="F16" s="129">
        <f>'FS Jimbaran Nov 2022'!O26/'FS Jimbaran Nov 2022'!P26</f>
        <v>1133.5667461044941</v>
      </c>
      <c r="G16" s="120">
        <f>'FS Jimbaran Nov 2022'!AG26</f>
        <v>647.43311200000869</v>
      </c>
      <c r="H16" s="129">
        <f>'FS Jimbaran Nov 2022'!AH26/'FS Jimbaran Nov 2022'!AG26</f>
        <v>15937.448049827888</v>
      </c>
      <c r="I16" s="120">
        <f>'FS Jimbaran Nov 2022'!AJ26</f>
        <v>39.760000000009313</v>
      </c>
      <c r="J16" s="121">
        <f>'FS Jimbaran Nov 2022'!AK26/'FS Jimbaran Nov 2022'!AJ26</f>
        <v>18000</v>
      </c>
      <c r="K16" s="120">
        <f>'FS Jimbaran Nov 2022'!V26</f>
        <v>1107.1599999999999</v>
      </c>
      <c r="L16" s="129">
        <f>'FS Jimbaran Nov 2022'!AA26/'FS Jimbaran Nov 2022'!V26</f>
        <v>6275.2916398713833</v>
      </c>
      <c r="M16" s="120">
        <f>'RNs &amp; Covers Nov 2022'!B20</f>
        <v>55</v>
      </c>
      <c r="N16" s="120">
        <f>'RNs &amp; Covers Nov 2022'!C20</f>
        <v>476</v>
      </c>
    </row>
    <row r="17" spans="1:14">
      <c r="A17" s="117" t="s">
        <v>14</v>
      </c>
      <c r="B17" s="118">
        <f t="shared" si="0"/>
        <v>16</v>
      </c>
      <c r="C17" s="119">
        <v>11</v>
      </c>
      <c r="D17" s="118">
        <v>2022</v>
      </c>
      <c r="E17" s="120">
        <f>'FS Jimbaran Nov 2022'!P27</f>
        <v>19980.000000000815</v>
      </c>
      <c r="F17" s="129">
        <f>'FS Jimbaran Nov 2022'!O27/'FS Jimbaran Nov 2022'!P27</f>
        <v>1127.0198798798724</v>
      </c>
      <c r="G17" s="120">
        <f>'FS Jimbaran Nov 2022'!AG27</f>
        <v>622.48711999999307</v>
      </c>
      <c r="H17" s="129">
        <f>'FS Jimbaran Nov 2022'!AH27/'FS Jimbaran Nov 2022'!AG27</f>
        <v>15891.649943056818</v>
      </c>
      <c r="I17" s="120">
        <f>'FS Jimbaran Nov 2022'!AJ27</f>
        <v>48.839999999996508</v>
      </c>
      <c r="J17" s="121">
        <f>'FS Jimbaran Nov 2022'!AK27/'FS Jimbaran Nov 2022'!AJ27</f>
        <v>18000</v>
      </c>
      <c r="K17" s="120">
        <f>'FS Jimbaran Nov 2022'!V27</f>
        <v>1160.56</v>
      </c>
      <c r="L17" s="129">
        <f>'FS Jimbaran Nov 2022'!AA27/'FS Jimbaran Nov 2022'!V27</f>
        <v>6739.7358588957059</v>
      </c>
      <c r="M17" s="120">
        <f>'RNs &amp; Covers Nov 2022'!B21</f>
        <v>58</v>
      </c>
      <c r="N17" s="120">
        <f>'RNs &amp; Covers Nov 2022'!C21</f>
        <v>313</v>
      </c>
    </row>
    <row r="18" spans="1:14">
      <c r="A18" s="117" t="s">
        <v>14</v>
      </c>
      <c r="B18" s="118">
        <f t="shared" si="0"/>
        <v>17</v>
      </c>
      <c r="C18" s="119">
        <v>11</v>
      </c>
      <c r="D18" s="118">
        <v>2022</v>
      </c>
      <c r="E18" s="120">
        <f>'FS Jimbaran Nov 2022'!P28</f>
        <v>22419.999999999105</v>
      </c>
      <c r="F18" s="129">
        <f>'FS Jimbaran Nov 2022'!O28/'FS Jimbaran Nov 2022'!P28</f>
        <v>1137.8796342551339</v>
      </c>
      <c r="G18" s="120">
        <f>'FS Jimbaran Nov 2022'!AG28</f>
        <v>856.7403600000207</v>
      </c>
      <c r="H18" s="129">
        <f>'FS Jimbaran Nov 2022'!AH28/'FS Jimbaran Nov 2022'!AG28</f>
        <v>15985.758884042756</v>
      </c>
      <c r="I18" s="120">
        <f>'FS Jimbaran Nov 2022'!AJ28</f>
        <v>146.14000000001397</v>
      </c>
      <c r="J18" s="121">
        <f>'FS Jimbaran Nov 2022'!AK28/'FS Jimbaran Nov 2022'!AJ28</f>
        <v>18000</v>
      </c>
      <c r="K18" s="120">
        <f>'FS Jimbaran Nov 2022'!V28</f>
        <v>1023.5</v>
      </c>
      <c r="L18" s="129">
        <f>'FS Jimbaran Nov 2022'!AA28/'FS Jimbaran Nov 2022'!V28</f>
        <v>6011.569008695652</v>
      </c>
      <c r="M18" s="120">
        <f>'RNs &amp; Covers Nov 2022'!B22</f>
        <v>52</v>
      </c>
      <c r="N18" s="120">
        <f>'RNs &amp; Covers Nov 2022'!C22</f>
        <v>330</v>
      </c>
    </row>
    <row r="19" spans="1:14">
      <c r="A19" s="117" t="s">
        <v>14</v>
      </c>
      <c r="B19" s="118">
        <f t="shared" si="0"/>
        <v>18</v>
      </c>
      <c r="C19" s="119">
        <v>11</v>
      </c>
      <c r="D19" s="118">
        <v>2022</v>
      </c>
      <c r="E19" s="120">
        <f>'FS Jimbaran Nov 2022'!P29</f>
        <v>19160.000000001277</v>
      </c>
      <c r="F19" s="129">
        <f>'FS Jimbaran Nov 2022'!O29/'FS Jimbaran Nov 2022'!P29</f>
        <v>1144.9801878914336</v>
      </c>
      <c r="G19" s="120">
        <f>'FS Jimbaran Nov 2022'!AG29</f>
        <v>216.33699999999874</v>
      </c>
      <c r="H19" s="129">
        <f>'FS Jimbaran Nov 2022'!AH29/'FS Jimbaran Nov 2022'!AG29</f>
        <v>16923.172365337414</v>
      </c>
      <c r="I19" s="120">
        <f>'FS Jimbaran Nov 2022'!AJ29</f>
        <v>468.83999999999651</v>
      </c>
      <c r="J19" s="121">
        <f>'FS Jimbaran Nov 2022'!AK29/'FS Jimbaran Nov 2022'!AJ29</f>
        <v>18000</v>
      </c>
      <c r="K19" s="120">
        <f>'FS Jimbaran Nov 2022'!V29</f>
        <v>928.27</v>
      </c>
      <c r="L19" s="129">
        <f>'FS Jimbaran Nov 2022'!AA29/'FS Jimbaran Nov 2022'!V29</f>
        <v>5574.2857718120804</v>
      </c>
      <c r="M19" s="120">
        <f>'RNs &amp; Covers Nov 2022'!B23</f>
        <v>50</v>
      </c>
      <c r="N19" s="120">
        <f>'RNs &amp; Covers Nov 2022'!C23</f>
        <v>302</v>
      </c>
    </row>
    <row r="20" spans="1:14">
      <c r="A20" s="117" t="s">
        <v>14</v>
      </c>
      <c r="B20" s="118">
        <f t="shared" si="0"/>
        <v>19</v>
      </c>
      <c r="C20" s="119">
        <v>11</v>
      </c>
      <c r="D20" s="118">
        <v>2022</v>
      </c>
      <c r="E20" s="120">
        <f>'FS Jimbaran Nov 2022'!P30</f>
        <v>21159.999999998719</v>
      </c>
      <c r="F20" s="129">
        <f>'FS Jimbaran Nov 2022'!O30/'FS Jimbaran Nov 2022'!P30</f>
        <v>1140.0432986767546</v>
      </c>
      <c r="G20" s="120">
        <f>'FS Jimbaran Nov 2022'!AG30</f>
        <v>222.90608000000367</v>
      </c>
      <c r="H20" s="129">
        <f>'FS Jimbaran Nov 2022'!AH30/'FS Jimbaran Nov 2022'!AG30</f>
        <v>16631.684903044359</v>
      </c>
      <c r="I20" s="120">
        <f>'FS Jimbaran Nov 2022'!AJ30</f>
        <v>346.49000000000524</v>
      </c>
      <c r="J20" s="121">
        <f>'FS Jimbaran Nov 2022'!AK30/'FS Jimbaran Nov 2022'!AJ30</f>
        <v>18000</v>
      </c>
      <c r="K20" s="120">
        <f>'FS Jimbaran Nov 2022'!V30</f>
        <v>1125.8499999999999</v>
      </c>
      <c r="L20" s="129">
        <f>'FS Jimbaran Nov 2022'!AA30/'FS Jimbaran Nov 2022'!V30</f>
        <v>5330.1855335968385</v>
      </c>
      <c r="M20" s="120">
        <f>'RNs &amp; Covers Nov 2022'!B24</f>
        <v>65</v>
      </c>
      <c r="N20" s="120">
        <f>'RNs &amp; Covers Nov 2022'!C24</f>
        <v>273</v>
      </c>
    </row>
    <row r="21" spans="1:14">
      <c r="A21" s="117" t="s">
        <v>14</v>
      </c>
      <c r="B21" s="118">
        <f t="shared" si="0"/>
        <v>20</v>
      </c>
      <c r="C21" s="119">
        <v>11</v>
      </c>
      <c r="D21" s="118">
        <v>2022</v>
      </c>
      <c r="E21" s="120">
        <f>'FS Jimbaran Nov 2022'!P31</f>
        <v>22219.999999999967</v>
      </c>
      <c r="F21" s="129">
        <f>'FS Jimbaran Nov 2022'!O31/'FS Jimbaran Nov 2022'!P31</f>
        <v>1142.9939513951417</v>
      </c>
      <c r="G21" s="120">
        <f>'FS Jimbaran Nov 2022'!AG31</f>
        <v>225.51740000000143</v>
      </c>
      <c r="H21" s="129">
        <f>'FS Jimbaran Nov 2022'!AH31/'FS Jimbaran Nov 2022'!AG31</f>
        <v>16968.458611175898</v>
      </c>
      <c r="I21" s="120">
        <f>'FS Jimbaran Nov 2022'!AJ31</f>
        <v>464.30000000000291</v>
      </c>
      <c r="J21" s="121">
        <f>'FS Jimbaran Nov 2022'!AK31/'FS Jimbaran Nov 2022'!AJ31</f>
        <v>18000</v>
      </c>
      <c r="K21" s="120">
        <f>'FS Jimbaran Nov 2022'!V31</f>
        <v>1126.74</v>
      </c>
      <c r="L21" s="129">
        <f>'FS Jimbaran Nov 2022'!AA31/'FS Jimbaran Nov 2022'!V31</f>
        <v>5264.2795892575041</v>
      </c>
      <c r="M21" s="120">
        <f>'RNs &amp; Covers Nov 2022'!B25</f>
        <v>77</v>
      </c>
      <c r="N21" s="120">
        <f>'RNs &amp; Covers Nov 2022'!C25</f>
        <v>497</v>
      </c>
    </row>
    <row r="22" spans="1:14">
      <c r="A22" s="117" t="s">
        <v>14</v>
      </c>
      <c r="B22" s="118">
        <f t="shared" si="0"/>
        <v>21</v>
      </c>
      <c r="C22" s="119">
        <v>11</v>
      </c>
      <c r="D22" s="118">
        <v>2022</v>
      </c>
      <c r="E22" s="120">
        <f>'FS Jimbaran Nov 2022'!P32</f>
        <v>24800.000000000691</v>
      </c>
      <c r="F22" s="129">
        <f>'FS Jimbaran Nov 2022'!O32/'FS Jimbaran Nov 2022'!P32</f>
        <v>1135.5991209677397</v>
      </c>
      <c r="G22" s="120">
        <f>'FS Jimbaran Nov 2022'!AG32</f>
        <v>362.60056000001339</v>
      </c>
      <c r="H22" s="129">
        <f>'FS Jimbaran Nov 2022'!AH32/'FS Jimbaran Nov 2022'!AG32</f>
        <v>16215.014976671819</v>
      </c>
      <c r="I22" s="120">
        <f>'FS Jimbaran Nov 2022'!AJ32</f>
        <v>288.92999999999302</v>
      </c>
      <c r="J22" s="121">
        <f>'FS Jimbaran Nov 2022'!AK32/'FS Jimbaran Nov 2022'!AJ32</f>
        <v>18000</v>
      </c>
      <c r="K22" s="120">
        <f>'FS Jimbaran Nov 2022'!V32</f>
        <v>835.70999999999992</v>
      </c>
      <c r="L22" s="129">
        <f>'FS Jimbaran Nov 2022'!AA32/'FS Jimbaran Nov 2022'!V32</f>
        <v>5268.3667944621948</v>
      </c>
      <c r="M22" s="120">
        <f>'RNs &amp; Covers Nov 2022'!B26</f>
        <v>103</v>
      </c>
      <c r="N22" s="120">
        <f>'RNs &amp; Covers Nov 2022'!C26</f>
        <v>433</v>
      </c>
    </row>
    <row r="23" spans="1:14">
      <c r="A23" s="117" t="s">
        <v>14</v>
      </c>
      <c r="B23" s="118">
        <f t="shared" si="0"/>
        <v>22</v>
      </c>
      <c r="C23" s="119">
        <v>11</v>
      </c>
      <c r="D23" s="118">
        <v>2022</v>
      </c>
      <c r="E23" s="120">
        <f>'FS Jimbaran Nov 2022'!P33</f>
        <v>21899.999999999578</v>
      </c>
      <c r="F23" s="129">
        <f>'FS Jimbaran Nov 2022'!O33/'FS Jimbaran Nov 2022'!P33</f>
        <v>1133.2095342465734</v>
      </c>
      <c r="G23" s="120">
        <f>'FS Jimbaran Nov 2022'!AG33</f>
        <v>584.94615999999928</v>
      </c>
      <c r="H23" s="129">
        <f>'FS Jimbaran Nov 2022'!AH33/'FS Jimbaran Nov 2022'!AG33</f>
        <v>15934.133451315252</v>
      </c>
      <c r="I23" s="120">
        <f>'FS Jimbaran Nov 2022'!AJ33</f>
        <v>58.870000000009895</v>
      </c>
      <c r="J23" s="121">
        <f>'FS Jimbaran Nov 2022'!AK33/'FS Jimbaran Nov 2022'!AJ33</f>
        <v>18000</v>
      </c>
      <c r="K23" s="120">
        <f>'FS Jimbaran Nov 2022'!V33</f>
        <v>984.34</v>
      </c>
      <c r="L23" s="129">
        <f>'FS Jimbaran Nov 2022'!AA33/'FS Jimbaran Nov 2022'!V33</f>
        <v>5200.7402531645575</v>
      </c>
      <c r="M23" s="120">
        <f>'RNs &amp; Covers Nov 2022'!B27</f>
        <v>107</v>
      </c>
      <c r="N23" s="120">
        <f>'RNs &amp; Covers Nov 2022'!C27</f>
        <v>395</v>
      </c>
    </row>
    <row r="24" spans="1:14">
      <c r="A24" s="117" t="s">
        <v>14</v>
      </c>
      <c r="B24" s="118">
        <f t="shared" si="0"/>
        <v>23</v>
      </c>
      <c r="C24" s="119">
        <v>11</v>
      </c>
      <c r="D24" s="118">
        <v>2022</v>
      </c>
      <c r="E24" s="120">
        <f>'FS Jimbaran Nov 2022'!P34</f>
        <v>23160.00000000008</v>
      </c>
      <c r="F24" s="129">
        <f>'FS Jimbaran Nov 2022'!O34/'FS Jimbaran Nov 2022'!P34</f>
        <v>1134.6173834196907</v>
      </c>
      <c r="G24" s="120">
        <f>'FS Jimbaran Nov 2022'!AG34</f>
        <v>600.04427999996176</v>
      </c>
      <c r="H24" s="129">
        <f>'FS Jimbaran Nov 2022'!AH34/'FS Jimbaran Nov 2022'!AG34</f>
        <v>16014.391565449161</v>
      </c>
      <c r="I24" s="120">
        <f>'FS Jimbaran Nov 2022'!AJ34</f>
        <v>160.31999999999243</v>
      </c>
      <c r="J24" s="121">
        <f>'FS Jimbaran Nov 2022'!AK34/'FS Jimbaran Nov 2022'!AJ34</f>
        <v>18000</v>
      </c>
      <c r="K24" s="120">
        <f>'FS Jimbaran Nov 2022'!V34</f>
        <v>1078.68</v>
      </c>
      <c r="L24" s="129">
        <f>'FS Jimbaran Nov 2022'!AA34/'FS Jimbaran Nov 2022'!V34</f>
        <v>5366.3076237623764</v>
      </c>
      <c r="M24" s="120">
        <f>'RNs &amp; Covers Nov 2022'!B28</f>
        <v>49</v>
      </c>
      <c r="N24" s="120">
        <f>'RNs &amp; Covers Nov 2022'!C28</f>
        <v>464</v>
      </c>
    </row>
    <row r="25" spans="1:14">
      <c r="A25" s="117" t="s">
        <v>14</v>
      </c>
      <c r="B25" s="118">
        <f t="shared" si="0"/>
        <v>24</v>
      </c>
      <c r="C25" s="119">
        <v>11</v>
      </c>
      <c r="D25" s="118">
        <v>2022</v>
      </c>
      <c r="E25" s="120">
        <f>'FS Jimbaran Nov 2022'!P35</f>
        <v>21679.99999999944</v>
      </c>
      <c r="F25" s="129">
        <f>'FS Jimbaran Nov 2022'!O35/'FS Jimbaran Nov 2022'!P35</f>
        <v>1133.7204520295218</v>
      </c>
      <c r="G25" s="120">
        <f>'FS Jimbaran Nov 2022'!AG35</f>
        <v>652.56940000003397</v>
      </c>
      <c r="H25" s="129">
        <f>'FS Jimbaran Nov 2022'!AH35/'FS Jimbaran Nov 2022'!AG35</f>
        <v>16005.038984817837</v>
      </c>
      <c r="I25" s="120">
        <f>'FS Jimbaran Nov 2022'!AJ35</f>
        <v>47.009999999994761</v>
      </c>
      <c r="J25" s="121">
        <f>'FS Jimbaran Nov 2022'!AK35/'FS Jimbaran Nov 2022'!AJ35</f>
        <v>18000</v>
      </c>
      <c r="K25" s="120">
        <f>'FS Jimbaran Nov 2022'!V35</f>
        <v>1113.3899999999999</v>
      </c>
      <c r="L25" s="129">
        <f>'FS Jimbaran Nov 2022'!AA35/'FS Jimbaran Nov 2022'!V35</f>
        <v>6527.2475939248607</v>
      </c>
      <c r="M25" s="120">
        <f>'RNs &amp; Covers Nov 2022'!B29</f>
        <v>61</v>
      </c>
      <c r="N25" s="120">
        <f>'RNs &amp; Covers Nov 2022'!C29</f>
        <v>321</v>
      </c>
    </row>
    <row r="26" spans="1:14">
      <c r="A26" s="117" t="s">
        <v>14</v>
      </c>
      <c r="B26" s="118">
        <f>B25+1</f>
        <v>25</v>
      </c>
      <c r="C26" s="119">
        <v>11</v>
      </c>
      <c r="D26" s="118">
        <v>2022</v>
      </c>
      <c r="E26" s="120">
        <f>'FS Jimbaran Nov 2022'!P36</f>
        <v>20640.000000000498</v>
      </c>
      <c r="F26" s="129">
        <f>'FS Jimbaran Nov 2022'!O36/'FS Jimbaran Nov 2022'!P36</f>
        <v>1138.6554360465111</v>
      </c>
      <c r="G26" s="120">
        <f>'FS Jimbaran Nov 2022'!AG36</f>
        <v>700.93387999999413</v>
      </c>
      <c r="H26" s="129">
        <f>'FS Jimbaran Nov 2022'!AH36/'FS Jimbaran Nov 2022'!AG36</f>
        <v>16074.692501829704</v>
      </c>
      <c r="I26" s="120">
        <f>'FS Jimbaran Nov 2022'!AJ36</f>
        <v>56.220000000001164</v>
      </c>
      <c r="J26" s="121">
        <f>'FS Jimbaran Nov 2022'!AK36/'FS Jimbaran Nov 2022'!AJ36</f>
        <v>18000</v>
      </c>
      <c r="K26" s="120">
        <f>'FS Jimbaran Nov 2022'!V36</f>
        <v>843.72</v>
      </c>
      <c r="L26" s="129">
        <f>'FS Jimbaran Nov 2022'!AA36/'FS Jimbaran Nov 2022'!V36</f>
        <v>5664.0421940928272</v>
      </c>
      <c r="M26" s="120">
        <f>'RNs &amp; Covers Nov 2022'!B30</f>
        <v>53</v>
      </c>
      <c r="N26" s="120">
        <f>'RNs &amp; Covers Nov 2022'!C30</f>
        <v>344</v>
      </c>
    </row>
    <row r="27" spans="1:14">
      <c r="A27" s="117" t="s">
        <v>14</v>
      </c>
      <c r="B27" s="118">
        <f t="shared" si="0"/>
        <v>26</v>
      </c>
      <c r="C27" s="119">
        <v>11</v>
      </c>
      <c r="D27" s="118">
        <v>2022</v>
      </c>
      <c r="E27" s="120">
        <f>'FS Jimbaran Nov 2022'!P37</f>
        <v>21200.000000001124</v>
      </c>
      <c r="F27" s="129">
        <f>'FS Jimbaran Nov 2022'!O37/'FS Jimbaran Nov 2022'!P37</f>
        <v>1131.5407924528256</v>
      </c>
      <c r="G27" s="120">
        <f>'FS Jimbaran Nov 2022'!AG37</f>
        <v>488.71036000001578</v>
      </c>
      <c r="H27" s="129">
        <f>'FS Jimbaran Nov 2022'!AH37/'FS Jimbaran Nov 2022'!AG37</f>
        <v>16012.742857404521</v>
      </c>
      <c r="I27" s="120">
        <f>'FS Jimbaran Nov 2022'!AJ37</f>
        <v>39.149999999994179</v>
      </c>
      <c r="J27" s="121">
        <f>'FS Jimbaran Nov 2022'!AK37/'FS Jimbaran Nov 2022'!AJ37</f>
        <v>18000</v>
      </c>
      <c r="K27" s="120">
        <f>'FS Jimbaran Nov 2022'!V37</f>
        <v>1101.82</v>
      </c>
      <c r="L27" s="129">
        <f>'FS Jimbaran Nov 2022'!AA37/'FS Jimbaran Nov 2022'!V37</f>
        <v>5619.9293376413571</v>
      </c>
      <c r="M27" s="120">
        <f>'RNs &amp; Covers Nov 2022'!B31</f>
        <v>33</v>
      </c>
      <c r="N27" s="120">
        <f>'RNs &amp; Covers Nov 2022'!C31</f>
        <v>354</v>
      </c>
    </row>
    <row r="28" spans="1:14">
      <c r="A28" s="117" t="s">
        <v>14</v>
      </c>
      <c r="B28" s="118">
        <f t="shared" si="0"/>
        <v>27</v>
      </c>
      <c r="C28" s="119">
        <v>11</v>
      </c>
      <c r="D28" s="118">
        <v>2022</v>
      </c>
      <c r="E28" s="120">
        <f>'FS Jimbaran Nov 2022'!P38</f>
        <v>20699.999999998621</v>
      </c>
      <c r="F28" s="129">
        <f>'FS Jimbaran Nov 2022'!O38/'FS Jimbaran Nov 2022'!P38</f>
        <v>1131.8523478260902</v>
      </c>
      <c r="G28" s="120">
        <f>'FS Jimbaran Nov 2022'!AG38</f>
        <v>501.80479999995572</v>
      </c>
      <c r="H28" s="129">
        <f>'FS Jimbaran Nov 2022'!AH38/'FS Jimbaran Nov 2022'!AG38</f>
        <v>16034.259172578712</v>
      </c>
      <c r="I28" s="120">
        <f>'FS Jimbaran Nov 2022'!AJ38</f>
        <v>54.05000000000291</v>
      </c>
      <c r="J28" s="121">
        <f>'FS Jimbaran Nov 2022'!AK38/'FS Jimbaran Nov 2022'!AJ38</f>
        <v>18000</v>
      </c>
      <c r="K28" s="120">
        <f>'FS Jimbaran Nov 2022'!V38</f>
        <v>909.58</v>
      </c>
      <c r="L28" s="129">
        <f>'FS Jimbaran Nov 2022'!AA38/'FS Jimbaran Nov 2022'!V38</f>
        <v>6125.3608219178086</v>
      </c>
      <c r="M28" s="120">
        <f>'RNs &amp; Covers Nov 2022'!B32</f>
        <v>33</v>
      </c>
      <c r="N28" s="120">
        <f>'RNs &amp; Covers Nov 2022'!C32</f>
        <v>247</v>
      </c>
    </row>
    <row r="29" spans="1:14">
      <c r="A29" s="117" t="s">
        <v>14</v>
      </c>
      <c r="B29" s="118">
        <f t="shared" si="0"/>
        <v>28</v>
      </c>
      <c r="C29" s="119">
        <v>11</v>
      </c>
      <c r="D29" s="118">
        <v>2022</v>
      </c>
      <c r="E29" s="120">
        <f>'FS Jimbaran Nov 2022'!P39</f>
        <v>19940.000000001077</v>
      </c>
      <c r="F29" s="129">
        <f>'FS Jimbaran Nov 2022'!O39/'FS Jimbaran Nov 2022'!P39</f>
        <v>1133.4362888665971</v>
      </c>
      <c r="G29" s="120">
        <f>'FS Jimbaran Nov 2022'!AG39</f>
        <v>582.72732000004066</v>
      </c>
      <c r="H29" s="129">
        <f>'FS Jimbaran Nov 2022'!AH39/'FS Jimbaran Nov 2022'!AG39</f>
        <v>15955.720825647211</v>
      </c>
      <c r="I29" s="120">
        <f>'FS Jimbaran Nov 2022'!AJ39</f>
        <v>57.620000000009895</v>
      </c>
      <c r="J29" s="121">
        <f>'FS Jimbaran Nov 2022'!AK39/'FS Jimbaran Nov 2022'!AJ39</f>
        <v>18000</v>
      </c>
      <c r="K29" s="120">
        <f>'FS Jimbaran Nov 2022'!V39</f>
        <v>906.0200000000001</v>
      </c>
      <c r="L29" s="129">
        <f>'FS Jimbaran Nov 2022'!AA39/'FS Jimbaran Nov 2022'!V39</f>
        <v>6011.4048722986245</v>
      </c>
      <c r="M29" s="120">
        <f>'RNs &amp; Covers Nov 2022'!B33</f>
        <v>38</v>
      </c>
      <c r="N29" s="120">
        <f>'RNs &amp; Covers Nov 2022'!C33</f>
        <v>160</v>
      </c>
    </row>
    <row r="30" spans="1:14">
      <c r="A30" s="117" t="s">
        <v>14</v>
      </c>
      <c r="B30" s="118">
        <f t="shared" si="0"/>
        <v>29</v>
      </c>
      <c r="C30" s="119">
        <v>11</v>
      </c>
      <c r="D30" s="118">
        <v>2022</v>
      </c>
      <c r="E30" s="120">
        <f>'FS Jimbaran Nov 2022'!P40</f>
        <v>18980.000000000135</v>
      </c>
      <c r="F30" s="129">
        <f>'FS Jimbaran Nov 2022'!O40/'FS Jimbaran Nov 2022'!P40</f>
        <v>1141.1043097997886</v>
      </c>
      <c r="G30" s="120">
        <f>'FS Jimbaran Nov 2022'!AG40</f>
        <v>288.03539999997139</v>
      </c>
      <c r="H30" s="129">
        <f>'FS Jimbaran Nov 2022'!AH40/'FS Jimbaran Nov 2022'!AG40</f>
        <v>16411.540557303793</v>
      </c>
      <c r="I30" s="120">
        <f>'FS Jimbaran Nov 2022'!AJ40</f>
        <v>419.92999999999302</v>
      </c>
      <c r="J30" s="121">
        <f>'FS Jimbaran Nov 2022'!AK40/'FS Jimbaran Nov 2022'!AJ40</f>
        <v>18000</v>
      </c>
      <c r="K30" s="120">
        <f>'FS Jimbaran Nov 2022'!V40</f>
        <v>982.56</v>
      </c>
      <c r="L30" s="129">
        <f>'FS Jimbaran Nov 2022'!AA40/'FS Jimbaran Nov 2022'!V40</f>
        <v>6483.003913043478</v>
      </c>
      <c r="M30" s="120">
        <f>'RNs &amp; Covers Nov 2022'!B34</f>
        <v>57</v>
      </c>
      <c r="N30" s="120">
        <f>'RNs &amp; Covers Nov 2022'!C34</f>
        <v>238</v>
      </c>
    </row>
    <row r="31" spans="1:14">
      <c r="A31" s="117" t="s">
        <v>14</v>
      </c>
      <c r="B31" s="118">
        <f t="shared" si="0"/>
        <v>30</v>
      </c>
      <c r="C31" s="119">
        <v>11</v>
      </c>
      <c r="D31" s="118">
        <v>2022</v>
      </c>
      <c r="E31" s="120">
        <f>'FS Jimbaran Nov 2022'!P41</f>
        <v>28859.999999999389</v>
      </c>
      <c r="F31" s="129">
        <f>'FS Jimbaran Nov 2022'!O41/'FS Jimbaran Nov 2022'!P41</f>
        <v>1109.713014553017</v>
      </c>
      <c r="G31" s="120">
        <f>'FS Jimbaran Nov 2022'!AG41</f>
        <v>171.51223999997978</v>
      </c>
      <c r="H31" s="129">
        <f>'FS Jimbaran Nov 2022'!AH41/'FS Jimbaran Nov 2022'!AG41</f>
        <v>16782.320140911375</v>
      </c>
      <c r="I31" s="120">
        <f>'FS Jimbaran Nov 2022'!AJ41</f>
        <v>622.93999999998778</v>
      </c>
      <c r="J31" s="121">
        <f>'FS Jimbaran Nov 2022'!AK41/'FS Jimbaran Nov 2022'!AJ41</f>
        <v>18000</v>
      </c>
      <c r="K31" s="120">
        <f>'FS Jimbaran Nov 2022'!V41</f>
        <v>1176.58</v>
      </c>
      <c r="L31" s="129">
        <f>'FS Jimbaran Nov 2022'!AA41/'FS Jimbaran Nov 2022'!V41</f>
        <v>6446.2146747352499</v>
      </c>
      <c r="M31" s="120">
        <f>'RNs &amp; Covers Nov 2022'!B35</f>
        <v>60</v>
      </c>
      <c r="N31" s="120">
        <f>'RNs &amp; Covers Nov 2022'!C35</f>
        <v>295</v>
      </c>
    </row>
    <row r="32" spans="1:14">
      <c r="L32" s="1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8"/>
  <sheetViews>
    <sheetView tabSelected="1" zoomScale="85" zoomScaleNormal="85" workbookViewId="0">
      <pane xSplit="4" ySplit="10" topLeftCell="P29" activePane="bottomRight" state="frozen"/>
      <selection pane="bottomRight" activeCell="AC52" sqref="AC52"/>
      <selection pane="bottomLeft" activeCell="A11" sqref="A11"/>
      <selection pane="topRight" activeCell="E1" sqref="E1"/>
    </sheetView>
  </sheetViews>
  <sheetFormatPr defaultRowHeight="15.75"/>
  <cols>
    <col min="1" max="1" width="3.7109375" style="6" customWidth="1"/>
    <col min="2" max="2" width="8.7109375" style="6" customWidth="1"/>
    <col min="3" max="3" width="7.28515625" style="2" customWidth="1"/>
    <col min="4" max="4" width="8.7109375" customWidth="1"/>
    <col min="5" max="5" width="14.7109375" style="2" customWidth="1"/>
    <col min="6" max="6" width="17.7109375" style="2" customWidth="1"/>
    <col min="7" max="7" width="14.85546875" customWidth="1"/>
    <col min="8" max="8" width="17.140625" style="2" customWidth="1"/>
    <col min="9" max="9" width="17" customWidth="1"/>
    <col min="10" max="10" width="14" customWidth="1"/>
    <col min="11" max="11" width="17.42578125" customWidth="1"/>
    <col min="12" max="12" width="14.140625" style="2" customWidth="1"/>
    <col min="13" max="13" width="18.28515625" style="54" bestFit="1" customWidth="1"/>
    <col min="14" max="14" width="20.42578125" style="58" customWidth="1"/>
    <col min="15" max="15" width="18.85546875" customWidth="1"/>
    <col min="16" max="16" width="15.140625" style="58" customWidth="1"/>
    <col min="17" max="17" width="19.7109375" hidden="1" customWidth="1"/>
    <col min="18" max="18" width="18.140625" style="78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7.5703125" customWidth="1"/>
    <col min="28" max="28" width="10.5703125" customWidth="1"/>
    <col min="29" max="29" width="13.42578125" customWidth="1"/>
    <col min="30" max="30" width="12.85546875" style="2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2" customWidth="1"/>
    <col min="35" max="35" width="10.5703125" customWidth="1"/>
    <col min="36" max="36" width="13.28515625" style="78" bestFit="1" customWidth="1"/>
    <col min="37" max="37" width="20.7109375" bestFit="1" customWidth="1"/>
    <col min="38" max="38" width="12.140625" style="34" customWidth="1"/>
    <col min="39" max="39" width="2.28515625" style="6" customWidth="1"/>
  </cols>
  <sheetData>
    <row r="5" spans="1:39">
      <c r="N5" s="130"/>
      <c r="X5" s="131"/>
    </row>
    <row r="6" spans="1:39" s="22" customFormat="1" ht="19.5" thickBot="1">
      <c r="B6" s="22" t="s">
        <v>16</v>
      </c>
      <c r="C6" s="30"/>
      <c r="E6" s="30"/>
      <c r="F6" s="30"/>
      <c r="H6" s="30"/>
      <c r="L6" s="30"/>
      <c r="M6" s="49"/>
      <c r="N6" s="55"/>
      <c r="P6" s="55"/>
      <c r="R6" s="74"/>
      <c r="AD6" s="30"/>
      <c r="AH6" s="30"/>
      <c r="AJ6" s="74"/>
      <c r="AL6" s="31"/>
    </row>
    <row r="7" spans="1:39" s="10" customFormat="1" ht="16.5" thickBot="1">
      <c r="A7" s="26"/>
      <c r="B7" s="208" t="s">
        <v>17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10"/>
      <c r="AM7" s="26"/>
    </row>
    <row r="8" spans="1:39" s="6" customFormat="1" ht="15.75" customHeight="1" thickBot="1">
      <c r="A8" s="23"/>
      <c r="B8" s="211" t="s">
        <v>18</v>
      </c>
      <c r="C8" s="214" t="s">
        <v>19</v>
      </c>
      <c r="D8" s="217" t="s">
        <v>13</v>
      </c>
      <c r="E8" s="219" t="s">
        <v>20</v>
      </c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20"/>
      <c r="V8" s="221" t="s">
        <v>21</v>
      </c>
      <c r="W8" s="222"/>
      <c r="X8" s="222"/>
      <c r="Y8" s="222"/>
      <c r="Z8" s="222"/>
      <c r="AA8" s="222"/>
      <c r="AB8" s="223"/>
      <c r="AC8" s="224" t="s">
        <v>22</v>
      </c>
      <c r="AD8" s="224"/>
      <c r="AE8" s="224"/>
      <c r="AF8" s="224"/>
      <c r="AG8" s="224"/>
      <c r="AH8" s="224"/>
      <c r="AI8" s="224"/>
      <c r="AJ8" s="224"/>
      <c r="AK8" s="224"/>
      <c r="AL8" s="225"/>
      <c r="AM8" s="25"/>
    </row>
    <row r="9" spans="1:39" ht="15" customHeight="1" thickBot="1">
      <c r="B9" s="212"/>
      <c r="C9" s="215"/>
      <c r="D9" s="218"/>
      <c r="E9" s="226" t="s">
        <v>23</v>
      </c>
      <c r="F9" s="227"/>
      <c r="G9" s="227"/>
      <c r="H9" s="227"/>
      <c r="I9" s="228"/>
      <c r="J9" s="229" t="s">
        <v>24</v>
      </c>
      <c r="K9" s="229"/>
      <c r="L9" s="229"/>
      <c r="M9" s="229"/>
      <c r="N9" s="230"/>
      <c r="O9" s="217" t="s">
        <v>25</v>
      </c>
      <c r="P9" s="232" t="s">
        <v>26</v>
      </c>
      <c r="Q9" s="234" t="s">
        <v>27</v>
      </c>
      <c r="R9" s="239" t="s">
        <v>28</v>
      </c>
      <c r="S9" s="241" t="s">
        <v>29</v>
      </c>
      <c r="T9" s="243" t="s">
        <v>30</v>
      </c>
      <c r="U9" s="244"/>
      <c r="V9" s="44"/>
      <c r="W9" s="44" t="s">
        <v>31</v>
      </c>
      <c r="X9" s="44"/>
      <c r="Y9" s="45"/>
      <c r="Z9" s="164"/>
      <c r="AA9" s="245" t="s">
        <v>32</v>
      </c>
      <c r="AB9" s="246"/>
      <c r="AC9" s="224" t="s">
        <v>33</v>
      </c>
      <c r="AD9" s="224"/>
      <c r="AE9" s="224"/>
      <c r="AF9" s="224"/>
      <c r="AG9" s="224"/>
      <c r="AH9" s="224"/>
      <c r="AI9" s="225"/>
      <c r="AJ9" s="236" t="s">
        <v>34</v>
      </c>
      <c r="AK9" s="237"/>
      <c r="AL9" s="238"/>
    </row>
    <row r="10" spans="1:39" ht="61.5" customHeight="1" thickBot="1">
      <c r="A10" s="24"/>
      <c r="B10" s="213"/>
      <c r="C10" s="216"/>
      <c r="D10" s="218"/>
      <c r="E10" s="83" t="s">
        <v>35</v>
      </c>
      <c r="F10" s="72" t="s">
        <v>36</v>
      </c>
      <c r="G10" s="102" t="s">
        <v>37</v>
      </c>
      <c r="H10" s="15" t="s">
        <v>36</v>
      </c>
      <c r="I10" s="84" t="s">
        <v>38</v>
      </c>
      <c r="J10" s="83" t="s">
        <v>35</v>
      </c>
      <c r="K10" s="73" t="s">
        <v>36</v>
      </c>
      <c r="L10" s="102" t="s">
        <v>37</v>
      </c>
      <c r="M10" s="50" t="s">
        <v>36</v>
      </c>
      <c r="N10" s="81" t="s">
        <v>39</v>
      </c>
      <c r="O10" s="231"/>
      <c r="P10" s="233"/>
      <c r="Q10" s="235"/>
      <c r="R10" s="240"/>
      <c r="S10" s="242"/>
      <c r="T10" s="132" t="s">
        <v>40</v>
      </c>
      <c r="U10" s="20" t="s">
        <v>41</v>
      </c>
      <c r="V10" s="133" t="s">
        <v>42</v>
      </c>
      <c r="W10" s="168" t="s">
        <v>43</v>
      </c>
      <c r="X10" s="168" t="s">
        <v>44</v>
      </c>
      <c r="Y10" s="19" t="s">
        <v>45</v>
      </c>
      <c r="Z10" s="19" t="s">
        <v>46</v>
      </c>
      <c r="AA10" s="19" t="s">
        <v>40</v>
      </c>
      <c r="AB10" s="11" t="s">
        <v>41</v>
      </c>
      <c r="AC10" s="96" t="s">
        <v>47</v>
      </c>
      <c r="AD10" s="40" t="s">
        <v>48</v>
      </c>
      <c r="AE10" s="39" t="s">
        <v>49</v>
      </c>
      <c r="AF10" s="39" t="s">
        <v>50</v>
      </c>
      <c r="AG10" s="39" t="s">
        <v>51</v>
      </c>
      <c r="AH10" s="40" t="s">
        <v>40</v>
      </c>
      <c r="AI10" s="41" t="s">
        <v>41</v>
      </c>
      <c r="AJ10" s="105" t="s">
        <v>52</v>
      </c>
      <c r="AK10" s="39" t="s">
        <v>40</v>
      </c>
      <c r="AL10" s="43" t="s">
        <v>41</v>
      </c>
      <c r="AM10" s="24"/>
    </row>
    <row r="11" spans="1:39">
      <c r="A11" s="24"/>
      <c r="B11" s="47"/>
      <c r="C11" s="85"/>
      <c r="D11" s="167"/>
      <c r="E11" s="17"/>
      <c r="F11" s="79"/>
      <c r="G11" s="16"/>
      <c r="H11" s="17"/>
      <c r="I11" s="86"/>
      <c r="J11" s="80"/>
      <c r="K11" s="16"/>
      <c r="L11" s="17"/>
      <c r="M11" s="51"/>
      <c r="N11" s="82"/>
      <c r="O11" s="46"/>
      <c r="P11" s="87"/>
      <c r="Q11" s="134"/>
      <c r="R11" s="88"/>
      <c r="S11" s="135"/>
      <c r="T11" s="135"/>
      <c r="U11" s="163"/>
      <c r="V11" s="80"/>
      <c r="W11" s="16"/>
      <c r="X11" s="16"/>
      <c r="Y11" s="18"/>
      <c r="Z11" s="18"/>
      <c r="AA11" s="18"/>
      <c r="AB11" s="86">
        <v>14522</v>
      </c>
      <c r="AC11" s="97">
        <v>15546.66</v>
      </c>
      <c r="AD11" s="199">
        <v>841000</v>
      </c>
      <c r="AE11" s="35">
        <v>841000</v>
      </c>
      <c r="AF11" s="35">
        <v>213000</v>
      </c>
      <c r="AG11" s="35"/>
      <c r="AH11" s="37"/>
      <c r="AI11" s="38"/>
      <c r="AJ11" s="106"/>
      <c r="AK11" s="35"/>
      <c r="AL11" s="42"/>
      <c r="AM11" s="24"/>
    </row>
    <row r="12" spans="1:39" ht="15">
      <c r="A12" s="29"/>
      <c r="B12" s="48">
        <v>1</v>
      </c>
      <c r="C12" s="204">
        <v>65</v>
      </c>
      <c r="D12" s="205">
        <v>351</v>
      </c>
      <c r="E12" s="173">
        <v>8200.0000000007276</v>
      </c>
      <c r="F12" s="170">
        <v>8493396.0000007525</v>
      </c>
      <c r="G12" s="170">
        <v>3800.0000000001819</v>
      </c>
      <c r="H12" s="170">
        <v>5903946.0000002831</v>
      </c>
      <c r="I12" s="174">
        <f>F12+H12</f>
        <v>14397342.000001036</v>
      </c>
      <c r="J12" s="173">
        <v>960.00000000003638</v>
      </c>
      <c r="K12" s="170">
        <v>994348.80000003765</v>
      </c>
      <c r="L12" s="175">
        <v>519.99999999998181</v>
      </c>
      <c r="M12" s="175">
        <v>807908.39999997173</v>
      </c>
      <c r="N12" s="174">
        <f>K12+M12</f>
        <v>1802257.2000000095</v>
      </c>
      <c r="O12" s="171">
        <f>I12+N12</f>
        <v>16199599.200001046</v>
      </c>
      <c r="P12" s="172">
        <f>E12+G12+J12+L12</f>
        <v>13480.000000000928</v>
      </c>
      <c r="Q12" s="103"/>
      <c r="R12" s="148"/>
      <c r="S12" s="158"/>
      <c r="T12" s="157"/>
      <c r="U12" s="156">
        <v>0</v>
      </c>
      <c r="V12" s="136">
        <f>W12+Y12</f>
        <v>768.07</v>
      </c>
      <c r="W12" s="1">
        <v>223.39000000000001</v>
      </c>
      <c r="X12" s="170">
        <v>4209337.7700000005</v>
      </c>
      <c r="Y12" s="27">
        <v>544.68000000000006</v>
      </c>
      <c r="Z12" s="169">
        <v>2312264.6424000002</v>
      </c>
      <c r="AA12" s="169">
        <f>X12+Z12</f>
        <v>6521602.4124000007</v>
      </c>
      <c r="AB12" s="98">
        <f>AA12/$AB$11</f>
        <v>449.08431430932382</v>
      </c>
      <c r="AC12" s="187">
        <v>0</v>
      </c>
      <c r="AD12" s="1">
        <v>122.4914799999994</v>
      </c>
      <c r="AE12" s="1">
        <v>60.419999999999995</v>
      </c>
      <c r="AF12" s="1">
        <v>24</v>
      </c>
      <c r="AG12" s="1">
        <f>AC12+AD12+AE12+AF12</f>
        <v>206.91147999999939</v>
      </c>
      <c r="AH12" s="170">
        <v>3502571.0935999895</v>
      </c>
      <c r="AI12" s="36">
        <f>AH12/14522</f>
        <v>241.1906826607898</v>
      </c>
      <c r="AJ12" s="107">
        <v>50.670000000012806</v>
      </c>
      <c r="AK12" s="170">
        <v>912060.0000002305</v>
      </c>
      <c r="AL12" s="32">
        <f>AK12/14522</f>
        <v>62.805398705428352</v>
      </c>
      <c r="AM12" s="5"/>
    </row>
    <row r="13" spans="1:39" ht="15">
      <c r="A13" s="29"/>
      <c r="B13" s="48">
        <v>2</v>
      </c>
      <c r="C13" s="206">
        <v>70</v>
      </c>
      <c r="D13" s="207">
        <v>373</v>
      </c>
      <c r="E13" s="173">
        <v>16600.000000000364</v>
      </c>
      <c r="F13" s="170">
        <v>17193948.000000376</v>
      </c>
      <c r="G13" s="170">
        <v>3879.9999999998818</v>
      </c>
      <c r="H13" s="170">
        <v>6028239.5999998162</v>
      </c>
      <c r="I13" s="174">
        <f t="shared" ref="I13:I41" si="0">F13+H13</f>
        <v>23222187.600000191</v>
      </c>
      <c r="J13" s="173">
        <v>1679.99999999995</v>
      </c>
      <c r="K13" s="170">
        <v>1740110.3999999482</v>
      </c>
      <c r="L13" s="175">
        <v>520.00000000003865</v>
      </c>
      <c r="M13" s="175">
        <v>807908.40000006009</v>
      </c>
      <c r="N13" s="174">
        <f t="shared" ref="N13:N41" si="1">K13+M13</f>
        <v>2548018.8000000082</v>
      </c>
      <c r="O13" s="171">
        <f t="shared" ref="O13:O41" si="2">I13+N13</f>
        <v>25770206.4000002</v>
      </c>
      <c r="P13" s="172">
        <f t="shared" ref="P13:P41" si="3">E13+G13+J13+L13</f>
        <v>22680.000000000236</v>
      </c>
      <c r="Q13" s="138"/>
      <c r="R13" s="149"/>
      <c r="S13" s="158"/>
      <c r="T13" s="157"/>
      <c r="U13" s="156">
        <v>0</v>
      </c>
      <c r="V13" s="136">
        <f t="shared" ref="V13:V41" si="4">W13+Y13</f>
        <v>1068</v>
      </c>
      <c r="W13" s="1">
        <v>94.34</v>
      </c>
      <c r="X13" s="170">
        <v>1695336.97</v>
      </c>
      <c r="Y13" s="27">
        <v>973.66</v>
      </c>
      <c r="Z13" s="169">
        <v>4133361.9588000001</v>
      </c>
      <c r="AA13" s="169">
        <f t="shared" ref="AA13:AA41" si="5">X13+Z13</f>
        <v>5828698.9287999999</v>
      </c>
      <c r="AB13" s="98">
        <f t="shared" ref="AB13:AB41" si="6">AA13/$AB$11</f>
        <v>401.37026090070236</v>
      </c>
      <c r="AC13" s="187">
        <v>397.88583999999526</v>
      </c>
      <c r="AD13" s="1">
        <v>230.82944000000086</v>
      </c>
      <c r="AE13" s="1">
        <v>61.708959999998818</v>
      </c>
      <c r="AF13" s="1">
        <v>0</v>
      </c>
      <c r="AG13" s="1">
        <f t="shared" ref="AG13:AG41" si="7">AC13+AD13+AE13+AF13</f>
        <v>690.42423999999494</v>
      </c>
      <c r="AH13" s="170">
        <v>11106291.761294322</v>
      </c>
      <c r="AI13" s="36">
        <f t="shared" ref="AI13:AI41" si="8">AH13/14522</f>
        <v>764.79078372774563</v>
      </c>
      <c r="AJ13" s="107">
        <v>48.729999999995925</v>
      </c>
      <c r="AK13" s="170">
        <v>877139.99999992666</v>
      </c>
      <c r="AL13" s="32">
        <f t="shared" ref="AL13:AL41" si="9">AK13/14522</f>
        <v>60.4007712436253</v>
      </c>
      <c r="AM13" s="5"/>
    </row>
    <row r="14" spans="1:39" ht="15">
      <c r="A14" s="29"/>
      <c r="B14" s="48">
        <v>3</v>
      </c>
      <c r="C14" s="206">
        <v>108</v>
      </c>
      <c r="D14" s="207">
        <v>600</v>
      </c>
      <c r="E14" s="173">
        <v>17719.999999999345</v>
      </c>
      <c r="F14" s="170">
        <v>18354021.59999932</v>
      </c>
      <c r="G14" s="170">
        <v>4559.9999999999454</v>
      </c>
      <c r="H14" s="170">
        <v>7084735.1999999154</v>
      </c>
      <c r="I14" s="174">
        <f t="shared" si="0"/>
        <v>25438756.799999237</v>
      </c>
      <c r="J14" s="173">
        <v>1700.0000000000455</v>
      </c>
      <c r="K14" s="170">
        <v>1760826.000000047</v>
      </c>
      <c r="L14" s="175">
        <v>459.99999999997954</v>
      </c>
      <c r="M14" s="175">
        <v>714688.19999996829</v>
      </c>
      <c r="N14" s="174">
        <f t="shared" si="1"/>
        <v>2475514.2000000151</v>
      </c>
      <c r="O14" s="171">
        <f t="shared" si="2"/>
        <v>27914270.999999251</v>
      </c>
      <c r="P14" s="172">
        <f t="shared" si="3"/>
        <v>24439.999999999316</v>
      </c>
      <c r="Q14" s="138"/>
      <c r="R14" s="149"/>
      <c r="S14" s="158"/>
      <c r="T14" s="157"/>
      <c r="U14" s="156">
        <v>0</v>
      </c>
      <c r="V14" s="136">
        <f t="shared" si="4"/>
        <v>1095.5900000000001</v>
      </c>
      <c r="W14" s="1">
        <v>207.37</v>
      </c>
      <c r="X14" s="170">
        <v>3726542.585</v>
      </c>
      <c r="Y14" s="27">
        <v>888.22</v>
      </c>
      <c r="Z14" s="169">
        <v>3770653.7796000005</v>
      </c>
      <c r="AA14" s="169">
        <f t="shared" si="5"/>
        <v>7497196.3646000009</v>
      </c>
      <c r="AB14" s="98">
        <f t="shared" si="6"/>
        <v>516.26472693843834</v>
      </c>
      <c r="AC14" s="187">
        <v>410.61432000000934</v>
      </c>
      <c r="AD14" s="1">
        <v>169.21627999999913</v>
      </c>
      <c r="AE14" s="1">
        <v>55.908640000000432</v>
      </c>
      <c r="AF14" s="1">
        <v>24</v>
      </c>
      <c r="AG14" s="1">
        <f t="shared" si="7"/>
        <v>659.73924000000886</v>
      </c>
      <c r="AH14" s="170">
        <v>10596282.378571339</v>
      </c>
      <c r="AI14" s="36">
        <f t="shared" si="8"/>
        <v>729.67100802722348</v>
      </c>
      <c r="AJ14" s="107">
        <v>72.110000000015134</v>
      </c>
      <c r="AK14" s="170">
        <v>1297980.0000002724</v>
      </c>
      <c r="AL14" s="32">
        <f t="shared" si="9"/>
        <v>89.380250654198619</v>
      </c>
      <c r="AM14" s="5"/>
    </row>
    <row r="15" spans="1:39" ht="15">
      <c r="A15" s="29"/>
      <c r="B15" s="48">
        <v>4</v>
      </c>
      <c r="C15" s="206">
        <v>115</v>
      </c>
      <c r="D15" s="207">
        <v>482</v>
      </c>
      <c r="E15" s="173">
        <v>17600.000000000364</v>
      </c>
      <c r="F15" s="170">
        <v>18229728.000000376</v>
      </c>
      <c r="G15" s="170">
        <v>4240.0000000000091</v>
      </c>
      <c r="H15" s="170">
        <v>6587560.8000000147</v>
      </c>
      <c r="I15" s="174">
        <f t="shared" si="0"/>
        <v>24817288.800000392</v>
      </c>
      <c r="J15" s="173">
        <v>1599.9999999999091</v>
      </c>
      <c r="K15" s="170">
        <v>1657247.9999999057</v>
      </c>
      <c r="L15" s="175">
        <v>500</v>
      </c>
      <c r="M15" s="175">
        <v>776835</v>
      </c>
      <c r="N15" s="174">
        <f t="shared" si="1"/>
        <v>2434082.9999999059</v>
      </c>
      <c r="O15" s="171">
        <f t="shared" si="2"/>
        <v>27251371.800000299</v>
      </c>
      <c r="P15" s="172">
        <f t="shared" si="3"/>
        <v>23940.00000000028</v>
      </c>
      <c r="Q15" s="138"/>
      <c r="R15" s="149"/>
      <c r="S15" s="158"/>
      <c r="T15" s="157"/>
      <c r="U15" s="156">
        <v>0</v>
      </c>
      <c r="V15" s="136">
        <f t="shared" si="4"/>
        <v>982.56</v>
      </c>
      <c r="W15" s="1">
        <v>54.29</v>
      </c>
      <c r="X15" s="170">
        <v>975618.44499999995</v>
      </c>
      <c r="Y15" s="27">
        <v>928.27</v>
      </c>
      <c r="Z15" s="169">
        <v>3940673.2386000003</v>
      </c>
      <c r="AA15" s="169">
        <f t="shared" si="5"/>
        <v>4916291.6836000001</v>
      </c>
      <c r="AB15" s="98">
        <f t="shared" si="6"/>
        <v>338.54095053023002</v>
      </c>
      <c r="AC15" s="187">
        <v>320.99132000000935</v>
      </c>
      <c r="AD15" s="1">
        <v>121.24280000000019</v>
      </c>
      <c r="AE15" s="1">
        <v>63.19931999999838</v>
      </c>
      <c r="AF15" s="1">
        <v>0</v>
      </c>
      <c r="AG15" s="1">
        <f t="shared" si="7"/>
        <v>505.43344000000786</v>
      </c>
      <c r="AH15" s="170">
        <v>8092659.3733913219</v>
      </c>
      <c r="AI15" s="36">
        <f t="shared" si="8"/>
        <v>557.26892806716171</v>
      </c>
      <c r="AJ15" s="107">
        <v>33.419999999998254</v>
      </c>
      <c r="AK15" s="170">
        <v>601559.99999996857</v>
      </c>
      <c r="AL15" s="32">
        <f t="shared" si="9"/>
        <v>41.424046274615655</v>
      </c>
      <c r="AM15" s="5"/>
    </row>
    <row r="16" spans="1:39" ht="15">
      <c r="A16" s="29"/>
      <c r="B16" s="48">
        <v>5</v>
      </c>
      <c r="C16" s="206">
        <v>110</v>
      </c>
      <c r="D16" s="207">
        <v>602</v>
      </c>
      <c r="E16" s="173">
        <v>18000</v>
      </c>
      <c r="F16" s="170">
        <v>18644040</v>
      </c>
      <c r="G16" s="170">
        <v>4320.0000000001637</v>
      </c>
      <c r="H16" s="170">
        <v>6711854.4000002546</v>
      </c>
      <c r="I16" s="174">
        <f t="shared" si="0"/>
        <v>25355894.400000256</v>
      </c>
      <c r="J16" s="173">
        <v>1779.9999999999727</v>
      </c>
      <c r="K16" s="170">
        <v>1843688.3999999717</v>
      </c>
      <c r="L16" s="175">
        <v>519.99999999998181</v>
      </c>
      <c r="M16" s="175">
        <v>807908.39999997173</v>
      </c>
      <c r="N16" s="174">
        <f t="shared" si="1"/>
        <v>2651596.7999999435</v>
      </c>
      <c r="O16" s="171">
        <f t="shared" si="2"/>
        <v>28007491.2000002</v>
      </c>
      <c r="P16" s="172">
        <f t="shared" si="3"/>
        <v>24620.00000000012</v>
      </c>
      <c r="Q16" s="138"/>
      <c r="R16" s="149"/>
      <c r="S16" s="158"/>
      <c r="T16" s="157"/>
      <c r="U16" s="156">
        <v>0</v>
      </c>
      <c r="V16" s="136">
        <f t="shared" si="4"/>
        <v>1097.3699999999999</v>
      </c>
      <c r="W16" s="1">
        <v>206.48</v>
      </c>
      <c r="X16" s="170">
        <v>3710548.84</v>
      </c>
      <c r="Y16" s="27">
        <v>890.89</v>
      </c>
      <c r="Z16" s="169">
        <v>3781988.4102000003</v>
      </c>
      <c r="AA16" s="169">
        <f t="shared" si="5"/>
        <v>7492537.2501999997</v>
      </c>
      <c r="AB16" s="98">
        <f t="shared" si="6"/>
        <v>515.9438954827159</v>
      </c>
      <c r="AC16" s="187">
        <v>353.21532000000934</v>
      </c>
      <c r="AD16" s="1">
        <v>89.018800000000766</v>
      </c>
      <c r="AE16" s="1">
        <v>73.188760000000286</v>
      </c>
      <c r="AF16" s="1">
        <v>0</v>
      </c>
      <c r="AG16" s="1">
        <f t="shared" si="7"/>
        <v>515.42288000001031</v>
      </c>
      <c r="AH16" s="170">
        <v>8219649.6460313629</v>
      </c>
      <c r="AI16" s="36">
        <f t="shared" si="8"/>
        <v>566.01361011096014</v>
      </c>
      <c r="AJ16" s="107">
        <v>22.119999999995343</v>
      </c>
      <c r="AK16" s="170">
        <v>398159.99999991618</v>
      </c>
      <c r="AL16" s="32">
        <f t="shared" si="9"/>
        <v>27.417711059077</v>
      </c>
      <c r="AM16" s="5"/>
    </row>
    <row r="17" spans="1:39" ht="15">
      <c r="A17" s="29"/>
      <c r="B17" s="48">
        <v>6</v>
      </c>
      <c r="C17" s="206">
        <v>104</v>
      </c>
      <c r="D17" s="207">
        <v>498</v>
      </c>
      <c r="E17" s="173">
        <v>17520.000000000437</v>
      </c>
      <c r="F17" s="170">
        <v>18146865.600000452</v>
      </c>
      <c r="G17" s="170">
        <v>4119.9999999998909</v>
      </c>
      <c r="H17" s="170">
        <v>6401120.3999998309</v>
      </c>
      <c r="I17" s="174">
        <f t="shared" si="0"/>
        <v>24547986.000000283</v>
      </c>
      <c r="J17" s="173">
        <v>1880.0000000001091</v>
      </c>
      <c r="K17" s="170">
        <v>1947266.4000001131</v>
      </c>
      <c r="L17" s="175">
        <v>520.00000000003865</v>
      </c>
      <c r="M17" s="175">
        <v>807908.40000006009</v>
      </c>
      <c r="N17" s="174">
        <f t="shared" si="1"/>
        <v>2755174.800000173</v>
      </c>
      <c r="O17" s="171">
        <f t="shared" si="2"/>
        <v>27303160.800000455</v>
      </c>
      <c r="P17" s="172">
        <f t="shared" si="3"/>
        <v>24040.000000000477</v>
      </c>
      <c r="Q17" s="138"/>
      <c r="R17" s="149"/>
      <c r="S17" s="158"/>
      <c r="T17" s="157"/>
      <c r="U17" s="156">
        <v>0</v>
      </c>
      <c r="V17" s="136">
        <f t="shared" si="4"/>
        <v>1027.95</v>
      </c>
      <c r="W17" s="1">
        <v>137.94999999999999</v>
      </c>
      <c r="X17" s="170">
        <v>2479030.4749999996</v>
      </c>
      <c r="Y17" s="27">
        <v>890</v>
      </c>
      <c r="Z17" s="169">
        <v>3778210.2</v>
      </c>
      <c r="AA17" s="169">
        <f t="shared" si="5"/>
        <v>6257240.6749999998</v>
      </c>
      <c r="AB17" s="98">
        <f t="shared" si="6"/>
        <v>430.88009055226553</v>
      </c>
      <c r="AC17" s="187">
        <v>417.90499999999997</v>
      </c>
      <c r="AD17" s="1">
        <v>109.84355999999912</v>
      </c>
      <c r="AE17" s="1">
        <v>51.155599999999261</v>
      </c>
      <c r="AF17" s="1">
        <v>12</v>
      </c>
      <c r="AG17" s="1">
        <f t="shared" si="7"/>
        <v>590.90415999999834</v>
      </c>
      <c r="AH17" s="170">
        <v>9418032.8184999712</v>
      </c>
      <c r="AI17" s="36">
        <f t="shared" si="8"/>
        <v>648.53551979754661</v>
      </c>
      <c r="AJ17" s="107">
        <v>375.5</v>
      </c>
      <c r="AK17" s="170">
        <v>6759000</v>
      </c>
      <c r="AL17" s="32">
        <f t="shared" si="9"/>
        <v>465.43175871092137</v>
      </c>
      <c r="AM17" s="5"/>
    </row>
    <row r="18" spans="1:39" ht="15">
      <c r="A18" s="29"/>
      <c r="B18" s="48">
        <v>7</v>
      </c>
      <c r="C18" s="206">
        <v>57</v>
      </c>
      <c r="D18" s="207">
        <v>376</v>
      </c>
      <c r="E18" s="173">
        <v>16719.999999999345</v>
      </c>
      <c r="F18" s="170">
        <v>17318241.59999932</v>
      </c>
      <c r="G18" s="170">
        <v>3600.0000000001364</v>
      </c>
      <c r="H18" s="170">
        <v>5593212.0000002123</v>
      </c>
      <c r="I18" s="174">
        <f t="shared" si="0"/>
        <v>22911453.599999532</v>
      </c>
      <c r="J18" s="173">
        <v>1379.9999999998818</v>
      </c>
      <c r="K18" s="170">
        <v>1429376.3999998774</v>
      </c>
      <c r="L18" s="175">
        <v>419.99999999995907</v>
      </c>
      <c r="M18" s="175">
        <v>652541.39999993646</v>
      </c>
      <c r="N18" s="174">
        <f t="shared" si="1"/>
        <v>2081917.799999814</v>
      </c>
      <c r="O18" s="171">
        <f t="shared" si="2"/>
        <v>24993371.399999347</v>
      </c>
      <c r="P18" s="172">
        <f t="shared" si="3"/>
        <v>22119.999999999327</v>
      </c>
      <c r="Q18" s="138"/>
      <c r="R18" s="149"/>
      <c r="S18" s="158"/>
      <c r="T18" s="157"/>
      <c r="U18" s="156">
        <v>0</v>
      </c>
      <c r="V18" s="136">
        <f t="shared" si="4"/>
        <v>1036.8499999999999</v>
      </c>
      <c r="W18" s="1">
        <v>208.26</v>
      </c>
      <c r="X18" s="170">
        <v>3742536.3299999996</v>
      </c>
      <c r="Y18" s="27">
        <v>828.59</v>
      </c>
      <c r="Z18" s="169">
        <v>3517513.6962000006</v>
      </c>
      <c r="AA18" s="169">
        <f t="shared" si="5"/>
        <v>7260050.0262000002</v>
      </c>
      <c r="AB18" s="98">
        <f t="shared" si="6"/>
        <v>499.93458381765601</v>
      </c>
      <c r="AC18" s="187">
        <v>379.51816000000463</v>
      </c>
      <c r="AD18" s="1">
        <v>114.27436</v>
      </c>
      <c r="AE18" s="1">
        <v>59.251880000000142</v>
      </c>
      <c r="AF18" s="1">
        <v>12</v>
      </c>
      <c r="AG18" s="1">
        <f t="shared" si="7"/>
        <v>565.04440000000477</v>
      </c>
      <c r="AH18" s="170">
        <v>9031951.1541456729</v>
      </c>
      <c r="AI18" s="36">
        <f t="shared" si="8"/>
        <v>621.94953547346597</v>
      </c>
      <c r="AJ18" s="107">
        <v>0.52999999999883585</v>
      </c>
      <c r="AK18" s="170">
        <v>9539.9999999790452</v>
      </c>
      <c r="AL18" s="32">
        <f t="shared" si="9"/>
        <v>0.65693430656790008</v>
      </c>
      <c r="AM18" s="5"/>
    </row>
    <row r="19" spans="1:39" ht="15">
      <c r="A19" s="29"/>
      <c r="B19" s="48">
        <v>8</v>
      </c>
      <c r="C19" s="206">
        <v>44</v>
      </c>
      <c r="D19" s="207">
        <v>272</v>
      </c>
      <c r="E19" s="173">
        <v>15079.999999999927</v>
      </c>
      <c r="F19" s="170">
        <v>15619562.399999924</v>
      </c>
      <c r="G19" s="170">
        <v>3479.9999999997908</v>
      </c>
      <c r="H19" s="170">
        <v>5406771.5999996755</v>
      </c>
      <c r="I19" s="174">
        <f t="shared" si="0"/>
        <v>21026333.999999598</v>
      </c>
      <c r="J19" s="173">
        <v>1340.0000000001455</v>
      </c>
      <c r="K19" s="170">
        <v>1387945.2000001506</v>
      </c>
      <c r="L19" s="175">
        <v>439.99999999999773</v>
      </c>
      <c r="M19" s="175">
        <v>683614.79999999655</v>
      </c>
      <c r="N19" s="174">
        <f t="shared" si="1"/>
        <v>2071560.0000001471</v>
      </c>
      <c r="O19" s="171">
        <f t="shared" si="2"/>
        <v>23097893.999999747</v>
      </c>
      <c r="P19" s="172">
        <f t="shared" si="3"/>
        <v>20339.999999999858</v>
      </c>
      <c r="Q19" s="138"/>
      <c r="R19" s="149"/>
      <c r="S19" s="158"/>
      <c r="T19" s="157"/>
      <c r="U19" s="156">
        <v>0</v>
      </c>
      <c r="V19" s="136">
        <f t="shared" si="4"/>
        <v>1046.6400000000001</v>
      </c>
      <c r="W19" s="1">
        <v>136.17000000000002</v>
      </c>
      <c r="X19" s="170">
        <v>2447042.9850000003</v>
      </c>
      <c r="Y19" s="27">
        <v>910.47</v>
      </c>
      <c r="Z19" s="169">
        <v>3865109.0346000004</v>
      </c>
      <c r="AA19" s="169">
        <f t="shared" si="5"/>
        <v>6312152.0196000002</v>
      </c>
      <c r="AB19" s="98">
        <f t="shared" si="6"/>
        <v>434.66134276270486</v>
      </c>
      <c r="AC19" s="187">
        <v>402.96111999997419</v>
      </c>
      <c r="AD19" s="1">
        <v>125.47220000000046</v>
      </c>
      <c r="AE19" s="1">
        <v>64.004920000001306</v>
      </c>
      <c r="AF19" s="1">
        <v>12</v>
      </c>
      <c r="AG19" s="1">
        <f t="shared" si="7"/>
        <v>604.43823999997596</v>
      </c>
      <c r="AH19" s="170">
        <v>9664704.6842588279</v>
      </c>
      <c r="AI19" s="36">
        <f t="shared" si="8"/>
        <v>665.52160062380028</v>
      </c>
      <c r="AJ19" s="107">
        <v>0.25</v>
      </c>
      <c r="AK19" s="170">
        <v>4500</v>
      </c>
      <c r="AL19" s="32">
        <f t="shared" si="9"/>
        <v>0.30987467291006748</v>
      </c>
      <c r="AM19" s="5"/>
    </row>
    <row r="20" spans="1:39" ht="15">
      <c r="A20" s="29"/>
      <c r="B20" s="48">
        <v>9</v>
      </c>
      <c r="C20" s="206">
        <v>61</v>
      </c>
      <c r="D20" s="207">
        <v>296</v>
      </c>
      <c r="E20" s="173">
        <v>15600.000000000364</v>
      </c>
      <c r="F20" s="170">
        <v>16158168.000000376</v>
      </c>
      <c r="G20" s="170">
        <v>3600.0000000001364</v>
      </c>
      <c r="H20" s="170">
        <v>5593212.0000002123</v>
      </c>
      <c r="I20" s="174">
        <f t="shared" si="0"/>
        <v>21751380.000000589</v>
      </c>
      <c r="J20" s="173">
        <v>1639.9999999998727</v>
      </c>
      <c r="K20" s="170">
        <v>1698679.1999998682</v>
      </c>
      <c r="L20" s="175">
        <v>540.00000000002046</v>
      </c>
      <c r="M20" s="175">
        <v>838981.80000003183</v>
      </c>
      <c r="N20" s="174">
        <f t="shared" si="1"/>
        <v>2537660.9999998999</v>
      </c>
      <c r="O20" s="171">
        <f t="shared" si="2"/>
        <v>24289041.000000488</v>
      </c>
      <c r="P20" s="172">
        <f t="shared" si="3"/>
        <v>21380.000000000397</v>
      </c>
      <c r="Q20" s="138"/>
      <c r="R20" s="149"/>
      <c r="S20" s="158"/>
      <c r="T20" s="157"/>
      <c r="U20" s="156">
        <v>0</v>
      </c>
      <c r="V20" s="136">
        <f t="shared" si="4"/>
        <v>1128.52</v>
      </c>
      <c r="W20" s="1">
        <v>227.84</v>
      </c>
      <c r="X20" s="170">
        <v>4094398.72</v>
      </c>
      <c r="Y20" s="27">
        <v>900.68000000000006</v>
      </c>
      <c r="Z20" s="169">
        <v>3823548.7224000003</v>
      </c>
      <c r="AA20" s="169">
        <f t="shared" si="5"/>
        <v>7917947.442400001</v>
      </c>
      <c r="AB20" s="98">
        <f t="shared" si="6"/>
        <v>545.23808307395677</v>
      </c>
      <c r="AC20" s="187">
        <v>409.12396000002809</v>
      </c>
      <c r="AD20" s="1">
        <v>216.53004000000047</v>
      </c>
      <c r="AE20" s="1">
        <v>59.976920000001314</v>
      </c>
      <c r="AF20" s="1">
        <v>12</v>
      </c>
      <c r="AG20" s="1">
        <f t="shared" si="7"/>
        <v>697.63092000002985</v>
      </c>
      <c r="AH20" s="170">
        <v>11224358.171174066</v>
      </c>
      <c r="AI20" s="36">
        <f t="shared" si="8"/>
        <v>772.92095931511267</v>
      </c>
      <c r="AJ20" s="107">
        <v>0.19999999999708962</v>
      </c>
      <c r="AK20" s="170">
        <v>3599.9999999476131</v>
      </c>
      <c r="AL20" s="32">
        <f t="shared" si="9"/>
        <v>0.24789973832444656</v>
      </c>
      <c r="AM20" s="5"/>
    </row>
    <row r="21" spans="1:39" ht="15">
      <c r="A21" s="29"/>
      <c r="B21" s="48">
        <v>10</v>
      </c>
      <c r="C21" s="206">
        <v>68</v>
      </c>
      <c r="D21" s="207">
        <v>388</v>
      </c>
      <c r="E21" s="173">
        <v>16359.999999998763</v>
      </c>
      <c r="F21" s="170">
        <v>16945360.799998719</v>
      </c>
      <c r="G21" s="170">
        <v>3920.0000000000728</v>
      </c>
      <c r="H21" s="170">
        <v>6090386.4000001131</v>
      </c>
      <c r="I21" s="174">
        <f t="shared" si="0"/>
        <v>23035747.199998833</v>
      </c>
      <c r="J21" s="173">
        <v>1640.0000000001</v>
      </c>
      <c r="K21" s="170">
        <v>1698679.2000001036</v>
      </c>
      <c r="L21" s="175">
        <v>480.00000000001819</v>
      </c>
      <c r="M21" s="175">
        <v>745761.60000002827</v>
      </c>
      <c r="N21" s="174">
        <f t="shared" si="1"/>
        <v>2444440.8000001321</v>
      </c>
      <c r="O21" s="171">
        <f t="shared" si="2"/>
        <v>25480187.999998964</v>
      </c>
      <c r="P21" s="172">
        <f t="shared" si="3"/>
        <v>22399.999999998956</v>
      </c>
      <c r="Q21" s="138"/>
      <c r="R21" s="149"/>
      <c r="S21" s="158"/>
      <c r="T21" s="157"/>
      <c r="U21" s="156">
        <v>0</v>
      </c>
      <c r="V21" s="136">
        <f t="shared" si="4"/>
        <v>1076.9000000000001</v>
      </c>
      <c r="W21" s="1">
        <v>104.13</v>
      </c>
      <c r="X21" s="170">
        <v>1871268.1649999998</v>
      </c>
      <c r="Y21" s="27">
        <v>972.77</v>
      </c>
      <c r="Z21" s="169">
        <v>4129583.7486</v>
      </c>
      <c r="AA21" s="169">
        <f t="shared" si="5"/>
        <v>6000851.9135999996</v>
      </c>
      <c r="AB21" s="98">
        <f t="shared" si="6"/>
        <v>413.22489420190055</v>
      </c>
      <c r="AC21" s="187">
        <v>463.26027999997888</v>
      </c>
      <c r="AD21" s="1">
        <v>153.74875999999924</v>
      </c>
      <c r="AE21" s="1">
        <v>55.666959999998824</v>
      </c>
      <c r="AF21" s="1">
        <v>12</v>
      </c>
      <c r="AG21" s="1">
        <f t="shared" si="7"/>
        <v>684.67599999997697</v>
      </c>
      <c r="AH21" s="170">
        <v>10937522.47506444</v>
      </c>
      <c r="AI21" s="36">
        <f t="shared" si="8"/>
        <v>753.16915542380116</v>
      </c>
      <c r="AJ21" s="107">
        <v>0.25</v>
      </c>
      <c r="AK21" s="170">
        <v>4500</v>
      </c>
      <c r="AL21" s="32">
        <f t="shared" si="9"/>
        <v>0.30987467291006748</v>
      </c>
      <c r="AM21" s="5"/>
    </row>
    <row r="22" spans="1:39" ht="15">
      <c r="A22" s="29"/>
      <c r="B22" s="48">
        <v>11</v>
      </c>
      <c r="C22" s="206">
        <v>62</v>
      </c>
      <c r="D22" s="207">
        <v>496</v>
      </c>
      <c r="E22" s="173">
        <v>16040.000000000873</v>
      </c>
      <c r="F22" s="170">
        <v>16613911.200000905</v>
      </c>
      <c r="G22" s="170">
        <v>3759.9999999999909</v>
      </c>
      <c r="H22" s="170">
        <v>5841799.1999999862</v>
      </c>
      <c r="I22" s="174">
        <f t="shared" si="0"/>
        <v>22455710.400000893</v>
      </c>
      <c r="J22" s="173">
        <v>1740.0000000000091</v>
      </c>
      <c r="K22" s="170">
        <v>1802257.2000000093</v>
      </c>
      <c r="L22" s="175">
        <v>479.99999999996135</v>
      </c>
      <c r="M22" s="175">
        <v>745761.59999994002</v>
      </c>
      <c r="N22" s="174">
        <f t="shared" si="1"/>
        <v>2548018.7999999495</v>
      </c>
      <c r="O22" s="171">
        <f t="shared" si="2"/>
        <v>25003729.200000841</v>
      </c>
      <c r="P22" s="172">
        <f t="shared" si="3"/>
        <v>22020.000000000833</v>
      </c>
      <c r="Q22" s="138"/>
      <c r="R22" s="149"/>
      <c r="S22" s="158"/>
      <c r="T22" s="157"/>
      <c r="U22" s="156">
        <v>0</v>
      </c>
      <c r="V22" s="136">
        <f t="shared" si="4"/>
        <v>1047.53</v>
      </c>
      <c r="W22" s="1">
        <v>141.51</v>
      </c>
      <c r="X22" s="170">
        <v>2543005.4549999996</v>
      </c>
      <c r="Y22" s="27">
        <v>906.02</v>
      </c>
      <c r="Z22" s="169">
        <v>3846217.9836000004</v>
      </c>
      <c r="AA22" s="169">
        <f t="shared" si="5"/>
        <v>6389223.4386</v>
      </c>
      <c r="AB22" s="98">
        <f t="shared" si="6"/>
        <v>439.96856070789147</v>
      </c>
      <c r="AC22" s="187">
        <v>464.83119999997649</v>
      </c>
      <c r="AD22" s="1">
        <v>138.72431999999915</v>
      </c>
      <c r="AE22" s="1">
        <v>58.849079999998672</v>
      </c>
      <c r="AF22" s="1">
        <v>36</v>
      </c>
      <c r="AG22" s="1">
        <f t="shared" si="7"/>
        <v>698.40459999997438</v>
      </c>
      <c r="AH22" s="170">
        <v>11188757.211791599</v>
      </c>
      <c r="AI22" s="36">
        <f t="shared" si="8"/>
        <v>770.46944028312896</v>
      </c>
      <c r="AJ22" s="107">
        <v>0.57000000000698492</v>
      </c>
      <c r="AK22" s="170">
        <v>10260.000000125729</v>
      </c>
      <c r="AL22" s="32">
        <f t="shared" si="9"/>
        <v>0.70651425424361169</v>
      </c>
      <c r="AM22" s="5"/>
    </row>
    <row r="23" spans="1:39" ht="15">
      <c r="A23" s="29"/>
      <c r="B23" s="48">
        <v>12</v>
      </c>
      <c r="C23" s="206">
        <v>79</v>
      </c>
      <c r="D23" s="207">
        <v>433</v>
      </c>
      <c r="E23" s="173">
        <v>16520.000000000437</v>
      </c>
      <c r="F23" s="170">
        <v>17111085.600000452</v>
      </c>
      <c r="G23" s="170">
        <v>3959.999999999809</v>
      </c>
      <c r="H23" s="170">
        <v>6152533.1999997031</v>
      </c>
      <c r="I23" s="174">
        <f t="shared" si="0"/>
        <v>23263618.800000153</v>
      </c>
      <c r="J23" s="173">
        <v>1519.9999999999818</v>
      </c>
      <c r="K23" s="170">
        <v>1574385.5999999812</v>
      </c>
      <c r="L23" s="175">
        <v>439.99999999999773</v>
      </c>
      <c r="M23" s="175">
        <v>683614.79999999655</v>
      </c>
      <c r="N23" s="174">
        <f t="shared" si="1"/>
        <v>2258000.399999978</v>
      </c>
      <c r="O23" s="171">
        <f t="shared" si="2"/>
        <v>25521619.20000013</v>
      </c>
      <c r="P23" s="172">
        <f t="shared" si="3"/>
        <v>22440.000000000226</v>
      </c>
      <c r="Q23" s="138"/>
      <c r="R23" s="149"/>
      <c r="S23" s="158"/>
      <c r="T23" s="157"/>
      <c r="U23" s="156">
        <v>0</v>
      </c>
      <c r="V23" s="136">
        <f t="shared" si="4"/>
        <v>1078.68</v>
      </c>
      <c r="W23" s="1">
        <v>147.74</v>
      </c>
      <c r="X23" s="170">
        <v>2654961.6700000004</v>
      </c>
      <c r="Y23" s="27">
        <v>930.94</v>
      </c>
      <c r="Z23" s="169">
        <v>3952007.8692000005</v>
      </c>
      <c r="AA23" s="169">
        <f t="shared" si="5"/>
        <v>6606969.5392000005</v>
      </c>
      <c r="AB23" s="98">
        <f t="shared" si="6"/>
        <v>454.96278330808434</v>
      </c>
      <c r="AC23" s="187">
        <v>371.05936000003982</v>
      </c>
      <c r="AD23" s="1">
        <v>113.9924000000005</v>
      </c>
      <c r="AE23" s="1">
        <v>83.218480000003069</v>
      </c>
      <c r="AF23" s="1">
        <v>12</v>
      </c>
      <c r="AG23" s="1">
        <f t="shared" si="7"/>
        <v>580.27024000004337</v>
      </c>
      <c r="AH23" s="170">
        <v>9298820.7113382779</v>
      </c>
      <c r="AI23" s="36">
        <f t="shared" si="8"/>
        <v>640.32645030562446</v>
      </c>
      <c r="AJ23" s="107">
        <v>50.16999999996915</v>
      </c>
      <c r="AK23" s="170">
        <v>903059.9999994447</v>
      </c>
      <c r="AL23" s="32">
        <f t="shared" si="9"/>
        <v>62.185649359554105</v>
      </c>
      <c r="AM23" s="5"/>
    </row>
    <row r="24" spans="1:39" ht="15">
      <c r="A24" s="29"/>
      <c r="B24" s="48">
        <v>13</v>
      </c>
      <c r="C24" s="206">
        <v>81</v>
      </c>
      <c r="D24" s="207">
        <v>555</v>
      </c>
      <c r="E24" s="173">
        <v>16439.99999999869</v>
      </c>
      <c r="F24" s="170">
        <v>17028223.199998643</v>
      </c>
      <c r="G24" s="170">
        <v>3880.0000000001091</v>
      </c>
      <c r="H24" s="170">
        <v>6028239.6000001701</v>
      </c>
      <c r="I24" s="174">
        <f t="shared" si="0"/>
        <v>23056462.799998812</v>
      </c>
      <c r="J24" s="173">
        <v>1599.9999999999091</v>
      </c>
      <c r="K24" s="170">
        <v>1657247.9999999057</v>
      </c>
      <c r="L24" s="175">
        <v>500</v>
      </c>
      <c r="M24" s="175">
        <v>776835</v>
      </c>
      <c r="N24" s="174">
        <f t="shared" si="1"/>
        <v>2434082.9999999059</v>
      </c>
      <c r="O24" s="171">
        <f t="shared" si="2"/>
        <v>25490545.799998719</v>
      </c>
      <c r="P24" s="172">
        <f t="shared" si="3"/>
        <v>22419.999999998709</v>
      </c>
      <c r="Q24" s="138"/>
      <c r="R24" s="138"/>
      <c r="S24" s="158"/>
      <c r="T24" s="157"/>
      <c r="U24" s="156">
        <v>0</v>
      </c>
      <c r="V24" s="136">
        <f t="shared" si="4"/>
        <v>995.91000000000008</v>
      </c>
      <c r="W24" s="1">
        <v>43.61</v>
      </c>
      <c r="X24" s="170">
        <v>783693.505</v>
      </c>
      <c r="Y24" s="27">
        <v>952.30000000000007</v>
      </c>
      <c r="Z24" s="169">
        <v>4042684.9140000003</v>
      </c>
      <c r="AA24" s="169">
        <f t="shared" si="5"/>
        <v>4826378.4190000007</v>
      </c>
      <c r="AB24" s="98">
        <f t="shared" si="6"/>
        <v>332.34942976174085</v>
      </c>
      <c r="AC24" s="187">
        <v>474.49839999995305</v>
      </c>
      <c r="AD24" s="1">
        <v>141.78560000000073</v>
      </c>
      <c r="AE24" s="1">
        <v>68.314880000000144</v>
      </c>
      <c r="AF24" s="1">
        <v>12</v>
      </c>
      <c r="AG24" s="1">
        <f t="shared" si="7"/>
        <v>696.59887999995385</v>
      </c>
      <c r="AH24" s="170">
        <v>11123755.368943285</v>
      </c>
      <c r="AI24" s="36">
        <f t="shared" si="8"/>
        <v>765.99334588509055</v>
      </c>
      <c r="AJ24" s="107">
        <v>1.2700000000040745</v>
      </c>
      <c r="AK24" s="170">
        <v>22860.000000073342</v>
      </c>
      <c r="AL24" s="32">
        <f t="shared" si="9"/>
        <v>1.5741633383881932</v>
      </c>
      <c r="AM24" s="5"/>
    </row>
    <row r="25" spans="1:39" ht="15">
      <c r="A25" s="29"/>
      <c r="B25" s="48">
        <v>14</v>
      </c>
      <c r="C25" s="206">
        <v>74</v>
      </c>
      <c r="D25" s="207">
        <v>575</v>
      </c>
      <c r="E25" s="173">
        <v>15960.000000000946</v>
      </c>
      <c r="F25" s="170">
        <v>16531048.800000979</v>
      </c>
      <c r="G25" s="170">
        <v>4000</v>
      </c>
      <c r="H25" s="170">
        <v>6214680</v>
      </c>
      <c r="I25" s="174">
        <f t="shared" si="0"/>
        <v>22745728.80000098</v>
      </c>
      <c r="J25" s="173">
        <v>1500</v>
      </c>
      <c r="K25" s="170">
        <v>1553670</v>
      </c>
      <c r="L25" s="175">
        <v>480.00000000001819</v>
      </c>
      <c r="M25" s="175">
        <v>745761.60000002827</v>
      </c>
      <c r="N25" s="174">
        <f t="shared" si="1"/>
        <v>2299431.6000000285</v>
      </c>
      <c r="O25" s="171">
        <f t="shared" si="2"/>
        <v>25045160.400001008</v>
      </c>
      <c r="P25" s="172">
        <f t="shared" si="3"/>
        <v>21940.000000000964</v>
      </c>
      <c r="Q25" s="139"/>
      <c r="R25" s="139"/>
      <c r="S25" s="158"/>
      <c r="T25" s="157"/>
      <c r="U25" s="156">
        <v>0</v>
      </c>
      <c r="V25" s="136">
        <f t="shared" si="4"/>
        <v>1105.3800000000001</v>
      </c>
      <c r="W25" s="1">
        <v>151.30000000000001</v>
      </c>
      <c r="X25" s="170">
        <v>2718936.6500000004</v>
      </c>
      <c r="Y25" s="27">
        <v>954.08</v>
      </c>
      <c r="Z25" s="169">
        <v>4050241.3344000005</v>
      </c>
      <c r="AA25" s="169">
        <f t="shared" si="5"/>
        <v>6769177.9844000004</v>
      </c>
      <c r="AB25" s="98">
        <f t="shared" si="6"/>
        <v>466.13262528577332</v>
      </c>
      <c r="AC25" s="187">
        <v>463.98532000000932</v>
      </c>
      <c r="AD25" s="1">
        <v>135.5663679999999</v>
      </c>
      <c r="AE25" s="1">
        <v>52.404279999997208</v>
      </c>
      <c r="AF25" s="1">
        <v>24</v>
      </c>
      <c r="AG25" s="1">
        <f t="shared" si="7"/>
        <v>675.95596800000646</v>
      </c>
      <c r="AH25" s="170">
        <v>10801088.314391294</v>
      </c>
      <c r="AI25" s="36">
        <f t="shared" si="8"/>
        <v>743.7741574432788</v>
      </c>
      <c r="AJ25" s="107">
        <v>10.519999999989523</v>
      </c>
      <c r="AK25" s="170">
        <v>189359.99999981141</v>
      </c>
      <c r="AL25" s="32">
        <f t="shared" si="9"/>
        <v>13.039526236042652</v>
      </c>
      <c r="AM25" s="5"/>
    </row>
    <row r="26" spans="1:39" ht="15">
      <c r="A26" s="29"/>
      <c r="B26" s="48">
        <v>15</v>
      </c>
      <c r="C26" s="206">
        <v>55</v>
      </c>
      <c r="D26" s="207">
        <v>476</v>
      </c>
      <c r="E26" s="173">
        <v>16479.999999999563</v>
      </c>
      <c r="F26" s="170">
        <v>17069654.399999548</v>
      </c>
      <c r="G26" s="170">
        <v>3680.0000000000637</v>
      </c>
      <c r="H26" s="170">
        <v>5717505.6000000993</v>
      </c>
      <c r="I26" s="174">
        <f t="shared" si="0"/>
        <v>22787159.999999646</v>
      </c>
      <c r="J26" s="173">
        <v>1220.0000000000273</v>
      </c>
      <c r="K26" s="170">
        <v>1263651.6000000283</v>
      </c>
      <c r="L26" s="175">
        <v>439.99999999999773</v>
      </c>
      <c r="M26" s="175">
        <v>683614.79999999655</v>
      </c>
      <c r="N26" s="174">
        <f t="shared" si="1"/>
        <v>1947266.4000000248</v>
      </c>
      <c r="O26" s="171">
        <f t="shared" si="2"/>
        <v>24734426.399999671</v>
      </c>
      <c r="P26" s="172">
        <f t="shared" si="3"/>
        <v>21819.999999999654</v>
      </c>
      <c r="Q26" s="138"/>
      <c r="R26" s="149"/>
      <c r="S26" s="158"/>
      <c r="T26" s="157"/>
      <c r="U26" s="156">
        <v>0</v>
      </c>
      <c r="V26" s="136">
        <f t="shared" si="4"/>
        <v>1107.1599999999999</v>
      </c>
      <c r="W26" s="1">
        <v>163.76</v>
      </c>
      <c r="X26" s="170">
        <v>2942849.0799999996</v>
      </c>
      <c r="Y26" s="27">
        <v>943.4</v>
      </c>
      <c r="Z26" s="169">
        <v>4004902.8120000004</v>
      </c>
      <c r="AA26" s="169">
        <f t="shared" si="5"/>
        <v>6947751.892</v>
      </c>
      <c r="AB26" s="98">
        <f t="shared" si="6"/>
        <v>478.42940999862276</v>
      </c>
      <c r="AC26" s="187">
        <v>457.50024000000701</v>
      </c>
      <c r="AD26" s="1">
        <v>121.62143199999981</v>
      </c>
      <c r="AE26" s="1">
        <v>56.311440000001902</v>
      </c>
      <c r="AF26" s="1">
        <v>12</v>
      </c>
      <c r="AG26" s="1">
        <f t="shared" si="7"/>
        <v>647.43311200000869</v>
      </c>
      <c r="AH26" s="170">
        <v>10318431.588238539</v>
      </c>
      <c r="AI26" s="36">
        <f t="shared" si="8"/>
        <v>710.53791407785013</v>
      </c>
      <c r="AJ26" s="107">
        <v>39.760000000009313</v>
      </c>
      <c r="AK26" s="170">
        <v>715680.00000016764</v>
      </c>
      <c r="AL26" s="32">
        <f t="shared" si="9"/>
        <v>49.282467979628677</v>
      </c>
      <c r="AM26" s="5"/>
    </row>
    <row r="27" spans="1:39" ht="15">
      <c r="A27" s="29"/>
      <c r="B27" s="48">
        <v>16</v>
      </c>
      <c r="C27" s="206">
        <v>58</v>
      </c>
      <c r="D27" s="207">
        <v>313</v>
      </c>
      <c r="E27" s="173">
        <v>15120.0000000008</v>
      </c>
      <c r="F27" s="170">
        <v>15660993.600000829</v>
      </c>
      <c r="G27" s="170">
        <v>3159.9999999998545</v>
      </c>
      <c r="H27" s="170">
        <v>4909597.1999997739</v>
      </c>
      <c r="I27" s="174">
        <f t="shared" si="0"/>
        <v>20570590.800000601</v>
      </c>
      <c r="J27" s="173">
        <v>1340.0000000001455</v>
      </c>
      <c r="K27" s="170">
        <v>1387945.2000001506</v>
      </c>
      <c r="L27" s="175">
        <v>360.00000000001364</v>
      </c>
      <c r="M27" s="175">
        <v>559321.20000002126</v>
      </c>
      <c r="N27" s="174">
        <f t="shared" si="1"/>
        <v>1947266.4000001717</v>
      </c>
      <c r="O27" s="171">
        <f t="shared" si="2"/>
        <v>22517857.20000077</v>
      </c>
      <c r="P27" s="172">
        <f t="shared" si="3"/>
        <v>19980.000000000815</v>
      </c>
      <c r="Q27" s="138"/>
      <c r="R27" s="138"/>
      <c r="S27" s="158"/>
      <c r="T27" s="157"/>
      <c r="U27" s="156">
        <v>0</v>
      </c>
      <c r="V27" s="136">
        <f t="shared" si="4"/>
        <v>1160.56</v>
      </c>
      <c r="W27" s="1">
        <v>210.93</v>
      </c>
      <c r="X27" s="170">
        <v>3790517.5649999999</v>
      </c>
      <c r="Y27" s="27">
        <v>949.63</v>
      </c>
      <c r="Z27" s="169">
        <v>4031350.2834000001</v>
      </c>
      <c r="AA27" s="169">
        <f t="shared" si="5"/>
        <v>7821867.8484000005</v>
      </c>
      <c r="AB27" s="98">
        <f t="shared" si="6"/>
        <v>538.62194245971637</v>
      </c>
      <c r="AC27" s="187">
        <v>453.83475999999291</v>
      </c>
      <c r="AD27" s="1">
        <v>121.32336000000024</v>
      </c>
      <c r="AE27" s="1">
        <v>47.328999999999994</v>
      </c>
      <c r="AF27" s="1">
        <v>0</v>
      </c>
      <c r="AG27" s="1">
        <f t="shared" si="7"/>
        <v>622.48711999999307</v>
      </c>
      <c r="AH27" s="170">
        <v>9892347.405101493</v>
      </c>
      <c r="AI27" s="36">
        <f t="shared" si="8"/>
        <v>681.19731477079551</v>
      </c>
      <c r="AJ27" s="107">
        <v>48.839999999996508</v>
      </c>
      <c r="AK27" s="170">
        <v>879119.99999993714</v>
      </c>
      <c r="AL27" s="32">
        <f t="shared" si="9"/>
        <v>60.537116099706452</v>
      </c>
      <c r="AM27" s="5"/>
    </row>
    <row r="28" spans="1:39" ht="15">
      <c r="A28" s="29"/>
      <c r="B28" s="48">
        <v>17</v>
      </c>
      <c r="C28" s="206">
        <v>52</v>
      </c>
      <c r="D28" s="207">
        <v>330</v>
      </c>
      <c r="E28" s="173">
        <v>16799.999999999272</v>
      </c>
      <c r="F28" s="170">
        <v>17401103.999999247</v>
      </c>
      <c r="G28" s="170">
        <v>4000</v>
      </c>
      <c r="H28" s="170">
        <v>6214680</v>
      </c>
      <c r="I28" s="174">
        <f t="shared" si="0"/>
        <v>23615783.999999247</v>
      </c>
      <c r="J28" s="173">
        <v>1199.9999999998181</v>
      </c>
      <c r="K28" s="170">
        <v>1242935.9999998116</v>
      </c>
      <c r="L28" s="175">
        <v>420.00000000001592</v>
      </c>
      <c r="M28" s="175">
        <v>652541.4000000247</v>
      </c>
      <c r="N28" s="174">
        <f t="shared" si="1"/>
        <v>1895477.3999998365</v>
      </c>
      <c r="O28" s="171">
        <f t="shared" si="2"/>
        <v>25511261.399999082</v>
      </c>
      <c r="P28" s="172">
        <f t="shared" si="3"/>
        <v>22419.999999999105</v>
      </c>
      <c r="Q28" s="139"/>
      <c r="R28" s="139"/>
      <c r="S28" s="158"/>
      <c r="T28" s="157"/>
      <c r="U28" s="156">
        <v>0</v>
      </c>
      <c r="V28" s="136">
        <f t="shared" si="4"/>
        <v>1023.5</v>
      </c>
      <c r="W28" s="1">
        <v>131.72</v>
      </c>
      <c r="X28" s="170">
        <v>2367074.2599999998</v>
      </c>
      <c r="Y28" s="27">
        <v>891.78</v>
      </c>
      <c r="Z28" s="169">
        <v>3785766.6204000004</v>
      </c>
      <c r="AA28" s="169">
        <f t="shared" si="5"/>
        <v>6152840.8804000001</v>
      </c>
      <c r="AB28" s="98">
        <f t="shared" si="6"/>
        <v>423.69101228480929</v>
      </c>
      <c r="AC28" s="187">
        <v>561.30180000002338</v>
      </c>
      <c r="AD28" s="1">
        <v>257.73647999999872</v>
      </c>
      <c r="AE28" s="1">
        <v>37.702079999998681</v>
      </c>
      <c r="AF28" s="1">
        <v>0</v>
      </c>
      <c r="AG28" s="1">
        <f t="shared" si="7"/>
        <v>856.7403600000207</v>
      </c>
      <c r="AH28" s="170">
        <v>13695644.821188319</v>
      </c>
      <c r="AI28" s="36">
        <f t="shared" si="8"/>
        <v>943.09632427959787</v>
      </c>
      <c r="AJ28" s="107">
        <v>146.14000000001397</v>
      </c>
      <c r="AK28" s="170">
        <v>2630520.0000002515</v>
      </c>
      <c r="AL28" s="32">
        <f t="shared" si="9"/>
        <v>181.14033879632638</v>
      </c>
      <c r="AM28" s="5"/>
    </row>
    <row r="29" spans="1:39" ht="15">
      <c r="A29" s="29"/>
      <c r="B29" s="48">
        <v>18</v>
      </c>
      <c r="C29" s="206">
        <v>50</v>
      </c>
      <c r="D29" s="207">
        <v>302</v>
      </c>
      <c r="E29" s="173">
        <v>13800.000000001091</v>
      </c>
      <c r="F29" s="170">
        <v>14293764.000001131</v>
      </c>
      <c r="G29" s="170">
        <v>3680.0000000000637</v>
      </c>
      <c r="H29" s="170">
        <v>5717505.6000000993</v>
      </c>
      <c r="I29" s="174">
        <f t="shared" si="0"/>
        <v>20011269.600001231</v>
      </c>
      <c r="J29" s="173">
        <v>1320.0000000001637</v>
      </c>
      <c r="K29" s="170">
        <v>1367229.6000001696</v>
      </c>
      <c r="L29" s="175">
        <v>359.9999999999568</v>
      </c>
      <c r="M29" s="175">
        <v>559321.1999999329</v>
      </c>
      <c r="N29" s="174">
        <f t="shared" si="1"/>
        <v>1926550.8000001025</v>
      </c>
      <c r="O29" s="171">
        <f t="shared" si="2"/>
        <v>21937820.400001332</v>
      </c>
      <c r="P29" s="172">
        <f t="shared" si="3"/>
        <v>19160.000000001277</v>
      </c>
      <c r="Q29" s="139"/>
      <c r="R29" s="139"/>
      <c r="S29" s="158"/>
      <c r="T29" s="157"/>
      <c r="U29" s="156">
        <v>0</v>
      </c>
      <c r="V29" s="136">
        <f t="shared" si="4"/>
        <v>928.27</v>
      </c>
      <c r="W29" s="1">
        <v>89.89</v>
      </c>
      <c r="X29" s="170">
        <v>1615368.2450000001</v>
      </c>
      <c r="Y29" s="27">
        <v>838.38</v>
      </c>
      <c r="Z29" s="169">
        <v>3559074.0084000002</v>
      </c>
      <c r="AA29" s="169">
        <f t="shared" si="5"/>
        <v>5174442.2533999998</v>
      </c>
      <c r="AB29" s="98">
        <f t="shared" si="6"/>
        <v>356.31746683652386</v>
      </c>
      <c r="AC29" s="187">
        <v>0</v>
      </c>
      <c r="AD29" s="1">
        <v>119.38992000000005</v>
      </c>
      <c r="AE29" s="1">
        <v>72.947079999998678</v>
      </c>
      <c r="AF29" s="1">
        <v>24</v>
      </c>
      <c r="AG29" s="1">
        <f t="shared" si="7"/>
        <v>216.33699999999874</v>
      </c>
      <c r="AH29" s="170">
        <v>3661108.3399999784</v>
      </c>
      <c r="AI29" s="36">
        <f t="shared" si="8"/>
        <v>252.10772207684744</v>
      </c>
      <c r="AJ29" s="107">
        <v>468.83999999999651</v>
      </c>
      <c r="AK29" s="170">
        <v>8439119.9999999367</v>
      </c>
      <c r="AL29" s="32">
        <f t="shared" si="9"/>
        <v>581.12656658861977</v>
      </c>
      <c r="AM29" s="5"/>
    </row>
    <row r="30" spans="1:39" ht="15">
      <c r="A30" s="29"/>
      <c r="B30" s="48">
        <v>19</v>
      </c>
      <c r="C30" s="206">
        <v>65</v>
      </c>
      <c r="D30" s="207">
        <v>273</v>
      </c>
      <c r="E30" s="173">
        <v>15439.99999999869</v>
      </c>
      <c r="F30" s="170">
        <v>15992443.199998643</v>
      </c>
      <c r="G30" s="170">
        <v>3799.9999999999545</v>
      </c>
      <c r="H30" s="170">
        <v>5903945.9999999292</v>
      </c>
      <c r="I30" s="174">
        <f t="shared" si="0"/>
        <v>21896389.199998572</v>
      </c>
      <c r="J30" s="173">
        <v>1460.0000000000364</v>
      </c>
      <c r="K30" s="170">
        <v>1512238.8000000375</v>
      </c>
      <c r="L30" s="175">
        <v>460.00000000003638</v>
      </c>
      <c r="M30" s="175">
        <v>714688.20000005653</v>
      </c>
      <c r="N30" s="174">
        <f t="shared" si="1"/>
        <v>2226927.0000000941</v>
      </c>
      <c r="O30" s="171">
        <f t="shared" si="2"/>
        <v>24123316.199998666</v>
      </c>
      <c r="P30" s="172">
        <f t="shared" si="3"/>
        <v>21159.999999998719</v>
      </c>
      <c r="Q30" s="138"/>
      <c r="R30" s="138"/>
      <c r="S30" s="158"/>
      <c r="T30" s="157"/>
      <c r="U30" s="156">
        <v>0</v>
      </c>
      <c r="V30" s="136">
        <f t="shared" si="4"/>
        <v>1125.8499999999999</v>
      </c>
      <c r="W30" s="1">
        <v>89</v>
      </c>
      <c r="X30" s="170">
        <v>1599374.5</v>
      </c>
      <c r="Y30" s="27">
        <v>1036.8499999999999</v>
      </c>
      <c r="Z30" s="169">
        <v>4401614.8830000004</v>
      </c>
      <c r="AA30" s="169">
        <f t="shared" si="5"/>
        <v>6000989.3830000004</v>
      </c>
      <c r="AB30" s="98">
        <f t="shared" si="6"/>
        <v>413.23436048753615</v>
      </c>
      <c r="AC30" s="187">
        <v>41.730080000002339</v>
      </c>
      <c r="AD30" s="1">
        <v>97.155360000000925</v>
      </c>
      <c r="AE30" s="1">
        <v>72.020640000000427</v>
      </c>
      <c r="AF30" s="1">
        <v>12</v>
      </c>
      <c r="AG30" s="1">
        <f t="shared" si="7"/>
        <v>222.90608000000367</v>
      </c>
      <c r="AH30" s="170">
        <v>3707303.6855328591</v>
      </c>
      <c r="AI30" s="36">
        <f t="shared" si="8"/>
        <v>255.28878154061832</v>
      </c>
      <c r="AJ30" s="107">
        <v>346.49000000000524</v>
      </c>
      <c r="AK30" s="170">
        <v>6236820.0000000941</v>
      </c>
      <c r="AL30" s="32">
        <f t="shared" si="9"/>
        <v>429.47390166644362</v>
      </c>
      <c r="AM30" s="5"/>
    </row>
    <row r="31" spans="1:39" ht="15">
      <c r="A31" s="29"/>
      <c r="B31" s="48">
        <v>20</v>
      </c>
      <c r="C31" s="206">
        <v>77</v>
      </c>
      <c r="D31" s="207">
        <v>497</v>
      </c>
      <c r="E31" s="173">
        <v>16000</v>
      </c>
      <c r="F31" s="170">
        <v>16572480</v>
      </c>
      <c r="G31" s="170">
        <v>4120.0000000001182</v>
      </c>
      <c r="H31" s="170">
        <v>6401120.4000001838</v>
      </c>
      <c r="I31" s="174">
        <f t="shared" si="0"/>
        <v>22973600.400000185</v>
      </c>
      <c r="J31" s="173">
        <v>1619.9999999998909</v>
      </c>
      <c r="K31" s="170">
        <v>1677963.5999998869</v>
      </c>
      <c r="L31" s="175">
        <v>479.99999999996135</v>
      </c>
      <c r="M31" s="175">
        <v>745761.59999994002</v>
      </c>
      <c r="N31" s="174">
        <f t="shared" si="1"/>
        <v>2423725.199999827</v>
      </c>
      <c r="O31" s="171">
        <f t="shared" si="2"/>
        <v>25397325.600000013</v>
      </c>
      <c r="P31" s="172">
        <f t="shared" si="3"/>
        <v>22219.999999999967</v>
      </c>
      <c r="Q31" s="139"/>
      <c r="R31" s="139"/>
      <c r="S31" s="158"/>
      <c r="T31" s="157"/>
      <c r="U31" s="156">
        <v>0</v>
      </c>
      <c r="V31" s="136">
        <f t="shared" si="4"/>
        <v>1126.74</v>
      </c>
      <c r="W31" s="1">
        <v>83.66</v>
      </c>
      <c r="X31" s="170">
        <v>1503412.03</v>
      </c>
      <c r="Y31" s="27">
        <v>1043.08</v>
      </c>
      <c r="Z31" s="169">
        <v>4428062.3543999996</v>
      </c>
      <c r="AA31" s="169">
        <f t="shared" si="5"/>
        <v>5931474.3843999999</v>
      </c>
      <c r="AB31" s="98">
        <f t="shared" si="6"/>
        <v>408.44748549786527</v>
      </c>
      <c r="AC31" s="187">
        <v>0</v>
      </c>
      <c r="AD31" s="1">
        <v>113.54931999999908</v>
      </c>
      <c r="AE31" s="1">
        <v>75.968080000002331</v>
      </c>
      <c r="AF31" s="1">
        <v>36</v>
      </c>
      <c r="AG31" s="1">
        <f t="shared" si="7"/>
        <v>225.51740000000143</v>
      </c>
      <c r="AH31" s="170">
        <v>3826682.6680000238</v>
      </c>
      <c r="AI31" s="36">
        <f t="shared" si="8"/>
        <v>263.50934223936258</v>
      </c>
      <c r="AJ31" s="107">
        <v>464.30000000000291</v>
      </c>
      <c r="AK31" s="170">
        <v>8357400.0000000522</v>
      </c>
      <c r="AL31" s="32">
        <f t="shared" si="9"/>
        <v>575.49924252858091</v>
      </c>
      <c r="AM31" s="5"/>
    </row>
    <row r="32" spans="1:39" ht="15">
      <c r="A32" s="29"/>
      <c r="B32" s="48">
        <v>21</v>
      </c>
      <c r="C32" s="206">
        <v>103</v>
      </c>
      <c r="D32" s="207">
        <v>433</v>
      </c>
      <c r="E32" s="173">
        <v>18280.000000000655</v>
      </c>
      <c r="F32" s="170">
        <v>18934058.400000677</v>
      </c>
      <c r="G32" s="170">
        <v>4240.0000000000091</v>
      </c>
      <c r="H32" s="170">
        <v>6587560.8000000147</v>
      </c>
      <c r="I32" s="174">
        <f t="shared" si="0"/>
        <v>25521619.200000692</v>
      </c>
      <c r="J32" s="173">
        <v>1740.0000000000091</v>
      </c>
      <c r="K32" s="170">
        <v>1802257.2000000093</v>
      </c>
      <c r="L32" s="175">
        <v>540.00000000002046</v>
      </c>
      <c r="M32" s="175">
        <v>838981.80000003183</v>
      </c>
      <c r="N32" s="174">
        <f t="shared" si="1"/>
        <v>2641239.000000041</v>
      </c>
      <c r="O32" s="171">
        <f t="shared" si="2"/>
        <v>28162858.200000733</v>
      </c>
      <c r="P32" s="172">
        <f t="shared" si="3"/>
        <v>24800.000000000691</v>
      </c>
      <c r="Q32" s="138"/>
      <c r="R32" s="150"/>
      <c r="S32" s="158"/>
      <c r="T32" s="157"/>
      <c r="U32" s="156">
        <v>0</v>
      </c>
      <c r="V32" s="136">
        <f t="shared" si="4"/>
        <v>835.70999999999992</v>
      </c>
      <c r="W32" s="1">
        <v>62.300000000000004</v>
      </c>
      <c r="X32" s="170">
        <v>1119562.1500000001</v>
      </c>
      <c r="Y32" s="27">
        <v>773.41</v>
      </c>
      <c r="Z32" s="169">
        <v>3283264.6638000002</v>
      </c>
      <c r="AA32" s="169">
        <f t="shared" si="5"/>
        <v>4402826.8138000006</v>
      </c>
      <c r="AB32" s="98">
        <f t="shared" si="6"/>
        <v>303.18322640132214</v>
      </c>
      <c r="AC32" s="187">
        <v>172.27756000001639</v>
      </c>
      <c r="AD32" s="1">
        <v>127.8487199999998</v>
      </c>
      <c r="AE32" s="1">
        <v>62.474279999997208</v>
      </c>
      <c r="AF32" s="1">
        <v>0</v>
      </c>
      <c r="AG32" s="1">
        <f t="shared" si="7"/>
        <v>362.60056000001339</v>
      </c>
      <c r="AH32" s="170">
        <v>5879573.5109498054</v>
      </c>
      <c r="AI32" s="36">
        <f t="shared" si="8"/>
        <v>404.87353745694844</v>
      </c>
      <c r="AJ32" s="107">
        <v>288.92999999999302</v>
      </c>
      <c r="AK32" s="170">
        <v>5200739.9999998743</v>
      </c>
      <c r="AL32" s="32">
        <f t="shared" si="9"/>
        <v>358.12835697561451</v>
      </c>
      <c r="AM32" s="5"/>
    </row>
    <row r="33" spans="1:39" ht="15">
      <c r="A33" s="29"/>
      <c r="B33" s="48">
        <v>22</v>
      </c>
      <c r="C33" s="206">
        <v>107</v>
      </c>
      <c r="D33" s="207">
        <v>395</v>
      </c>
      <c r="E33" s="173">
        <v>16319.999999999709</v>
      </c>
      <c r="F33" s="170">
        <v>16903929.5999997</v>
      </c>
      <c r="G33" s="170">
        <v>3679.9999999998363</v>
      </c>
      <c r="H33" s="170">
        <v>5717505.5999997463</v>
      </c>
      <c r="I33" s="174">
        <f t="shared" si="0"/>
        <v>22621435.199999444</v>
      </c>
      <c r="J33" s="173">
        <v>1460.0000000000364</v>
      </c>
      <c r="K33" s="170">
        <v>1512238.8000000375</v>
      </c>
      <c r="L33" s="175">
        <v>439.99999999999773</v>
      </c>
      <c r="M33" s="175">
        <v>683614.79999999655</v>
      </c>
      <c r="N33" s="174">
        <f t="shared" si="1"/>
        <v>2195853.6000000341</v>
      </c>
      <c r="O33" s="171">
        <f t="shared" si="2"/>
        <v>24817288.799999479</v>
      </c>
      <c r="P33" s="172">
        <f t="shared" si="3"/>
        <v>21899.999999999578</v>
      </c>
      <c r="Q33" s="138"/>
      <c r="R33" s="151"/>
      <c r="S33" s="158"/>
      <c r="T33" s="157"/>
      <c r="U33" s="156">
        <v>0</v>
      </c>
      <c r="V33" s="136">
        <f t="shared" si="4"/>
        <v>984.34</v>
      </c>
      <c r="W33" s="1">
        <v>68.53</v>
      </c>
      <c r="X33" s="170">
        <v>1231518.365</v>
      </c>
      <c r="Y33" s="27">
        <v>915.81000000000006</v>
      </c>
      <c r="Z33" s="169">
        <v>3887778.2958000004</v>
      </c>
      <c r="AA33" s="169">
        <f t="shared" si="5"/>
        <v>5119296.6608000007</v>
      </c>
      <c r="AB33" s="98">
        <f t="shared" si="6"/>
        <v>352.52008406555575</v>
      </c>
      <c r="AC33" s="187">
        <v>406.94883999999524</v>
      </c>
      <c r="AD33" s="1">
        <v>122.49148000000136</v>
      </c>
      <c r="AE33" s="1">
        <v>55.505840000002635</v>
      </c>
      <c r="AF33" s="1">
        <v>0</v>
      </c>
      <c r="AG33" s="1">
        <f t="shared" si="7"/>
        <v>584.94615999999928</v>
      </c>
      <c r="AH33" s="170">
        <v>9320610.1752743926</v>
      </c>
      <c r="AI33" s="36">
        <f t="shared" si="8"/>
        <v>641.82689541897764</v>
      </c>
      <c r="AJ33" s="107">
        <v>58.870000000009895</v>
      </c>
      <c r="AK33" s="170">
        <v>1059660.0000001781</v>
      </c>
      <c r="AL33" s="32">
        <f t="shared" si="9"/>
        <v>72.969287976874952</v>
      </c>
      <c r="AM33" s="5"/>
    </row>
    <row r="34" spans="1:39" ht="15">
      <c r="A34" s="29"/>
      <c r="B34" s="48">
        <v>23</v>
      </c>
      <c r="C34" s="206">
        <v>49</v>
      </c>
      <c r="D34" s="207">
        <v>464</v>
      </c>
      <c r="E34" s="173">
        <v>16840.000000000146</v>
      </c>
      <c r="F34" s="170">
        <v>17442535.200000152</v>
      </c>
      <c r="G34" s="170">
        <v>3920.0000000000728</v>
      </c>
      <c r="H34" s="170">
        <v>6090386.4000001131</v>
      </c>
      <c r="I34" s="174">
        <f t="shared" si="0"/>
        <v>23532921.600000266</v>
      </c>
      <c r="J34" s="173">
        <v>1899.9999999998636</v>
      </c>
      <c r="K34" s="170">
        <v>1967981.9999998587</v>
      </c>
      <c r="L34" s="175">
        <v>500</v>
      </c>
      <c r="M34" s="175">
        <v>776835</v>
      </c>
      <c r="N34" s="174">
        <f t="shared" si="1"/>
        <v>2744816.9999998584</v>
      </c>
      <c r="O34" s="171">
        <f t="shared" si="2"/>
        <v>26277738.600000124</v>
      </c>
      <c r="P34" s="172">
        <f t="shared" si="3"/>
        <v>23160.00000000008</v>
      </c>
      <c r="Q34" s="139"/>
      <c r="R34" s="152"/>
      <c r="S34" s="158"/>
      <c r="T34" s="157"/>
      <c r="U34" s="156">
        <v>0</v>
      </c>
      <c r="V34" s="136">
        <f t="shared" si="4"/>
        <v>1078.68</v>
      </c>
      <c r="W34" s="1">
        <v>88.11</v>
      </c>
      <c r="X34" s="170">
        <v>1583380.7549999999</v>
      </c>
      <c r="Y34" s="27">
        <v>990.57</v>
      </c>
      <c r="Z34" s="169">
        <v>4205147.9526000004</v>
      </c>
      <c r="AA34" s="169">
        <f t="shared" si="5"/>
        <v>5788528.7076000003</v>
      </c>
      <c r="AB34" s="98">
        <f t="shared" si="6"/>
        <v>398.60409775513017</v>
      </c>
      <c r="AC34" s="187">
        <v>397.16079999996481</v>
      </c>
      <c r="AD34" s="1">
        <v>123.61931999999965</v>
      </c>
      <c r="AE34" s="1">
        <v>55.264159999997354</v>
      </c>
      <c r="AF34" s="1">
        <v>24</v>
      </c>
      <c r="AG34" s="1">
        <f t="shared" si="7"/>
        <v>600.04427999996176</v>
      </c>
      <c r="AH34" s="170">
        <v>9609344.0565274023</v>
      </c>
      <c r="AI34" s="36">
        <f t="shared" si="8"/>
        <v>661.70941031038444</v>
      </c>
      <c r="AJ34" s="107">
        <v>160.31999999999243</v>
      </c>
      <c r="AK34" s="170">
        <v>2885759.999999864</v>
      </c>
      <c r="AL34" s="32">
        <f t="shared" si="9"/>
        <v>198.71643024375871</v>
      </c>
      <c r="AM34" s="5"/>
    </row>
    <row r="35" spans="1:39" ht="15">
      <c r="A35" s="29"/>
      <c r="B35" s="48">
        <v>24</v>
      </c>
      <c r="C35" s="206">
        <v>61</v>
      </c>
      <c r="D35" s="207">
        <v>321</v>
      </c>
      <c r="E35" s="173">
        <v>16719.999999999345</v>
      </c>
      <c r="F35" s="170">
        <v>17318241.59999932</v>
      </c>
      <c r="G35" s="170">
        <v>4039.9999999999636</v>
      </c>
      <c r="H35" s="170">
        <v>6276826.7999999439</v>
      </c>
      <c r="I35" s="174">
        <f t="shared" si="0"/>
        <v>23595068.399999265</v>
      </c>
      <c r="J35" s="173">
        <v>860.00000000012733</v>
      </c>
      <c r="K35" s="170">
        <v>890770.80000013183</v>
      </c>
      <c r="L35" s="175">
        <v>60.000000000002274</v>
      </c>
      <c r="M35" s="175">
        <v>93220.200000003533</v>
      </c>
      <c r="N35" s="174">
        <f t="shared" si="1"/>
        <v>983991.00000013539</v>
      </c>
      <c r="O35" s="171">
        <f t="shared" si="2"/>
        <v>24579059.399999399</v>
      </c>
      <c r="P35" s="172">
        <f t="shared" si="3"/>
        <v>21679.99999999944</v>
      </c>
      <c r="Q35" s="138"/>
      <c r="R35" s="150"/>
      <c r="S35" s="158"/>
      <c r="T35" s="157"/>
      <c r="U35" s="156">
        <v>0</v>
      </c>
      <c r="V35" s="136">
        <f t="shared" si="4"/>
        <v>1113.3899999999999</v>
      </c>
      <c r="W35" s="1">
        <v>185.12</v>
      </c>
      <c r="X35" s="170">
        <v>3326698.96</v>
      </c>
      <c r="Y35" s="27">
        <v>928.27</v>
      </c>
      <c r="Z35" s="169">
        <v>3940673.2386000003</v>
      </c>
      <c r="AA35" s="169">
        <f t="shared" si="5"/>
        <v>7267372.1985999998</v>
      </c>
      <c r="AB35" s="98">
        <f t="shared" si="6"/>
        <v>500.4387962126429</v>
      </c>
      <c r="AC35" s="187">
        <v>435.18512000003278</v>
      </c>
      <c r="AD35" s="1">
        <v>142.7925999999996</v>
      </c>
      <c r="AE35" s="1">
        <v>50.59168000000161</v>
      </c>
      <c r="AF35" s="1">
        <v>24</v>
      </c>
      <c r="AG35" s="1">
        <f t="shared" si="7"/>
        <v>652.56940000003397</v>
      </c>
      <c r="AH35" s="170">
        <v>10444398.687299728</v>
      </c>
      <c r="AI35" s="36">
        <f t="shared" si="8"/>
        <v>719.21213932652029</v>
      </c>
      <c r="AJ35" s="107">
        <v>47.009999999994761</v>
      </c>
      <c r="AK35" s="170">
        <v>846179.9999999057</v>
      </c>
      <c r="AL35" s="32">
        <f t="shared" si="9"/>
        <v>58.2688334940026</v>
      </c>
      <c r="AM35" s="5"/>
    </row>
    <row r="36" spans="1:39" ht="15">
      <c r="A36" s="29"/>
      <c r="B36" s="48">
        <v>25</v>
      </c>
      <c r="C36" s="206">
        <v>53</v>
      </c>
      <c r="D36" s="207">
        <v>344</v>
      </c>
      <c r="E36" s="173">
        <v>15600.000000000364</v>
      </c>
      <c r="F36" s="170">
        <v>16158168.000000376</v>
      </c>
      <c r="G36" s="170">
        <v>3640.0000000001</v>
      </c>
      <c r="H36" s="170">
        <v>5655358.8000001553</v>
      </c>
      <c r="I36" s="174">
        <f t="shared" si="0"/>
        <v>21813526.800000533</v>
      </c>
      <c r="J36" s="173">
        <v>940.00000000005457</v>
      </c>
      <c r="K36" s="170">
        <v>973633.20000005653</v>
      </c>
      <c r="L36" s="175">
        <v>459.99999999997954</v>
      </c>
      <c r="M36" s="175">
        <v>714688.19999996829</v>
      </c>
      <c r="N36" s="174">
        <f t="shared" si="1"/>
        <v>1688321.4000000248</v>
      </c>
      <c r="O36" s="171">
        <f t="shared" si="2"/>
        <v>23501848.200000558</v>
      </c>
      <c r="P36" s="172">
        <f t="shared" si="3"/>
        <v>20640.000000000498</v>
      </c>
      <c r="Q36" s="138"/>
      <c r="R36" s="150"/>
      <c r="S36" s="158"/>
      <c r="T36" s="157"/>
      <c r="U36" s="156">
        <v>0</v>
      </c>
      <c r="V36" s="136">
        <f t="shared" si="4"/>
        <v>843.72</v>
      </c>
      <c r="W36" s="1">
        <v>87.22</v>
      </c>
      <c r="X36" s="170">
        <v>1567387.01</v>
      </c>
      <c r="Y36" s="27">
        <v>756.5</v>
      </c>
      <c r="Z36" s="169">
        <v>3211478.6700000004</v>
      </c>
      <c r="AA36" s="169">
        <f t="shared" si="5"/>
        <v>4778865.6800000006</v>
      </c>
      <c r="AB36" s="98">
        <f t="shared" si="6"/>
        <v>329.07765321581053</v>
      </c>
      <c r="AC36" s="187">
        <v>419.03283999999525</v>
      </c>
      <c r="AD36" s="1">
        <v>230.66831999999988</v>
      </c>
      <c r="AE36" s="1">
        <v>39.232719999999119</v>
      </c>
      <c r="AF36" s="1">
        <v>12</v>
      </c>
      <c r="AG36" s="1">
        <f t="shared" si="7"/>
        <v>700.93387999999413</v>
      </c>
      <c r="AH36" s="170">
        <v>11267296.585114308</v>
      </c>
      <c r="AI36" s="36">
        <f t="shared" si="8"/>
        <v>775.87774308733697</v>
      </c>
      <c r="AJ36" s="107">
        <v>56.220000000001164</v>
      </c>
      <c r="AK36" s="170">
        <v>1011960.000000021</v>
      </c>
      <c r="AL36" s="32">
        <f t="shared" si="9"/>
        <v>69.684616444017422</v>
      </c>
      <c r="AM36" s="5"/>
    </row>
    <row r="37" spans="1:39" ht="15">
      <c r="A37" s="29"/>
      <c r="B37" s="48">
        <v>26</v>
      </c>
      <c r="C37" s="206">
        <v>33</v>
      </c>
      <c r="D37" s="207">
        <v>354</v>
      </c>
      <c r="E37" s="173">
        <v>15720.000000001164</v>
      </c>
      <c r="F37" s="170">
        <v>16282461.600001205</v>
      </c>
      <c r="G37" s="170">
        <v>3480.0000000000182</v>
      </c>
      <c r="H37" s="170">
        <v>5406771.6000000285</v>
      </c>
      <c r="I37" s="174">
        <f t="shared" si="0"/>
        <v>21689233.200001232</v>
      </c>
      <c r="J37" s="173">
        <v>1559.9999999999454</v>
      </c>
      <c r="K37" s="170">
        <v>1615816.7999999435</v>
      </c>
      <c r="L37" s="175">
        <v>439.99999999999773</v>
      </c>
      <c r="M37" s="175">
        <v>683614.79999999655</v>
      </c>
      <c r="N37" s="174">
        <f t="shared" si="1"/>
        <v>2299431.59999994</v>
      </c>
      <c r="O37" s="171">
        <f t="shared" si="2"/>
        <v>23988664.800001174</v>
      </c>
      <c r="P37" s="172">
        <f t="shared" si="3"/>
        <v>21200.000000001124</v>
      </c>
      <c r="Q37" s="138"/>
      <c r="R37" s="150"/>
      <c r="S37" s="158"/>
      <c r="T37" s="157"/>
      <c r="U37" s="156">
        <v>0</v>
      </c>
      <c r="V37" s="136">
        <f t="shared" si="4"/>
        <v>1101.82</v>
      </c>
      <c r="W37" s="1">
        <v>110.36</v>
      </c>
      <c r="X37" s="170">
        <v>1983224.38</v>
      </c>
      <c r="Y37" s="27">
        <v>991.46</v>
      </c>
      <c r="Z37" s="169">
        <v>4208926.1628</v>
      </c>
      <c r="AA37" s="169">
        <f t="shared" si="5"/>
        <v>6192150.5427999999</v>
      </c>
      <c r="AB37" s="98">
        <f t="shared" si="6"/>
        <v>426.3979164577882</v>
      </c>
      <c r="AC37" s="187">
        <v>327.3555600000164</v>
      </c>
      <c r="AD37" s="1">
        <v>85.353319999999968</v>
      </c>
      <c r="AE37" s="1">
        <v>52.001479999999411</v>
      </c>
      <c r="AF37" s="1">
        <v>24</v>
      </c>
      <c r="AG37" s="1">
        <f t="shared" si="7"/>
        <v>488.71036000001578</v>
      </c>
      <c r="AH37" s="170">
        <v>7825593.3264298448</v>
      </c>
      <c r="AI37" s="36">
        <f t="shared" si="8"/>
        <v>538.87848274547889</v>
      </c>
      <c r="AJ37" s="107">
        <v>39.149999999994179</v>
      </c>
      <c r="AK37" s="170">
        <v>704699.99999989523</v>
      </c>
      <c r="AL37" s="32">
        <f t="shared" si="9"/>
        <v>48.526373777709352</v>
      </c>
      <c r="AM37" s="5"/>
    </row>
    <row r="38" spans="1:39" ht="15">
      <c r="A38" s="29"/>
      <c r="B38" s="48">
        <v>27</v>
      </c>
      <c r="C38" s="206">
        <v>33</v>
      </c>
      <c r="D38" s="207">
        <v>247</v>
      </c>
      <c r="E38" s="173">
        <v>15439.99999999869</v>
      </c>
      <c r="F38" s="170">
        <v>15992443.199998643</v>
      </c>
      <c r="G38" s="170">
        <v>3439.9999999998272</v>
      </c>
      <c r="H38" s="170">
        <v>5344624.7999997316</v>
      </c>
      <c r="I38" s="174">
        <f t="shared" si="0"/>
        <v>21337067.999998376</v>
      </c>
      <c r="J38" s="173">
        <v>1420.0000000000728</v>
      </c>
      <c r="K38" s="170">
        <v>1470807.6000000753</v>
      </c>
      <c r="L38" s="175">
        <v>400.00000000003411</v>
      </c>
      <c r="M38" s="175">
        <v>621468.00000005297</v>
      </c>
      <c r="N38" s="174">
        <f t="shared" si="1"/>
        <v>2092275.6000001281</v>
      </c>
      <c r="O38" s="171">
        <f t="shared" si="2"/>
        <v>23429343.599998504</v>
      </c>
      <c r="P38" s="172">
        <f t="shared" si="3"/>
        <v>20699.999999998621</v>
      </c>
      <c r="Q38" s="138"/>
      <c r="R38" s="150"/>
      <c r="S38" s="158"/>
      <c r="T38" s="157"/>
      <c r="U38" s="156">
        <v>0</v>
      </c>
      <c r="V38" s="136">
        <f t="shared" si="4"/>
        <v>909.58</v>
      </c>
      <c r="W38" s="1">
        <v>124.60000000000001</v>
      </c>
      <c r="X38" s="170">
        <v>2239124.3000000003</v>
      </c>
      <c r="Y38" s="27">
        <v>784.98</v>
      </c>
      <c r="Z38" s="169">
        <v>3332381.3964000004</v>
      </c>
      <c r="AA38" s="169">
        <f t="shared" si="5"/>
        <v>5571505.6964000007</v>
      </c>
      <c r="AB38" s="98">
        <f t="shared" si="6"/>
        <v>383.6596678418951</v>
      </c>
      <c r="AC38" s="187">
        <v>318.41339999995307</v>
      </c>
      <c r="AD38" s="1">
        <v>117.41620000000047</v>
      </c>
      <c r="AE38" s="1">
        <v>53.975200000002189</v>
      </c>
      <c r="AF38" s="1">
        <v>12</v>
      </c>
      <c r="AG38" s="1">
        <f t="shared" si="7"/>
        <v>501.80479999995572</v>
      </c>
      <c r="AH38" s="170">
        <v>8046068.2172433157</v>
      </c>
      <c r="AI38" s="36">
        <f t="shared" si="8"/>
        <v>554.06061267341386</v>
      </c>
      <c r="AJ38" s="107">
        <v>54.05000000000291</v>
      </c>
      <c r="AK38" s="170">
        <v>972900.00000005239</v>
      </c>
      <c r="AL38" s="32">
        <f t="shared" si="9"/>
        <v>66.994904283160196</v>
      </c>
      <c r="AM38" s="5"/>
    </row>
    <row r="39" spans="1:39" ht="15">
      <c r="A39" s="29"/>
      <c r="B39" s="48">
        <v>28</v>
      </c>
      <c r="C39" s="206">
        <v>38</v>
      </c>
      <c r="D39" s="207">
        <v>160</v>
      </c>
      <c r="E39" s="173">
        <v>14720.000000001164</v>
      </c>
      <c r="F39" s="170">
        <v>15246681.600001205</v>
      </c>
      <c r="G39" s="170">
        <v>3360.0000000001273</v>
      </c>
      <c r="H39" s="170">
        <v>5220331.2000001976</v>
      </c>
      <c r="I39" s="174">
        <f t="shared" si="0"/>
        <v>20467012.800001401</v>
      </c>
      <c r="J39" s="173">
        <v>1459.999999999809</v>
      </c>
      <c r="K39" s="170">
        <v>1512238.7999998021</v>
      </c>
      <c r="L39" s="175">
        <v>399.99999999997726</v>
      </c>
      <c r="M39" s="175">
        <v>621467.99999996473</v>
      </c>
      <c r="N39" s="174">
        <f t="shared" si="1"/>
        <v>2133706.799999767</v>
      </c>
      <c r="O39" s="171">
        <f t="shared" si="2"/>
        <v>22600719.600001168</v>
      </c>
      <c r="P39" s="172">
        <f t="shared" si="3"/>
        <v>19940.000000001077</v>
      </c>
      <c r="Q39" s="138"/>
      <c r="R39" s="153"/>
      <c r="S39" s="158"/>
      <c r="T39" s="157"/>
      <c r="U39" s="156">
        <v>0</v>
      </c>
      <c r="V39" s="136">
        <f t="shared" si="4"/>
        <v>906.0200000000001</v>
      </c>
      <c r="W39" s="1">
        <v>116.59</v>
      </c>
      <c r="X39" s="170">
        <v>2095180.595</v>
      </c>
      <c r="Y39" s="27">
        <v>789.43000000000006</v>
      </c>
      <c r="Z39" s="169">
        <v>3351272.4474000004</v>
      </c>
      <c r="AA39" s="169">
        <f t="shared" si="5"/>
        <v>5446453.0424000006</v>
      </c>
      <c r="AB39" s="98">
        <f t="shared" si="6"/>
        <v>375.04841222972044</v>
      </c>
      <c r="AC39" s="187">
        <v>404.29036000003981</v>
      </c>
      <c r="AD39" s="1">
        <v>116.57032000000042</v>
      </c>
      <c r="AE39" s="1">
        <v>49.866640000000437</v>
      </c>
      <c r="AF39" s="1">
        <v>12</v>
      </c>
      <c r="AG39" s="1">
        <f t="shared" si="7"/>
        <v>582.72732000004066</v>
      </c>
      <c r="AH39" s="170">
        <v>9297834.4353982359</v>
      </c>
      <c r="AI39" s="36">
        <f t="shared" si="8"/>
        <v>640.25853432022006</v>
      </c>
      <c r="AJ39" s="107">
        <v>57.620000000009895</v>
      </c>
      <c r="AK39" s="170">
        <v>1037160.0000001781</v>
      </c>
      <c r="AL39" s="32">
        <f t="shared" si="9"/>
        <v>71.419914612324618</v>
      </c>
      <c r="AM39" s="5"/>
    </row>
    <row r="40" spans="1:39" ht="15">
      <c r="A40" s="29"/>
      <c r="B40" s="48">
        <v>29</v>
      </c>
      <c r="C40" s="206">
        <v>57</v>
      </c>
      <c r="D40" s="207">
        <v>238</v>
      </c>
      <c r="E40" s="173">
        <v>13920.000000000073</v>
      </c>
      <c r="F40" s="170">
        <v>14418057.600000074</v>
      </c>
      <c r="G40" s="170">
        <v>3480.0000000000182</v>
      </c>
      <c r="H40" s="170">
        <v>5406771.6000000285</v>
      </c>
      <c r="I40" s="174">
        <f t="shared" si="0"/>
        <v>19824829.200000104</v>
      </c>
      <c r="J40" s="173">
        <v>1200.0000000000455</v>
      </c>
      <c r="K40" s="170">
        <v>1242936.000000047</v>
      </c>
      <c r="L40" s="175">
        <v>379.99999999999545</v>
      </c>
      <c r="M40" s="175">
        <v>590394.59999999299</v>
      </c>
      <c r="N40" s="174">
        <f t="shared" si="1"/>
        <v>1833330.6000000401</v>
      </c>
      <c r="O40" s="171">
        <f t="shared" si="2"/>
        <v>21658159.800000142</v>
      </c>
      <c r="P40" s="172">
        <f t="shared" si="3"/>
        <v>18980.000000000135</v>
      </c>
      <c r="Q40" s="139"/>
      <c r="R40" s="154"/>
      <c r="S40" s="158"/>
      <c r="T40" s="157"/>
      <c r="U40" s="156">
        <v>0</v>
      </c>
      <c r="V40" s="136">
        <f t="shared" si="4"/>
        <v>982.56</v>
      </c>
      <c r="W40" s="1">
        <v>160.19999999999999</v>
      </c>
      <c r="X40" s="170">
        <v>2878874.0999999996</v>
      </c>
      <c r="Y40" s="27">
        <v>822.36</v>
      </c>
      <c r="Z40" s="169">
        <v>3491066.2248000004</v>
      </c>
      <c r="AA40" s="169">
        <f t="shared" si="5"/>
        <v>6369940.3247999996</v>
      </c>
      <c r="AB40" s="98">
        <f t="shared" si="6"/>
        <v>438.64070546756642</v>
      </c>
      <c r="AC40" s="187">
        <v>109.9241199999742</v>
      </c>
      <c r="AD40" s="1">
        <v>108.07123999999969</v>
      </c>
      <c r="AE40" s="1">
        <v>46.040039999997504</v>
      </c>
      <c r="AF40" s="1">
        <v>24</v>
      </c>
      <c r="AG40" s="1">
        <f t="shared" si="7"/>
        <v>288.03539999997139</v>
      </c>
      <c r="AH40" s="170">
        <v>4727104.6490387516</v>
      </c>
      <c r="AI40" s="36">
        <f t="shared" si="8"/>
        <v>325.51333487389832</v>
      </c>
      <c r="AJ40" s="107">
        <v>419.92999999999302</v>
      </c>
      <c r="AK40" s="170">
        <v>7558739.9999998743</v>
      </c>
      <c r="AL40" s="32">
        <f t="shared" si="9"/>
        <v>520.50268558048992</v>
      </c>
      <c r="AM40" s="5"/>
    </row>
    <row r="41" spans="1:39" ht="17.25" customHeight="1">
      <c r="A41" s="29"/>
      <c r="B41" s="201">
        <v>30</v>
      </c>
      <c r="C41" s="206">
        <v>60</v>
      </c>
      <c r="D41" s="207">
        <v>295</v>
      </c>
      <c r="E41" s="202">
        <v>22719.999999999345</v>
      </c>
      <c r="F41" s="170">
        <v>23532921.59999932</v>
      </c>
      <c r="G41" s="170">
        <v>3680.0000000000637</v>
      </c>
      <c r="H41" s="170">
        <v>5717505.6000000993</v>
      </c>
      <c r="I41" s="174">
        <f t="shared" si="0"/>
        <v>29250427.199999418</v>
      </c>
      <c r="J41" s="173">
        <v>2019.9999999999818</v>
      </c>
      <c r="K41" s="170">
        <v>2092275.599999981</v>
      </c>
      <c r="L41" s="175">
        <v>439.99999999999773</v>
      </c>
      <c r="M41" s="175">
        <v>683614.79999999655</v>
      </c>
      <c r="N41" s="174">
        <f t="shared" si="1"/>
        <v>2775890.3999999776</v>
      </c>
      <c r="O41" s="171">
        <f t="shared" si="2"/>
        <v>32026317.599999394</v>
      </c>
      <c r="P41" s="172">
        <f t="shared" si="3"/>
        <v>28859.999999999389</v>
      </c>
      <c r="Q41" s="138"/>
      <c r="R41" s="155"/>
      <c r="S41" s="158"/>
      <c r="T41" s="157"/>
      <c r="U41" s="156">
        <v>0</v>
      </c>
      <c r="V41" s="136">
        <f t="shared" si="4"/>
        <v>1176.58</v>
      </c>
      <c r="W41" s="1">
        <v>188.68</v>
      </c>
      <c r="X41" s="170">
        <v>3390673.94</v>
      </c>
      <c r="Y41" s="27">
        <v>987.9</v>
      </c>
      <c r="Z41" s="169">
        <v>4193813.3220000002</v>
      </c>
      <c r="AA41" s="169">
        <f t="shared" si="5"/>
        <v>7584487.2620000001</v>
      </c>
      <c r="AB41" s="98">
        <f t="shared" si="6"/>
        <v>522.27566877840513</v>
      </c>
      <c r="AC41" s="187">
        <v>5.075279999978898</v>
      </c>
      <c r="AD41" s="1">
        <v>116.3689199999997</v>
      </c>
      <c r="AE41" s="1">
        <v>50.068040000001169</v>
      </c>
      <c r="AF41" s="1"/>
      <c r="AG41" s="1">
        <f t="shared" si="7"/>
        <v>171.51223999997978</v>
      </c>
      <c r="AH41" s="170">
        <v>2878373.3197644865</v>
      </c>
      <c r="AI41" s="36">
        <f t="shared" si="8"/>
        <v>198.20777577224118</v>
      </c>
      <c r="AJ41" s="107">
        <v>622.93999999998778</v>
      </c>
      <c r="AK41" s="170">
        <v>11212919.99999978</v>
      </c>
      <c r="AL41" s="32">
        <f t="shared" si="9"/>
        <v>772.13331497037461</v>
      </c>
      <c r="AM41" s="5"/>
    </row>
    <row r="42" spans="1:39" s="6" customFormat="1" ht="13.5" customHeight="1">
      <c r="B42" s="91"/>
      <c r="C42" s="92"/>
      <c r="D42" s="92"/>
      <c r="E42" s="176"/>
      <c r="F42" s="177"/>
      <c r="G42" s="178"/>
      <c r="H42" s="177"/>
      <c r="I42" s="178"/>
      <c r="J42" s="178"/>
      <c r="K42" s="178"/>
      <c r="L42" s="177"/>
      <c r="M42" s="179"/>
      <c r="N42" s="179"/>
      <c r="P42" s="56"/>
      <c r="R42" s="75"/>
      <c r="S42" s="5"/>
      <c r="U42" s="28"/>
      <c r="V42" s="252">
        <f>SUM(V12:V41)</f>
        <v>30960.430000000008</v>
      </c>
      <c r="W42" s="6">
        <v>140.62</v>
      </c>
      <c r="X42" s="6">
        <v>2527011.71</v>
      </c>
      <c r="Y42" s="6">
        <v>916.7</v>
      </c>
      <c r="Z42" s="6">
        <v>3891556.5060000005</v>
      </c>
      <c r="AB42" s="28"/>
      <c r="AD42" s="5"/>
      <c r="AJ42" s="75"/>
      <c r="AL42" s="28"/>
    </row>
    <row r="43" spans="1:39" s="6" customFormat="1" ht="22.5" customHeight="1">
      <c r="B43" s="91"/>
      <c r="C43" s="92"/>
      <c r="D43" s="92"/>
      <c r="E43" s="90"/>
      <c r="F43" s="5"/>
      <c r="H43" s="5"/>
      <c r="L43" s="5"/>
      <c r="M43" s="52"/>
      <c r="N43" s="56"/>
      <c r="P43" s="56"/>
      <c r="R43" s="75"/>
      <c r="S43" s="13"/>
      <c r="T43" s="13"/>
      <c r="U43" s="28"/>
      <c r="V43" s="99"/>
      <c r="W43" s="21">
        <f>SUM(W12:W41)</f>
        <v>4045.0499999999988</v>
      </c>
      <c r="Y43" s="21">
        <f>SUM(Y12:Y41)</f>
        <v>26915.380000000005</v>
      </c>
      <c r="AB43" s="100"/>
      <c r="AD43" s="5"/>
      <c r="AH43" s="5"/>
      <c r="AJ43" s="77"/>
      <c r="AK43" s="3"/>
      <c r="AL43" s="33"/>
    </row>
    <row r="44" spans="1:39" s="6" customFormat="1" ht="16.5" thickBot="1">
      <c r="B44" s="93"/>
      <c r="C44" s="94"/>
      <c r="D44" s="94"/>
      <c r="E44" s="95"/>
      <c r="F44" s="62"/>
      <c r="G44" s="61"/>
      <c r="H44" s="62"/>
      <c r="I44" s="61"/>
      <c r="J44" s="61"/>
      <c r="K44" s="61"/>
      <c r="L44" s="62"/>
      <c r="M44" s="63"/>
      <c r="N44" s="64"/>
      <c r="O44" s="61"/>
      <c r="P44" s="64"/>
      <c r="Q44" s="61"/>
      <c r="R44" s="76"/>
      <c r="S44" s="65"/>
      <c r="T44" s="61"/>
      <c r="U44" s="137"/>
      <c r="V44" s="101"/>
      <c r="W44" s="67"/>
      <c r="X44" s="61"/>
      <c r="Y44" s="61"/>
      <c r="Z44" s="61"/>
      <c r="AA44" s="61"/>
      <c r="AB44" s="66"/>
      <c r="AC44" s="68"/>
      <c r="AD44" s="62"/>
      <c r="AE44" s="68"/>
      <c r="AF44" s="68"/>
      <c r="AG44" s="68"/>
      <c r="AH44" s="62"/>
      <c r="AI44" s="61"/>
      <c r="AJ44" s="108"/>
      <c r="AK44" s="69"/>
      <c r="AL44" s="70"/>
    </row>
    <row r="45" spans="1:39" ht="17.25" thickTop="1" thickBot="1">
      <c r="A45" s="21"/>
      <c r="B45" s="59"/>
      <c r="C45" s="60">
        <f>SUM(C12:C41)</f>
        <v>2049</v>
      </c>
      <c r="D45" s="60">
        <f>SUM(D12:D41)</f>
        <v>11739</v>
      </c>
      <c r="E45" s="180">
        <f>SUM(E12:E41)</f>
        <v>484280.00000000058</v>
      </c>
      <c r="F45" s="180">
        <f>SUM(F12:F41)</f>
        <v>501607538.40000069</v>
      </c>
      <c r="G45" s="180">
        <f>SUM(G12:G41)</f>
        <v>114520.0000000002</v>
      </c>
      <c r="H45" s="180">
        <f>SUM(H12:H41)</f>
        <v>177926288.40000036</v>
      </c>
      <c r="I45" s="180">
        <f>SUM(I12:I41)</f>
        <v>679533826.80000091</v>
      </c>
      <c r="J45" s="180">
        <f>SUM(J12:J41)</f>
        <v>44679.999999999956</v>
      </c>
      <c r="K45" s="180">
        <f>SUM(K12:K41)</f>
        <v>46278650.399999946</v>
      </c>
      <c r="L45" s="180">
        <f>SUM(L12:L41)</f>
        <v>13399.99999999998</v>
      </c>
      <c r="M45" s="180">
        <f>SUM(M12:M41)</f>
        <v>20819177.99999997</v>
      </c>
      <c r="N45" s="180">
        <f>SUM(N12:N41)</f>
        <v>67097828.399999909</v>
      </c>
      <c r="O45" s="192">
        <f>SUM(O12:O41)</f>
        <v>746631655.20000088</v>
      </c>
      <c r="P45" s="181">
        <f>SUM(P12:P41)</f>
        <v>656880.00000000081</v>
      </c>
      <c r="Q45" s="182"/>
      <c r="R45" s="183"/>
      <c r="S45" s="184"/>
      <c r="T45" s="184"/>
      <c r="U45" s="185"/>
      <c r="V45" s="193">
        <f>SUM(V12:V41)</f>
        <v>30960.430000000008</v>
      </c>
      <c r="W45" s="186">
        <f>SUM(W12:W41)</f>
        <v>4045.0499999999988</v>
      </c>
      <c r="X45" s="186">
        <f>SUM(X12:X41)</f>
        <v>72886478.799999982</v>
      </c>
      <c r="Y45" s="186">
        <f>SUM(Y12:Y41)</f>
        <v>26915.380000000005</v>
      </c>
      <c r="Z45" s="186">
        <f>SUM(Z12:Z41)</f>
        <v>114260632.86839999</v>
      </c>
      <c r="AA45" s="193">
        <f>SUM(AA12:AA41)</f>
        <v>187147111.66840002</v>
      </c>
      <c r="AB45" s="186">
        <f>SUM(AB12:AB41)</f>
        <v>12887.144447624296</v>
      </c>
      <c r="AC45" s="189">
        <f>SUM(AC12:AC41)</f>
        <v>9839.8803599999774</v>
      </c>
      <c r="AD45" s="190">
        <f>SUM(AD12:AD41)</f>
        <v>4104.7127200000004</v>
      </c>
      <c r="AE45" s="189">
        <f>SUM(AE12:AE41)</f>
        <v>1744.5670799999984</v>
      </c>
      <c r="AF45" s="189">
        <f>SUM(AF12:AF41)</f>
        <v>408</v>
      </c>
      <c r="AG45" s="195">
        <f>SUM(AG12:AG41)</f>
        <v>16097.160159999976</v>
      </c>
      <c r="AH45" s="196">
        <f>SUM(AH12:AH41)</f>
        <v>258604160.63359728</v>
      </c>
      <c r="AI45" s="194">
        <f>AH45/$AL$46</f>
        <v>19929.282290242845</v>
      </c>
      <c r="AJ45" s="198">
        <f>SUM(AJ12:AJ41)</f>
        <v>3985.7199999999866</v>
      </c>
      <c r="AK45" s="197">
        <f>SUM(AK12:AK41)</f>
        <v>71742959.999999762</v>
      </c>
      <c r="AL45" s="191">
        <f>AK45/AL46</f>
        <v>5528.85807666252</v>
      </c>
      <c r="AM45" s="21"/>
    </row>
    <row r="46" spans="1:39">
      <c r="A46" s="21"/>
      <c r="B46" s="21"/>
      <c r="C46" s="3"/>
      <c r="D46" s="9"/>
      <c r="E46" s="3"/>
      <c r="F46" s="3"/>
      <c r="G46" s="9"/>
      <c r="H46" s="3"/>
      <c r="I46" s="7"/>
      <c r="J46" s="7"/>
      <c r="K46" s="7"/>
      <c r="L46" s="14"/>
      <c r="M46" s="53"/>
      <c r="N46" s="57"/>
      <c r="O46" s="8"/>
      <c r="P46" s="57"/>
      <c r="Q46" s="8"/>
      <c r="R46" s="89"/>
      <c r="S46" s="12"/>
      <c r="T46" s="71" t="s">
        <v>53</v>
      </c>
      <c r="U46" s="110" t="e">
        <f>U45/S45</f>
        <v>#DIV/0!</v>
      </c>
      <c r="V46" s="140" t="s">
        <v>54</v>
      </c>
      <c r="W46" s="9"/>
      <c r="X46" s="9"/>
      <c r="Y46" s="104"/>
      <c r="Z46" s="9"/>
      <c r="AA46" s="9"/>
      <c r="AB46" s="9"/>
      <c r="AC46" s="13"/>
      <c r="AD46" s="5"/>
      <c r="AE46" s="13"/>
      <c r="AF46" s="13"/>
      <c r="AG46" s="5"/>
      <c r="AH46" s="161"/>
      <c r="AI46" s="9"/>
      <c r="AJ46" s="77"/>
      <c r="AK46" s="9"/>
      <c r="AL46" s="109">
        <v>12976.09</v>
      </c>
      <c r="AM46" s="21"/>
    </row>
    <row r="47" spans="1:39">
      <c r="A47" s="21"/>
      <c r="B47" s="21"/>
      <c r="C47" s="3"/>
      <c r="D47" s="9"/>
      <c r="E47" s="3"/>
      <c r="F47" s="3"/>
      <c r="G47" s="9"/>
      <c r="H47" s="3"/>
      <c r="I47" s="7"/>
      <c r="J47" s="7"/>
      <c r="K47" s="7"/>
      <c r="L47" s="14"/>
      <c r="M47" s="53"/>
      <c r="N47" s="57"/>
      <c r="O47" s="8"/>
      <c r="P47" s="57">
        <f>O45/P45</f>
        <v>1136.6332590427476</v>
      </c>
      <c r="Q47" s="8"/>
      <c r="R47" s="89"/>
      <c r="S47" s="12"/>
      <c r="T47" s="162"/>
      <c r="U47" s="110"/>
      <c r="V47" s="140"/>
      <c r="W47" s="160"/>
      <c r="X47" s="160"/>
      <c r="Y47" s="104"/>
      <c r="Z47" s="160"/>
      <c r="AA47" s="200">
        <f>AA45/V45</f>
        <v>6044.7193940265033</v>
      </c>
      <c r="AB47" s="9"/>
      <c r="AC47" s="13"/>
      <c r="AD47" s="5"/>
      <c r="AE47" s="13"/>
      <c r="AF47" s="13"/>
      <c r="AG47" s="5"/>
      <c r="AH47" s="7">
        <f>AH45/AG45</f>
        <v>16065.203928094461</v>
      </c>
      <c r="AI47" s="9"/>
      <c r="AJ47" s="77"/>
      <c r="AK47" s="200">
        <f>AK45/AJ45</f>
        <v>18000</v>
      </c>
      <c r="AL47" s="109"/>
      <c r="AM47" s="21"/>
    </row>
    <row r="48" spans="1:39">
      <c r="A48" s="21"/>
      <c r="B48" s="21"/>
      <c r="C48" s="3"/>
      <c r="D48" s="9"/>
      <c r="E48" s="3"/>
      <c r="F48" s="3"/>
      <c r="G48" s="9"/>
      <c r="H48" s="3"/>
      <c r="I48" s="7"/>
      <c r="J48" s="7"/>
      <c r="K48" s="7"/>
      <c r="L48" s="14"/>
      <c r="M48" s="53"/>
      <c r="N48" s="57"/>
      <c r="O48" s="8"/>
      <c r="P48" s="57"/>
      <c r="Q48" s="8"/>
      <c r="R48" s="89"/>
      <c r="S48" s="12"/>
      <c r="T48" s="71"/>
      <c r="U48" s="110"/>
      <c r="V48" s="140"/>
      <c r="W48" s="9"/>
      <c r="X48" s="9"/>
      <c r="Y48" s="104">
        <v>30960</v>
      </c>
      <c r="Z48" s="131">
        <f>Y43/Y48</f>
        <v>0.86935981912144722</v>
      </c>
      <c r="AA48" s="9"/>
      <c r="AB48" s="9"/>
      <c r="AC48" s="13"/>
      <c r="AD48" s="5"/>
      <c r="AE48" s="13"/>
      <c r="AF48" s="13"/>
      <c r="AG48" s="166"/>
      <c r="AH48" s="161"/>
      <c r="AI48" s="9"/>
      <c r="AJ48" s="77"/>
      <c r="AK48" s="9"/>
      <c r="AL48" s="109"/>
      <c r="AM48" s="21"/>
    </row>
    <row r="49" spans="1:39" s="143" customFormat="1">
      <c r="A49" s="141"/>
      <c r="B49" s="141"/>
      <c r="C49" s="142"/>
      <c r="E49" s="142"/>
      <c r="F49" s="142"/>
      <c r="H49" s="142"/>
      <c r="L49" s="142"/>
      <c r="M49" s="144"/>
      <c r="N49" s="145"/>
      <c r="P49" s="145"/>
      <c r="R49" s="146"/>
      <c r="T49" s="159"/>
      <c r="Y49" s="165">
        <f>4045/Y48</f>
        <v>0.13065245478036175</v>
      </c>
      <c r="AD49" s="142"/>
      <c r="AG49" s="159"/>
      <c r="AH49" s="142"/>
      <c r="AJ49" s="146"/>
      <c r="AL49" s="147"/>
      <c r="AM49" s="141"/>
    </row>
    <row r="50" spans="1:39" s="143" customFormat="1">
      <c r="A50" s="141"/>
      <c r="B50" s="141"/>
      <c r="C50" s="142"/>
      <c r="E50" s="142"/>
      <c r="F50" s="142"/>
      <c r="H50" s="142"/>
      <c r="L50" s="142"/>
      <c r="M50" s="144"/>
      <c r="N50" s="145"/>
      <c r="P50" s="145"/>
      <c r="R50" s="146"/>
      <c r="S50" s="159"/>
      <c r="T50" s="159"/>
      <c r="Z50" s="159"/>
      <c r="AD50" s="142"/>
      <c r="AH50" s="142"/>
      <c r="AJ50" s="146"/>
      <c r="AL50" s="147"/>
      <c r="AM50" s="141"/>
    </row>
    <row r="51" spans="1:39" s="143" customFormat="1">
      <c r="A51" s="141"/>
      <c r="B51" s="141"/>
      <c r="C51" s="142"/>
      <c r="E51" s="142"/>
      <c r="F51" s="142"/>
      <c r="H51" s="142"/>
      <c r="L51" s="142"/>
      <c r="M51" s="144"/>
      <c r="N51" s="145"/>
      <c r="P51" s="145"/>
      <c r="R51" s="146"/>
      <c r="X51" s="159"/>
      <c r="AD51" s="142"/>
      <c r="AH51" s="142"/>
      <c r="AJ51" s="146"/>
      <c r="AL51" s="147"/>
      <c r="AM51" s="141"/>
    </row>
    <row r="52" spans="1:39" s="143" customFormat="1">
      <c r="A52" s="141"/>
      <c r="B52" s="141"/>
      <c r="C52" s="142"/>
      <c r="E52" s="142"/>
      <c r="F52" s="142"/>
      <c r="H52" s="142"/>
      <c r="L52" s="142"/>
      <c r="M52" s="144"/>
      <c r="N52" s="145"/>
      <c r="P52" s="145"/>
      <c r="R52" s="146"/>
      <c r="S52" s="159"/>
      <c r="AD52" s="142"/>
      <c r="AH52" s="142"/>
      <c r="AJ52" s="146"/>
      <c r="AL52" s="147"/>
      <c r="AM52" s="141"/>
    </row>
    <row r="53" spans="1:39" s="143" customFormat="1">
      <c r="A53" s="141"/>
      <c r="B53" s="141"/>
      <c r="C53" s="142"/>
      <c r="E53" s="142"/>
      <c r="F53" s="142"/>
      <c r="H53" s="142"/>
      <c r="L53" s="142"/>
      <c r="M53" s="144"/>
      <c r="N53" s="145"/>
      <c r="P53" s="145"/>
      <c r="R53" s="146"/>
      <c r="T53" s="159"/>
      <c r="AD53" s="142"/>
      <c r="AH53" s="142"/>
      <c r="AJ53" s="146"/>
      <c r="AL53" s="147"/>
      <c r="AM53" s="141"/>
    </row>
    <row r="54" spans="1:39" s="143" customFormat="1">
      <c r="A54" s="141"/>
      <c r="B54" s="141"/>
      <c r="C54" s="142"/>
      <c r="E54" s="142"/>
      <c r="F54" s="142"/>
      <c r="H54" s="142"/>
      <c r="L54" s="142"/>
      <c r="M54" s="144"/>
      <c r="N54" s="145"/>
      <c r="P54" s="145"/>
      <c r="R54" s="146"/>
      <c r="AD54" s="142"/>
      <c r="AH54" s="142"/>
      <c r="AJ54" s="146"/>
      <c r="AL54" s="147"/>
      <c r="AM54" s="141"/>
    </row>
    <row r="55" spans="1:39" s="143" customFormat="1">
      <c r="A55" s="141"/>
      <c r="B55" s="141"/>
      <c r="C55" s="142"/>
      <c r="E55" s="142"/>
      <c r="F55" s="142"/>
      <c r="H55" s="142"/>
      <c r="L55" s="142"/>
      <c r="M55" s="144"/>
      <c r="N55" s="145"/>
      <c r="P55" s="145"/>
      <c r="R55" s="146"/>
      <c r="AD55" s="142"/>
      <c r="AH55" s="142"/>
      <c r="AJ55" s="146"/>
      <c r="AL55" s="147"/>
      <c r="AM55" s="141"/>
    </row>
    <row r="56" spans="1:39" s="143" customFormat="1">
      <c r="A56" s="141"/>
      <c r="B56" s="141"/>
      <c r="C56" s="142"/>
      <c r="E56" s="142"/>
      <c r="F56" s="142"/>
      <c r="H56" s="142"/>
      <c r="L56" s="142"/>
      <c r="M56" s="144"/>
      <c r="N56" s="145"/>
      <c r="P56" s="145"/>
      <c r="R56" s="146"/>
      <c r="AD56" s="142"/>
      <c r="AH56" s="142"/>
      <c r="AJ56" s="146"/>
      <c r="AL56" s="147"/>
      <c r="AM56" s="141"/>
    </row>
    <row r="57" spans="1:39" s="143" customFormat="1">
      <c r="A57" s="141"/>
      <c r="B57" s="141"/>
      <c r="C57" s="142"/>
      <c r="E57" s="142"/>
      <c r="F57" s="142"/>
      <c r="H57" s="142"/>
      <c r="L57" s="142"/>
      <c r="M57" s="144"/>
      <c r="N57" s="145"/>
      <c r="P57" s="145"/>
      <c r="R57" s="146"/>
      <c r="AD57" s="142"/>
      <c r="AH57" s="142"/>
      <c r="AJ57" s="146"/>
      <c r="AL57" s="147"/>
      <c r="AM57" s="141"/>
    </row>
    <row r="58" spans="1:39" s="143" customFormat="1">
      <c r="A58" s="141"/>
      <c r="B58" s="141"/>
      <c r="C58" s="142"/>
      <c r="E58" s="142"/>
      <c r="F58" s="142"/>
      <c r="H58" s="142"/>
      <c r="L58" s="142"/>
      <c r="M58" s="144"/>
      <c r="N58" s="145"/>
      <c r="P58" s="145"/>
      <c r="R58" s="146"/>
      <c r="AD58" s="142"/>
      <c r="AH58" s="142"/>
      <c r="AJ58" s="146"/>
      <c r="AL58" s="147"/>
      <c r="AM58" s="141"/>
    </row>
    <row r="59" spans="1:39" s="143" customFormat="1">
      <c r="A59" s="141"/>
      <c r="B59" s="141"/>
      <c r="C59" s="142"/>
      <c r="E59" s="142"/>
      <c r="F59" s="142"/>
      <c r="H59" s="142"/>
      <c r="L59" s="142"/>
      <c r="M59" s="144"/>
      <c r="N59" s="145"/>
      <c r="P59" s="145"/>
      <c r="R59" s="146"/>
      <c r="AD59" s="142"/>
      <c r="AH59" s="142"/>
      <c r="AJ59" s="146"/>
      <c r="AL59" s="147"/>
      <c r="AM59" s="141"/>
    </row>
    <row r="60" spans="1:39" s="143" customFormat="1">
      <c r="A60" s="141"/>
      <c r="B60" s="141"/>
      <c r="C60" s="142"/>
      <c r="E60" s="142"/>
      <c r="F60" s="142"/>
      <c r="H60" s="142"/>
      <c r="L60" s="142"/>
      <c r="M60" s="144"/>
      <c r="N60" s="145"/>
      <c r="P60" s="145"/>
      <c r="R60" s="146"/>
      <c r="AD60" s="142"/>
      <c r="AH60" s="142"/>
      <c r="AJ60" s="146"/>
      <c r="AL60" s="147"/>
      <c r="AM60" s="141"/>
    </row>
    <row r="61" spans="1:39" s="143" customFormat="1">
      <c r="A61" s="141"/>
      <c r="B61" s="141"/>
      <c r="C61" s="142"/>
      <c r="E61" s="142"/>
      <c r="F61" s="142"/>
      <c r="H61" s="142"/>
      <c r="I61" s="142"/>
      <c r="J61" s="142"/>
      <c r="L61" s="142"/>
      <c r="M61" s="144"/>
      <c r="N61" s="145"/>
      <c r="P61" s="145"/>
      <c r="R61" s="146"/>
      <c r="AD61" s="142"/>
      <c r="AH61" s="142"/>
      <c r="AJ61" s="146"/>
      <c r="AL61" s="147"/>
      <c r="AM61" s="141"/>
    </row>
    <row r="62" spans="1:39" s="143" customFormat="1">
      <c r="A62" s="141"/>
      <c r="B62" s="141"/>
      <c r="C62" s="142"/>
      <c r="E62" s="142"/>
      <c r="F62" s="142"/>
      <c r="H62" s="142"/>
      <c r="L62" s="142"/>
      <c r="M62" s="144"/>
      <c r="N62" s="145"/>
      <c r="P62" s="145"/>
      <c r="R62" s="146"/>
      <c r="AD62" s="142"/>
      <c r="AH62" s="142"/>
      <c r="AJ62" s="146"/>
      <c r="AL62" s="147"/>
      <c r="AM62" s="141"/>
    </row>
    <row r="63" spans="1:39" s="143" customFormat="1">
      <c r="A63" s="141"/>
      <c r="B63" s="141"/>
      <c r="C63" s="142"/>
      <c r="E63" s="142"/>
      <c r="F63" s="142"/>
      <c r="H63" s="142"/>
      <c r="L63" s="142"/>
      <c r="M63" s="144"/>
      <c r="N63" s="145"/>
      <c r="P63" s="145"/>
      <c r="R63" s="146"/>
      <c r="AD63" s="142"/>
      <c r="AH63" s="142"/>
      <c r="AJ63" s="146"/>
      <c r="AL63" s="147"/>
      <c r="AM63" s="141"/>
    </row>
    <row r="64" spans="1:39" s="143" customFormat="1">
      <c r="A64" s="141"/>
      <c r="B64" s="141"/>
      <c r="C64" s="142"/>
      <c r="E64" s="142"/>
      <c r="F64" s="142"/>
      <c r="H64" s="142"/>
      <c r="L64" s="142"/>
      <c r="M64" s="144"/>
      <c r="N64" s="145"/>
      <c r="P64" s="145"/>
      <c r="R64" s="146"/>
      <c r="AD64" s="142"/>
      <c r="AH64" s="142"/>
      <c r="AJ64" s="146"/>
      <c r="AL64" s="147"/>
      <c r="AM64" s="141"/>
    </row>
    <row r="65" spans="1:39" s="143" customFormat="1">
      <c r="A65" s="141"/>
      <c r="B65" s="141"/>
      <c r="C65" s="142"/>
      <c r="E65" s="142"/>
      <c r="F65" s="142"/>
      <c r="H65" s="142"/>
      <c r="L65" s="142"/>
      <c r="M65" s="144"/>
      <c r="N65" s="145"/>
      <c r="P65" s="145"/>
      <c r="R65" s="146"/>
      <c r="AD65" s="142"/>
      <c r="AH65" s="142"/>
      <c r="AJ65" s="146"/>
      <c r="AL65" s="147"/>
      <c r="AM65" s="141"/>
    </row>
    <row r="66" spans="1:39" s="143" customFormat="1">
      <c r="A66" s="141"/>
      <c r="B66" s="141"/>
      <c r="C66" s="142"/>
      <c r="E66" s="142"/>
      <c r="F66" s="142"/>
      <c r="H66" s="142"/>
      <c r="L66" s="142"/>
      <c r="M66" s="144"/>
      <c r="N66" s="145"/>
      <c r="P66" s="145"/>
      <c r="R66" s="146"/>
      <c r="AD66" s="142"/>
      <c r="AH66" s="142"/>
      <c r="AJ66" s="146"/>
      <c r="AL66" s="147"/>
      <c r="AM66" s="141"/>
    </row>
    <row r="67" spans="1:39" s="143" customFormat="1">
      <c r="A67" s="141"/>
      <c r="B67" s="141"/>
      <c r="C67" s="142"/>
      <c r="E67" s="142"/>
      <c r="F67" s="142"/>
      <c r="H67" s="142"/>
      <c r="L67" s="142"/>
      <c r="M67" s="144"/>
      <c r="N67" s="145"/>
      <c r="P67" s="145"/>
      <c r="R67" s="146"/>
      <c r="AD67" s="142"/>
      <c r="AH67" s="142"/>
      <c r="AJ67" s="146"/>
      <c r="AL67" s="147"/>
      <c r="AM67" s="141"/>
    </row>
    <row r="68" spans="1:39" s="143" customFormat="1">
      <c r="A68" s="141"/>
      <c r="B68" s="141"/>
      <c r="C68" s="142"/>
      <c r="E68" s="142"/>
      <c r="F68" s="142"/>
      <c r="H68" s="142"/>
      <c r="L68" s="142"/>
      <c r="M68" s="144"/>
      <c r="N68" s="145"/>
      <c r="P68" s="145"/>
      <c r="R68" s="146"/>
      <c r="AD68" s="142"/>
      <c r="AH68" s="142"/>
      <c r="AJ68" s="146"/>
      <c r="AL68" s="147"/>
      <c r="AM68" s="141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pane xSplit="1" ySplit="5" topLeftCell="B6" activePane="bottomRight" state="frozen"/>
      <selection pane="bottomRight" activeCell="E10" sqref="E10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47">
        <v>44866</v>
      </c>
      <c r="B2" s="248"/>
      <c r="C2" s="248"/>
    </row>
    <row r="3" spans="1:3">
      <c r="A3" s="251" t="s">
        <v>18</v>
      </c>
      <c r="B3" s="249" t="s">
        <v>19</v>
      </c>
      <c r="C3" s="249" t="s">
        <v>13</v>
      </c>
    </row>
    <row r="4" spans="1:3">
      <c r="A4" s="251"/>
      <c r="B4" s="249"/>
      <c r="C4" s="249"/>
    </row>
    <row r="5" spans="1:3">
      <c r="A5" s="251"/>
      <c r="B5" s="250"/>
      <c r="C5" s="250"/>
    </row>
    <row r="6" spans="1:3">
      <c r="A6" s="203">
        <v>1</v>
      </c>
      <c r="B6" s="204">
        <v>65</v>
      </c>
      <c r="C6" s="205">
        <v>351</v>
      </c>
    </row>
    <row r="7" spans="1:3">
      <c r="A7" s="203">
        <v>2</v>
      </c>
      <c r="B7" s="206">
        <v>70</v>
      </c>
      <c r="C7" s="207">
        <v>373</v>
      </c>
    </row>
    <row r="8" spans="1:3">
      <c r="A8" s="203">
        <f>A7+1</f>
        <v>3</v>
      </c>
      <c r="B8" s="206">
        <v>108</v>
      </c>
      <c r="C8" s="207">
        <v>600</v>
      </c>
    </row>
    <row r="9" spans="1:3">
      <c r="A9" s="203">
        <f>A8+1</f>
        <v>4</v>
      </c>
      <c r="B9" s="206">
        <v>115</v>
      </c>
      <c r="C9" s="207">
        <v>482</v>
      </c>
    </row>
    <row r="10" spans="1:3">
      <c r="A10" s="203">
        <f t="shared" ref="A10:A35" si="0">A9+1</f>
        <v>5</v>
      </c>
      <c r="B10" s="206">
        <v>110</v>
      </c>
      <c r="C10" s="207">
        <v>602</v>
      </c>
    </row>
    <row r="11" spans="1:3">
      <c r="A11" s="203">
        <f t="shared" si="0"/>
        <v>6</v>
      </c>
      <c r="B11" s="206">
        <v>104</v>
      </c>
      <c r="C11" s="207">
        <v>498</v>
      </c>
    </row>
    <row r="12" spans="1:3">
      <c r="A12" s="203">
        <f t="shared" si="0"/>
        <v>7</v>
      </c>
      <c r="B12" s="206">
        <v>57</v>
      </c>
      <c r="C12" s="207">
        <v>376</v>
      </c>
    </row>
    <row r="13" spans="1:3">
      <c r="A13" s="203">
        <f t="shared" si="0"/>
        <v>8</v>
      </c>
      <c r="B13" s="206">
        <v>44</v>
      </c>
      <c r="C13" s="207">
        <v>272</v>
      </c>
    </row>
    <row r="14" spans="1:3">
      <c r="A14" s="203">
        <f t="shared" si="0"/>
        <v>9</v>
      </c>
      <c r="B14" s="206">
        <v>61</v>
      </c>
      <c r="C14" s="207">
        <v>296</v>
      </c>
    </row>
    <row r="15" spans="1:3">
      <c r="A15" s="203">
        <f t="shared" si="0"/>
        <v>10</v>
      </c>
      <c r="B15" s="206">
        <v>68</v>
      </c>
      <c r="C15" s="207">
        <v>388</v>
      </c>
    </row>
    <row r="16" spans="1:3">
      <c r="A16" s="203">
        <f t="shared" si="0"/>
        <v>11</v>
      </c>
      <c r="B16" s="206">
        <v>62</v>
      </c>
      <c r="C16" s="207">
        <v>496</v>
      </c>
    </row>
    <row r="17" spans="1:3">
      <c r="A17" s="203">
        <f t="shared" si="0"/>
        <v>12</v>
      </c>
      <c r="B17" s="206">
        <v>79</v>
      </c>
      <c r="C17" s="207">
        <v>433</v>
      </c>
    </row>
    <row r="18" spans="1:3">
      <c r="A18" s="203">
        <f t="shared" si="0"/>
        <v>13</v>
      </c>
      <c r="B18" s="206">
        <v>81</v>
      </c>
      <c r="C18" s="207">
        <v>555</v>
      </c>
    </row>
    <row r="19" spans="1:3">
      <c r="A19" s="203">
        <f t="shared" si="0"/>
        <v>14</v>
      </c>
      <c r="B19" s="206">
        <v>74</v>
      </c>
      <c r="C19" s="207">
        <v>575</v>
      </c>
    </row>
    <row r="20" spans="1:3">
      <c r="A20" s="203">
        <f t="shared" si="0"/>
        <v>15</v>
      </c>
      <c r="B20" s="206">
        <v>55</v>
      </c>
      <c r="C20" s="207">
        <v>476</v>
      </c>
    </row>
    <row r="21" spans="1:3">
      <c r="A21" s="203">
        <f t="shared" si="0"/>
        <v>16</v>
      </c>
      <c r="B21" s="206">
        <v>58</v>
      </c>
      <c r="C21" s="207">
        <v>313</v>
      </c>
    </row>
    <row r="22" spans="1:3">
      <c r="A22" s="203">
        <f t="shared" si="0"/>
        <v>17</v>
      </c>
      <c r="B22" s="206">
        <v>52</v>
      </c>
      <c r="C22" s="207">
        <v>330</v>
      </c>
    </row>
    <row r="23" spans="1:3">
      <c r="A23" s="203">
        <f t="shared" si="0"/>
        <v>18</v>
      </c>
      <c r="B23" s="206">
        <v>50</v>
      </c>
      <c r="C23" s="207">
        <v>302</v>
      </c>
    </row>
    <row r="24" spans="1:3">
      <c r="A24" s="203">
        <f t="shared" si="0"/>
        <v>19</v>
      </c>
      <c r="B24" s="206">
        <v>65</v>
      </c>
      <c r="C24" s="207">
        <v>273</v>
      </c>
    </row>
    <row r="25" spans="1:3">
      <c r="A25" s="203">
        <f t="shared" si="0"/>
        <v>20</v>
      </c>
      <c r="B25" s="206">
        <v>77</v>
      </c>
      <c r="C25" s="207">
        <v>497</v>
      </c>
    </row>
    <row r="26" spans="1:3">
      <c r="A26" s="203">
        <f t="shared" si="0"/>
        <v>21</v>
      </c>
      <c r="B26" s="206">
        <v>103</v>
      </c>
      <c r="C26" s="207">
        <v>433</v>
      </c>
    </row>
    <row r="27" spans="1:3">
      <c r="A27" s="203">
        <f t="shared" si="0"/>
        <v>22</v>
      </c>
      <c r="B27" s="206">
        <v>107</v>
      </c>
      <c r="C27" s="207">
        <v>395</v>
      </c>
    </row>
    <row r="28" spans="1:3">
      <c r="A28" s="203">
        <f t="shared" si="0"/>
        <v>23</v>
      </c>
      <c r="B28" s="206">
        <v>49</v>
      </c>
      <c r="C28" s="207">
        <v>464</v>
      </c>
    </row>
    <row r="29" spans="1:3">
      <c r="A29" s="203">
        <f t="shared" si="0"/>
        <v>24</v>
      </c>
      <c r="B29" s="206">
        <v>61</v>
      </c>
      <c r="C29" s="207">
        <v>321</v>
      </c>
    </row>
    <row r="30" spans="1:3">
      <c r="A30" s="203">
        <f t="shared" si="0"/>
        <v>25</v>
      </c>
      <c r="B30" s="206">
        <v>53</v>
      </c>
      <c r="C30" s="207">
        <v>344</v>
      </c>
    </row>
    <row r="31" spans="1:3">
      <c r="A31" s="203">
        <f t="shared" si="0"/>
        <v>26</v>
      </c>
      <c r="B31" s="206">
        <v>33</v>
      </c>
      <c r="C31" s="207">
        <v>354</v>
      </c>
    </row>
    <row r="32" spans="1:3">
      <c r="A32" s="203">
        <f t="shared" si="0"/>
        <v>27</v>
      </c>
      <c r="B32" s="206">
        <v>33</v>
      </c>
      <c r="C32" s="207">
        <v>247</v>
      </c>
    </row>
    <row r="33" spans="1:3">
      <c r="A33" s="203">
        <f t="shared" si="0"/>
        <v>28</v>
      </c>
      <c r="B33" s="206">
        <v>38</v>
      </c>
      <c r="C33" s="207">
        <v>160</v>
      </c>
    </row>
    <row r="34" spans="1:3">
      <c r="A34" s="203">
        <f t="shared" si="0"/>
        <v>29</v>
      </c>
      <c r="B34" s="206">
        <v>57</v>
      </c>
      <c r="C34" s="207">
        <v>238</v>
      </c>
    </row>
    <row r="35" spans="1:3">
      <c r="A35" s="203">
        <f t="shared" si="0"/>
        <v>30</v>
      </c>
      <c r="B35" s="206">
        <v>60</v>
      </c>
      <c r="C35" s="207">
        <v>295</v>
      </c>
    </row>
    <row r="36" spans="1:3">
      <c r="B36" s="4">
        <f>SUM(B6:B35)</f>
        <v>2049</v>
      </c>
      <c r="C36" s="4">
        <f>SUM(C6:C35)</f>
        <v>11739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521302E-973B-4F96-B72C-500671D7AFA5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2022-12-19T04:22:40Z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