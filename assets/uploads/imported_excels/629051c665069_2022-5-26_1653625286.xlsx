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6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29" i="2"/>
  <c r="P30" i="2" s="1"/>
  <c r="P31" i="2" s="1"/>
  <c r="P32" i="2" s="1"/>
  <c r="P33" i="2" s="1"/>
  <c r="N29" i="2"/>
  <c r="N30" i="2" s="1"/>
  <c r="N31" i="2" s="1"/>
  <c r="N32" i="2" s="1"/>
  <c r="N33" i="2" s="1"/>
  <c r="L29" i="2"/>
  <c r="L30" i="2" s="1"/>
  <c r="L31" i="2" s="1"/>
  <c r="L32" i="2" s="1"/>
  <c r="L33" i="2" s="1"/>
  <c r="J29" i="2"/>
  <c r="J30" i="2" s="1"/>
  <c r="J31" i="2" s="1"/>
  <c r="J32" i="2" s="1"/>
  <c r="J33" i="2" s="1"/>
  <c r="H29" i="2"/>
  <c r="H30" i="2" s="1"/>
  <c r="H31" i="2" s="1"/>
  <c r="H32" i="2" s="1"/>
  <c r="H33" i="2" s="1"/>
  <c r="F29" i="2"/>
  <c r="F30" i="2" s="1"/>
  <c r="F31" i="2" s="1"/>
  <c r="F32" i="2" s="1"/>
  <c r="F33" i="2" s="1"/>
  <c r="D29" i="2"/>
  <c r="D30" i="2" s="1"/>
  <c r="D31" i="2" s="1"/>
  <c r="D32" i="2" s="1"/>
  <c r="D33" i="2" s="1"/>
  <c r="B29" i="2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K34" i="3" s="1"/>
  <c r="J34" i="3" l="1"/>
  <c r="E29" i="8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<sst xmlns="http://schemas.openxmlformats.org/spreadsheetml/2006/main" count="442" uniqueCount="149">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</sst>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1694.9390999999998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1458.0318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2804.4701999999997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1881.5378999999998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62432.554759999999</v>
      </c>
      <c r="F22" s="137">
        <v>1.27</v>
      </c>
      <c r="G22" s="35">
        <f>Gas!C23*0.9147</f>
        <v>2170.5830999999998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54649.936375999998</v>
      </c>
      <c r="F23" s="137">
        <v>1.27</v>
      </c>
      <c r="G23" s="35">
        <f>Gas!C24*0.9147</f>
        <v>1895.2583999999999</v>
      </c>
      <c r="H23" s="138">
        <v>3.65</v>
      </c>
      <c r="I23" s="140">
        <f>Submetering!H23+Submetering!AD23+Submetering!AE23</f>
        <v>856.00000000000011</v>
      </c>
      <c r="J23" s="140">
        <v>10.029999999999999</v>
      </c>
      <c r="K23" s="35">
        <f>ELECT.!B24</f>
        <v>307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73342.044655999998</v>
      </c>
      <c r="F24" s="137">
        <v>1.27</v>
      </c>
      <c r="G24" s="35">
        <f>Gas!C25*0.9147</f>
        <v>2092.8335999999999</v>
      </c>
      <c r="H24" s="138">
        <v>3.65</v>
      </c>
      <c r="I24" s="140">
        <f>Submetering!H24+Submetering!AD24+Submetering!AE24</f>
        <v>925.99999999999989</v>
      </c>
      <c r="J24" s="140">
        <v>10.029999999999999</v>
      </c>
      <c r="K24" s="35">
        <f>ELECT.!B25</f>
        <v>305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55952.559991999995</v>
      </c>
      <c r="F25" s="137">
        <v>1.27</v>
      </c>
      <c r="G25" s="35">
        <f>Gas!C26*0.9147</f>
        <v>2407.4903999999997</v>
      </c>
      <c r="H25" s="138">
        <v>3.65</v>
      </c>
      <c r="I25" s="140">
        <f>Submetering!H25+Submetering!AD25+Submetering!AE25</f>
        <v>835.99999999999989</v>
      </c>
      <c r="J25" s="140">
        <v>10.029999999999999</v>
      </c>
      <c r="K25" s="35">
        <f>ELECT.!B26</f>
        <v>286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58645.6342</v>
      </c>
      <c r="F26" s="137">
        <v>1.27</v>
      </c>
      <c r="G26" s="35">
        <f>Gas!C27*0.9147</f>
        <v>2108.3834999999999</v>
      </c>
      <c r="H26" s="138">
        <v>3.65</v>
      </c>
      <c r="I26" s="140">
        <f>Submetering!H26+Submetering!AD26+Submetering!AE26</f>
        <v>805.99999999999989</v>
      </c>
      <c r="J26" s="140">
        <v>10.029999999999999</v>
      </c>
      <c r="K26" s="35">
        <f>ELECT.!B27</f>
        <v>301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78005.551791999998</v>
      </c>
      <c r="F27" s="137">
        <v>1.27</v>
      </c>
      <c r="G27" s="35">
        <f>Gas!C28*0.9147</f>
        <v>2847.4611</v>
      </c>
      <c r="H27" s="138">
        <v>3.65</v>
      </c>
      <c r="I27" s="140">
        <f>Submetering!H27+Submetering!AD27+Submetering!AE27</f>
        <v>805.99999999999989</v>
      </c>
      <c r="J27" s="140">
        <v>10.029999999999999</v>
      </c>
      <c r="K27" s="35">
        <f>ELECT.!B28</f>
        <v>304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17844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-2331</v>
      </c>
      <c r="Z22">
        <f>'Mall, Citadel, Rotana'!C23+'Mall, Citadel, Rotana'!E23+'Mall, Citadel, Rotana'!G23+'Mall, Citadel, Rotana'!I23</f>
        <v>1035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1050</v>
      </c>
      <c r="F23" s="35">
        <f>Water!E24</f>
        <v>440</v>
      </c>
      <c r="G23" s="35">
        <f>Water!G24</f>
        <v>486</v>
      </c>
      <c r="H23" s="35">
        <f>Water!I24</f>
        <v>4.59</v>
      </c>
      <c r="I23" s="35">
        <f>ELECT.!F24</f>
        <v>12994</v>
      </c>
      <c r="J23" s="35">
        <f>ELECT.!H24</f>
        <v>44603</v>
      </c>
      <c r="K23" s="35">
        <f>ELECT.!K24</f>
        <v>7892</v>
      </c>
      <c r="L23" s="35">
        <f>ELECT.!M24</f>
        <v>5756</v>
      </c>
      <c r="M23" s="35">
        <f>ELECT.!O24</f>
        <v>7092</v>
      </c>
      <c r="N23" s="35">
        <f>ELECT.!Q24</f>
        <v>9611</v>
      </c>
      <c r="O23" s="35">
        <f>ELECT.!S24</f>
        <v>9968</v>
      </c>
      <c r="P23" s="35">
        <f>ELECT.!W24*2</f>
        <v>19846</v>
      </c>
      <c r="Q23" s="35">
        <f>ELECT.!D24</f>
        <v>800</v>
      </c>
      <c r="R23" s="140">
        <f>BTU!C24</f>
        <v>8.2340000000003783</v>
      </c>
      <c r="S23" s="140">
        <f>BTU!F24</f>
        <v>1.8720000000002983</v>
      </c>
      <c r="T23" s="140">
        <f>BTU!I24</f>
        <v>7</v>
      </c>
      <c r="U23" s="140">
        <f>BTU!O24</f>
        <v>1.3820000000000618</v>
      </c>
      <c r="V23" s="140">
        <f>BTU!L24</f>
        <v>1.2199999999993452</v>
      </c>
      <c r="W23" s="140">
        <f>BTU!R24</f>
        <v>0.71000000000003638</v>
      </c>
      <c r="X23" s="33">
        <f>ELECT.!B24</f>
        <v>307</v>
      </c>
      <c r="Y23" s="33">
        <f t="shared" si="0"/>
        <v>-2568</v>
      </c>
      <c r="Z23">
        <f>'Mall, Citadel, Rotana'!C24+'Mall, Citadel, Rotana'!E24+'Mall, Citadel, Rotana'!G24+'Mall, Citadel, Rotana'!I24</f>
        <v>1684</v>
      </c>
      <c r="AA23">
        <f>'Mall, Citadel, Rotana'!K24+'Mall, Citadel, Rotana'!M24</f>
        <v>492</v>
      </c>
      <c r="AB23">
        <f>'Mall, Citadel, Rotana'!O24</f>
        <v>5</v>
      </c>
      <c r="AC23">
        <f>'Mall, Citadel, Rotana'!Q24+'Mall, Citadel, Rotana'!S24</f>
        <v>150</v>
      </c>
      <c r="AD23" s="33">
        <f t="shared" si="1"/>
        <v>112.21583800000001</v>
      </c>
      <c r="AE23" s="33">
        <f t="shared" si="2"/>
        <v>739.19416200000012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1120</v>
      </c>
      <c r="F24" s="35">
        <f>Water!E25</f>
        <v>530</v>
      </c>
      <c r="G24" s="35">
        <f>Water!G25</f>
        <v>472.5</v>
      </c>
      <c r="H24" s="35">
        <f>Water!I25</f>
        <v>4.806</v>
      </c>
      <c r="I24" s="35">
        <f>ELECT.!F25</f>
        <v>17441</v>
      </c>
      <c r="J24" s="35">
        <f>ELECT.!H25</f>
        <v>58640</v>
      </c>
      <c r="K24" s="35">
        <f>ELECT.!K25</f>
        <v>10328</v>
      </c>
      <c r="L24" s="35">
        <f>ELECT.!M25</f>
        <v>7967</v>
      </c>
      <c r="M24" s="35">
        <f>ELECT.!O25</f>
        <v>9294</v>
      </c>
      <c r="N24" s="35">
        <f>ELECT.!Q25</f>
        <v>12947</v>
      </c>
      <c r="O24" s="35">
        <f>ELECT.!S25</f>
        <v>13056</v>
      </c>
      <c r="P24" s="35">
        <f>ELECT.!W25*2</f>
        <v>26028</v>
      </c>
      <c r="Q24" s="35">
        <f>ELECT.!D25</f>
        <v>480</v>
      </c>
      <c r="R24" s="140">
        <f>BTU!C25</f>
        <v>8.728000000002794</v>
      </c>
      <c r="S24" s="140">
        <f>BTU!F25</f>
        <v>2.2960000000002765</v>
      </c>
      <c r="T24" s="140">
        <f>BTU!I25</f>
        <v>8</v>
      </c>
      <c r="U24" s="140">
        <f>BTU!O25</f>
        <v>1.3240000000000691</v>
      </c>
      <c r="V24" s="140">
        <f>BTU!L25</f>
        <v>1.3800000000010186</v>
      </c>
      <c r="W24" s="140">
        <f>BTU!R25</f>
        <v>1.5100000000002183</v>
      </c>
      <c r="X24" s="33">
        <f>ELECT.!B25</f>
        <v>305</v>
      </c>
      <c r="Y24" s="33">
        <f t="shared" si="0"/>
        <v>-3539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339</v>
      </c>
      <c r="AB24">
        <f>'Mall, Citadel, Rotana'!O25</f>
        <v>2</v>
      </c>
      <c r="AC24">
        <f>'Mall, Citadel, Rotana'!Q25+'Mall, Citadel, Rotana'!S25</f>
        <v>120</v>
      </c>
      <c r="AD24" s="33">
        <f t="shared" si="1"/>
        <v>121.41336919999999</v>
      </c>
      <c r="AE24" s="33">
        <f t="shared" si="2"/>
        <v>799.78063079999993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1030</v>
      </c>
      <c r="F25" s="35">
        <f>Water!E26</f>
        <v>510</v>
      </c>
      <c r="G25" s="35">
        <f>Water!G26</f>
        <v>491.4</v>
      </c>
      <c r="H25" s="35">
        <f>Water!I26</f>
        <v>5.13</v>
      </c>
      <c r="I25" s="35">
        <f>ELECT.!F26</f>
        <v>14487</v>
      </c>
      <c r="J25" s="35">
        <f>ELECT.!H26</f>
        <v>43823</v>
      </c>
      <c r="K25" s="35">
        <f>ELECT.!K26</f>
        <v>8042</v>
      </c>
      <c r="L25" s="35">
        <f>ELECT.!M26</f>
        <v>5689</v>
      </c>
      <c r="M25" s="35">
        <f>ELECT.!O26</f>
        <v>8644</v>
      </c>
      <c r="N25" s="35">
        <f>ELECT.!Q26</f>
        <v>9972</v>
      </c>
      <c r="O25" s="35">
        <f>ELECT.!S26</f>
        <v>9474</v>
      </c>
      <c r="P25" s="35">
        <f>ELECT.!W26*2</f>
        <v>19564</v>
      </c>
      <c r="Q25" s="35">
        <f>ELECT.!D26</f>
        <v>480</v>
      </c>
      <c r="R25" s="140">
        <f>BTU!C26</f>
        <v>10.169999999998254</v>
      </c>
      <c r="S25" s="140">
        <f>BTU!F26</f>
        <v>2.8789999999999054</v>
      </c>
      <c r="T25" s="140">
        <f>BTU!I26</f>
        <v>8</v>
      </c>
      <c r="U25" s="140">
        <f>BTU!O26</f>
        <v>1.5300000000002001</v>
      </c>
      <c r="V25" s="140">
        <f>BTU!L26</f>
        <v>1.6399999999994179</v>
      </c>
      <c r="W25" s="140">
        <f>BTU!R26</f>
        <v>1.2300000000004729</v>
      </c>
      <c r="X25" s="33">
        <f>ELECT.!B26</f>
        <v>286</v>
      </c>
      <c r="Y25" s="33">
        <f t="shared" si="0"/>
        <v>-3075</v>
      </c>
      <c r="Z25">
        <f>'Mall, Citadel, Rotana'!C26+'Mall, Citadel, Rotana'!E26+'Mall, Citadel, Rotana'!G26+'Mall, Citadel, Rotana'!I26</f>
        <v>1197</v>
      </c>
      <c r="AA25">
        <f>'Mall, Citadel, Rotana'!K26+'Mall, Citadel, Rotana'!M26</f>
        <v>343</v>
      </c>
      <c r="AB25">
        <f>'Mall, Citadel, Rotana'!O26</f>
        <v>3</v>
      </c>
      <c r="AC25">
        <f>'Mall, Citadel, Rotana'!Q26+'Mall, Citadel, Rotana'!S26</f>
        <v>111</v>
      </c>
      <c r="AD25" s="33">
        <f t="shared" si="1"/>
        <v>109.50866599999999</v>
      </c>
      <c r="AE25" s="33">
        <f t="shared" si="2"/>
        <v>721.36133399999994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1000</v>
      </c>
      <c r="F26" s="35">
        <f>Water!E27</f>
        <v>500</v>
      </c>
      <c r="G26" s="35">
        <f>Water!G27</f>
        <v>504.9</v>
      </c>
      <c r="H26" s="35">
        <f>Water!I27</f>
        <v>5.2110000000000003</v>
      </c>
      <c r="I26" s="35">
        <f>ELECT.!F27</f>
        <v>14362</v>
      </c>
      <c r="J26" s="35">
        <f>ELECT.!H27</f>
        <v>46533</v>
      </c>
      <c r="K26" s="35">
        <f>ELECT.!K27</f>
        <v>8240</v>
      </c>
      <c r="L26" s="35">
        <f>ELECT.!M27</f>
        <v>5974</v>
      </c>
      <c r="M26" s="35">
        <f>ELECT.!O27</f>
        <v>8238</v>
      </c>
      <c r="N26" s="35">
        <f>ELECT.!Q27</f>
        <v>10985</v>
      </c>
      <c r="O26" s="35">
        <f>ELECT.!S27</f>
        <v>9468</v>
      </c>
      <c r="P26" s="35">
        <f>ELECT.!W27*2</f>
        <v>20882</v>
      </c>
      <c r="Q26" s="35">
        <f>ELECT.!D27</f>
        <v>480</v>
      </c>
      <c r="R26" s="140">
        <f>BTU!C27</f>
        <v>10.225999999998749</v>
      </c>
      <c r="S26" s="140">
        <f>BTU!F27</f>
        <v>2.4920000000001892</v>
      </c>
      <c r="T26" s="140">
        <f>BTU!I27</f>
        <v>9</v>
      </c>
      <c r="U26" s="140">
        <f>BTU!O27</f>
        <v>1.6340000000000146</v>
      </c>
      <c r="V26" s="140">
        <f>BTU!L27</f>
        <v>1.25</v>
      </c>
      <c r="W26" s="140">
        <f>BTU!R27</f>
        <v>1.2699999999995271</v>
      </c>
      <c r="X26" s="33">
        <f>ELECT.!B27</f>
        <v>301</v>
      </c>
      <c r="Y26" s="33">
        <f t="shared" si="0"/>
        <v>-2892</v>
      </c>
      <c r="Z26">
        <f>'Mall, Citadel, Rotana'!C27+'Mall, Citadel, Rotana'!E27+'Mall, Citadel, Rotana'!G27+'Mall, Citadel, Rotana'!I27</f>
        <v>1040</v>
      </c>
      <c r="AA26">
        <f>'Mall, Citadel, Rotana'!K27+'Mall, Citadel, Rotana'!M27</f>
        <v>340</v>
      </c>
      <c r="AB26">
        <f>'Mall, Citadel, Rotana'!O27</f>
        <v>3</v>
      </c>
      <c r="AC26">
        <f>'Mall, Citadel, Rotana'!Q27+'Mall, Citadel, Rotana'!S27</f>
        <v>125</v>
      </c>
      <c r="AD26" s="33">
        <f t="shared" si="1"/>
        <v>105.5439902</v>
      </c>
      <c r="AE26" s="33">
        <f t="shared" si="2"/>
        <v>695.24500979999993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1000</v>
      </c>
      <c r="F27" s="35">
        <f>Water!E28</f>
        <v>500</v>
      </c>
      <c r="G27" s="35">
        <f>Water!G28</f>
        <v>504.9</v>
      </c>
      <c r="H27" s="35">
        <f>Water!I28</f>
        <v>5.2110000000000003</v>
      </c>
      <c r="I27" s="35">
        <f>ELECT.!F28</f>
        <v>19361</v>
      </c>
      <c r="J27" s="35">
        <f>ELECT.!H28</f>
        <v>61840</v>
      </c>
      <c r="K27" s="35">
        <f>ELECT.!K28</f>
        <v>10844</v>
      </c>
      <c r="L27" s="35">
        <f>ELECT.!M28</f>
        <v>8140</v>
      </c>
      <c r="M27" s="35">
        <f>ELECT.!O28</f>
        <v>11032</v>
      </c>
      <c r="N27" s="35">
        <f>ELECT.!Q28</f>
        <v>14203</v>
      </c>
      <c r="O27" s="35">
        <f>ELECT.!S28</f>
        <v>13086</v>
      </c>
      <c r="P27" s="35">
        <f>ELECT.!W28*2</f>
        <v>27802</v>
      </c>
      <c r="Q27" s="35">
        <f>ELECT.!D28</f>
        <v>640</v>
      </c>
      <c r="R27" s="140">
        <f>BTU!C28</f>
        <v>11.492000000002008</v>
      </c>
      <c r="S27" s="140">
        <f>BTU!F28</f>
        <v>2.8149999999995998</v>
      </c>
      <c r="T27" s="140">
        <f>BTU!I28</f>
        <v>8</v>
      </c>
      <c r="U27" s="140">
        <f>BTU!O28</f>
        <v>1.875</v>
      </c>
      <c r="V27" s="140">
        <f>BTU!L28</f>
        <v>1.4400000000005093</v>
      </c>
      <c r="W27" s="140">
        <f>BTU!R28</f>
        <v>1.3299999999999272</v>
      </c>
      <c r="X27" s="33">
        <f>ELECT.!B28</f>
        <v>304</v>
      </c>
      <c r="Y27" s="33">
        <f t="shared" si="0"/>
        <v>-3906</v>
      </c>
      <c r="Z27">
        <f>'Mall, Citadel, Rotana'!C28+'Mall, Citadel, Rotana'!E28+'Mall, Citadel, Rotana'!G28+'Mall, Citadel, Rotana'!I28</f>
        <v>1673</v>
      </c>
      <c r="AA27">
        <f>'Mall, Citadel, Rotana'!K28+'Mall, Citadel, Rotana'!M28</f>
        <v>427</v>
      </c>
      <c r="AB27">
        <f>'Mall, Citadel, Rotana'!O28</f>
        <v>3</v>
      </c>
      <c r="AC27">
        <f>'Mall, Citadel, Rotana'!Q28+'Mall, Citadel, Rotana'!S28</f>
        <v>115</v>
      </c>
      <c r="AD27" s="33">
        <f t="shared" si="1"/>
        <v>105.5439902</v>
      </c>
      <c r="AE27" s="33">
        <f t="shared" si="2"/>
        <v>695.24500979999993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 t="str">
        <f>ELECT.!F29</f>
        <v>0</v>
      </c>
      <c r="J28" s="35" t="str">
        <f>ELECT.!H29</f>
        <v>0</v>
      </c>
      <c r="K28" s="35">
        <f>ELECT.!K29</f>
        <v>0</v>
      </c>
      <c r="L28" s="35" t="str">
        <f>ELECT.!M29</f>
        <v>0</v>
      </c>
      <c r="M28" s="35">
        <f>ELECT.!O29</f>
        <v>0</v>
      </c>
      <c r="N28" s="35" t="str">
        <f>ELECT.!Q29</f>
        <v>0</v>
      </c>
      <c r="O28" s="35" t="str">
        <f>ELECT.!S29</f>
        <v>0</v>
      </c>
      <c r="P28" s="35">
        <f>ELECT.!W29*2</f>
        <v>0</v>
      </c>
      <c r="Q28" s="35">
        <f>ELECT.!D29</f>
        <v>0</v>
      </c>
      <c r="R28" s="140" t="str">
        <f>BTU!C29</f>
        <v>0</v>
      </c>
      <c r="S28" s="140" t="str">
        <f>BTU!F29</f>
        <v>0</v>
      </c>
      <c r="T28" s="140" t="str">
        <f>BTU!I29</f>
        <v>0</v>
      </c>
      <c r="U28" s="140" t="str">
        <f>BTU!O29</f>
        <v>0</v>
      </c>
      <c r="V28" s="140" t="str">
        <f>BTU!L29</f>
        <v>0</v>
      </c>
      <c r="W28" s="140" t="str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47041</v>
      </c>
      <c r="C23" s="14">
        <f t="shared" si="9"/>
        <v>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v>47046</v>
      </c>
      <c r="C24" s="14">
        <f t="shared" si="9"/>
        <v>800</v>
      </c>
      <c r="D24" s="30">
        <v>40610</v>
      </c>
      <c r="E24" s="14">
        <f t="shared" si="1"/>
        <v>800</v>
      </c>
      <c r="F24" s="30">
        <v>21657</v>
      </c>
      <c r="G24" s="14">
        <f t="shared" si="2"/>
        <v>60</v>
      </c>
      <c r="H24" s="30">
        <v>255118</v>
      </c>
      <c r="I24" s="14">
        <f t="shared" si="3"/>
        <v>24</v>
      </c>
      <c r="J24" s="30">
        <v>314961</v>
      </c>
      <c r="K24" s="14">
        <f t="shared" si="4"/>
        <v>192</v>
      </c>
      <c r="L24" s="30">
        <v>26143</v>
      </c>
      <c r="M24" s="14">
        <f t="shared" si="5"/>
        <v>300</v>
      </c>
      <c r="N24" s="30">
        <v>226009</v>
      </c>
      <c r="O24" s="14">
        <f t="shared" si="6"/>
        <v>5</v>
      </c>
      <c r="P24" s="30">
        <v>152719</v>
      </c>
      <c r="Q24" s="14">
        <f t="shared" si="0"/>
        <v>150</v>
      </c>
      <c r="R24" s="30">
        <f t="shared" si="10"/>
        <v>55047</v>
      </c>
      <c r="S24" s="14">
        <f t="shared" si="7"/>
        <v>0</v>
      </c>
      <c r="T24" s="30">
        <v>3992</v>
      </c>
      <c r="U24" s="14">
        <f t="shared" si="8"/>
        <v>160</v>
      </c>
    </row>
    <row r="25" spans="1:23" ht="13.5" thickBot="1" x14ac:dyDescent="0.25">
      <c r="A25" s="9">
        <v>44704</v>
      </c>
      <c r="B25" s="30">
        <v>47051</v>
      </c>
      <c r="C25" s="14">
        <f t="shared" si="9"/>
        <v>800</v>
      </c>
      <c r="D25" s="30">
        <v>40613</v>
      </c>
      <c r="E25" s="14">
        <f t="shared" si="1"/>
        <v>480</v>
      </c>
      <c r="F25" s="30">
        <v>21661</v>
      </c>
      <c r="G25" s="14">
        <f t="shared" si="2"/>
        <v>80</v>
      </c>
      <c r="H25" s="30">
        <v>255138</v>
      </c>
      <c r="I25" s="14">
        <f t="shared" si="3"/>
        <v>20</v>
      </c>
      <c r="J25" s="30">
        <v>315120</v>
      </c>
      <c r="K25" s="14">
        <f t="shared" si="4"/>
        <v>159</v>
      </c>
      <c r="L25" s="30">
        <v>26146</v>
      </c>
      <c r="M25" s="14">
        <f t="shared" si="5"/>
        <v>180</v>
      </c>
      <c r="N25" s="30">
        <v>226011</v>
      </c>
      <c r="O25" s="14">
        <f t="shared" si="6"/>
        <v>2</v>
      </c>
      <c r="P25" s="30">
        <v>152839</v>
      </c>
      <c r="Q25" s="14">
        <f t="shared" si="0"/>
        <v>120</v>
      </c>
      <c r="R25" s="30">
        <f t="shared" si="10"/>
        <v>55047</v>
      </c>
      <c r="S25" s="14">
        <f t="shared" si="7"/>
        <v>0</v>
      </c>
      <c r="T25" s="30">
        <v>3993</v>
      </c>
      <c r="U25" s="14">
        <f t="shared" si="8"/>
        <v>160</v>
      </c>
      <c r="V25" t="s">
        <v>12</v>
      </c>
    </row>
    <row r="26" spans="1:23" ht="12.75" customHeight="1" thickBot="1" x14ac:dyDescent="0.25">
      <c r="A26" s="9">
        <v>44705</v>
      </c>
      <c r="B26" s="30">
        <v>47055</v>
      </c>
      <c r="C26" s="14">
        <f t="shared" si="9"/>
        <v>640</v>
      </c>
      <c r="D26" s="30">
        <v>40616</v>
      </c>
      <c r="E26" s="14">
        <f t="shared" si="1"/>
        <v>480</v>
      </c>
      <c r="F26" s="30">
        <v>21664</v>
      </c>
      <c r="G26" s="14">
        <f t="shared" si="2"/>
        <v>60</v>
      </c>
      <c r="H26" s="30">
        <v>255155</v>
      </c>
      <c r="I26" s="14">
        <f t="shared" si="3"/>
        <v>17</v>
      </c>
      <c r="J26" s="30">
        <v>315283</v>
      </c>
      <c r="K26" s="14">
        <f t="shared" si="4"/>
        <v>163</v>
      </c>
      <c r="L26" s="30">
        <v>26149</v>
      </c>
      <c r="M26" s="14">
        <f t="shared" si="5"/>
        <v>180</v>
      </c>
      <c r="N26" s="30">
        <v>226014</v>
      </c>
      <c r="O26" s="14">
        <f t="shared" si="6"/>
        <v>3</v>
      </c>
      <c r="P26" s="30">
        <v>152950</v>
      </c>
      <c r="Q26" s="14">
        <f t="shared" si="0"/>
        <v>111</v>
      </c>
      <c r="R26" s="30">
        <f t="shared" si="10"/>
        <v>55047</v>
      </c>
      <c r="S26" s="14">
        <f t="shared" si="7"/>
        <v>0</v>
      </c>
      <c r="T26" s="30">
        <f t="shared" si="15"/>
        <v>3993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v>47058</v>
      </c>
      <c r="C27" s="14">
        <f t="shared" si="9"/>
        <v>480</v>
      </c>
      <c r="D27" s="30">
        <v>40619</v>
      </c>
      <c r="E27" s="14">
        <f t="shared" si="1"/>
        <v>480</v>
      </c>
      <c r="F27" s="30">
        <v>21667</v>
      </c>
      <c r="G27" s="14">
        <f t="shared" si="2"/>
        <v>60</v>
      </c>
      <c r="H27" s="30">
        <v>255175</v>
      </c>
      <c r="I27" s="14">
        <f t="shared" si="3"/>
        <v>20</v>
      </c>
      <c r="J27" s="30">
        <v>315443</v>
      </c>
      <c r="K27" s="14">
        <f t="shared" si="4"/>
        <v>160</v>
      </c>
      <c r="L27" s="30">
        <v>26152</v>
      </c>
      <c r="M27" s="14">
        <f t="shared" si="5"/>
        <v>180</v>
      </c>
      <c r="N27" s="30">
        <v>226017</v>
      </c>
      <c r="O27" s="14">
        <f t="shared" si="6"/>
        <v>3</v>
      </c>
      <c r="P27" s="30">
        <v>153075</v>
      </c>
      <c r="Q27" s="14">
        <f t="shared" si="0"/>
        <v>125</v>
      </c>
      <c r="R27" s="30">
        <f t="shared" si="10"/>
        <v>55047</v>
      </c>
      <c r="S27" s="14">
        <f t="shared" si="7"/>
        <v>0</v>
      </c>
      <c r="T27" s="30">
        <v>3994</v>
      </c>
      <c r="U27" s="14">
        <f>(T27-T26)*800/5</f>
        <v>160</v>
      </c>
    </row>
    <row r="28" spans="1:23" ht="13.5" thickBot="1" x14ac:dyDescent="0.25">
      <c r="A28" s="9">
        <v>44707</v>
      </c>
      <c r="B28" s="30">
        <v>47064</v>
      </c>
      <c r="C28" s="14">
        <f t="shared" si="9"/>
        <v>960</v>
      </c>
      <c r="D28" s="30">
        <v>40623</v>
      </c>
      <c r="E28" s="14">
        <f t="shared" si="1"/>
        <v>640</v>
      </c>
      <c r="F28" s="30">
        <v>21670</v>
      </c>
      <c r="G28" s="14">
        <f t="shared" si="2"/>
        <v>60</v>
      </c>
      <c r="H28" s="30">
        <v>255188</v>
      </c>
      <c r="I28" s="14">
        <f t="shared" si="3"/>
        <v>13</v>
      </c>
      <c r="J28" s="30">
        <v>315630</v>
      </c>
      <c r="K28" s="14">
        <f t="shared" si="4"/>
        <v>187</v>
      </c>
      <c r="L28" s="30">
        <v>26156</v>
      </c>
      <c r="M28" s="14">
        <f t="shared" si="5"/>
        <v>240</v>
      </c>
      <c r="N28" s="30">
        <v>226020</v>
      </c>
      <c r="O28" s="14">
        <f t="shared" si="6"/>
        <v>3</v>
      </c>
      <c r="P28" s="30">
        <v>153190</v>
      </c>
      <c r="Q28" s="14">
        <f t="shared" si="0"/>
        <v>115</v>
      </c>
      <c r="R28" s="30">
        <f t="shared" si="10"/>
        <v>55047</v>
      </c>
      <c r="S28" s="15">
        <f t="shared" si="7"/>
        <v>0</v>
      </c>
      <c r="T28" s="30">
        <v>3994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ref="B29:B33" si="16">B28</f>
        <v>47064</v>
      </c>
      <c r="C29" s="14">
        <f t="shared" si="9"/>
        <v>0</v>
      </c>
      <c r="D29" s="30">
        <f t="shared" ref="D29:D33" si="17">D28</f>
        <v>40623</v>
      </c>
      <c r="E29" s="14">
        <f t="shared" si="1"/>
        <v>0</v>
      </c>
      <c r="F29" s="30">
        <f t="shared" ref="F29:F33" si="18">F28</f>
        <v>21670</v>
      </c>
      <c r="G29" s="14">
        <f t="shared" si="2"/>
        <v>0</v>
      </c>
      <c r="H29" s="30">
        <f t="shared" ref="H29:H33" si="19">H28</f>
        <v>255188</v>
      </c>
      <c r="I29" s="14">
        <f t="shared" si="3"/>
        <v>0</v>
      </c>
      <c r="J29" s="30">
        <f t="shared" ref="J29:J33" si="20">J28</f>
        <v>315630</v>
      </c>
      <c r="K29" s="14">
        <f t="shared" si="4"/>
        <v>0</v>
      </c>
      <c r="L29" s="30">
        <f t="shared" ref="L29:L33" si="21">L28</f>
        <v>26156</v>
      </c>
      <c r="M29" s="14">
        <f t="shared" si="5"/>
        <v>0</v>
      </c>
      <c r="N29" s="30">
        <f t="shared" ref="N29:N33" si="22">N28</f>
        <v>226020</v>
      </c>
      <c r="O29" s="14">
        <f t="shared" si="6"/>
        <v>0</v>
      </c>
      <c r="P29" s="30">
        <f t="shared" ref="P29:P33" si="23">P28</f>
        <v>153190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3994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47064</v>
      </c>
      <c r="C30" s="14">
        <f t="shared" si="9"/>
        <v>0</v>
      </c>
      <c r="D30" s="30">
        <f t="shared" si="17"/>
        <v>40623</v>
      </c>
      <c r="E30" s="14">
        <f t="shared" si="1"/>
        <v>0</v>
      </c>
      <c r="F30" s="30">
        <f t="shared" si="18"/>
        <v>21670</v>
      </c>
      <c r="G30" s="14">
        <f t="shared" si="2"/>
        <v>0</v>
      </c>
      <c r="H30" s="30">
        <f t="shared" si="19"/>
        <v>255188</v>
      </c>
      <c r="I30" s="14">
        <f t="shared" si="3"/>
        <v>0</v>
      </c>
      <c r="J30" s="30">
        <f t="shared" si="20"/>
        <v>315630</v>
      </c>
      <c r="K30" s="14">
        <f t="shared" si="4"/>
        <v>0</v>
      </c>
      <c r="L30" s="30">
        <f t="shared" si="21"/>
        <v>26156</v>
      </c>
      <c r="M30" s="14">
        <f t="shared" si="5"/>
        <v>0</v>
      </c>
      <c r="N30" s="30">
        <f t="shared" si="22"/>
        <v>226020</v>
      </c>
      <c r="O30" s="14">
        <f t="shared" si="6"/>
        <v>0</v>
      </c>
      <c r="P30" s="30">
        <f t="shared" si="23"/>
        <v>153190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3994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47064</v>
      </c>
      <c r="C31" s="14">
        <f t="shared" si="9"/>
        <v>0</v>
      </c>
      <c r="D31" s="30">
        <f t="shared" si="17"/>
        <v>40623</v>
      </c>
      <c r="E31" s="14">
        <f t="shared" si="1"/>
        <v>0</v>
      </c>
      <c r="F31" s="30">
        <f t="shared" si="18"/>
        <v>21670</v>
      </c>
      <c r="G31" s="14">
        <f t="shared" si="2"/>
        <v>0</v>
      </c>
      <c r="H31" s="30">
        <f t="shared" si="19"/>
        <v>255188</v>
      </c>
      <c r="I31" s="14">
        <f t="shared" si="3"/>
        <v>0</v>
      </c>
      <c r="J31" s="30">
        <f t="shared" si="20"/>
        <v>315630</v>
      </c>
      <c r="K31" s="14">
        <f t="shared" si="4"/>
        <v>0</v>
      </c>
      <c r="L31" s="30">
        <f t="shared" si="21"/>
        <v>26156</v>
      </c>
      <c r="M31" s="14">
        <f t="shared" si="5"/>
        <v>0</v>
      </c>
      <c r="N31" s="30">
        <f t="shared" si="22"/>
        <v>226020</v>
      </c>
      <c r="O31" s="14">
        <f t="shared" si="6"/>
        <v>0</v>
      </c>
      <c r="P31" s="30">
        <f t="shared" si="23"/>
        <v>153190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3994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47064</v>
      </c>
      <c r="C32" s="14">
        <f t="shared" si="9"/>
        <v>0</v>
      </c>
      <c r="D32" s="30">
        <f t="shared" si="17"/>
        <v>40623</v>
      </c>
      <c r="E32" s="14">
        <f t="shared" si="1"/>
        <v>0</v>
      </c>
      <c r="F32" s="30">
        <f t="shared" si="18"/>
        <v>21670</v>
      </c>
      <c r="G32" s="14">
        <f t="shared" si="2"/>
        <v>0</v>
      </c>
      <c r="H32" s="30">
        <f t="shared" si="19"/>
        <v>255188</v>
      </c>
      <c r="I32" s="14">
        <f t="shared" si="3"/>
        <v>0</v>
      </c>
      <c r="J32" s="30">
        <f t="shared" si="20"/>
        <v>315630</v>
      </c>
      <c r="K32" s="14">
        <f t="shared" si="4"/>
        <v>0</v>
      </c>
      <c r="L32" s="30">
        <f t="shared" si="21"/>
        <v>26156</v>
      </c>
      <c r="M32" s="14">
        <f t="shared" si="5"/>
        <v>0</v>
      </c>
      <c r="N32" s="30">
        <f t="shared" si="22"/>
        <v>226020</v>
      </c>
      <c r="O32" s="14">
        <f t="shared" si="6"/>
        <v>0</v>
      </c>
      <c r="P32" s="30">
        <f t="shared" si="23"/>
        <v>153190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3994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47064</v>
      </c>
      <c r="C33" s="14">
        <f t="shared" ref="C33" si="24">(B33-B32)*800/5</f>
        <v>0</v>
      </c>
      <c r="D33" s="30">
        <f t="shared" si="17"/>
        <v>40623</v>
      </c>
      <c r="E33" s="14">
        <f t="shared" ref="E33" si="25">(D33-D32)*800/5</f>
        <v>0</v>
      </c>
      <c r="F33" s="30">
        <f t="shared" si="18"/>
        <v>21670</v>
      </c>
      <c r="G33" s="14">
        <f t="shared" ref="G33" si="26">(F33-F32)*100/5</f>
        <v>0</v>
      </c>
      <c r="H33" s="30">
        <f t="shared" si="19"/>
        <v>255188</v>
      </c>
      <c r="I33" s="14">
        <f t="shared" ref="I33" si="27">(H33-H32)</f>
        <v>0</v>
      </c>
      <c r="J33" s="30">
        <f t="shared" si="20"/>
        <v>315630</v>
      </c>
      <c r="K33" s="14">
        <f t="shared" ref="K33" si="28">(J33-J32)</f>
        <v>0</v>
      </c>
      <c r="L33" s="30">
        <f t="shared" si="21"/>
        <v>26156</v>
      </c>
      <c r="M33" s="14">
        <f t="shared" ref="M33" si="29">(L33-L32)*300/5</f>
        <v>0</v>
      </c>
      <c r="N33" s="30">
        <f t="shared" si="22"/>
        <v>226020</v>
      </c>
      <c r="O33" s="14">
        <f t="shared" ref="O33" si="30">N33-N32</f>
        <v>0</v>
      </c>
      <c r="P33" s="30">
        <f t="shared" si="23"/>
        <v>153190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3994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19200</v>
      </c>
      <c r="D34" s="11"/>
      <c r="E34" s="14">
        <f>SUM(E3:E33)</f>
        <v>13600</v>
      </c>
      <c r="F34" s="11"/>
      <c r="G34" s="14">
        <f>SUM(G3:G33)</f>
        <v>1700</v>
      </c>
      <c r="H34" s="11"/>
      <c r="I34" s="14">
        <f>SUM(I3:I33)</f>
        <v>459</v>
      </c>
      <c r="J34" s="11"/>
      <c r="K34" s="14">
        <f>SUM(K3:K33)</f>
        <v>3949</v>
      </c>
      <c r="L34" s="11"/>
      <c r="M34" s="14">
        <f>SUM(M3:M33)</f>
        <v>4560</v>
      </c>
      <c r="N34" s="31"/>
      <c r="O34" s="14">
        <f>SUM(O3:O33)</f>
        <v>84</v>
      </c>
      <c r="P34" s="30"/>
      <c r="Q34" s="14">
        <f>SUM(Q3:Q33)</f>
        <v>3015</v>
      </c>
      <c r="R34" s="1"/>
      <c r="S34" s="14">
        <f>SUM(S3:S33)</f>
        <v>0</v>
      </c>
      <c r="T34" s="1"/>
      <c r="U34" s="14">
        <f>SUM(U3:U33)</f>
        <v>2080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8" sqref="B28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30924884</v>
      </c>
      <c r="F23" s="37">
        <f t="shared" si="5"/>
        <v>17844</v>
      </c>
      <c r="G23" s="145">
        <v>99128200</v>
      </c>
      <c r="H23" s="37">
        <f t="shared" si="6"/>
        <v>46755</v>
      </c>
      <c r="I23" s="146">
        <f t="shared" si="7"/>
        <v>64599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>
        <v>307</v>
      </c>
      <c r="C24" s="143">
        <v>19643</v>
      </c>
      <c r="D24" s="37">
        <f t="shared" si="4"/>
        <v>800</v>
      </c>
      <c r="E24" s="144">
        <v>30937878</v>
      </c>
      <c r="F24" s="37">
        <f t="shared" si="5"/>
        <v>12994</v>
      </c>
      <c r="G24" s="145">
        <v>99172803</v>
      </c>
      <c r="H24" s="37">
        <f t="shared" si="6"/>
        <v>44603</v>
      </c>
      <c r="I24" s="146">
        <f t="shared" si="7"/>
        <v>57597</v>
      </c>
      <c r="J24" s="144">
        <v>9878200</v>
      </c>
      <c r="K24" s="37">
        <f t="shared" si="15"/>
        <v>7892</v>
      </c>
      <c r="L24" s="147">
        <v>35578</v>
      </c>
      <c r="M24" s="37">
        <f t="shared" si="8"/>
        <v>5756</v>
      </c>
      <c r="N24" s="144">
        <v>6597744</v>
      </c>
      <c r="O24" s="37">
        <f t="shared" si="16"/>
        <v>7092</v>
      </c>
      <c r="P24" s="147">
        <v>6528994</v>
      </c>
      <c r="Q24" s="37">
        <f t="shared" si="9"/>
        <v>9611</v>
      </c>
      <c r="R24" s="144">
        <v>21124223</v>
      </c>
      <c r="S24" s="37">
        <f t="shared" si="10"/>
        <v>9968</v>
      </c>
      <c r="T24" s="144">
        <v>0</v>
      </c>
      <c r="U24" s="148"/>
      <c r="V24" s="144">
        <v>9054954</v>
      </c>
      <c r="W24" s="37">
        <f t="shared" si="11"/>
        <v>9923</v>
      </c>
      <c r="X24" s="19">
        <f t="shared" si="12"/>
        <v>50242</v>
      </c>
      <c r="Y24" s="149">
        <f t="shared" si="13"/>
        <v>7355</v>
      </c>
      <c r="Z24" s="167">
        <f t="shared" si="14"/>
        <v>7245.9079472000003</v>
      </c>
      <c r="AA24" s="167">
        <f t="shared" si="17"/>
        <v>32899.917897600004</v>
      </c>
    </row>
    <row r="25" spans="1:27" ht="16.5" thickBot="1" x14ac:dyDescent="0.3">
      <c r="A25" s="9">
        <v>44704</v>
      </c>
      <c r="B25" s="37">
        <v>305</v>
      </c>
      <c r="C25" s="143">
        <v>19646</v>
      </c>
      <c r="D25" s="37">
        <f t="shared" si="4"/>
        <v>480</v>
      </c>
      <c r="E25" s="144">
        <v>30955319</v>
      </c>
      <c r="F25" s="37">
        <f t="shared" si="5"/>
        <v>17441</v>
      </c>
      <c r="G25" s="145">
        <v>99231443</v>
      </c>
      <c r="H25" s="37">
        <f t="shared" si="6"/>
        <v>58640</v>
      </c>
      <c r="I25" s="146">
        <f t="shared" si="7"/>
        <v>76081</v>
      </c>
      <c r="J25" s="144">
        <v>9883364</v>
      </c>
      <c r="K25" s="37">
        <f t="shared" si="15"/>
        <v>10328</v>
      </c>
      <c r="L25" s="147">
        <v>43545</v>
      </c>
      <c r="M25" s="37">
        <f t="shared" si="8"/>
        <v>7967</v>
      </c>
      <c r="N25" s="144">
        <v>6602391</v>
      </c>
      <c r="O25" s="37">
        <f t="shared" si="16"/>
        <v>9294</v>
      </c>
      <c r="P25" s="147">
        <v>6541941</v>
      </c>
      <c r="Q25" s="37">
        <f t="shared" si="9"/>
        <v>12947</v>
      </c>
      <c r="R25" s="144">
        <v>21137279</v>
      </c>
      <c r="S25" s="37">
        <f t="shared" si="10"/>
        <v>13056</v>
      </c>
      <c r="T25" s="144">
        <v>0</v>
      </c>
      <c r="U25" s="148"/>
      <c r="V25" s="144">
        <v>9067968</v>
      </c>
      <c r="W25" s="37">
        <f t="shared" si="11"/>
        <v>13014</v>
      </c>
      <c r="X25" s="19">
        <f t="shared" si="12"/>
        <v>66606</v>
      </c>
      <c r="Y25" s="149">
        <f t="shared" si="13"/>
        <v>9475</v>
      </c>
      <c r="Z25" s="167">
        <f t="shared" si="14"/>
        <v>9547.3703519999981</v>
      </c>
      <c r="AA25" s="167">
        <f t="shared" si="17"/>
        <v>32621.878286399999</v>
      </c>
    </row>
    <row r="26" spans="1:27" ht="16.5" thickBot="1" x14ac:dyDescent="0.3">
      <c r="A26" s="9">
        <v>44705</v>
      </c>
      <c r="B26" s="37">
        <v>286</v>
      </c>
      <c r="C26" s="143">
        <v>19649</v>
      </c>
      <c r="D26" s="37">
        <f t="shared" si="4"/>
        <v>480</v>
      </c>
      <c r="E26" s="144">
        <v>30969806</v>
      </c>
      <c r="F26" s="37">
        <f t="shared" si="5"/>
        <v>14487</v>
      </c>
      <c r="G26" s="145">
        <v>99275266</v>
      </c>
      <c r="H26" s="37">
        <f t="shared" si="6"/>
        <v>43823</v>
      </c>
      <c r="I26" s="146">
        <f t="shared" si="7"/>
        <v>58310</v>
      </c>
      <c r="J26" s="144">
        <v>9887385</v>
      </c>
      <c r="K26" s="37">
        <f t="shared" si="15"/>
        <v>8042</v>
      </c>
      <c r="L26" s="147">
        <v>49234</v>
      </c>
      <c r="M26" s="37">
        <f t="shared" si="8"/>
        <v>5689</v>
      </c>
      <c r="N26" s="144">
        <v>6606713</v>
      </c>
      <c r="O26" s="37">
        <f t="shared" si="16"/>
        <v>8644</v>
      </c>
      <c r="P26" s="147">
        <v>6551913</v>
      </c>
      <c r="Q26" s="37">
        <f t="shared" si="9"/>
        <v>9972</v>
      </c>
      <c r="R26" s="144">
        <v>21146753</v>
      </c>
      <c r="S26" s="37">
        <f t="shared" si="10"/>
        <v>9474</v>
      </c>
      <c r="T26" s="144">
        <v>0</v>
      </c>
      <c r="U26" s="148"/>
      <c r="V26" s="144">
        <v>9077750</v>
      </c>
      <c r="W26" s="37">
        <f t="shared" si="11"/>
        <v>9782</v>
      </c>
      <c r="X26" s="19">
        <f t="shared" si="12"/>
        <v>51603</v>
      </c>
      <c r="Y26" s="149">
        <f t="shared" si="13"/>
        <v>6707</v>
      </c>
      <c r="Z26" s="167">
        <f t="shared" si="14"/>
        <v>7368.7249792000011</v>
      </c>
      <c r="AA26" s="167">
        <f t="shared" si="17"/>
        <v>32377.604043200001</v>
      </c>
    </row>
    <row r="27" spans="1:27" ht="16.5" thickBot="1" x14ac:dyDescent="0.3">
      <c r="A27" s="9">
        <v>44706</v>
      </c>
      <c r="B27" s="37">
        <v>301</v>
      </c>
      <c r="C27" s="143">
        <v>19652</v>
      </c>
      <c r="D27" s="37">
        <f t="shared" si="4"/>
        <v>480</v>
      </c>
      <c r="E27" s="144">
        <v>30984168</v>
      </c>
      <c r="F27" s="37">
        <f t="shared" si="5"/>
        <v>14362</v>
      </c>
      <c r="G27" s="145">
        <v>99321799</v>
      </c>
      <c r="H27" s="37">
        <f t="shared" si="6"/>
        <v>46533</v>
      </c>
      <c r="I27" s="146">
        <f t="shared" si="7"/>
        <v>60895</v>
      </c>
      <c r="J27" s="144">
        <v>9891505</v>
      </c>
      <c r="K27" s="37">
        <f t="shared" si="15"/>
        <v>8240</v>
      </c>
      <c r="L27" s="147">
        <v>55208</v>
      </c>
      <c r="M27" s="37">
        <f t="shared" si="8"/>
        <v>5974</v>
      </c>
      <c r="N27" s="144">
        <v>6610832</v>
      </c>
      <c r="O27" s="37">
        <f t="shared" si="16"/>
        <v>8238</v>
      </c>
      <c r="P27" s="147">
        <v>6562898</v>
      </c>
      <c r="Q27" s="37">
        <f t="shared" si="9"/>
        <v>10985</v>
      </c>
      <c r="R27" s="144">
        <v>21156221</v>
      </c>
      <c r="S27" s="37">
        <f t="shared" si="10"/>
        <v>9468</v>
      </c>
      <c r="T27" s="144">
        <v>0</v>
      </c>
      <c r="U27" s="148"/>
      <c r="V27" s="144">
        <v>9088191</v>
      </c>
      <c r="W27" s="37">
        <f t="shared" si="11"/>
        <v>10441</v>
      </c>
      <c r="X27" s="19">
        <f t="shared" si="12"/>
        <v>53346</v>
      </c>
      <c r="Y27" s="149">
        <f t="shared" si="13"/>
        <v>7549</v>
      </c>
      <c r="Z27" s="167">
        <f t="shared" si="14"/>
        <v>7615.0921808000003</v>
      </c>
      <c r="AA27" s="167">
        <f t="shared" si="17"/>
        <v>31777.095459199998</v>
      </c>
    </row>
    <row r="28" spans="1:27" ht="16.5" thickBot="1" x14ac:dyDescent="0.3">
      <c r="A28" s="9">
        <v>44707</v>
      </c>
      <c r="B28" s="37">
        <v>304</v>
      </c>
      <c r="C28" s="143">
        <v>19656</v>
      </c>
      <c r="D28" s="37">
        <f t="shared" si="4"/>
        <v>640</v>
      </c>
      <c r="E28" s="144">
        <v>31003529</v>
      </c>
      <c r="F28" s="37">
        <f t="shared" si="5"/>
        <v>19361</v>
      </c>
      <c r="G28" s="145">
        <v>99383639</v>
      </c>
      <c r="H28" s="37">
        <f t="shared" si="6"/>
        <v>61840</v>
      </c>
      <c r="I28" s="146">
        <f t="shared" si="7"/>
        <v>81201</v>
      </c>
      <c r="J28" s="144">
        <v>9896927</v>
      </c>
      <c r="K28" s="37">
        <f t="shared" si="15"/>
        <v>10844</v>
      </c>
      <c r="L28" s="147">
        <v>63348</v>
      </c>
      <c r="M28" s="37">
        <f t="shared" si="8"/>
        <v>8140</v>
      </c>
      <c r="N28" s="144">
        <v>6616348</v>
      </c>
      <c r="O28" s="37">
        <f t="shared" si="16"/>
        <v>11032</v>
      </c>
      <c r="P28" s="147">
        <v>6577101</v>
      </c>
      <c r="Q28" s="37">
        <f t="shared" si="9"/>
        <v>14203</v>
      </c>
      <c r="R28" s="144">
        <v>21169307</v>
      </c>
      <c r="S28" s="37">
        <f t="shared" si="10"/>
        <v>13086</v>
      </c>
      <c r="T28" s="144">
        <v>0</v>
      </c>
      <c r="U28" s="148"/>
      <c r="V28" s="144">
        <v>9102092</v>
      </c>
      <c r="W28" s="37">
        <f t="shared" si="11"/>
        <v>13901</v>
      </c>
      <c r="X28" s="19">
        <f t="shared" si="12"/>
        <v>71206</v>
      </c>
      <c r="Y28" s="149">
        <f t="shared" si="13"/>
        <v>9995</v>
      </c>
      <c r="Z28" s="167">
        <f t="shared" si="14"/>
        <v>10203.3755824</v>
      </c>
      <c r="AA28" s="167">
        <f t="shared" si="17"/>
        <v>34734.5630944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 t="str">
        <f t="shared" si="5"/>
        <v>0</v>
      </c>
      <c r="G29" s="145"/>
      <c r="H29" s="37" t="str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 t="str">
        <f t="shared" si="8"/>
        <v>0</v>
      </c>
      <c r="N29" s="144"/>
      <c r="O29" s="37">
        <f t="shared" si="16"/>
        <v>0</v>
      </c>
      <c r="P29" s="147"/>
      <c r="Q29" s="37" t="str">
        <f t="shared" si="9"/>
        <v>0</v>
      </c>
      <c r="R29" s="144"/>
      <c r="S29" s="37" t="str">
        <f t="shared" si="10"/>
        <v>0</v>
      </c>
      <c r="T29" s="144">
        <v>0</v>
      </c>
      <c r="U29" s="148"/>
      <c r="V29" s="144"/>
      <c r="W29" s="37" t="str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25187.192742400002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17818.467763200002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10203.3755824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7273</v>
      </c>
      <c r="C34" s="135">
        <v>0</v>
      </c>
      <c r="D34" s="54">
        <f>SUM(D3:D33)</f>
        <v>14240</v>
      </c>
      <c r="E34" s="54">
        <v>0</v>
      </c>
      <c r="F34" s="54">
        <f>SUM(F3:F33)</f>
        <v>351073</v>
      </c>
      <c r="G34" s="54">
        <v>0</v>
      </c>
      <c r="H34" s="54">
        <f>SUM(H3:H33)</f>
        <v>1218198</v>
      </c>
      <c r="I34" s="54">
        <f>SUM(I3:I33)</f>
        <v>1569271</v>
      </c>
      <c r="J34" s="54">
        <v>0</v>
      </c>
      <c r="K34" s="54">
        <f>SUM(K2:K33)</f>
        <v>219572</v>
      </c>
      <c r="L34" s="54">
        <v>0</v>
      </c>
      <c r="M34" s="54">
        <f>SUM(M3:M33)</f>
        <v>154489</v>
      </c>
      <c r="N34" s="54">
        <v>0</v>
      </c>
      <c r="O34" s="54">
        <f>SUM(O3:O33)</f>
        <v>185374</v>
      </c>
      <c r="P34" s="54">
        <v>0</v>
      </c>
      <c r="Q34" s="54">
        <f>SUM(Q3:Q33)</f>
        <v>252291</v>
      </c>
      <c r="R34" s="54">
        <v>0</v>
      </c>
      <c r="S34" s="54">
        <f>SUM(S3:S33)</f>
        <v>273684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275325</v>
      </c>
      <c r="X34" s="54">
        <f>SUM(X3:X33)</f>
        <v>1360735</v>
      </c>
      <c r="Y34" s="54">
        <f>SUM(Y3:Y32)</f>
        <v>208536</v>
      </c>
      <c r="Z34" s="169">
        <f>SUM(Z3:Z32)</f>
        <v>196612.71595680001</v>
      </c>
      <c r="AA34" s="169">
        <f>SUM(AA3:AA32)</f>
        <v>786450.86382720002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>
        <v>449209</v>
      </c>
      <c r="C24" s="37">
        <f t="shared" si="7"/>
        <v>1050</v>
      </c>
      <c r="D24" s="3">
        <v>8339</v>
      </c>
      <c r="E24" s="37">
        <f t="shared" si="8"/>
        <v>440</v>
      </c>
      <c r="F24" s="3">
        <v>9144800</v>
      </c>
      <c r="G24" s="37">
        <f t="shared" si="5"/>
        <v>486</v>
      </c>
      <c r="H24" s="3">
        <v>792122</v>
      </c>
      <c r="I24" s="42">
        <f t="shared" si="6"/>
        <v>4.59</v>
      </c>
      <c r="J24" s="19">
        <f t="shared" si="3"/>
        <v>1980.59</v>
      </c>
      <c r="K24" s="20">
        <f t="shared" si="4"/>
        <v>11606.2574</v>
      </c>
    </row>
    <row r="25" spans="1:25" ht="17.25" customHeight="1" thickBot="1" x14ac:dyDescent="0.4">
      <c r="A25" s="9">
        <v>44704</v>
      </c>
      <c r="B25" s="3">
        <v>449321</v>
      </c>
      <c r="C25" s="37">
        <f t="shared" si="7"/>
        <v>1120</v>
      </c>
      <c r="D25" s="3">
        <v>8392</v>
      </c>
      <c r="E25" s="37">
        <f t="shared" si="8"/>
        <v>530</v>
      </c>
      <c r="F25" s="3">
        <v>9162300</v>
      </c>
      <c r="G25" s="37">
        <f t="shared" si="5"/>
        <v>472.5</v>
      </c>
      <c r="H25" s="3">
        <v>792300</v>
      </c>
      <c r="I25" s="42">
        <f t="shared" si="6"/>
        <v>4.806</v>
      </c>
      <c r="J25" s="19">
        <f t="shared" si="3"/>
        <v>2127.306</v>
      </c>
      <c r="K25" s="20">
        <f t="shared" si="4"/>
        <v>12466.01316</v>
      </c>
      <c r="Y25" s="53"/>
    </row>
    <row r="26" spans="1:25" ht="16.5" thickBot="1" x14ac:dyDescent="0.3">
      <c r="A26" s="9">
        <v>44705</v>
      </c>
      <c r="B26" s="3">
        <v>449424</v>
      </c>
      <c r="C26" s="37">
        <f t="shared" si="7"/>
        <v>1030</v>
      </c>
      <c r="D26" s="3">
        <v>8443</v>
      </c>
      <c r="E26" s="37">
        <f t="shared" si="8"/>
        <v>510</v>
      </c>
      <c r="F26" s="3">
        <v>9180500</v>
      </c>
      <c r="G26" s="37">
        <f t="shared" si="5"/>
        <v>491.4</v>
      </c>
      <c r="H26" s="3">
        <v>792490</v>
      </c>
      <c r="I26" s="42">
        <f t="shared" si="6"/>
        <v>5.13</v>
      </c>
      <c r="J26" s="19">
        <f t="shared" si="3"/>
        <v>2036.5300000000002</v>
      </c>
      <c r="K26" s="20">
        <f t="shared" si="4"/>
        <v>11934.065800000002</v>
      </c>
      <c r="L26" t="s">
        <v>12</v>
      </c>
    </row>
    <row r="27" spans="1:25" ht="16.5" thickBot="1" x14ac:dyDescent="0.3">
      <c r="A27" s="9">
        <v>44706</v>
      </c>
      <c r="B27" s="3">
        <v>449524</v>
      </c>
      <c r="C27" s="37">
        <f t="shared" si="7"/>
        <v>1000</v>
      </c>
      <c r="D27" s="3">
        <v>8493</v>
      </c>
      <c r="E27" s="37">
        <f t="shared" si="8"/>
        <v>500</v>
      </c>
      <c r="F27" s="3">
        <v>9199200</v>
      </c>
      <c r="G27" s="37">
        <f t="shared" si="5"/>
        <v>504.9</v>
      </c>
      <c r="H27" s="3">
        <v>792683</v>
      </c>
      <c r="I27" s="42">
        <f t="shared" si="6"/>
        <v>5.2110000000000003</v>
      </c>
      <c r="J27" s="19">
        <f t="shared" si="3"/>
        <v>2010.1110000000001</v>
      </c>
      <c r="K27" s="20">
        <f t="shared" si="4"/>
        <v>11779.250460000001</v>
      </c>
      <c r="O27" t="s">
        <v>12</v>
      </c>
    </row>
    <row r="28" spans="1:25" ht="16.5" thickBot="1" x14ac:dyDescent="0.3">
      <c r="A28" s="9">
        <v>44707</v>
      </c>
      <c r="B28" s="3">
        <v>449624</v>
      </c>
      <c r="C28" s="37">
        <f t="shared" si="7"/>
        <v>1000</v>
      </c>
      <c r="D28" s="3">
        <v>8543</v>
      </c>
      <c r="E28" s="37">
        <f t="shared" si="8"/>
        <v>500</v>
      </c>
      <c r="F28" s="3">
        <v>9217900</v>
      </c>
      <c r="G28" s="37">
        <f t="shared" si="5"/>
        <v>504.9</v>
      </c>
      <c r="H28" s="3">
        <v>792876</v>
      </c>
      <c r="I28" s="42">
        <f t="shared" si="6"/>
        <v>5.2110000000000003</v>
      </c>
      <c r="J28" s="19">
        <f t="shared" si="3"/>
        <v>2010.1110000000001</v>
      </c>
      <c r="K28" s="20">
        <f t="shared" si="4"/>
        <v>11779.250460000001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26220</v>
      </c>
      <c r="D34" s="3"/>
      <c r="E34" s="54">
        <f>SUM(E3:E33)</f>
        <v>12300</v>
      </c>
      <c r="F34" s="3"/>
      <c r="G34" s="54">
        <f>SUM(G3:G33)</f>
        <v>12600.9</v>
      </c>
      <c r="H34" s="3"/>
      <c r="I34" s="54">
        <f>SUM(I3:I33)</f>
        <v>132.81300000000002</v>
      </c>
      <c r="J34" s="54">
        <f>SUM(J3:J33)</f>
        <v>51253.712999999996</v>
      </c>
      <c r="K34" s="54">
        <f>SUM(K3:K33)</f>
        <v>300346.75818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8" sqref="A28:XFD2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18261547</v>
      </c>
      <c r="C17" s="43">
        <f t="shared" si="0"/>
        <v>1853</v>
      </c>
    </row>
    <row r="18" spans="1:9" ht="24" thickBot="1" x14ac:dyDescent="0.4">
      <c r="A18" s="9">
        <v>44697</v>
      </c>
      <c r="B18" s="131">
        <v>18263141</v>
      </c>
      <c r="C18" s="43">
        <f t="shared" si="0"/>
        <v>1594</v>
      </c>
      <c r="I18" s="33"/>
    </row>
    <row r="19" spans="1:9" ht="24" thickBot="1" x14ac:dyDescent="0.4">
      <c r="A19" s="9">
        <v>44698</v>
      </c>
      <c r="B19" s="131">
        <v>18265788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18268854</v>
      </c>
      <c r="C20" s="43">
        <f t="shared" si="0"/>
        <v>3066</v>
      </c>
    </row>
    <row r="21" spans="1:9" ht="24" thickBot="1" x14ac:dyDescent="0.4">
      <c r="A21" s="9">
        <v>44700</v>
      </c>
      <c r="B21" s="131">
        <v>18271797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18273854</v>
      </c>
      <c r="C22" s="43">
        <f t="shared" si="0"/>
        <v>2057</v>
      </c>
    </row>
    <row r="23" spans="1:9" ht="24" thickBot="1" x14ac:dyDescent="0.4">
      <c r="A23" s="9">
        <v>44702</v>
      </c>
      <c r="B23" s="131">
        <v>18276227</v>
      </c>
      <c r="C23" s="43">
        <f t="shared" si="0"/>
        <v>2373</v>
      </c>
      <c r="F23" t="s">
        <v>12</v>
      </c>
    </row>
    <row r="24" spans="1:9" ht="24" thickBot="1" x14ac:dyDescent="0.4">
      <c r="A24" s="9">
        <v>44703</v>
      </c>
      <c r="B24" s="131">
        <v>18278299</v>
      </c>
      <c r="C24" s="43">
        <f t="shared" si="0"/>
        <v>2072</v>
      </c>
      <c r="E24" t="s">
        <v>12</v>
      </c>
    </row>
    <row r="25" spans="1:9" ht="24" thickBot="1" x14ac:dyDescent="0.4">
      <c r="A25" s="9">
        <v>44704</v>
      </c>
      <c r="B25" s="131">
        <v>18280587</v>
      </c>
      <c r="C25" s="43">
        <f t="shared" si="0"/>
        <v>2288</v>
      </c>
    </row>
    <row r="26" spans="1:9" ht="24" thickBot="1" x14ac:dyDescent="0.4">
      <c r="A26" s="9">
        <v>44705</v>
      </c>
      <c r="B26" s="131">
        <v>18283219</v>
      </c>
      <c r="C26" s="43">
        <f t="shared" si="0"/>
        <v>2632</v>
      </c>
    </row>
    <row r="27" spans="1:9" ht="24" thickBot="1" x14ac:dyDescent="0.4">
      <c r="A27" s="9">
        <v>44706</v>
      </c>
      <c r="B27" s="131">
        <v>18285524</v>
      </c>
      <c r="C27" s="43">
        <f t="shared" si="0"/>
        <v>2305</v>
      </c>
    </row>
    <row r="28" spans="1:9" ht="24" thickBot="1" x14ac:dyDescent="0.4">
      <c r="A28" s="9">
        <v>44707</v>
      </c>
      <c r="B28" s="131">
        <v>18288637</v>
      </c>
      <c r="C28" s="43">
        <f t="shared" si="0"/>
        <v>3113</v>
      </c>
      <c r="I28" t="s">
        <v>12</v>
      </c>
    </row>
    <row r="29" spans="1:9" ht="24" thickBot="1" x14ac:dyDescent="0.4">
      <c r="A29" s="9">
        <v>44708</v>
      </c>
      <c r="B29" s="131"/>
      <c r="C29" s="43" t="str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59407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>
        <v>23402.137999999999</v>
      </c>
      <c r="C24" s="42">
        <f t="shared" si="22"/>
        <v>8.2340000000003783</v>
      </c>
      <c r="D24" s="26">
        <f t="shared" si="23"/>
        <v>15644.600000000719</v>
      </c>
      <c r="E24" s="157">
        <v>4215.46</v>
      </c>
      <c r="F24" s="42">
        <f t="shared" si="24"/>
        <v>1.8720000000002983</v>
      </c>
      <c r="G24" s="26">
        <f t="shared" si="25"/>
        <v>3556.8000000005668</v>
      </c>
      <c r="H24" s="157">
        <v>5244</v>
      </c>
      <c r="I24" s="42">
        <f t="shared" si="26"/>
        <v>7</v>
      </c>
      <c r="J24" s="26">
        <f t="shared" si="27"/>
        <v>13299.999999999998</v>
      </c>
      <c r="K24" s="7">
        <v>13959.46</v>
      </c>
      <c r="L24" s="42">
        <f t="shared" si="28"/>
        <v>1.2199999999993452</v>
      </c>
      <c r="M24" s="26">
        <f t="shared" si="29"/>
        <v>2317.9999999987558</v>
      </c>
      <c r="N24" s="157">
        <v>3544.5619999999999</v>
      </c>
      <c r="O24" s="42">
        <f t="shared" si="30"/>
        <v>1.3820000000000618</v>
      </c>
      <c r="P24" s="26">
        <f t="shared" si="31"/>
        <v>2625.8000000001175</v>
      </c>
      <c r="Q24" s="157">
        <v>5341.15</v>
      </c>
      <c r="R24" s="42">
        <f t="shared" si="32"/>
        <v>0.71000000000003638</v>
      </c>
      <c r="S24" s="26">
        <f t="shared" si="33"/>
        <v>1349.0000000000691</v>
      </c>
      <c r="T24" s="8">
        <f t="shared" si="35"/>
        <v>20.41800000000012</v>
      </c>
      <c r="U24" s="28">
        <f t="shared" si="34"/>
        <v>38794.200000000223</v>
      </c>
      <c r="W24" s="154">
        <v>44703</v>
      </c>
      <c r="X24" s="155">
        <v>175009</v>
      </c>
      <c r="Y24" s="160">
        <f t="shared" si="21"/>
        <v>237</v>
      </c>
      <c r="Z24" s="155">
        <v>9252</v>
      </c>
      <c r="AA24" s="160">
        <f t="shared" si="21"/>
        <v>6</v>
      </c>
      <c r="AB24" s="155">
        <v>27.4</v>
      </c>
      <c r="AC24" s="160">
        <f t="shared" si="21"/>
        <v>0</v>
      </c>
      <c r="AD24" s="155">
        <v>472</v>
      </c>
      <c r="AE24" s="160">
        <f t="shared" si="21"/>
        <v>3</v>
      </c>
      <c r="AF24" s="155">
        <v>7436</v>
      </c>
      <c r="AG24" s="160">
        <f t="shared" si="21"/>
        <v>10</v>
      </c>
    </row>
    <row r="25" spans="1:33" ht="16.5" thickBot="1" x14ac:dyDescent="0.25">
      <c r="A25" s="9">
        <v>44704</v>
      </c>
      <c r="B25" s="157">
        <v>23410.866000000002</v>
      </c>
      <c r="C25" s="42">
        <f t="shared" si="22"/>
        <v>8.728000000002794</v>
      </c>
      <c r="D25" s="26">
        <f t="shared" si="23"/>
        <v>16583.200000005309</v>
      </c>
      <c r="E25" s="157">
        <v>4217.7560000000003</v>
      </c>
      <c r="F25" s="42">
        <f t="shared" si="24"/>
        <v>2.2960000000002765</v>
      </c>
      <c r="G25" s="26">
        <f t="shared" si="25"/>
        <v>4362.4000000005253</v>
      </c>
      <c r="H25" s="157">
        <v>5252</v>
      </c>
      <c r="I25" s="42">
        <f t="shared" si="26"/>
        <v>8</v>
      </c>
      <c r="J25" s="26">
        <f t="shared" si="27"/>
        <v>15200</v>
      </c>
      <c r="K25" s="7">
        <v>13960.84</v>
      </c>
      <c r="L25" s="42">
        <f t="shared" si="28"/>
        <v>1.3800000000010186</v>
      </c>
      <c r="M25" s="26">
        <f t="shared" si="29"/>
        <v>2622.0000000019354</v>
      </c>
      <c r="N25" s="157">
        <v>3545.886</v>
      </c>
      <c r="O25" s="42">
        <f t="shared" si="30"/>
        <v>1.3240000000000691</v>
      </c>
      <c r="P25" s="26">
        <f t="shared" si="31"/>
        <v>2515.6000000001309</v>
      </c>
      <c r="Q25" s="157">
        <v>5342.66</v>
      </c>
      <c r="R25" s="42">
        <f t="shared" si="32"/>
        <v>1.5100000000002183</v>
      </c>
      <c r="S25" s="26">
        <f t="shared" si="33"/>
        <v>2869.0000000004147</v>
      </c>
      <c r="T25" s="8">
        <f t="shared" si="35"/>
        <v>23.238000000004376</v>
      </c>
      <c r="U25" s="28">
        <f t="shared" si="34"/>
        <v>44152.200000008314</v>
      </c>
      <c r="W25" s="154">
        <v>44704</v>
      </c>
      <c r="X25" s="155">
        <v>175254</v>
      </c>
      <c r="Y25" s="160">
        <f t="shared" si="21"/>
        <v>245</v>
      </c>
      <c r="Z25" s="155">
        <v>9260</v>
      </c>
      <c r="AA25" s="160">
        <f t="shared" si="21"/>
        <v>8</v>
      </c>
      <c r="AB25" s="155">
        <v>27.4</v>
      </c>
      <c r="AC25" s="160">
        <f t="shared" si="21"/>
        <v>0</v>
      </c>
      <c r="AD25" s="155">
        <v>475</v>
      </c>
      <c r="AE25" s="160">
        <f t="shared" si="21"/>
        <v>3</v>
      </c>
      <c r="AF25" s="155">
        <v>7452</v>
      </c>
      <c r="AG25" s="160">
        <f t="shared" si="21"/>
        <v>16</v>
      </c>
    </row>
    <row r="26" spans="1:33" ht="16.5" thickBot="1" x14ac:dyDescent="0.25">
      <c r="A26" s="9">
        <v>44705</v>
      </c>
      <c r="B26" s="157">
        <v>23421.036</v>
      </c>
      <c r="C26" s="42">
        <f t="shared" si="22"/>
        <v>10.169999999998254</v>
      </c>
      <c r="D26" s="26">
        <f t="shared" si="23"/>
        <v>19322.999999996682</v>
      </c>
      <c r="E26" s="157">
        <v>4220.6350000000002</v>
      </c>
      <c r="F26" s="42">
        <f t="shared" si="24"/>
        <v>2.8789999999999054</v>
      </c>
      <c r="G26" s="26">
        <f t="shared" si="25"/>
        <v>5470.0999999998203</v>
      </c>
      <c r="H26" s="157">
        <v>5260</v>
      </c>
      <c r="I26" s="42">
        <f t="shared" si="26"/>
        <v>8</v>
      </c>
      <c r="J26" s="26">
        <f t="shared" si="27"/>
        <v>15200</v>
      </c>
      <c r="K26" s="7">
        <v>13962.48</v>
      </c>
      <c r="L26" s="42">
        <f>IF((K26-K25)&lt;0,"0",(K26-K25))</f>
        <v>1.6399999999994179</v>
      </c>
      <c r="M26" s="26">
        <f t="shared" si="29"/>
        <v>3115.9999999988941</v>
      </c>
      <c r="N26" s="157">
        <v>3547.4160000000002</v>
      </c>
      <c r="O26" s="42">
        <f t="shared" si="30"/>
        <v>1.5300000000002001</v>
      </c>
      <c r="P26" s="26">
        <f t="shared" si="31"/>
        <v>2907.0000000003802</v>
      </c>
      <c r="Q26" s="157">
        <v>5343.89</v>
      </c>
      <c r="R26" s="42">
        <f t="shared" si="32"/>
        <v>1.2300000000004729</v>
      </c>
      <c r="S26" s="26">
        <f t="shared" si="33"/>
        <v>2337.0000000008986</v>
      </c>
      <c r="T26" s="8">
        <f t="shared" si="35"/>
        <v>25.44899999999825</v>
      </c>
      <c r="U26" s="28">
        <f t="shared" si="34"/>
        <v>48353.099999996673</v>
      </c>
      <c r="V26" t="s">
        <v>12</v>
      </c>
      <c r="W26" s="154">
        <v>44705</v>
      </c>
      <c r="X26" s="155">
        <v>175430</v>
      </c>
      <c r="Y26" s="160">
        <f t="shared" si="21"/>
        <v>176</v>
      </c>
      <c r="Z26" s="155">
        <v>9265</v>
      </c>
      <c r="AA26" s="160">
        <f t="shared" si="21"/>
        <v>5</v>
      </c>
      <c r="AB26" s="155">
        <v>27.4</v>
      </c>
      <c r="AC26" s="160">
        <f t="shared" si="21"/>
        <v>0</v>
      </c>
      <c r="AD26" s="155">
        <v>478</v>
      </c>
      <c r="AE26" s="160">
        <f t="shared" si="21"/>
        <v>3</v>
      </c>
      <c r="AF26" s="155">
        <v>7466</v>
      </c>
      <c r="AG26" s="160">
        <f t="shared" si="21"/>
        <v>14</v>
      </c>
    </row>
    <row r="27" spans="1:33" ht="16.5" thickBot="1" x14ac:dyDescent="0.25">
      <c r="A27" s="9">
        <v>44706</v>
      </c>
      <c r="B27" s="157">
        <v>23431.261999999999</v>
      </c>
      <c r="C27" s="42">
        <f t="shared" si="22"/>
        <v>10.225999999998749</v>
      </c>
      <c r="D27" s="26">
        <f t="shared" si="23"/>
        <v>19429.399999997622</v>
      </c>
      <c r="E27" s="157">
        <v>4223.1270000000004</v>
      </c>
      <c r="F27" s="42">
        <f t="shared" si="24"/>
        <v>2.4920000000001892</v>
      </c>
      <c r="G27" s="26">
        <f t="shared" si="25"/>
        <v>4734.8000000003594</v>
      </c>
      <c r="H27" s="157">
        <v>5269</v>
      </c>
      <c r="I27" s="42">
        <f t="shared" si="26"/>
        <v>9</v>
      </c>
      <c r="J27" s="26">
        <f t="shared" si="27"/>
        <v>17099.999999999996</v>
      </c>
      <c r="K27" s="7">
        <v>13963.73</v>
      </c>
      <c r="L27" s="42">
        <f t="shared" si="28"/>
        <v>1.25</v>
      </c>
      <c r="M27" s="26">
        <f t="shared" si="29"/>
        <v>2375</v>
      </c>
      <c r="N27" s="157">
        <v>3549.05</v>
      </c>
      <c r="O27" s="42">
        <f t="shared" si="30"/>
        <v>1.6340000000000146</v>
      </c>
      <c r="P27" s="26">
        <f t="shared" si="31"/>
        <v>3104.6000000000276</v>
      </c>
      <c r="Q27" s="157">
        <v>5345.16</v>
      </c>
      <c r="R27" s="42">
        <f t="shared" si="32"/>
        <v>1.2699999999995271</v>
      </c>
      <c r="S27" s="26">
        <f t="shared" si="33"/>
        <v>2412.9999999991014</v>
      </c>
      <c r="T27" s="8">
        <f t="shared" si="35"/>
        <v>25.871999999998479</v>
      </c>
      <c r="U27" s="28">
        <f t="shared" si="34"/>
        <v>49156.799999997107</v>
      </c>
      <c r="V27" t="s">
        <v>12</v>
      </c>
      <c r="W27" s="154">
        <v>44706</v>
      </c>
      <c r="X27" s="155">
        <v>175615</v>
      </c>
      <c r="Y27" s="160">
        <f t="shared" si="21"/>
        <v>185</v>
      </c>
      <c r="Z27" s="155">
        <v>9271</v>
      </c>
      <c r="AA27" s="160">
        <f t="shared" si="21"/>
        <v>6</v>
      </c>
      <c r="AB27" s="155">
        <v>27.4</v>
      </c>
      <c r="AC27" s="160">
        <f t="shared" si="21"/>
        <v>0</v>
      </c>
      <c r="AD27" s="155">
        <v>480</v>
      </c>
      <c r="AE27" s="160">
        <f t="shared" si="21"/>
        <v>2</v>
      </c>
      <c r="AF27" s="155">
        <v>7477</v>
      </c>
      <c r="AG27" s="160">
        <f t="shared" si="21"/>
        <v>11</v>
      </c>
    </row>
    <row r="28" spans="1:33" ht="16.5" thickBot="1" x14ac:dyDescent="0.25">
      <c r="A28" s="9">
        <v>44707</v>
      </c>
      <c r="B28" s="157">
        <v>23442.754000000001</v>
      </c>
      <c r="C28" s="42">
        <f t="shared" si="22"/>
        <v>11.492000000002008</v>
      </c>
      <c r="D28" s="26">
        <f t="shared" si="23"/>
        <v>21834.800000003812</v>
      </c>
      <c r="E28" s="157">
        <v>4225.942</v>
      </c>
      <c r="F28" s="42">
        <f t="shared" si="24"/>
        <v>2.8149999999995998</v>
      </c>
      <c r="G28" s="26">
        <f t="shared" si="25"/>
        <v>5348.4999999992397</v>
      </c>
      <c r="H28" s="157">
        <v>5277</v>
      </c>
      <c r="I28" s="42">
        <f t="shared" si="26"/>
        <v>8</v>
      </c>
      <c r="J28" s="26">
        <f t="shared" si="27"/>
        <v>15200</v>
      </c>
      <c r="K28" s="7">
        <v>13965.17</v>
      </c>
      <c r="L28" s="42">
        <f t="shared" si="28"/>
        <v>1.4400000000005093</v>
      </c>
      <c r="M28" s="26">
        <f t="shared" si="29"/>
        <v>2736.0000000009672</v>
      </c>
      <c r="N28" s="157">
        <v>3550.9250000000002</v>
      </c>
      <c r="O28" s="42">
        <f t="shared" si="30"/>
        <v>1.875</v>
      </c>
      <c r="P28" s="26">
        <f t="shared" si="31"/>
        <v>3562.5</v>
      </c>
      <c r="Q28" s="157">
        <v>5346.49</v>
      </c>
      <c r="R28" s="42">
        <f t="shared" si="32"/>
        <v>1.3299999999999272</v>
      </c>
      <c r="S28" s="26">
        <f t="shared" si="33"/>
        <v>2526.9999999998618</v>
      </c>
      <c r="T28" s="8">
        <f t="shared" si="35"/>
        <v>26.952000000002045</v>
      </c>
      <c r="U28" s="28">
        <f t="shared" si="34"/>
        <v>51208.800000003881</v>
      </c>
      <c r="W28" s="154">
        <v>44707</v>
      </c>
      <c r="X28" s="155">
        <v>175822</v>
      </c>
      <c r="Y28" s="160">
        <f t="shared" si="21"/>
        <v>207</v>
      </c>
      <c r="Z28" s="155">
        <v>9277</v>
      </c>
      <c r="AA28" s="160">
        <f t="shared" si="21"/>
        <v>6</v>
      </c>
      <c r="AB28" s="155">
        <v>27.5</v>
      </c>
      <c r="AC28" s="160">
        <f t="shared" si="21"/>
        <v>0.10000000000000142</v>
      </c>
      <c r="AD28" s="155">
        <v>483</v>
      </c>
      <c r="AE28" s="160">
        <f t="shared" si="21"/>
        <v>3</v>
      </c>
      <c r="AF28" s="155">
        <v>7490</v>
      </c>
      <c r="AG28" s="160">
        <f t="shared" si="21"/>
        <v>13</v>
      </c>
    </row>
    <row r="29" spans="1:33" ht="16.5" thickBot="1" x14ac:dyDescent="0.25">
      <c r="A29" s="9">
        <v>44708</v>
      </c>
      <c r="B29" s="157"/>
      <c r="C29" s="42" t="str">
        <f t="shared" si="22"/>
        <v>0</v>
      </c>
      <c r="D29" s="26">
        <f t="shared" si="23"/>
        <v>0</v>
      </c>
      <c r="E29" s="157"/>
      <c r="F29" s="42" t="str">
        <f t="shared" si="24"/>
        <v>0</v>
      </c>
      <c r="G29" s="26">
        <f t="shared" si="25"/>
        <v>0</v>
      </c>
      <c r="H29" s="157"/>
      <c r="I29" s="42" t="str">
        <f t="shared" si="26"/>
        <v>0</v>
      </c>
      <c r="J29" s="26">
        <f t="shared" si="27"/>
        <v>0</v>
      </c>
      <c r="K29" s="7"/>
      <c r="L29" s="42" t="str">
        <f t="shared" si="28"/>
        <v>0</v>
      </c>
      <c r="M29" s="26">
        <f t="shared" si="29"/>
        <v>0</v>
      </c>
      <c r="N29" s="157"/>
      <c r="O29" s="42" t="str">
        <f t="shared" si="30"/>
        <v>0</v>
      </c>
      <c r="P29" s="26">
        <f t="shared" si="31"/>
        <v>0</v>
      </c>
      <c r="Q29" s="157"/>
      <c r="R29" s="42" t="str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 t="str">
        <f t="shared" si="21"/>
        <v>0</v>
      </c>
      <c r="Z29" s="155"/>
      <c r="AA29" s="160" t="str">
        <f t="shared" si="21"/>
        <v>0</v>
      </c>
      <c r="AB29" s="155"/>
      <c r="AC29" s="160" t="str">
        <f t="shared" si="21"/>
        <v>0</v>
      </c>
      <c r="AD29" s="155"/>
      <c r="AE29" s="160" t="str">
        <f t="shared" si="21"/>
        <v>0</v>
      </c>
      <c r="AF29" s="155"/>
      <c r="AG29" s="160" t="str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227.26699999999983</v>
      </c>
      <c r="D34" s="135">
        <f>SUM(D3:D32)</f>
        <v>431807.29999999964</v>
      </c>
      <c r="E34" s="135"/>
      <c r="F34" s="42">
        <f>SUM(F2:F32)</f>
        <v>48.6850000000004</v>
      </c>
      <c r="G34" s="135">
        <f>SUM(G3:G32)</f>
        <v>92501.500000000757</v>
      </c>
      <c r="H34" s="135"/>
      <c r="I34" s="42">
        <f>SUM(I2:I32)</f>
        <v>170</v>
      </c>
      <c r="J34" s="135">
        <f>SUM(J3:J32)</f>
        <v>323000</v>
      </c>
      <c r="K34" s="135"/>
      <c r="L34" s="42">
        <f>SUM(L2:L32)</f>
        <v>39.049999999999272</v>
      </c>
      <c r="M34" s="135">
        <f>SUM(M3:M32)</f>
        <v>74194.999999998603</v>
      </c>
      <c r="N34" s="135"/>
      <c r="O34" s="42">
        <f>SUM(O2:O32)</f>
        <v>40.425000000000182</v>
      </c>
      <c r="P34" s="135">
        <f>SUM(P3:P32)</f>
        <v>76807.50000000032</v>
      </c>
      <c r="Q34" s="135"/>
      <c r="R34" s="42">
        <f>SUM(R3:R32)</f>
        <v>32.6899999999996</v>
      </c>
      <c r="S34" s="135">
        <f>SUM(S3:S32)</f>
        <v>62110.999999999236</v>
      </c>
      <c r="T34" s="135">
        <f>SUM(T3:T32)</f>
        <v>558.11699999999928</v>
      </c>
      <c r="U34" s="135">
        <f>SUM(U3:U32)</f>
        <v>1060422.2999999986</v>
      </c>
      <c r="V34"/>
      <c r="W34" s="135" t="s">
        <v>141</v>
      </c>
      <c r="X34" s="135"/>
      <c r="Y34" s="135">
        <f>SUM(Y2:Y33)</f>
        <v>4661</v>
      </c>
      <c r="Z34" s="135"/>
      <c r="AA34" s="135">
        <f>SUM(AA2:AA33)</f>
        <v>200</v>
      </c>
      <c r="AB34" s="135"/>
      <c r="AC34" s="135">
        <f>SUM(AC2:AC33)</f>
        <v>0.5</v>
      </c>
      <c r="AD34" s="135"/>
      <c r="AE34" s="135">
        <f>SUM(AE2:AE33)</f>
        <v>58</v>
      </c>
      <c r="AF34" s="135">
        <v>0</v>
      </c>
      <c r="AG34" s="135">
        <f>SUM(AG2:AG33)</f>
        <v>979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84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84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89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89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85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85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84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84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89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89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85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85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84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84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89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89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85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85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84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84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89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89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85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85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84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84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89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89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85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85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84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84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89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89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85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85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84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84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89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89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85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85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84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84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89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89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85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85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84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84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89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89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85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85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84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84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89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89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85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85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84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84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89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89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85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85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84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84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89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89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85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85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84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84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89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89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85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85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84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84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89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89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85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85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84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84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89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89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84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84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89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89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84">
        <v>23</v>
      </c>
      <c r="D49" s="59" t="s">
        <v>83</v>
      </c>
      <c r="E49" s="60"/>
      <c r="F49" s="74"/>
      <c r="G49" s="61">
        <f t="shared" si="2"/>
        <v>0</v>
      </c>
      <c r="H49" s="62"/>
      <c r="J49" s="184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89"/>
      <c r="D50" s="59" t="s">
        <v>82</v>
      </c>
      <c r="E50" s="60"/>
      <c r="F50" s="74"/>
      <c r="G50" s="61">
        <f t="shared" si="2"/>
        <v>0</v>
      </c>
      <c r="H50" s="62"/>
      <c r="J50" s="189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90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90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91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91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92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92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84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84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85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85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84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84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85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85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84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84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85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85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84">
        <v>28</v>
      </c>
      <c r="D62" s="179" t="s">
        <v>86</v>
      </c>
      <c r="E62" s="60"/>
      <c r="F62" s="60"/>
      <c r="G62" s="61"/>
      <c r="H62" s="181" t="s">
        <v>87</v>
      </c>
      <c r="I62" s="65"/>
      <c r="J62" s="184">
        <v>28</v>
      </c>
      <c r="K62" s="179" t="s">
        <v>86</v>
      </c>
      <c r="L62" s="60"/>
      <c r="M62" s="60"/>
      <c r="N62" s="61"/>
      <c r="O62" s="181" t="s">
        <v>87</v>
      </c>
    </row>
    <row r="63" spans="1:15" ht="15" x14ac:dyDescent="0.2">
      <c r="A63" s="65"/>
      <c r="B63" s="55"/>
      <c r="C63" s="185"/>
      <c r="D63" s="180"/>
      <c r="E63" s="60"/>
      <c r="F63" s="60"/>
      <c r="G63" s="61"/>
      <c r="H63" s="182"/>
      <c r="I63" s="65"/>
      <c r="J63" s="185"/>
      <c r="K63" s="180"/>
      <c r="L63" s="60"/>
      <c r="M63" s="60"/>
      <c r="N63" s="61"/>
      <c r="O63" s="182"/>
    </row>
    <row r="64" spans="1:15" x14ac:dyDescent="0.2">
      <c r="A64" s="65"/>
      <c r="B64" s="55"/>
      <c r="C64" s="183" t="s">
        <v>88</v>
      </c>
      <c r="D64" s="183"/>
      <c r="E64" s="183"/>
      <c r="F64" s="183"/>
      <c r="G64" s="79">
        <f>SUM(G2:G63)</f>
        <v>35162</v>
      </c>
      <c r="H64" s="80"/>
      <c r="I64" s="65"/>
      <c r="J64" s="183" t="s">
        <v>88</v>
      </c>
      <c r="K64" s="183"/>
      <c r="L64" s="183"/>
      <c r="M64" s="183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86">
        <v>44621</v>
      </c>
      <c r="C69" s="187"/>
      <c r="D69" s="187"/>
      <c r="E69" s="188"/>
      <c r="F69" s="83"/>
      <c r="G69" s="186">
        <v>44652</v>
      </c>
      <c r="H69" s="187"/>
      <c r="I69" s="187"/>
      <c r="J69" s="188"/>
      <c r="K69" s="83"/>
      <c r="L69" s="176" t="s">
        <v>25</v>
      </c>
      <c r="M69" s="177"/>
      <c r="N69" s="177"/>
      <c r="O69" s="178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-16609615</v>
      </c>
      <c r="D7" s="103">
        <f t="shared" si="0"/>
        <v>-21094211.050000001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30159</v>
      </c>
      <c r="D8" s="103">
        <f t="shared" si="0"/>
        <v>38301.93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6113</v>
      </c>
      <c r="D9" s="103">
        <f t="shared" si="0"/>
        <v>7763.51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12160</v>
      </c>
      <c r="D10" s="103">
        <f t="shared" si="0"/>
        <v>15443.2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3015</v>
      </c>
      <c r="D11" s="103">
        <f t="shared" si="0"/>
        <v>3829.05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3994</v>
      </c>
      <c r="K16" s="92">
        <f>(J16-I16)*160</f>
        <v>2080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315630</v>
      </c>
      <c r="K17" s="92">
        <f>(J17-I17)</f>
        <v>3949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26156</v>
      </c>
      <c r="K18" s="92">
        <f>(J18-I18)*160</f>
        <v>12160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153190</v>
      </c>
      <c r="K19" s="92">
        <f>J19-I19</f>
        <v>3015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47064</v>
      </c>
      <c r="K21" s="92">
        <f>(J21-I21)*120</f>
        <v>14400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40623</v>
      </c>
      <c r="K22" s="92">
        <f>(J22-I22)*160</f>
        <v>13600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21670</v>
      </c>
      <c r="K23" s="92">
        <f>(J23-I23)*20</f>
        <v>1700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255188</v>
      </c>
      <c r="K24" s="92">
        <f>J24-I24</f>
        <v>459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226020</v>
      </c>
      <c r="K25" s="92">
        <f>J25-I25</f>
        <v>84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2022-05-27T04:18:39Z</dcterms:modified>
</cp:coreProperties>
</file>