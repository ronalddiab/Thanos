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/>
  <mc:AlternateContent xmlns:mc="http://schemas.openxmlformats.org/markup-compatibility/2006">
    <mc:Choice Requires="x15">
      <x15ac:absPath xmlns:x15ac="http://schemas.microsoft.com/office/spreadsheetml/2010/11/ac" url="L:\Four Season Resort at Jimbaran Bay\4. Energy\4.3 Utilities\HEP\2021\8. August 2021\"/>
    </mc:Choice>
  </mc:AlternateContent>
  <xr:revisionPtr revIDLastSave="2" documentId="11_E79F66205A568482C1D430EDC82D2BA03020F5C4" xr6:coauthVersionLast="47" xr6:coauthVersionMax="47" xr10:uidLastSave="{65546823-A2EA-4E73-806B-A0A54A35FA33}"/>
  <bookViews>
    <workbookView xWindow="0" yWindow="0" windowWidth="20490" windowHeight="7455" tabRatio="762" firstSheet="1" activeTab="2" xr2:uid="{00000000-000D-0000-FFFF-FFFF00000000}"/>
  </bookViews>
  <sheets>
    <sheet name="TOTAL" sheetId="11" r:id="rId1"/>
    <sheet name="FS Jimbaran August 2021" sheetId="14" r:id="rId2"/>
    <sheet name="RNs &amp; Covers August 2021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7" i="14" l="1"/>
  <c r="AL42" i="14"/>
  <c r="AI42" i="14"/>
  <c r="AG42" i="14"/>
  <c r="AA42" i="14"/>
  <c r="AB42" i="14"/>
  <c r="V42" i="14"/>
  <c r="N42" i="14"/>
  <c r="P42" i="14"/>
  <c r="I42" i="14"/>
  <c r="O42" i="14"/>
  <c r="F32" i="11"/>
  <c r="E32" i="11"/>
  <c r="G32" i="11"/>
  <c r="H32" i="11"/>
  <c r="I32" i="11"/>
  <c r="J32" i="11"/>
  <c r="K32" i="11"/>
  <c r="L32" i="11"/>
  <c r="M32" i="11"/>
  <c r="N32" i="11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8" i="10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/>
  <c r="AG32" i="14"/>
  <c r="AG33" i="14"/>
  <c r="AG34" i="14"/>
  <c r="AG35" i="14"/>
  <c r="AG36" i="14"/>
  <c r="AG37" i="14"/>
  <c r="AG38" i="14"/>
  <c r="AG39" i="14"/>
  <c r="AG40" i="14"/>
  <c r="N32" i="14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/>
  <c r="AI40" i="14"/>
  <c r="AL40" i="14"/>
  <c r="AL41" i="14"/>
  <c r="AI41" i="14"/>
  <c r="AA40" i="14"/>
  <c r="AB40" i="14"/>
  <c r="AA41" i="14"/>
  <c r="AB41" i="14"/>
  <c r="V40" i="14"/>
  <c r="V41" i="14"/>
  <c r="P40" i="14"/>
  <c r="P41" i="14"/>
  <c r="I40" i="14"/>
  <c r="I41" i="14"/>
  <c r="O41" i="14"/>
  <c r="F31" i="11"/>
  <c r="O40" i="14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/>
  <c r="V34" i="14"/>
  <c r="V35" i="14"/>
  <c r="V36" i="14"/>
  <c r="V37" i="14"/>
  <c r="V38" i="14"/>
  <c r="V39" i="14"/>
  <c r="V24" i="14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/>
  <c r="V32" i="14"/>
  <c r="K22" i="11"/>
  <c r="K23" i="11"/>
  <c r="K24" i="11"/>
  <c r="K25" i="11"/>
  <c r="K26" i="11"/>
  <c r="K27" i="11"/>
  <c r="K28" i="11"/>
  <c r="K29" i="11"/>
  <c r="I39" i="14"/>
  <c r="I38" i="14"/>
  <c r="I37" i="14"/>
  <c r="O37" i="14"/>
  <c r="I36" i="14"/>
  <c r="I35" i="14"/>
  <c r="O35" i="14"/>
  <c r="I34" i="14"/>
  <c r="I33" i="14"/>
  <c r="I32" i="14"/>
  <c r="I31" i="14"/>
  <c r="O32" i="14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/>
  <c r="P34" i="14"/>
  <c r="E24" i="11"/>
  <c r="P35" i="14"/>
  <c r="E25" i="11"/>
  <c r="P36" i="14"/>
  <c r="E26" i="11"/>
  <c r="P37" i="14"/>
  <c r="E27" i="11"/>
  <c r="P38" i="14"/>
  <c r="E28" i="11"/>
  <c r="P39" i="14"/>
  <c r="E29" i="11"/>
  <c r="L28" i="11"/>
  <c r="AB38" i="14"/>
  <c r="L26" i="11"/>
  <c r="AB36" i="14"/>
  <c r="L24" i="11"/>
  <c r="AB34" i="14"/>
  <c r="L22" i="11"/>
  <c r="AB32" i="14"/>
  <c r="E21" i="11"/>
  <c r="E22" i="11"/>
  <c r="F28" i="11"/>
  <c r="F26" i="11"/>
  <c r="F24" i="11"/>
  <c r="F22" i="11"/>
  <c r="F29" i="11"/>
  <c r="F27" i="11"/>
  <c r="F25" i="11"/>
  <c r="F23" i="11"/>
  <c r="F21" i="11"/>
  <c r="V30" i="14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/>
  <c r="G12" i="11"/>
  <c r="G4" i="11"/>
  <c r="I18" i="11"/>
  <c r="K16" i="11"/>
  <c r="K8" i="11"/>
  <c r="L47" i="14"/>
  <c r="L49" i="14" s="1"/>
  <c r="P50" i="14" s="1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/>
  <c r="I15" i="14"/>
  <c r="O15" i="14"/>
  <c r="O16" i="14"/>
  <c r="P19" i="14"/>
  <c r="I23" i="14"/>
  <c r="O23" i="14"/>
  <c r="P28" i="14"/>
  <c r="G17" i="11"/>
  <c r="J18" i="11"/>
  <c r="J10" i="11"/>
  <c r="K13" i="11"/>
  <c r="K5" i="11"/>
  <c r="F47" i="14"/>
  <c r="V47" i="14"/>
  <c r="I14" i="14"/>
  <c r="O14" i="14"/>
  <c r="P24" i="14"/>
  <c r="I25" i="14"/>
  <c r="O25" i="14"/>
  <c r="O26" i="14"/>
  <c r="I14" i="11"/>
  <c r="I6" i="11"/>
  <c r="K12" i="11"/>
  <c r="K4" i="11"/>
  <c r="L2" i="11"/>
  <c r="H2" i="11"/>
  <c r="H47" i="14"/>
  <c r="P12" i="14"/>
  <c r="J2" i="11"/>
  <c r="AC47" i="14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Q49" i="14" s="1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/>
  <c r="AL12" i="14"/>
  <c r="AA47" i="14"/>
  <c r="AB47" i="14"/>
  <c r="AH47" i="14"/>
  <c r="AI47" i="14"/>
  <c r="AI12" i="14"/>
  <c r="N47" i="14"/>
  <c r="Q50" i="14" s="1"/>
  <c r="O12" i="14"/>
  <c r="P47" i="14"/>
  <c r="Z47" i="14"/>
  <c r="AB12" i="14"/>
  <c r="F7" i="11"/>
  <c r="F2" i="11"/>
  <c r="AB16" i="14"/>
  <c r="L6" i="11"/>
  <c r="O47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 s="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W51" i="14" l="1"/>
  <c r="G49" i="14"/>
  <c r="P49" i="14" s="1"/>
  <c r="P51" i="14"/>
  <c r="S47" i="14"/>
  <c r="R47" i="14"/>
  <c r="Q51" i="14" l="1"/>
  <c r="T47" i="14"/>
  <c r="U47" i="14" l="1"/>
  <c r="U48" i="14" s="1"/>
  <c r="R50" i="14"/>
  <c r="R49" i="14"/>
  <c r="R51" i="14"/>
  <c r="R52" i="14" l="1"/>
</calcChain>
</file>

<file path=xl/sharedStrings.xml><?xml version="1.0" encoding="utf-8"?>
<sst xmlns="http://schemas.openxmlformats.org/spreadsheetml/2006/main" count="105" uniqueCount="57">
  <si>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</si>
  <si>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</si>
  <si>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</si>
  <si>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</si>
  <si>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</si>
  <si>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</si>
  <si>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</si>
  <si>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</si>
  <si>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</si>
  <si>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</si>
  <si>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</si>
  <si>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</si>
  <si>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</si>
  <si>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</si>
  <si>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</si>
  <si>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</si>
  <si>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</si>
  <si>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AUGUST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</si>
  <si>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</si>
  <si>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</si>
  <si>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</si>
  <si>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</si>
  <si>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</si>
  <si>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</si>
  <si>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</si>
  <si>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</si>
  <si>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</si>
  <si>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</si>
  <si>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</si>
  <si>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</si>
  <si>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</si>
  <si>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</si>
  <si>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</si>
  <si>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</si>
  <si>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</si>
  <si>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</si>
  <si>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</si>
  <si>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</si>
  <si>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</si>
  <si>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</si>
  <si>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</si>
  <si>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</si>
  <si>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</si>
  <si>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</si>
  <si>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</si>
  <si>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</si>
  <si>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</si>
  <si>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</si>
  <si>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</si>
  <si>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</si>
  <si>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</si>
  <si>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</si>
  <si>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</si>
  <si>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 xml:space="preserve">Refer to: </t>
  </si>
  <si>
    <t>Residence Electricity'!A1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</si>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</sst>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9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5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6" xfId="2" applyNumberFormat="1" applyFont="1" applyFill="1" applyBorder="1" applyProtection="1">
      <protection locked="0"/>
    </xf>
    <xf numFmtId="166" fontId="0" fillId="0" borderId="55" xfId="2" applyNumberFormat="1" applyFont="1" applyBorder="1"/>
    <xf numFmtId="165" fontId="14" fillId="3" borderId="45" xfId="2" applyNumberFormat="1" applyFont="1" applyFill="1" applyBorder="1" applyProtection="1">
      <protection locked="0"/>
    </xf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3" xfId="2" applyNumberFormat="1" applyFont="1" applyFill="1" applyBorder="1" applyProtection="1">
      <protection locked="0"/>
    </xf>
    <xf numFmtId="165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9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165" fontId="12" fillId="0" borderId="8" xfId="2" applyNumberFormat="1" applyFont="1" applyBorder="1"/>
    <xf numFmtId="164" fontId="4" fillId="0" borderId="8" xfId="0" applyNumberFormat="1" applyFont="1" applyBorder="1"/>
    <xf numFmtId="9" fontId="4" fillId="0" borderId="8" xfId="5" applyFont="1" applyBorder="1"/>
    <xf numFmtId="165" fontId="18" fillId="0" borderId="8" xfId="2" applyNumberFormat="1" applyFont="1" applyBorder="1"/>
    <xf numFmtId="165" fontId="17" fillId="0" borderId="8" xfId="0" applyNumberFormat="1" applyFont="1" applyBorder="1"/>
    <xf numFmtId="9" fontId="17" fillId="0" borderId="8" xfId="5" applyFont="1" applyBorder="1"/>
    <xf numFmtId="0" fontId="17" fillId="0" borderId="8" xfId="0" applyFont="1" applyBorder="1"/>
    <xf numFmtId="9" fontId="17" fillId="0" borderId="0" xfId="5" applyFont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workbookViewId="0">
      <selection activeCell="F15" sqref="F15"/>
    </sheetView>
  </sheetViews>
  <sheetFormatPr defaultColWidth="11.5703125" defaultRowHeight="15"/>
  <cols>
    <col min="1" max="1" width="18.42578125" style="163" customWidth="1"/>
    <col min="2" max="2" width="11.5703125" style="164"/>
    <col min="3" max="3" width="11.5703125" style="165"/>
    <col min="4" max="4" width="13.42578125" style="164" customWidth="1"/>
    <col min="5" max="5" width="12.5703125" style="162" customWidth="1"/>
    <col min="6" max="6" width="12.5703125" style="166" customWidth="1"/>
    <col min="7" max="7" width="11.5703125" style="162"/>
    <col min="8" max="8" width="11.5703125" style="166"/>
    <col min="9" max="9" width="11.5703125" style="167"/>
    <col min="10" max="10" width="11.5703125" style="168"/>
    <col min="11" max="11" width="11.5703125" style="162"/>
    <col min="12" max="12" width="11.5703125" style="168"/>
    <col min="13" max="26" width="11.5703125" style="162"/>
  </cols>
  <sheetData>
    <row r="1" spans="1:15" s="156" customFormat="1" ht="43.15">
      <c r="A1" s="152" t="s">
        <v>0</v>
      </c>
      <c r="B1" s="152" t="s">
        <v>1</v>
      </c>
      <c r="C1" s="153" t="s">
        <v>2</v>
      </c>
      <c r="D1" s="152" t="s">
        <v>3</v>
      </c>
      <c r="E1" s="151" t="s">
        <v>4</v>
      </c>
      <c r="F1" s="154" t="s">
        <v>5</v>
      </c>
      <c r="G1" s="151" t="s">
        <v>6</v>
      </c>
      <c r="H1" s="154" t="s">
        <v>7</v>
      </c>
      <c r="I1" s="151" t="s">
        <v>8</v>
      </c>
      <c r="J1" s="154" t="s">
        <v>9</v>
      </c>
      <c r="K1" s="151" t="s">
        <v>10</v>
      </c>
      <c r="L1" s="155" t="s">
        <v>11</v>
      </c>
      <c r="M1" s="151" t="s">
        <v>12</v>
      </c>
      <c r="N1" s="151" t="s">
        <v>13</v>
      </c>
    </row>
    <row r="2" spans="1:15" ht="14.45">
      <c r="A2" s="157" t="s">
        <v>14</v>
      </c>
      <c r="B2" s="158">
        <v>1</v>
      </c>
      <c r="C2" s="159">
        <v>8</v>
      </c>
      <c r="D2" s="158">
        <v>2021</v>
      </c>
      <c r="E2" s="160">
        <f>'FS Jimbaran August 2021'!P12</f>
        <v>12855.999999999776</v>
      </c>
      <c r="F2" s="169">
        <f>'FS Jimbaran August 2021'!O12/'FS Jimbaran August 2021'!P12</f>
        <v>1179.9480718730583</v>
      </c>
      <c r="G2" s="160">
        <f>'FS Jimbaran August 2021'!AG12</f>
        <v>162</v>
      </c>
      <c r="H2" s="169">
        <f>'FS Jimbaran August 2021'!AH12/'FS Jimbaran August 2021'!AG12</f>
        <v>13256.172839506173</v>
      </c>
      <c r="I2" s="160">
        <f>'FS Jimbaran August 2021'!AJ12</f>
        <v>108.75</v>
      </c>
      <c r="J2" s="161">
        <f>'FS Jimbaran August 2021'!AK12/'FS Jimbaran August 2021'!AJ12</f>
        <v>9900</v>
      </c>
      <c r="K2" s="160">
        <f>'FS Jimbaran August 2021'!V12</f>
        <v>529</v>
      </c>
      <c r="L2" s="169">
        <f>'FS Jimbaran August 2021'!AA12/'FS Jimbaran August 2021'!V12</f>
        <v>8232.676733993223</v>
      </c>
      <c r="M2" s="160">
        <f>+'RNs &amp; Covers August 2021'!B6</f>
        <v>4</v>
      </c>
      <c r="N2" s="160">
        <f>+'RNs &amp; Covers August 2021'!C6</f>
        <v>95</v>
      </c>
    </row>
    <row r="3" spans="1:15" ht="14.45">
      <c r="A3" s="157" t="s">
        <v>14</v>
      </c>
      <c r="B3" s="158">
        <f>B2+1</f>
        <v>2</v>
      </c>
      <c r="C3" s="159">
        <v>8</v>
      </c>
      <c r="D3" s="158">
        <v>2021</v>
      </c>
      <c r="E3" s="160">
        <f>'FS Jimbaran August 2021'!P13</f>
        <v>12746.000000000382</v>
      </c>
      <c r="F3" s="169">
        <f>'FS Jimbaran August 2021'!O13/'FS Jimbaran August 2021'!P13</f>
        <v>1182.4518438725866</v>
      </c>
      <c r="G3" s="160">
        <f>'FS Jimbaran August 2021'!AG13</f>
        <v>112</v>
      </c>
      <c r="H3" s="169">
        <f>'FS Jimbaran August 2021'!AH13/'FS Jimbaran August 2021'!AG13</f>
        <v>13191.964285714286</v>
      </c>
      <c r="I3" s="160">
        <f>'FS Jimbaran August 2021'!AJ13</f>
        <v>346.97000000000116</v>
      </c>
      <c r="J3" s="161">
        <f>'FS Jimbaran August 2021'!AK13/'FS Jimbaran August 2021'!AJ13</f>
        <v>9900</v>
      </c>
      <c r="K3" s="160">
        <f>'FS Jimbaran August 2021'!V13</f>
        <v>566</v>
      </c>
      <c r="L3" s="169">
        <f>'FS Jimbaran August 2021'!AA13/'FS Jimbaran August 2021'!V13</f>
        <v>8284.3338849045194</v>
      </c>
      <c r="M3" s="160">
        <f>+'RNs &amp; Covers August 2021'!B7</f>
        <v>5</v>
      </c>
      <c r="N3" s="160">
        <f>+'RNs &amp; Covers August 2021'!C7</f>
        <v>44</v>
      </c>
    </row>
    <row r="4" spans="1:15" ht="14.45">
      <c r="A4" s="157" t="s">
        <v>14</v>
      </c>
      <c r="B4" s="158">
        <f t="shared" ref="B4:B32" si="0">B3+1</f>
        <v>3</v>
      </c>
      <c r="C4" s="159">
        <v>8</v>
      </c>
      <c r="D4" s="158">
        <v>2021</v>
      </c>
      <c r="E4" s="160">
        <f>'FS Jimbaran August 2021'!P14</f>
        <v>12459.000000000011</v>
      </c>
      <c r="F4" s="169">
        <f>'FS Jimbaran August 2021'!O14/'FS Jimbaran August 2021'!P14</f>
        <v>1177.6541760173377</v>
      </c>
      <c r="G4" s="160">
        <f>'FS Jimbaran August 2021'!AG14</f>
        <v>112</v>
      </c>
      <c r="H4" s="169">
        <f>'FS Jimbaran August 2021'!AH14/'FS Jimbaran August 2021'!AG14</f>
        <v>13191.964285714286</v>
      </c>
      <c r="I4" s="160">
        <f>'FS Jimbaran August 2021'!AJ14</f>
        <v>276.88999999999942</v>
      </c>
      <c r="J4" s="161">
        <f>'FS Jimbaran August 2021'!AK14/'FS Jimbaran August 2021'!AJ14</f>
        <v>9900</v>
      </c>
      <c r="K4" s="160">
        <f>'FS Jimbaran August 2021'!V14</f>
        <v>505</v>
      </c>
      <c r="L4" s="169">
        <f>'FS Jimbaran August 2021'!AA14/'FS Jimbaran August 2021'!V14</f>
        <v>8661.4510543964298</v>
      </c>
      <c r="M4" s="160">
        <f>+'RNs &amp; Covers August 2021'!B8</f>
        <v>3</v>
      </c>
      <c r="N4" s="160">
        <f>+'RNs &amp; Covers August 2021'!C8</f>
        <v>47</v>
      </c>
    </row>
    <row r="5" spans="1:15" ht="14.45">
      <c r="A5" s="157" t="s">
        <v>14</v>
      </c>
      <c r="B5" s="158">
        <f t="shared" si="0"/>
        <v>4</v>
      </c>
      <c r="C5" s="159">
        <v>8</v>
      </c>
      <c r="D5" s="158">
        <v>2021</v>
      </c>
      <c r="E5" s="160">
        <f>'FS Jimbaran August 2021'!P15</f>
        <v>13242.9999999999</v>
      </c>
      <c r="F5" s="169">
        <f>'FS Jimbaran August 2021'!O15/'FS Jimbaran August 2021'!P15</f>
        <v>1182.9971641621964</v>
      </c>
      <c r="G5" s="160">
        <f>'FS Jimbaran August 2021'!AG15</f>
        <v>112</v>
      </c>
      <c r="H5" s="169">
        <f>'FS Jimbaran August 2021'!AH15/'FS Jimbaran August 2021'!AG15</f>
        <v>13191.964285714286</v>
      </c>
      <c r="I5" s="160">
        <f>'FS Jimbaran August 2021'!AJ15</f>
        <v>385.38999999999942</v>
      </c>
      <c r="J5" s="161">
        <f>'FS Jimbaran August 2021'!AK15/'FS Jimbaran August 2021'!AJ15</f>
        <v>9900</v>
      </c>
      <c r="K5" s="160">
        <f>'FS Jimbaran August 2021'!V15</f>
        <v>625</v>
      </c>
      <c r="L5" s="169">
        <f>'FS Jimbaran August 2021'!AA15/'FS Jimbaran August 2021'!V15</f>
        <v>7906.2530744881124</v>
      </c>
      <c r="M5" s="160">
        <f>+'RNs &amp; Covers August 2021'!B9</f>
        <v>3</v>
      </c>
      <c r="N5" s="160">
        <f>+'RNs &amp; Covers August 2021'!C9</f>
        <v>43</v>
      </c>
    </row>
    <row r="6" spans="1:15" ht="14.45">
      <c r="A6" s="157" t="s">
        <v>14</v>
      </c>
      <c r="B6" s="158">
        <f t="shared" si="0"/>
        <v>5</v>
      </c>
      <c r="C6" s="159">
        <v>8</v>
      </c>
      <c r="D6" s="158">
        <v>2021</v>
      </c>
      <c r="E6" s="160">
        <f>'FS Jimbaran August 2021'!P16</f>
        <v>13323.999999999854</v>
      </c>
      <c r="F6" s="169">
        <f>'FS Jimbaran August 2021'!O16/'FS Jimbaran August 2021'!P16</f>
        <v>1179.1928518838229</v>
      </c>
      <c r="G6" s="160">
        <f>'FS Jimbaran August 2021'!AG16</f>
        <v>62</v>
      </c>
      <c r="H6" s="169">
        <f>'FS Jimbaran August 2021'!AH16/'FS Jimbaran August 2021'!AG16</f>
        <v>13024.193548387097</v>
      </c>
      <c r="I6" s="160">
        <f>'FS Jimbaran August 2021'!AJ16</f>
        <v>127.2</v>
      </c>
      <c r="J6" s="161">
        <f>'FS Jimbaran August 2021'!AK16/'FS Jimbaran August 2021'!AJ16</f>
        <v>9900</v>
      </c>
      <c r="K6" s="160">
        <f>'FS Jimbaran August 2021'!V16</f>
        <v>760</v>
      </c>
      <c r="L6" s="169">
        <f>'FS Jimbaran August 2021'!AA16/'FS Jimbaran August 2021'!V16</f>
        <v>7324.2938124672046</v>
      </c>
      <c r="M6" s="160">
        <f>+'RNs &amp; Covers August 2021'!B10</f>
        <v>3</v>
      </c>
      <c r="N6" s="160">
        <f>+'RNs &amp; Covers August 2021'!C10</f>
        <v>27</v>
      </c>
    </row>
    <row r="7" spans="1:15" ht="14.45">
      <c r="A7" s="157" t="s">
        <v>14</v>
      </c>
      <c r="B7" s="158">
        <f t="shared" si="0"/>
        <v>6</v>
      </c>
      <c r="C7" s="159">
        <v>8</v>
      </c>
      <c r="D7" s="158">
        <v>2021</v>
      </c>
      <c r="E7" s="160">
        <f>'FS Jimbaran August 2021'!P17</f>
        <v>13442.000000000186</v>
      </c>
      <c r="F7" s="169">
        <f>'FS Jimbaran August 2021'!O17/'FS Jimbaran August 2021'!P17</f>
        <v>1183.3239405966342</v>
      </c>
      <c r="G7" s="160">
        <f>'FS Jimbaran August 2021'!AG17</f>
        <v>112</v>
      </c>
      <c r="H7" s="169">
        <f>'FS Jimbaran August 2021'!AH17/'FS Jimbaran August 2021'!AG17</f>
        <v>13191.964285714286</v>
      </c>
      <c r="I7" s="160">
        <f>'FS Jimbaran August 2021'!AJ17</f>
        <v>323.88000000000466</v>
      </c>
      <c r="J7" s="161">
        <f>'FS Jimbaran August 2021'!AK17/'FS Jimbaran August 2021'!AJ17</f>
        <v>9900</v>
      </c>
      <c r="K7" s="160">
        <f>'FS Jimbaran August 2021'!V17</f>
        <v>685</v>
      </c>
      <c r="L7" s="169">
        <f>'FS Jimbaran August 2021'!AA17/'FS Jimbaran August 2021'!V17</f>
        <v>7647.2088363474177</v>
      </c>
      <c r="M7" s="160">
        <f>+'RNs &amp; Covers August 2021'!B11</f>
        <v>5</v>
      </c>
      <c r="N7" s="160">
        <f>+'RNs &amp; Covers August 2021'!C11</f>
        <v>46</v>
      </c>
    </row>
    <row r="8" spans="1:15" ht="14.45">
      <c r="A8" s="157" t="s">
        <v>14</v>
      </c>
      <c r="B8" s="158">
        <f t="shared" si="0"/>
        <v>7</v>
      </c>
      <c r="C8" s="159">
        <v>8</v>
      </c>
      <c r="D8" s="158">
        <v>2021</v>
      </c>
      <c r="E8" s="160">
        <f>'FS Jimbaran August 2021'!P18</f>
        <v>13581.000000000073</v>
      </c>
      <c r="F8" s="169">
        <f>'FS Jimbaran August 2021'!O18/'FS Jimbaran August 2021'!P18</f>
        <v>1180.6221756129887</v>
      </c>
      <c r="G8" s="160">
        <f>'FS Jimbaran August 2021'!AG18</f>
        <v>112</v>
      </c>
      <c r="H8" s="169">
        <f>'FS Jimbaran August 2021'!AH18/'FS Jimbaran August 2021'!AG18</f>
        <v>13191.964285714286</v>
      </c>
      <c r="I8" s="160">
        <f>'FS Jimbaran August 2021'!AJ18</f>
        <v>245.56999999999971</v>
      </c>
      <c r="J8" s="161">
        <f>'FS Jimbaran August 2021'!AK18/'FS Jimbaran August 2021'!AJ18</f>
        <v>9900</v>
      </c>
      <c r="K8" s="160">
        <f>'FS Jimbaran August 2021'!V18</f>
        <v>641</v>
      </c>
      <c r="L8" s="169">
        <f>'FS Jimbaran August 2021'!AA18/'FS Jimbaran August 2021'!V18</f>
        <v>7826.9239055117832</v>
      </c>
      <c r="M8" s="160">
        <f>+'RNs &amp; Covers August 2021'!B12</f>
        <v>5</v>
      </c>
      <c r="N8" s="160">
        <f>+'RNs &amp; Covers August 2021'!C12</f>
        <v>74</v>
      </c>
    </row>
    <row r="9" spans="1:15" ht="14.45">
      <c r="A9" s="157" t="s">
        <v>14</v>
      </c>
      <c r="B9" s="158">
        <f t="shared" si="0"/>
        <v>8</v>
      </c>
      <c r="C9" s="159">
        <v>8</v>
      </c>
      <c r="D9" s="158">
        <v>2021</v>
      </c>
      <c r="E9" s="160">
        <f>'FS Jimbaran August 2021'!P19</f>
        <v>13358.999999999747</v>
      </c>
      <c r="F9" s="169">
        <f>'FS Jimbaran August 2021'!O19/'FS Jimbaran August 2021'!P19</f>
        <v>1180.4589041095921</v>
      </c>
      <c r="G9" s="160">
        <f>'FS Jimbaran August 2021'!AG19</f>
        <v>112</v>
      </c>
      <c r="H9" s="169">
        <f>'FS Jimbaran August 2021'!AH19/'FS Jimbaran August 2021'!AG19</f>
        <v>13191.964285714286</v>
      </c>
      <c r="I9" s="160">
        <f>'FS Jimbaran August 2021'!AJ19</f>
        <v>101.97999999999593</v>
      </c>
      <c r="J9" s="161">
        <f>'FS Jimbaran August 2021'!AK19/'FS Jimbaran August 2021'!AJ19</f>
        <v>9900</v>
      </c>
      <c r="K9" s="160">
        <f>'FS Jimbaran August 2021'!V19</f>
        <v>559</v>
      </c>
      <c r="L9" s="169">
        <f>'FS Jimbaran August 2021'!AA19/'FS Jimbaran August 2021'!V19</f>
        <v>8257.7987848978773</v>
      </c>
      <c r="M9" s="160">
        <f>+'RNs &amp; Covers August 2021'!B13</f>
        <v>3</v>
      </c>
      <c r="N9" s="160">
        <f>+'RNs &amp; Covers August 2021'!C13</f>
        <v>51</v>
      </c>
      <c r="O9" s="162" t="s">
        <v>15</v>
      </c>
    </row>
    <row r="10" spans="1:15" ht="14.45">
      <c r="A10" s="157" t="s">
        <v>14</v>
      </c>
      <c r="B10" s="158">
        <f t="shared" si="0"/>
        <v>9</v>
      </c>
      <c r="C10" s="159">
        <v>8</v>
      </c>
      <c r="D10" s="158">
        <v>2021</v>
      </c>
      <c r="E10" s="160">
        <f>'FS Jimbaran August 2021'!P20</f>
        <v>13238.000000000155</v>
      </c>
      <c r="F10" s="169">
        <f>'FS Jimbaran August 2021'!O20/'FS Jimbaran August 2021'!P20</f>
        <v>1179.7470040791636</v>
      </c>
      <c r="G10" s="160">
        <f>'FS Jimbaran August 2021'!AG20</f>
        <v>112</v>
      </c>
      <c r="H10" s="169">
        <f>'FS Jimbaran August 2021'!AH20/'FS Jimbaran August 2021'!AG20</f>
        <v>13191.964285714286</v>
      </c>
      <c r="I10" s="160">
        <f>'FS Jimbaran August 2021'!AJ20</f>
        <v>378.90000000000146</v>
      </c>
      <c r="J10" s="161">
        <f>'FS Jimbaran August 2021'!AK20/'FS Jimbaran August 2021'!AJ20</f>
        <v>9900</v>
      </c>
      <c r="K10" s="160">
        <f>'FS Jimbaran August 2021'!V20</f>
        <v>642</v>
      </c>
      <c r="L10" s="169">
        <f>'FS Jimbaran August 2021'!AA20/'FS Jimbaran August 2021'!V20</f>
        <v>7306.435641220457</v>
      </c>
      <c r="M10" s="160">
        <f>+'RNs &amp; Covers August 2021'!B14</f>
        <v>5</v>
      </c>
      <c r="N10" s="160">
        <f>+'RNs &amp; Covers August 2021'!C14</f>
        <v>40</v>
      </c>
    </row>
    <row r="11" spans="1:15" ht="14.45">
      <c r="A11" s="157" t="s">
        <v>14</v>
      </c>
      <c r="B11" s="158">
        <f t="shared" si="0"/>
        <v>10</v>
      </c>
      <c r="C11" s="159">
        <v>8</v>
      </c>
      <c r="D11" s="158">
        <v>2021</v>
      </c>
      <c r="E11" s="160">
        <f>'FS Jimbaran August 2021'!P21</f>
        <v>12503.999999999947</v>
      </c>
      <c r="F11" s="169">
        <f>'FS Jimbaran August 2021'!O21/'FS Jimbaran August 2021'!P21</f>
        <v>1184.2881880998063</v>
      </c>
      <c r="G11" s="160">
        <f>'FS Jimbaran August 2021'!AG21</f>
        <v>112</v>
      </c>
      <c r="H11" s="169">
        <f>'FS Jimbaran August 2021'!AH21/'FS Jimbaran August 2021'!AG21</f>
        <v>13191.964285714286</v>
      </c>
      <c r="I11" s="160">
        <f>'FS Jimbaran August 2021'!AJ21</f>
        <v>135.01000000000204</v>
      </c>
      <c r="J11" s="161">
        <f>'FS Jimbaran August 2021'!AK21/'FS Jimbaran August 2021'!AJ21</f>
        <v>9900</v>
      </c>
      <c r="K11" s="160">
        <f>'FS Jimbaran August 2021'!V21</f>
        <v>521</v>
      </c>
      <c r="L11" s="169">
        <f>'FS Jimbaran August 2021'!AA21/'FS Jimbaran August 2021'!V21</f>
        <v>7930.6532651377402</v>
      </c>
      <c r="M11" s="160">
        <f>+'RNs &amp; Covers August 2021'!B15</f>
        <v>3</v>
      </c>
      <c r="N11" s="160">
        <f>+'RNs &amp; Covers August 2021'!C15</f>
        <v>42</v>
      </c>
    </row>
    <row r="12" spans="1:15" ht="14.45">
      <c r="A12" s="157" t="s">
        <v>14</v>
      </c>
      <c r="B12" s="158">
        <f t="shared" si="0"/>
        <v>11</v>
      </c>
      <c r="C12" s="159">
        <v>8</v>
      </c>
      <c r="D12" s="158">
        <v>2021</v>
      </c>
      <c r="E12" s="160">
        <f>'FS Jimbaran August 2021'!P22</f>
        <v>13303.999999999845</v>
      </c>
      <c r="F12" s="169">
        <f>'FS Jimbaran August 2021'!O22/'FS Jimbaran August 2021'!P22</f>
        <v>1182.5596177089624</v>
      </c>
      <c r="G12" s="160">
        <f>'FS Jimbaran August 2021'!AG22</f>
        <v>112</v>
      </c>
      <c r="H12" s="169">
        <f>'FS Jimbaran August 2021'!AH22/'FS Jimbaran August 2021'!AG22</f>
        <v>13191.964285714286</v>
      </c>
      <c r="I12" s="160">
        <f>'FS Jimbaran August 2021'!AJ22</f>
        <v>469.33999999998923</v>
      </c>
      <c r="J12" s="161">
        <f>'FS Jimbaran August 2021'!AK22/'FS Jimbaran August 2021'!AJ22</f>
        <v>9900.0000000000018</v>
      </c>
      <c r="K12" s="160">
        <f>'FS Jimbaran August 2021'!V22</f>
        <v>613</v>
      </c>
      <c r="L12" s="169">
        <f>'FS Jimbaran August 2021'!AA22/'FS Jimbaran August 2021'!V22</f>
        <v>7406.8087697132369</v>
      </c>
      <c r="M12" s="160">
        <f>+'RNs &amp; Covers August 2021'!B16</f>
        <v>3</v>
      </c>
      <c r="N12" s="160">
        <f>+'RNs &amp; Covers August 2021'!C16</f>
        <v>32</v>
      </c>
    </row>
    <row r="13" spans="1:15" ht="14.45">
      <c r="A13" s="157" t="s">
        <v>14</v>
      </c>
      <c r="B13" s="158">
        <f t="shared" si="0"/>
        <v>12</v>
      </c>
      <c r="C13" s="159">
        <v>8</v>
      </c>
      <c r="D13" s="158">
        <v>2021</v>
      </c>
      <c r="E13" s="160">
        <f>'FS Jimbaran August 2021'!P23</f>
        <v>13458.000000000167</v>
      </c>
      <c r="F13" s="169">
        <f>'FS Jimbaran August 2021'!O23/'FS Jimbaran August 2021'!P23</f>
        <v>1179.8563976816765</v>
      </c>
      <c r="G13" s="160">
        <f>'FS Jimbaran August 2021'!AG23</f>
        <v>112</v>
      </c>
      <c r="H13" s="169">
        <f>'FS Jimbaran August 2021'!AH23/'FS Jimbaran August 2021'!AG23</f>
        <v>13191.964285714286</v>
      </c>
      <c r="I13" s="160">
        <f>'FS Jimbaran August 2021'!AJ23</f>
        <v>280.66000000001077</v>
      </c>
      <c r="J13" s="161">
        <f>'FS Jimbaran August 2021'!AK23/'FS Jimbaran August 2021'!AJ23</f>
        <v>9900</v>
      </c>
      <c r="K13" s="160">
        <f>'FS Jimbaran August 2021'!V23</f>
        <v>723</v>
      </c>
      <c r="L13" s="169">
        <f>'FS Jimbaran August 2021'!AA23/'FS Jimbaran August 2021'!V23</f>
        <v>7035.8952366477151</v>
      </c>
      <c r="M13" s="160">
        <f>+'RNs &amp; Covers August 2021'!B17</f>
        <v>5</v>
      </c>
      <c r="N13" s="160">
        <f>+'RNs &amp; Covers August 2021'!C17</f>
        <v>37</v>
      </c>
    </row>
    <row r="14" spans="1:15" ht="14.45">
      <c r="A14" s="157" t="s">
        <v>14</v>
      </c>
      <c r="B14" s="158">
        <f t="shared" si="0"/>
        <v>13</v>
      </c>
      <c r="C14" s="159">
        <v>8</v>
      </c>
      <c r="D14" s="158">
        <v>2021</v>
      </c>
      <c r="E14" s="160">
        <f>'FS Jimbaran August 2021'!P24</f>
        <v>13476.999999999724</v>
      </c>
      <c r="F14" s="169">
        <f>'FS Jimbaran August 2021'!O24/'FS Jimbaran August 2021'!P24</f>
        <v>1178.9193085256366</v>
      </c>
      <c r="G14" s="160">
        <f>'FS Jimbaran August 2021'!AG24</f>
        <v>112</v>
      </c>
      <c r="H14" s="169">
        <f>'FS Jimbaran August 2021'!AH24/'FS Jimbaran August 2021'!AG24</f>
        <v>13191.964285714286</v>
      </c>
      <c r="I14" s="160">
        <f>'FS Jimbaran August 2021'!AJ24</f>
        <v>321.77999999999884</v>
      </c>
      <c r="J14" s="161">
        <f>'FS Jimbaran August 2021'!AK24/'FS Jimbaran August 2021'!AJ24</f>
        <v>9900</v>
      </c>
      <c r="K14" s="160">
        <f>'FS Jimbaran August 2021'!V24</f>
        <v>709</v>
      </c>
      <c r="L14" s="169">
        <f>'FS Jimbaran August 2021'!AA24/'FS Jimbaran August 2021'!V24</f>
        <v>7081.4646836432476</v>
      </c>
      <c r="M14" s="160">
        <f>+'RNs &amp; Covers August 2021'!B18</f>
        <v>5</v>
      </c>
      <c r="N14" s="160">
        <f>+'RNs &amp; Covers August 2021'!C18</f>
        <v>34</v>
      </c>
    </row>
    <row r="15" spans="1:15" ht="14.45">
      <c r="A15" s="157" t="s">
        <v>14</v>
      </c>
      <c r="B15" s="158">
        <f t="shared" si="0"/>
        <v>14</v>
      </c>
      <c r="C15" s="159">
        <v>8</v>
      </c>
      <c r="D15" s="158">
        <v>2021</v>
      </c>
      <c r="E15" s="160">
        <f>'FS Jimbaran August 2021'!P25</f>
        <v>13403.000000000266</v>
      </c>
      <c r="F15" s="169">
        <f>'FS Jimbaran August 2021'!O25/'FS Jimbaran August 2021'!P25</f>
        <v>1185.0225827053612</v>
      </c>
      <c r="G15" s="160">
        <f>'FS Jimbaran August 2021'!AG25</f>
        <v>162</v>
      </c>
      <c r="H15" s="169">
        <f>'FS Jimbaran August 2021'!AH25/'FS Jimbaran August 2021'!AG25</f>
        <v>13256.172839506173</v>
      </c>
      <c r="I15" s="160">
        <f>'FS Jimbaran August 2021'!AJ25</f>
        <v>126.9</v>
      </c>
      <c r="J15" s="161">
        <f>'FS Jimbaran August 2021'!AK25/'FS Jimbaran August 2021'!AJ25</f>
        <v>9900</v>
      </c>
      <c r="K15" s="160">
        <f>'FS Jimbaran August 2021'!V25</f>
        <v>713</v>
      </c>
      <c r="L15" s="169">
        <f>'FS Jimbaran August 2021'!AA25/'FS Jimbaran August 2021'!V25</f>
        <v>7012.5447591460461</v>
      </c>
      <c r="M15" s="160">
        <f>+'RNs &amp; Covers August 2021'!B19</f>
        <v>5</v>
      </c>
      <c r="N15" s="160">
        <f>+'RNs &amp; Covers August 2021'!C19</f>
        <v>56</v>
      </c>
    </row>
    <row r="16" spans="1:15" ht="14.45">
      <c r="A16" s="157" t="s">
        <v>14</v>
      </c>
      <c r="B16" s="158">
        <f t="shared" si="0"/>
        <v>15</v>
      </c>
      <c r="C16" s="159">
        <v>8</v>
      </c>
      <c r="D16" s="158">
        <v>2021</v>
      </c>
      <c r="E16" s="160">
        <f>'FS Jimbaran August 2021'!P26</f>
        <v>13653.000000000073</v>
      </c>
      <c r="F16" s="169">
        <f>'FS Jimbaran August 2021'!O26/'FS Jimbaran August 2021'!P26</f>
        <v>1177.7815461437069</v>
      </c>
      <c r="G16" s="160">
        <f>'FS Jimbaran August 2021'!AG26</f>
        <v>150</v>
      </c>
      <c r="H16" s="169">
        <f>'FS Jimbaran August 2021'!AH26/'FS Jimbaran August 2021'!AG26</f>
        <v>13400</v>
      </c>
      <c r="I16" s="160">
        <f>'FS Jimbaran August 2021'!AJ26</f>
        <v>281.39999999999998</v>
      </c>
      <c r="J16" s="161">
        <f>'FS Jimbaran August 2021'!AK26/'FS Jimbaran August 2021'!AJ26</f>
        <v>9900</v>
      </c>
      <c r="K16" s="160">
        <f>'FS Jimbaran August 2021'!V26</f>
        <v>692</v>
      </c>
      <c r="L16" s="169">
        <f>'FS Jimbaran August 2021'!AA26/'FS Jimbaran August 2021'!V26</f>
        <v>7120.1417540205639</v>
      </c>
      <c r="M16" s="160">
        <f>+'RNs &amp; Covers August 2021'!B20</f>
        <v>1</v>
      </c>
      <c r="N16" s="160">
        <f>+'RNs &amp; Covers August 2021'!C20</f>
        <v>75</v>
      </c>
    </row>
    <row r="17" spans="1:14" ht="14.45">
      <c r="A17" s="157" t="s">
        <v>14</v>
      </c>
      <c r="B17" s="158">
        <f t="shared" si="0"/>
        <v>16</v>
      </c>
      <c r="C17" s="159">
        <v>8</v>
      </c>
      <c r="D17" s="158">
        <v>2021</v>
      </c>
      <c r="E17" s="160">
        <f>'FS Jimbaran August 2021'!P27</f>
        <v>13324.999999999756</v>
      </c>
      <c r="F17" s="169">
        <f>'FS Jimbaran August 2021'!O27/'FS Jimbaran August 2021'!P27</f>
        <v>1180.0021626641653</v>
      </c>
      <c r="G17" s="160">
        <f>'FS Jimbaran August 2021'!AG27</f>
        <v>62</v>
      </c>
      <c r="H17" s="169">
        <f>'FS Jimbaran August 2021'!AH27/'FS Jimbaran August 2021'!AG27</f>
        <v>13024.193548387097</v>
      </c>
      <c r="I17" s="160">
        <f>'FS Jimbaran August 2021'!AJ27</f>
        <v>351.13999999999942</v>
      </c>
      <c r="J17" s="161">
        <f>'FS Jimbaran August 2021'!AK27/'FS Jimbaran August 2021'!AJ27</f>
        <v>9900</v>
      </c>
      <c r="K17" s="160">
        <f>'FS Jimbaran August 2021'!V27</f>
        <v>605</v>
      </c>
      <c r="L17" s="169">
        <f>'FS Jimbaran August 2021'!AA27/'FS Jimbaran August 2021'!V27</f>
        <v>7507.8930748704943</v>
      </c>
      <c r="M17" s="160">
        <f>+'RNs &amp; Covers August 2021'!B21</f>
        <v>1</v>
      </c>
      <c r="N17" s="160">
        <f>+'RNs &amp; Covers August 2021'!C21</f>
        <v>18</v>
      </c>
    </row>
    <row r="18" spans="1:14" ht="14.45">
      <c r="A18" s="157" t="s">
        <v>14</v>
      </c>
      <c r="B18" s="158">
        <f t="shared" si="0"/>
        <v>17</v>
      </c>
      <c r="C18" s="159">
        <v>8</v>
      </c>
      <c r="D18" s="158">
        <v>2021</v>
      </c>
      <c r="E18" s="160">
        <f>'FS Jimbaran August 2021'!P28</f>
        <v>12698.000000000235</v>
      </c>
      <c r="F18" s="169">
        <f>'FS Jimbaran August 2021'!O28/'FS Jimbaran August 2021'!P28</f>
        <v>1181.9540242557862</v>
      </c>
      <c r="G18" s="160">
        <f>'FS Jimbaran August 2021'!AG28</f>
        <v>162</v>
      </c>
      <c r="H18" s="169">
        <f>'FS Jimbaran August 2021'!AH28/'FS Jimbaran August 2021'!AG28</f>
        <v>13256.172839506173</v>
      </c>
      <c r="I18" s="160">
        <f>'FS Jimbaran August 2021'!AJ28</f>
        <v>179.4</v>
      </c>
      <c r="J18" s="161">
        <f>'FS Jimbaran August 2021'!AK28/'FS Jimbaran August 2021'!AJ28</f>
        <v>9900</v>
      </c>
      <c r="K18" s="160">
        <f>'FS Jimbaran August 2021'!V28</f>
        <v>435</v>
      </c>
      <c r="L18" s="169">
        <f>'FS Jimbaran August 2021'!AA28/'FS Jimbaran August 2021'!V28</f>
        <v>8563.796143201389</v>
      </c>
      <c r="M18" s="160">
        <f>+'RNs &amp; Covers August 2021'!B22</f>
        <v>1</v>
      </c>
      <c r="N18" s="160">
        <f>+'RNs &amp; Covers August 2021'!C22</f>
        <v>58</v>
      </c>
    </row>
    <row r="19" spans="1:14" ht="14.45">
      <c r="A19" s="157" t="s">
        <v>14</v>
      </c>
      <c r="B19" s="158">
        <f t="shared" si="0"/>
        <v>18</v>
      </c>
      <c r="C19" s="159">
        <v>8</v>
      </c>
      <c r="D19" s="158">
        <v>2021</v>
      </c>
      <c r="E19" s="160">
        <f>'FS Jimbaran August 2021'!P29</f>
        <v>13484.999999999724</v>
      </c>
      <c r="F19" s="169">
        <f>'FS Jimbaran August 2021'!O29/'FS Jimbaran August 2021'!P29</f>
        <v>1180.5184454949979</v>
      </c>
      <c r="G19" s="160">
        <f>'FS Jimbaran August 2021'!AG29</f>
        <v>62</v>
      </c>
      <c r="H19" s="169">
        <f>'FS Jimbaran August 2021'!AH29/'FS Jimbaran August 2021'!AG29</f>
        <v>13024.193548387097</v>
      </c>
      <c r="I19" s="160">
        <f>'FS Jimbaran August 2021'!AJ29</f>
        <v>292.34999999999127</v>
      </c>
      <c r="J19" s="161">
        <f>'FS Jimbaran August 2021'!AK29/'FS Jimbaran August 2021'!AJ29</f>
        <v>9900</v>
      </c>
      <c r="K19" s="160">
        <f>'FS Jimbaran August 2021'!V29</f>
        <v>698</v>
      </c>
      <c r="L19" s="169">
        <f>'FS Jimbaran August 2021'!AA29/'FS Jimbaran August 2021'!V29</f>
        <v>7137.5232619447352</v>
      </c>
      <c r="M19" s="160">
        <f>+'RNs &amp; Covers August 2021'!B23</f>
        <v>1</v>
      </c>
      <c r="N19" s="160">
        <f>+'RNs &amp; Covers August 2021'!C23</f>
        <v>29</v>
      </c>
    </row>
    <row r="20" spans="1:14" ht="14.45">
      <c r="A20" s="157" t="s">
        <v>14</v>
      </c>
      <c r="B20" s="158">
        <f t="shared" si="0"/>
        <v>19</v>
      </c>
      <c r="C20" s="159">
        <v>8</v>
      </c>
      <c r="D20" s="158">
        <v>2021</v>
      </c>
      <c r="E20" s="160">
        <f>'FS Jimbaran August 2021'!P30</f>
        <v>13055.999999999935</v>
      </c>
      <c r="F20" s="169">
        <f>'FS Jimbaran August 2021'!O30/'FS Jimbaran August 2021'!P30</f>
        <v>1181.8233139935651</v>
      </c>
      <c r="G20" s="160">
        <f>'FS Jimbaran August 2021'!AG30</f>
        <v>62</v>
      </c>
      <c r="H20" s="169">
        <f>'FS Jimbaran August 2021'!AH30/'FS Jimbaran August 2021'!AG30</f>
        <v>13024.193548387097</v>
      </c>
      <c r="I20" s="160">
        <f>'FS Jimbaran August 2021'!AJ30</f>
        <v>218.8</v>
      </c>
      <c r="J20" s="161">
        <f>'FS Jimbaran August 2021'!AK30/'FS Jimbaran August 2021'!AJ30</f>
        <v>9900</v>
      </c>
      <c r="K20" s="160">
        <f>'FS Jimbaran August 2021'!V30</f>
        <v>676</v>
      </c>
      <c r="L20" s="169">
        <f>'FS Jimbaran August 2021'!AA30/'FS Jimbaran August 2021'!V30</f>
        <v>7176.7574584382346</v>
      </c>
      <c r="M20" s="160">
        <f>+'RNs &amp; Covers August 2021'!B24</f>
        <v>1</v>
      </c>
      <c r="N20" s="160">
        <f>+'RNs &amp; Covers August 2021'!C24</f>
        <v>15</v>
      </c>
    </row>
    <row r="21" spans="1:14">
      <c r="A21" s="157" t="s">
        <v>14</v>
      </c>
      <c r="B21" s="158">
        <f t="shared" si="0"/>
        <v>20</v>
      </c>
      <c r="C21" s="159">
        <v>8</v>
      </c>
      <c r="D21" s="158">
        <v>2021</v>
      </c>
      <c r="E21" s="160">
        <f>'FS Jimbaran August 2021'!P31</f>
        <v>13243.000000000367</v>
      </c>
      <c r="F21" s="169">
        <f>'FS Jimbaran August 2021'!O31/'FS Jimbaran August 2021'!P31</f>
        <v>1181.3136208185442</v>
      </c>
      <c r="G21" s="160">
        <f>'FS Jimbaran August 2021'!AG31</f>
        <v>62</v>
      </c>
      <c r="H21" s="169">
        <f>'FS Jimbaran August 2021'!AH31/'FS Jimbaran August 2021'!AG31</f>
        <v>13024.193548387097</v>
      </c>
      <c r="I21" s="160">
        <f>'FS Jimbaran August 2021'!AJ31</f>
        <v>338.63000000000466</v>
      </c>
      <c r="J21" s="161">
        <f>'FS Jimbaran August 2021'!AK31/'FS Jimbaran August 2021'!AJ31</f>
        <v>9900</v>
      </c>
      <c r="K21" s="160">
        <f>'FS Jimbaran August 2021'!V31</f>
        <v>836</v>
      </c>
      <c r="L21" s="169">
        <f>'FS Jimbaran August 2021'!AA31/'FS Jimbaran August 2021'!V31</f>
        <v>6723.9602242638193</v>
      </c>
      <c r="M21" s="160">
        <f>+'RNs &amp; Covers August 2021'!B25</f>
        <v>2</v>
      </c>
      <c r="N21" s="160">
        <f>+'RNs &amp; Covers August 2021'!C25</f>
        <v>26</v>
      </c>
    </row>
    <row r="22" spans="1:14">
      <c r="A22" s="157" t="s">
        <v>14</v>
      </c>
      <c r="B22" s="158">
        <f t="shared" si="0"/>
        <v>21</v>
      </c>
      <c r="C22" s="159">
        <v>8</v>
      </c>
      <c r="D22" s="158">
        <v>2021</v>
      </c>
      <c r="E22" s="160">
        <f>'FS Jimbaran August 2021'!P32</f>
        <v>13685.000000000067</v>
      </c>
      <c r="F22" s="169">
        <f>'FS Jimbaran August 2021'!O32/'FS Jimbaran August 2021'!P32</f>
        <v>1179.9547480818426</v>
      </c>
      <c r="G22" s="160">
        <f>'FS Jimbaran August 2021'!AG32</f>
        <v>112</v>
      </c>
      <c r="H22" s="169">
        <f>'FS Jimbaran August 2021'!AH32/'FS Jimbaran August 2021'!AG32</f>
        <v>13191.964285714286</v>
      </c>
      <c r="I22" s="160">
        <f>'FS Jimbaran August 2021'!AJ32</f>
        <v>297.5</v>
      </c>
      <c r="J22" s="161">
        <f>'FS Jimbaran August 2021'!AK32/'FS Jimbaran August 2021'!AJ32</f>
        <v>9900</v>
      </c>
      <c r="K22" s="160">
        <f>'FS Jimbaran August 2021'!V32</f>
        <v>802</v>
      </c>
      <c r="L22" s="169">
        <f>'FS Jimbaran August 2021'!AA32/'FS Jimbaran August 2021'!V32</f>
        <v>6792.0601003034453</v>
      </c>
      <c r="M22" s="160">
        <f>+'RNs &amp; Covers August 2021'!B26</f>
        <v>2</v>
      </c>
      <c r="N22" s="160">
        <f>+'RNs &amp; Covers August 2021'!C26</f>
        <v>49</v>
      </c>
    </row>
    <row r="23" spans="1:14">
      <c r="A23" s="157" t="s">
        <v>14</v>
      </c>
      <c r="B23" s="158">
        <f t="shared" si="0"/>
        <v>22</v>
      </c>
      <c r="C23" s="159">
        <v>8</v>
      </c>
      <c r="D23" s="158">
        <v>2021</v>
      </c>
      <c r="E23" s="160">
        <f>'FS Jimbaran August 2021'!P33</f>
        <v>13118.000000000009</v>
      </c>
      <c r="F23" s="169">
        <f>'FS Jimbaran August 2021'!O33/'FS Jimbaran August 2021'!P33</f>
        <v>1180.6316774279612</v>
      </c>
      <c r="G23" s="160">
        <f>'FS Jimbaran August 2021'!AG33</f>
        <v>162</v>
      </c>
      <c r="H23" s="169">
        <f>'FS Jimbaran August 2021'!AH33/'FS Jimbaran August 2021'!AG33</f>
        <v>13256.172839506173</v>
      </c>
      <c r="I23" s="160">
        <f>'FS Jimbaran August 2021'!AJ33</f>
        <v>127.5</v>
      </c>
      <c r="J23" s="161">
        <f>'FS Jimbaran August 2021'!AK33/'FS Jimbaran August 2021'!AJ33</f>
        <v>9900</v>
      </c>
      <c r="K23" s="160">
        <f>'FS Jimbaran August 2021'!V33</f>
        <v>616</v>
      </c>
      <c r="L23" s="169">
        <f>'FS Jimbaran August 2021'!AA33/'FS Jimbaran August 2021'!V33</f>
        <v>7436.7573606530632</v>
      </c>
      <c r="M23" s="160">
        <f>+'RNs &amp; Covers August 2021'!B27</f>
        <v>3</v>
      </c>
      <c r="N23" s="160">
        <f>+'RNs &amp; Covers August 2021'!C27</f>
        <v>53</v>
      </c>
    </row>
    <row r="24" spans="1:14">
      <c r="A24" s="157" t="s">
        <v>14</v>
      </c>
      <c r="B24" s="158">
        <f t="shared" si="0"/>
        <v>23</v>
      </c>
      <c r="C24" s="159">
        <v>8</v>
      </c>
      <c r="D24" s="158">
        <v>2021</v>
      </c>
      <c r="E24" s="160">
        <f>'FS Jimbaran August 2021'!P34</f>
        <v>12995.999999999607</v>
      </c>
      <c r="F24" s="169">
        <f>'FS Jimbaran August 2021'!O34/'FS Jimbaran August 2021'!P34</f>
        <v>1181.4216187673155</v>
      </c>
      <c r="G24" s="160">
        <f>'FS Jimbaran August 2021'!AG34</f>
        <v>112</v>
      </c>
      <c r="H24" s="169">
        <f>'FS Jimbaran August 2021'!AH34/'FS Jimbaran August 2021'!AG34</f>
        <v>13191.964285714286</v>
      </c>
      <c r="I24" s="160">
        <f>'FS Jimbaran August 2021'!AJ34</f>
        <v>360.16999999999825</v>
      </c>
      <c r="J24" s="161">
        <f>'FS Jimbaran August 2021'!AK34/'FS Jimbaran August 2021'!AJ34</f>
        <v>9900</v>
      </c>
      <c r="K24" s="160">
        <f>'FS Jimbaran August 2021'!V34</f>
        <v>773</v>
      </c>
      <c r="L24" s="169">
        <f>'FS Jimbaran August 2021'!AA34/'FS Jimbaran August 2021'!V34</f>
        <v>7198.2661001281467</v>
      </c>
      <c r="M24" s="160">
        <f>+'RNs &amp; Covers August 2021'!B28</f>
        <v>4</v>
      </c>
      <c r="N24" s="160">
        <f>+'RNs &amp; Covers August 2021'!C28</f>
        <v>28</v>
      </c>
    </row>
    <row r="25" spans="1:14">
      <c r="A25" s="157" t="s">
        <v>14</v>
      </c>
      <c r="B25" s="158">
        <f t="shared" si="0"/>
        <v>24</v>
      </c>
      <c r="C25" s="159">
        <v>8</v>
      </c>
      <c r="D25" s="158">
        <v>2021</v>
      </c>
      <c r="E25" s="160">
        <f>'FS Jimbaran August 2021'!P35</f>
        <v>12825.000000000196</v>
      </c>
      <c r="F25" s="169">
        <f>'FS Jimbaran August 2021'!O35/'FS Jimbaran August 2021'!P35</f>
        <v>1181.0617736842091</v>
      </c>
      <c r="G25" s="160">
        <f>'FS Jimbaran August 2021'!AG35</f>
        <v>112</v>
      </c>
      <c r="H25" s="169">
        <f>'FS Jimbaran August 2021'!AH35/'FS Jimbaran August 2021'!AG35</f>
        <v>13191.964285714286</v>
      </c>
      <c r="I25" s="160">
        <f>'FS Jimbaran August 2021'!AJ35</f>
        <v>197.19000000000233</v>
      </c>
      <c r="J25" s="161">
        <f>'FS Jimbaran August 2021'!AK35/'FS Jimbaran August 2021'!AJ35</f>
        <v>9900</v>
      </c>
      <c r="K25" s="160">
        <f>'FS Jimbaran August 2021'!V35</f>
        <v>662</v>
      </c>
      <c r="L25" s="169">
        <f>'FS Jimbaran August 2021'!AA35/'FS Jimbaran August 2021'!V35</f>
        <v>8378.0806349791656</v>
      </c>
      <c r="M25" s="160">
        <f>+'RNs &amp; Covers August 2021'!B29</f>
        <v>6</v>
      </c>
      <c r="N25" s="160">
        <f>+'RNs &amp; Covers August 2021'!C29</f>
        <v>42</v>
      </c>
    </row>
    <row r="26" spans="1:14">
      <c r="A26" s="157" t="s">
        <v>14</v>
      </c>
      <c r="B26" s="158">
        <f>B25+1</f>
        <v>25</v>
      </c>
      <c r="C26" s="159">
        <v>8</v>
      </c>
      <c r="D26" s="158">
        <v>2021</v>
      </c>
      <c r="E26" s="160">
        <f>'FS Jimbaran August 2021'!P36</f>
        <v>13437.000000000116</v>
      </c>
      <c r="F26" s="169">
        <f>'FS Jimbaran August 2021'!O36/'FS Jimbaran August 2021'!P36</f>
        <v>1181.5789273275243</v>
      </c>
      <c r="G26" s="160">
        <f>'FS Jimbaran August 2021'!AG36</f>
        <v>62</v>
      </c>
      <c r="H26" s="169">
        <f>'FS Jimbaran August 2021'!AH36/'FS Jimbaran August 2021'!AG36</f>
        <v>13024.193548387097</v>
      </c>
      <c r="I26" s="160">
        <f>'FS Jimbaran August 2021'!AJ36</f>
        <v>278.83999999999651</v>
      </c>
      <c r="J26" s="161">
        <f>'FS Jimbaran August 2021'!AK36/'FS Jimbaran August 2021'!AJ36</f>
        <v>9900</v>
      </c>
      <c r="K26" s="160">
        <f>'FS Jimbaran August 2021'!V36</f>
        <v>609</v>
      </c>
      <c r="L26" s="169">
        <f>'FS Jimbaran August 2021'!AA36/'FS Jimbaran August 2021'!V36</f>
        <v>9048.1917081617539</v>
      </c>
      <c r="M26" s="160">
        <f>+'RNs &amp; Covers August 2021'!B30</f>
        <v>4</v>
      </c>
      <c r="N26" s="160">
        <f>+'RNs &amp; Covers August 2021'!C30</f>
        <v>28</v>
      </c>
    </row>
    <row r="27" spans="1:14">
      <c r="A27" s="157" t="s">
        <v>14</v>
      </c>
      <c r="B27" s="158">
        <f t="shared" si="0"/>
        <v>26</v>
      </c>
      <c r="C27" s="159">
        <v>8</v>
      </c>
      <c r="D27" s="158">
        <v>2021</v>
      </c>
      <c r="E27" s="160">
        <f>'FS Jimbaran August 2021'!P37</f>
        <v>12684.99999999984</v>
      </c>
      <c r="F27" s="169">
        <f>'FS Jimbaran August 2021'!O37/'FS Jimbaran August 2021'!P37</f>
        <v>1183.7654854552632</v>
      </c>
      <c r="G27" s="160">
        <f>'FS Jimbaran August 2021'!AG37</f>
        <v>112</v>
      </c>
      <c r="H27" s="169">
        <f>'FS Jimbaran August 2021'!AH37/'FS Jimbaran August 2021'!AG37</f>
        <v>13191.964285714286</v>
      </c>
      <c r="I27" s="160">
        <f>'FS Jimbaran August 2021'!AJ37</f>
        <v>226.9800000000032</v>
      </c>
      <c r="J27" s="161">
        <f>'FS Jimbaran August 2021'!AK37/'FS Jimbaran August 2021'!AJ37</f>
        <v>9900</v>
      </c>
      <c r="K27" s="160">
        <f>'FS Jimbaran August 2021'!V37</f>
        <v>774</v>
      </c>
      <c r="L27" s="169">
        <f>'FS Jimbaran August 2021'!AA37/'FS Jimbaran August 2021'!V37</f>
        <v>7212.183476023135</v>
      </c>
      <c r="M27" s="160">
        <f>+'RNs &amp; Covers August 2021'!B31</f>
        <v>4</v>
      </c>
      <c r="N27" s="160">
        <f>+'RNs &amp; Covers August 2021'!C31</f>
        <v>47</v>
      </c>
    </row>
    <row r="28" spans="1:14">
      <c r="A28" s="157" t="s">
        <v>14</v>
      </c>
      <c r="B28" s="158">
        <f t="shared" si="0"/>
        <v>27</v>
      </c>
      <c r="C28" s="159">
        <v>8</v>
      </c>
      <c r="D28" s="158">
        <v>2021</v>
      </c>
      <c r="E28" s="160">
        <f>'FS Jimbaran August 2021'!P38</f>
        <v>13344.999999999909</v>
      </c>
      <c r="F28" s="169">
        <f>'FS Jimbaran August 2021'!O38/'FS Jimbaran August 2021'!P38</f>
        <v>1183.082740576996</v>
      </c>
      <c r="G28" s="160">
        <f>'FS Jimbaran August 2021'!AG38</f>
        <v>112</v>
      </c>
      <c r="H28" s="169">
        <f>'FS Jimbaran August 2021'!AH38/'FS Jimbaran August 2021'!AG38</f>
        <v>13191.964285714286</v>
      </c>
      <c r="I28" s="160">
        <f>'FS Jimbaran August 2021'!AJ38</f>
        <v>284.89999999999418</v>
      </c>
      <c r="J28" s="161">
        <f>'FS Jimbaran August 2021'!AK38/'FS Jimbaran August 2021'!AJ38</f>
        <v>9900</v>
      </c>
      <c r="K28" s="160">
        <f>'FS Jimbaran August 2021'!V38</f>
        <v>571</v>
      </c>
      <c r="L28" s="169">
        <f>'FS Jimbaran August 2021'!AA38/'FS Jimbaran August 2021'!V38</f>
        <v>9713.2913841614845</v>
      </c>
      <c r="M28" s="160">
        <f>+'RNs &amp; Covers August 2021'!B32</f>
        <v>5</v>
      </c>
      <c r="N28" s="160">
        <f>+'RNs &amp; Covers August 2021'!C32</f>
        <v>41</v>
      </c>
    </row>
    <row r="29" spans="1:14">
      <c r="A29" s="157" t="s">
        <v>14</v>
      </c>
      <c r="B29" s="158">
        <f t="shared" si="0"/>
        <v>28</v>
      </c>
      <c r="C29" s="159">
        <v>8</v>
      </c>
      <c r="D29" s="158">
        <v>2021</v>
      </c>
      <c r="E29" s="160">
        <f>'FS Jimbaran August 2021'!P39</f>
        <v>13758.000000000166</v>
      </c>
      <c r="F29" s="169">
        <f>'FS Jimbaran August 2021'!O39/'FS Jimbaran August 2021'!P39</f>
        <v>1182.587021369387</v>
      </c>
      <c r="G29" s="160">
        <f>'FS Jimbaran August 2021'!AG39</f>
        <v>112</v>
      </c>
      <c r="H29" s="169">
        <f>'FS Jimbaran August 2021'!AH39/'FS Jimbaran August 2021'!AG39</f>
        <v>13191.964285714286</v>
      </c>
      <c r="I29" s="160">
        <f>'FS Jimbaran August 2021'!AJ39</f>
        <v>127.72000000000844</v>
      </c>
      <c r="J29" s="161">
        <f>'FS Jimbaran August 2021'!AK39/'FS Jimbaran August 2021'!AJ39</f>
        <v>9900</v>
      </c>
      <c r="K29" s="160">
        <f>'FS Jimbaran August 2021'!V39</f>
        <v>772</v>
      </c>
      <c r="L29" s="169">
        <f>'FS Jimbaran August 2021'!AA39/'FS Jimbaran August 2021'!V39</f>
        <v>7184.3126688551911</v>
      </c>
      <c r="M29" s="160">
        <f>+'RNs &amp; Covers August 2021'!B33</f>
        <v>6</v>
      </c>
      <c r="N29" s="160">
        <f>+'RNs &amp; Covers August 2021'!C33</f>
        <v>47</v>
      </c>
    </row>
    <row r="30" spans="1:14">
      <c r="A30" s="157" t="s">
        <v>14</v>
      </c>
      <c r="B30" s="158">
        <f t="shared" si="0"/>
        <v>29</v>
      </c>
      <c r="C30" s="159">
        <v>8</v>
      </c>
      <c r="D30" s="158">
        <v>2021</v>
      </c>
      <c r="E30" s="160">
        <f>'FS Jimbaran August 2021'!P40</f>
        <v>13854.999999999847</v>
      </c>
      <c r="F30" s="169">
        <f>'FS Jimbaran August 2021'!O40/'FS Jimbaran August 2021'!P40</f>
        <v>1180.273365860701</v>
      </c>
      <c r="G30" s="160">
        <f>'FS Jimbaran August 2021'!AG40</f>
        <v>162</v>
      </c>
      <c r="H30" s="169">
        <f>'FS Jimbaran August 2021'!AH40/'FS Jimbaran August 2021'!AG40</f>
        <v>13256.172839506173</v>
      </c>
      <c r="I30" s="160">
        <f>'FS Jimbaran August 2021'!AJ40</f>
        <v>217.8</v>
      </c>
      <c r="J30" s="161">
        <f>'FS Jimbaran August 2021'!AK40/'FS Jimbaran August 2021'!AJ40</f>
        <v>9900</v>
      </c>
      <c r="K30" s="160">
        <f>'FS Jimbaran August 2021'!V40</f>
        <v>536</v>
      </c>
      <c r="L30" s="169">
        <f>'FS Jimbaran August 2021'!AA40/'FS Jimbaran August 2021'!V40</f>
        <v>10448.134935605889</v>
      </c>
      <c r="M30" s="160">
        <f>+'RNs &amp; Covers August 2021'!B34</f>
        <v>6</v>
      </c>
      <c r="N30" s="160">
        <f>+'RNs &amp; Covers August 2021'!C34</f>
        <v>97</v>
      </c>
    </row>
    <row r="31" spans="1:14">
      <c r="A31" s="157" t="s">
        <v>14</v>
      </c>
      <c r="B31" s="158">
        <f t="shared" si="0"/>
        <v>30</v>
      </c>
      <c r="C31" s="159">
        <v>8</v>
      </c>
      <c r="D31" s="158">
        <v>2021</v>
      </c>
      <c r="E31" s="160">
        <f>'FS Jimbaran August 2021'!P41</f>
        <v>13862.999999999891</v>
      </c>
      <c r="F31" s="169">
        <f>'FS Jimbaran August 2021'!O41/'FS Jimbaran August 2021'!P41</f>
        <v>1179.4353564163609</v>
      </c>
      <c r="G31" s="160">
        <f>'FS Jimbaran August 2021'!AG41</f>
        <v>112</v>
      </c>
      <c r="H31" s="169">
        <f>'FS Jimbaran August 2021'!AH41/'FS Jimbaran August 2021'!AG41</f>
        <v>13191.964285714286</v>
      </c>
      <c r="I31" s="160">
        <f>'FS Jimbaran August 2021'!AJ41</f>
        <v>281.34000000000378</v>
      </c>
      <c r="J31" s="161">
        <f>'FS Jimbaran August 2021'!AK41/'FS Jimbaran August 2021'!AJ41</f>
        <v>9900</v>
      </c>
      <c r="K31" s="160">
        <f>'FS Jimbaran August 2021'!V41</f>
        <v>652</v>
      </c>
      <c r="L31" s="169">
        <f>'FS Jimbaran August 2021'!AA41/'FS Jimbaran August 2021'!V41</f>
        <v>8506.5788042273125</v>
      </c>
      <c r="M31" s="160">
        <f>+'RNs &amp; Covers August 2021'!B35</f>
        <v>4</v>
      </c>
      <c r="N31" s="160">
        <f>+'RNs &amp; Covers August 2021'!C35</f>
        <v>46</v>
      </c>
    </row>
    <row r="32" spans="1:14">
      <c r="A32" s="157" t="s">
        <v>14</v>
      </c>
      <c r="B32" s="158">
        <f t="shared" si="0"/>
        <v>31</v>
      </c>
      <c r="C32" s="159">
        <v>8</v>
      </c>
      <c r="D32" s="158">
        <v>2021</v>
      </c>
      <c r="E32" s="160">
        <f>'FS Jimbaran August 2021'!P42</f>
        <v>13099.000000000397</v>
      </c>
      <c r="F32" s="169">
        <f>'FS Jimbaran August 2021'!O42/'FS Jimbaran August 2021'!P42</f>
        <v>1179.8118551034395</v>
      </c>
      <c r="G32" s="160">
        <f>'FS Jimbaran August 2021'!AG42</f>
        <v>112</v>
      </c>
      <c r="H32" s="169">
        <f>'FS Jimbaran August 2021'!AH42/'FS Jimbaran August 2021'!AG42</f>
        <v>13191.964285714286</v>
      </c>
      <c r="I32" s="160">
        <f>'FS Jimbaran August 2021'!AJ42</f>
        <v>297.39999999999998</v>
      </c>
      <c r="J32" s="161">
        <f>'FS Jimbaran August 2021'!AK42/'FS Jimbaran August 2021'!AJ42</f>
        <v>9900</v>
      </c>
      <c r="K32" s="160">
        <f>'FS Jimbaran August 2021'!V42</f>
        <v>562</v>
      </c>
      <c r="L32" s="169">
        <f>'FS Jimbaran August 2021'!AA42/'FS Jimbaran August 2021'!V42</f>
        <v>9900.8179633435175</v>
      </c>
      <c r="M32" s="160">
        <f>+'RNs &amp; Covers August 2021'!B36</f>
        <v>3</v>
      </c>
      <c r="N32" s="160">
        <f>+'RNs &amp; Covers August 2021'!C36</f>
        <v>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70"/>
  <sheetViews>
    <sheetView zoomScale="62" zoomScaleNormal="62" workbookViewId="0">
      <pane xSplit="4" ySplit="10" topLeftCell="W40" activePane="bottomRight" state="frozen"/>
      <selection pane="bottomRight" activeCell="W51" sqref="W51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1" bestFit="1" customWidth="1"/>
    <col min="14" max="14" width="20.42578125" style="65" customWidth="1"/>
    <col min="15" max="15" width="18.85546875" customWidth="1"/>
    <col min="16" max="16" width="15.140625" style="65" customWidth="1"/>
    <col min="17" max="17" width="19.7109375" customWidth="1"/>
    <col min="18" max="18" width="18.140625" style="86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3" customWidth="1"/>
    <col min="35" max="35" width="10.5703125" customWidth="1"/>
    <col min="36" max="36" width="13.28515625" style="86" bestFit="1" customWidth="1"/>
    <col min="37" max="37" width="20.7109375" bestFit="1" customWidth="1"/>
    <col min="38" max="38" width="9.42578125" style="38" bestFit="1" customWidth="1"/>
    <col min="39" max="39" width="2.28515625" style="7" customWidth="1"/>
  </cols>
  <sheetData>
    <row r="5" spans="1:39">
      <c r="N5" s="170"/>
      <c r="X5" s="171"/>
    </row>
    <row r="6" spans="1:39" s="25" customFormat="1" ht="19.5" thickBot="1">
      <c r="B6" s="25" t="s">
        <v>16</v>
      </c>
      <c r="C6" s="33"/>
      <c r="E6" s="33"/>
      <c r="F6" s="33"/>
      <c r="H6" s="33"/>
      <c r="L6" s="33"/>
      <c r="M6" s="56"/>
      <c r="N6" s="62"/>
      <c r="P6" s="62"/>
      <c r="R6" s="82"/>
      <c r="AD6" s="33"/>
      <c r="AH6" s="33"/>
      <c r="AJ6" s="82"/>
      <c r="AL6" s="35"/>
    </row>
    <row r="7" spans="1:39" s="11" customFormat="1" ht="16.5" thickBot="1">
      <c r="A7" s="29"/>
      <c r="B7" s="230" t="s">
        <v>17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2"/>
      <c r="AM7" s="29"/>
    </row>
    <row r="8" spans="1:39" s="7" customFormat="1" ht="15.75" customHeight="1" thickBot="1">
      <c r="A8" s="26"/>
      <c r="B8" s="233" t="s">
        <v>18</v>
      </c>
      <c r="C8" s="236" t="s">
        <v>19</v>
      </c>
      <c r="D8" s="239" t="s">
        <v>13</v>
      </c>
      <c r="E8" s="242" t="s">
        <v>20</v>
      </c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3"/>
      <c r="V8" s="244" t="s">
        <v>21</v>
      </c>
      <c r="W8" s="245"/>
      <c r="X8" s="245"/>
      <c r="Y8" s="245"/>
      <c r="Z8" s="245"/>
      <c r="AA8" s="245"/>
      <c r="AB8" s="246"/>
      <c r="AC8" s="247" t="s">
        <v>22</v>
      </c>
      <c r="AD8" s="247"/>
      <c r="AE8" s="247"/>
      <c r="AF8" s="247"/>
      <c r="AG8" s="247"/>
      <c r="AH8" s="247"/>
      <c r="AI8" s="247"/>
      <c r="AJ8" s="247"/>
      <c r="AK8" s="247"/>
      <c r="AL8" s="248"/>
      <c r="AM8" s="28"/>
    </row>
    <row r="9" spans="1:39" ht="15" customHeight="1" thickBot="1">
      <c r="B9" s="234"/>
      <c r="C9" s="237"/>
      <c r="D9" s="240"/>
      <c r="E9" s="249" t="s">
        <v>23</v>
      </c>
      <c r="F9" s="250"/>
      <c r="G9" s="250"/>
      <c r="H9" s="250"/>
      <c r="I9" s="251"/>
      <c r="J9" s="252" t="s">
        <v>24</v>
      </c>
      <c r="K9" s="252"/>
      <c r="L9" s="252"/>
      <c r="M9" s="252"/>
      <c r="N9" s="253"/>
      <c r="O9" s="239" t="s">
        <v>25</v>
      </c>
      <c r="P9" s="254" t="s">
        <v>26</v>
      </c>
      <c r="Q9" s="256" t="s">
        <v>27</v>
      </c>
      <c r="R9" s="261" t="s">
        <v>28</v>
      </c>
      <c r="S9" s="263" t="s">
        <v>29</v>
      </c>
      <c r="T9" s="226" t="s">
        <v>30</v>
      </c>
      <c r="U9" s="227"/>
      <c r="V9" s="50"/>
      <c r="W9" s="50" t="s">
        <v>31</v>
      </c>
      <c r="X9" s="50"/>
      <c r="Y9" s="51"/>
      <c r="Z9" s="176"/>
      <c r="AA9" s="228" t="s">
        <v>32</v>
      </c>
      <c r="AB9" s="229"/>
      <c r="AC9" s="247" t="s">
        <v>33</v>
      </c>
      <c r="AD9" s="247"/>
      <c r="AE9" s="247"/>
      <c r="AF9" s="247"/>
      <c r="AG9" s="247"/>
      <c r="AH9" s="247"/>
      <c r="AI9" s="248"/>
      <c r="AJ9" s="258" t="s">
        <v>34</v>
      </c>
      <c r="AK9" s="259"/>
      <c r="AL9" s="260"/>
    </row>
    <row r="10" spans="1:39" ht="61.5" customHeight="1" thickBot="1">
      <c r="A10" s="27"/>
      <c r="B10" s="235"/>
      <c r="C10" s="238"/>
      <c r="D10" s="241"/>
      <c r="E10" s="96" t="s">
        <v>35</v>
      </c>
      <c r="F10" s="80" t="s">
        <v>36</v>
      </c>
      <c r="G10" s="130" t="s">
        <v>37</v>
      </c>
      <c r="H10" s="17" t="s">
        <v>36</v>
      </c>
      <c r="I10" s="97" t="s">
        <v>38</v>
      </c>
      <c r="J10" s="96" t="s">
        <v>35</v>
      </c>
      <c r="K10" s="81" t="s">
        <v>36</v>
      </c>
      <c r="L10" s="130" t="s">
        <v>37</v>
      </c>
      <c r="M10" s="57" t="s">
        <v>36</v>
      </c>
      <c r="N10" s="89" t="s">
        <v>39</v>
      </c>
      <c r="O10" s="241"/>
      <c r="P10" s="255"/>
      <c r="Q10" s="257"/>
      <c r="R10" s="262"/>
      <c r="S10" s="264"/>
      <c r="T10" s="177" t="s">
        <v>40</v>
      </c>
      <c r="U10" s="22" t="s">
        <v>41</v>
      </c>
      <c r="V10" s="178" t="s">
        <v>42</v>
      </c>
      <c r="W10" s="52" t="s">
        <v>43</v>
      </c>
      <c r="X10" s="52" t="s">
        <v>44</v>
      </c>
      <c r="Y10" s="21" t="s">
        <v>45</v>
      </c>
      <c r="Z10" s="21" t="s">
        <v>46</v>
      </c>
      <c r="AA10" s="21" t="s">
        <v>40</v>
      </c>
      <c r="AB10" s="12" t="s">
        <v>41</v>
      </c>
      <c r="AC10" s="122" t="s">
        <v>47</v>
      </c>
      <c r="AD10" s="45" t="s">
        <v>48</v>
      </c>
      <c r="AE10" s="44" t="s">
        <v>49</v>
      </c>
      <c r="AF10" s="44" t="s">
        <v>50</v>
      </c>
      <c r="AG10" s="44" t="s">
        <v>51</v>
      </c>
      <c r="AH10" s="45" t="s">
        <v>40</v>
      </c>
      <c r="AI10" s="46" t="s">
        <v>41</v>
      </c>
      <c r="AJ10" s="137" t="s">
        <v>52</v>
      </c>
      <c r="AK10" s="44" t="s">
        <v>40</v>
      </c>
      <c r="AL10" s="48" t="s">
        <v>41</v>
      </c>
      <c r="AM10" s="27"/>
    </row>
    <row r="11" spans="1:39">
      <c r="A11" s="27"/>
      <c r="B11" s="54"/>
      <c r="C11" s="98"/>
      <c r="D11" s="179"/>
      <c r="E11" s="180"/>
      <c r="F11" s="87"/>
      <c r="G11" s="18"/>
      <c r="H11" s="19"/>
      <c r="I11" s="99"/>
      <c r="J11" s="88"/>
      <c r="K11" s="18"/>
      <c r="L11" s="19"/>
      <c r="M11" s="58"/>
      <c r="N11" s="90"/>
      <c r="O11" s="53"/>
      <c r="P11" s="107"/>
      <c r="Q11" s="181"/>
      <c r="R11" s="110"/>
      <c r="S11" s="182"/>
      <c r="T11" s="182"/>
      <c r="U11" s="23"/>
      <c r="V11" s="88"/>
      <c r="W11" s="18"/>
      <c r="X11" s="18"/>
      <c r="Y11" s="20"/>
      <c r="Z11" s="20"/>
      <c r="AA11" s="20"/>
      <c r="AB11" s="99"/>
      <c r="AC11" s="123"/>
      <c r="AD11" s="42"/>
      <c r="AE11" s="39"/>
      <c r="AF11" s="39"/>
      <c r="AG11" s="39"/>
      <c r="AH11" s="42"/>
      <c r="AI11" s="43"/>
      <c r="AJ11" s="138"/>
      <c r="AK11" s="39"/>
      <c r="AL11" s="47"/>
      <c r="AM11" s="27"/>
    </row>
    <row r="12" spans="1:39">
      <c r="A12" s="32"/>
      <c r="B12" s="55">
        <v>1</v>
      </c>
      <c r="C12" s="146">
        <v>4</v>
      </c>
      <c r="D12" s="148">
        <v>95</v>
      </c>
      <c r="E12" s="103">
        <v>9291.9999999997453</v>
      </c>
      <c r="F12" s="2">
        <v>10105691.147999723</v>
      </c>
      <c r="G12" s="34">
        <v>1844.0000000000318</v>
      </c>
      <c r="H12" s="2">
        <v>3008215.8540000524</v>
      </c>
      <c r="I12" s="100">
        <f>F12+H12</f>
        <v>13113907.001999775</v>
      </c>
      <c r="J12" s="103">
        <v>1379.9999999999955</v>
      </c>
      <c r="K12" s="2">
        <v>1500845.2199999951</v>
      </c>
      <c r="L12" s="183">
        <v>340.00000000000341</v>
      </c>
      <c r="M12" s="184">
        <v>554660.19000000553</v>
      </c>
      <c r="N12" s="91">
        <f>+K12+M12</f>
        <v>2055505.4100000006</v>
      </c>
      <c r="O12" s="105">
        <f>N12+I12</f>
        <v>15169412.411999775</v>
      </c>
      <c r="P12" s="108">
        <f>L12+J12+G12+E12</f>
        <v>12855.999999999776</v>
      </c>
      <c r="Q12" s="132"/>
      <c r="R12" s="198"/>
      <c r="S12" s="212"/>
      <c r="T12" s="209"/>
      <c r="U12" s="207">
        <v>0</v>
      </c>
      <c r="V12" s="185">
        <f>Y12+W12</f>
        <v>529</v>
      </c>
      <c r="W12" s="2">
        <v>140</v>
      </c>
      <c r="X12" s="2">
        <v>2515844.1059989529</v>
      </c>
      <c r="Y12" s="30">
        <v>389</v>
      </c>
      <c r="Z12" s="30">
        <v>1839241.8862834615</v>
      </c>
      <c r="AA12" s="30">
        <f t="shared" ref="AA12:AA39" si="0">Z12+X12</f>
        <v>4355085.9922824148</v>
      </c>
      <c r="AB12" s="125">
        <f t="shared" ref="AB12:AB39" si="1">AA12/$AL$48</f>
        <v>335.62390460319057</v>
      </c>
      <c r="AC12" s="131">
        <v>0</v>
      </c>
      <c r="AD12" s="2">
        <v>0</v>
      </c>
      <c r="AE12" s="2">
        <v>150</v>
      </c>
      <c r="AF12" s="2">
        <v>12</v>
      </c>
      <c r="AG12" s="2">
        <f t="shared" ref="AG12:AG31" si="2">+AE12+AF12</f>
        <v>162</v>
      </c>
      <c r="AH12" s="2">
        <v>2147500</v>
      </c>
      <c r="AI12" s="40">
        <f t="shared" ref="AI12:AI39" si="3">AH12/$AL$48</f>
        <v>165.49669430467884</v>
      </c>
      <c r="AJ12" s="139">
        <v>108.75</v>
      </c>
      <c r="AK12" s="2">
        <v>1076625</v>
      </c>
      <c r="AL12" s="36">
        <f t="shared" ref="AL12:AL42" si="4">AK12/$AL$48</f>
        <v>82.969908500942893</v>
      </c>
      <c r="AM12" s="6"/>
    </row>
    <row r="13" spans="1:39">
      <c r="A13" s="32"/>
      <c r="B13" s="55">
        <v>2</v>
      </c>
      <c r="C13" s="146">
        <v>5</v>
      </c>
      <c r="D13" s="148">
        <v>44</v>
      </c>
      <c r="E13" s="103">
        <v>9142.0000000003456</v>
      </c>
      <c r="F13" s="2">
        <v>9942555.7980003748</v>
      </c>
      <c r="G13" s="34">
        <v>1844.0000000000318</v>
      </c>
      <c r="H13" s="2">
        <v>3008215.8540000524</v>
      </c>
      <c r="I13" s="100">
        <f t="shared" ref="I13:I42" si="5">F13+H13</f>
        <v>12950771.652000427</v>
      </c>
      <c r="J13" s="103">
        <v>1379.9999999999955</v>
      </c>
      <c r="K13" s="2">
        <v>1500845.2199999951</v>
      </c>
      <c r="L13" s="183">
        <v>380.00000000000966</v>
      </c>
      <c r="M13" s="184">
        <v>619914.33000001579</v>
      </c>
      <c r="N13" s="91">
        <f t="shared" ref="N13:N41" si="6">+K13+M13</f>
        <v>2120759.550000011</v>
      </c>
      <c r="O13" s="105">
        <f t="shared" ref="O13:O39" si="7">N13+I13</f>
        <v>15071531.202000439</v>
      </c>
      <c r="P13" s="108">
        <f t="shared" ref="P13:P39" si="8">L13+J13+G13+E13</f>
        <v>12746.000000000382</v>
      </c>
      <c r="Q13" s="188"/>
      <c r="R13" s="199"/>
      <c r="S13" s="212"/>
      <c r="T13" s="209"/>
      <c r="U13" s="207">
        <v>0</v>
      </c>
      <c r="V13" s="185">
        <f t="shared" ref="V13:V41" si="9">Y13+W13</f>
        <v>566</v>
      </c>
      <c r="W13" s="2">
        <v>152</v>
      </c>
      <c r="X13" s="2">
        <v>2731487.8865131489</v>
      </c>
      <c r="Y13" s="30">
        <v>414</v>
      </c>
      <c r="Z13" s="30">
        <v>1957445.0923428098</v>
      </c>
      <c r="AA13" s="30">
        <f t="shared" si="0"/>
        <v>4688932.9788559582</v>
      </c>
      <c r="AB13" s="125">
        <f t="shared" si="1"/>
        <v>361.35176149795188</v>
      </c>
      <c r="AC13" s="131">
        <v>0</v>
      </c>
      <c r="AD13" s="2">
        <v>0</v>
      </c>
      <c r="AE13" s="2">
        <v>100</v>
      </c>
      <c r="AF13" s="2">
        <v>12</v>
      </c>
      <c r="AG13" s="2">
        <f t="shared" si="2"/>
        <v>112</v>
      </c>
      <c r="AH13" s="2">
        <v>1477500</v>
      </c>
      <c r="AI13" s="40">
        <f t="shared" si="3"/>
        <v>113.86326697795715</v>
      </c>
      <c r="AJ13" s="139">
        <v>346.97000000000116</v>
      </c>
      <c r="AK13" s="2">
        <v>3435003.0000000116</v>
      </c>
      <c r="AL13" s="36">
        <f t="shared" si="4"/>
        <v>264.7178772650322</v>
      </c>
      <c r="AM13" s="6"/>
    </row>
    <row r="14" spans="1:39">
      <c r="A14" s="32"/>
      <c r="B14" s="55">
        <v>3</v>
      </c>
      <c r="C14" s="146">
        <v>3</v>
      </c>
      <c r="D14" s="148">
        <v>47</v>
      </c>
      <c r="E14" s="103">
        <v>9015</v>
      </c>
      <c r="F14" s="2">
        <v>9804434.5350000001</v>
      </c>
      <c r="G14" s="34">
        <v>1724.0000000000273</v>
      </c>
      <c r="H14" s="2">
        <v>2812453.4340000446</v>
      </c>
      <c r="I14" s="100">
        <f t="shared" si="5"/>
        <v>12616887.969000045</v>
      </c>
      <c r="J14" s="103">
        <v>1379.9999999999955</v>
      </c>
      <c r="K14" s="2">
        <v>1500845.2199999951</v>
      </c>
      <c r="L14" s="183">
        <v>339.9999999999892</v>
      </c>
      <c r="M14" s="184">
        <v>554660.18999998248</v>
      </c>
      <c r="N14" s="91">
        <f t="shared" si="6"/>
        <v>2055505.4099999776</v>
      </c>
      <c r="O14" s="105">
        <f t="shared" si="7"/>
        <v>14672393.379000023</v>
      </c>
      <c r="P14" s="108">
        <f t="shared" si="8"/>
        <v>12459.000000000011</v>
      </c>
      <c r="Q14" s="188"/>
      <c r="R14" s="199"/>
      <c r="S14" s="212"/>
      <c r="T14" s="209"/>
      <c r="U14" s="207">
        <v>0</v>
      </c>
      <c r="V14" s="185">
        <f t="shared" si="9"/>
        <v>505</v>
      </c>
      <c r="W14" s="2">
        <v>150</v>
      </c>
      <c r="X14" s="2">
        <v>2695547.2564274496</v>
      </c>
      <c r="Y14" s="30">
        <v>355</v>
      </c>
      <c r="Z14" s="30">
        <v>1678485.5260427475</v>
      </c>
      <c r="AA14" s="30">
        <f t="shared" si="0"/>
        <v>4374032.7824701974</v>
      </c>
      <c r="AB14" s="125">
        <f t="shared" si="1"/>
        <v>337.08403551995997</v>
      </c>
      <c r="AC14" s="131">
        <v>0</v>
      </c>
      <c r="AD14" s="2">
        <v>0</v>
      </c>
      <c r="AE14" s="2">
        <v>100</v>
      </c>
      <c r="AF14" s="2">
        <v>12</v>
      </c>
      <c r="AG14" s="2">
        <f t="shared" si="2"/>
        <v>112</v>
      </c>
      <c r="AH14" s="2">
        <v>1477500</v>
      </c>
      <c r="AI14" s="40">
        <f t="shared" si="3"/>
        <v>113.86326697795715</v>
      </c>
      <c r="AJ14" s="139">
        <v>276.88999999999942</v>
      </c>
      <c r="AK14" s="2">
        <v>2741210.9999999944</v>
      </c>
      <c r="AL14" s="36">
        <f t="shared" si="4"/>
        <v>211.25092381449221</v>
      </c>
      <c r="AM14" s="6"/>
    </row>
    <row r="15" spans="1:39">
      <c r="A15" s="32"/>
      <c r="B15" s="55">
        <v>4</v>
      </c>
      <c r="C15" s="146">
        <v>3</v>
      </c>
      <c r="D15" s="148">
        <v>43</v>
      </c>
      <c r="E15" s="103">
        <v>9538.9999999999818</v>
      </c>
      <c r="F15" s="2">
        <v>10374320.690999981</v>
      </c>
      <c r="G15" s="34">
        <v>1963.9999999999227</v>
      </c>
      <c r="H15" s="2">
        <v>3203978.2739998745</v>
      </c>
      <c r="I15" s="100">
        <f t="shared" si="5"/>
        <v>13578298.964999855</v>
      </c>
      <c r="J15" s="103">
        <v>1379.9999999999955</v>
      </c>
      <c r="K15" s="2">
        <v>1500845.2199999951</v>
      </c>
      <c r="L15" s="183">
        <v>359.99999999999943</v>
      </c>
      <c r="M15" s="184">
        <v>587287.25999999908</v>
      </c>
      <c r="N15" s="91">
        <f t="shared" si="6"/>
        <v>2088132.4799999942</v>
      </c>
      <c r="O15" s="105">
        <f t="shared" si="7"/>
        <v>15666431.444999849</v>
      </c>
      <c r="P15" s="108">
        <f t="shared" si="8"/>
        <v>13242.9999999999</v>
      </c>
      <c r="Q15" s="188"/>
      <c r="R15" s="199"/>
      <c r="S15" s="212"/>
      <c r="T15" s="209"/>
      <c r="U15" s="207">
        <v>0</v>
      </c>
      <c r="V15" s="185">
        <f t="shared" si="9"/>
        <v>625</v>
      </c>
      <c r="W15" s="2">
        <v>150</v>
      </c>
      <c r="X15" s="2">
        <v>2695547.2564274496</v>
      </c>
      <c r="Y15" s="30">
        <v>475</v>
      </c>
      <c r="Z15" s="30">
        <v>2245860.9151276201</v>
      </c>
      <c r="AA15" s="30">
        <f t="shared" si="0"/>
        <v>4941408.1715550702</v>
      </c>
      <c r="AB15" s="125">
        <f t="shared" si="1"/>
        <v>380.80871599650357</v>
      </c>
      <c r="AC15" s="131">
        <v>0</v>
      </c>
      <c r="AD15" s="2">
        <v>0</v>
      </c>
      <c r="AE15" s="2">
        <v>100</v>
      </c>
      <c r="AF15" s="2">
        <v>12</v>
      </c>
      <c r="AG15" s="2">
        <f t="shared" si="2"/>
        <v>112</v>
      </c>
      <c r="AH15" s="2">
        <v>1477500</v>
      </c>
      <c r="AI15" s="40">
        <f t="shared" si="3"/>
        <v>113.86326697795715</v>
      </c>
      <c r="AJ15" s="139">
        <v>385.38999999999942</v>
      </c>
      <c r="AK15" s="2">
        <v>3815360.9999999944</v>
      </c>
      <c r="AL15" s="36">
        <f t="shared" si="4"/>
        <v>294.03009689359385</v>
      </c>
      <c r="AM15" s="6"/>
    </row>
    <row r="16" spans="1:39">
      <c r="A16" s="32"/>
      <c r="B16" s="55">
        <v>5</v>
      </c>
      <c r="C16" s="146">
        <v>3</v>
      </c>
      <c r="D16" s="148">
        <v>27</v>
      </c>
      <c r="E16" s="103">
        <v>9738.9999999997999</v>
      </c>
      <c r="F16" s="2">
        <v>10591834.490999782</v>
      </c>
      <c r="G16" s="34">
        <v>1925.0000000000728</v>
      </c>
      <c r="H16" s="2">
        <v>3140355.487500119</v>
      </c>
      <c r="I16" s="100">
        <f t="shared" si="5"/>
        <v>13732189.978499901</v>
      </c>
      <c r="J16" s="103">
        <v>1339.999999999975</v>
      </c>
      <c r="K16" s="2">
        <v>1457342.459999973</v>
      </c>
      <c r="L16" s="183">
        <v>320.00000000000739</v>
      </c>
      <c r="M16" s="184">
        <v>522033.1200000121</v>
      </c>
      <c r="N16" s="91">
        <f t="shared" si="6"/>
        <v>1979375.5799999852</v>
      </c>
      <c r="O16" s="105">
        <f t="shared" si="7"/>
        <v>15711565.558499886</v>
      </c>
      <c r="P16" s="108">
        <f t="shared" si="8"/>
        <v>13323.999999999854</v>
      </c>
      <c r="Q16" s="188"/>
      <c r="R16" s="199"/>
      <c r="S16" s="212"/>
      <c r="T16" s="209"/>
      <c r="U16" s="207">
        <v>0</v>
      </c>
      <c r="V16" s="185">
        <f t="shared" si="9"/>
        <v>760</v>
      </c>
      <c r="W16" s="2">
        <v>149</v>
      </c>
      <c r="X16" s="2">
        <v>2677576.9413845995</v>
      </c>
      <c r="Y16" s="30">
        <v>611</v>
      </c>
      <c r="Z16" s="30">
        <v>2888886.3560904753</v>
      </c>
      <c r="AA16" s="30">
        <f t="shared" si="0"/>
        <v>5566463.2974750753</v>
      </c>
      <c r="AB16" s="125">
        <f t="shared" si="1"/>
        <v>428.97847483140725</v>
      </c>
      <c r="AC16" s="131">
        <v>0</v>
      </c>
      <c r="AD16" s="2">
        <v>0</v>
      </c>
      <c r="AE16" s="2">
        <v>50</v>
      </c>
      <c r="AF16" s="2">
        <v>12</v>
      </c>
      <c r="AG16" s="2">
        <f t="shared" si="2"/>
        <v>62</v>
      </c>
      <c r="AH16" s="2">
        <v>807500</v>
      </c>
      <c r="AI16" s="40">
        <f t="shared" si="3"/>
        <v>62.229839651235466</v>
      </c>
      <c r="AJ16" s="139">
        <v>127.2</v>
      </c>
      <c r="AK16" s="2">
        <v>1259280</v>
      </c>
      <c r="AL16" s="36">
        <f t="shared" si="4"/>
        <v>97.046182632826984</v>
      </c>
      <c r="AM16" s="6"/>
    </row>
    <row r="17" spans="1:39">
      <c r="A17" s="32"/>
      <c r="B17" s="55">
        <v>6</v>
      </c>
      <c r="C17" s="146">
        <v>5</v>
      </c>
      <c r="D17" s="148">
        <v>46</v>
      </c>
      <c r="E17" s="103">
        <v>9775.0000000002183</v>
      </c>
      <c r="F17" s="2">
        <v>10630986.975000236</v>
      </c>
      <c r="G17" s="34">
        <v>2046.9999999999636</v>
      </c>
      <c r="H17" s="2">
        <v>3339380.6144999405</v>
      </c>
      <c r="I17" s="100">
        <f t="shared" si="5"/>
        <v>13970367.589500178</v>
      </c>
      <c r="J17" s="103">
        <v>1300.0000000000114</v>
      </c>
      <c r="K17" s="2">
        <v>1413839.7000000123</v>
      </c>
      <c r="L17" s="183">
        <v>319.99999999999318</v>
      </c>
      <c r="M17" s="184">
        <v>522033.11999998894</v>
      </c>
      <c r="N17" s="91">
        <f t="shared" si="6"/>
        <v>1935872.8200000012</v>
      </c>
      <c r="O17" s="105">
        <f t="shared" si="7"/>
        <v>15906240.409500178</v>
      </c>
      <c r="P17" s="108">
        <f t="shared" si="8"/>
        <v>13442.000000000186</v>
      </c>
      <c r="Q17" s="188"/>
      <c r="R17" s="199"/>
      <c r="S17" s="212"/>
      <c r="T17" s="209"/>
      <c r="U17" s="207">
        <v>0</v>
      </c>
      <c r="V17" s="185">
        <f t="shared" si="9"/>
        <v>685</v>
      </c>
      <c r="W17" s="2">
        <v>151</v>
      </c>
      <c r="X17" s="2">
        <v>2713517.5714702993</v>
      </c>
      <c r="Y17" s="30">
        <v>534</v>
      </c>
      <c r="Z17" s="30">
        <v>2524820.4814276821</v>
      </c>
      <c r="AA17" s="30">
        <f t="shared" si="0"/>
        <v>5238338.0528979814</v>
      </c>
      <c r="AB17" s="125">
        <f t="shared" si="1"/>
        <v>403.69156293598314</v>
      </c>
      <c r="AC17" s="131">
        <v>0</v>
      </c>
      <c r="AD17" s="2">
        <v>0</v>
      </c>
      <c r="AE17" s="2">
        <v>100</v>
      </c>
      <c r="AF17" s="2">
        <v>12</v>
      </c>
      <c r="AG17" s="2">
        <f t="shared" si="2"/>
        <v>112</v>
      </c>
      <c r="AH17" s="2">
        <v>1477500</v>
      </c>
      <c r="AI17" s="40">
        <f t="shared" si="3"/>
        <v>113.86326697795715</v>
      </c>
      <c r="AJ17" s="139">
        <v>323.88000000000466</v>
      </c>
      <c r="AK17" s="2">
        <v>3206412.0000000461</v>
      </c>
      <c r="AL17" s="36">
        <f t="shared" si="4"/>
        <v>247.10155370377717</v>
      </c>
      <c r="AM17" s="6"/>
    </row>
    <row r="18" spans="1:39">
      <c r="A18" s="32"/>
      <c r="B18" s="55">
        <v>7</v>
      </c>
      <c r="C18" s="146">
        <v>5</v>
      </c>
      <c r="D18" s="148">
        <v>74</v>
      </c>
      <c r="E18" s="103">
        <v>9977.0000000000364</v>
      </c>
      <c r="F18" s="2">
        <v>10850675.91300004</v>
      </c>
      <c r="G18" s="34">
        <v>2004</v>
      </c>
      <c r="H18" s="2">
        <v>3269232.4140000003</v>
      </c>
      <c r="I18" s="100">
        <f t="shared" si="5"/>
        <v>14119908.327000041</v>
      </c>
      <c r="J18" s="103">
        <v>1280.0000000000296</v>
      </c>
      <c r="K18" s="2">
        <v>1392088.3200000322</v>
      </c>
      <c r="L18" s="183">
        <v>320.00000000000739</v>
      </c>
      <c r="M18" s="184">
        <v>522033.1200000121</v>
      </c>
      <c r="N18" s="91">
        <f t="shared" si="6"/>
        <v>1914121.4400000442</v>
      </c>
      <c r="O18" s="105">
        <f t="shared" si="7"/>
        <v>16034029.767000085</v>
      </c>
      <c r="P18" s="108">
        <f t="shared" si="8"/>
        <v>13581.000000000073</v>
      </c>
      <c r="Q18" s="188"/>
      <c r="R18" s="199"/>
      <c r="S18" s="212"/>
      <c r="T18" s="209"/>
      <c r="U18" s="207">
        <v>0</v>
      </c>
      <c r="V18" s="185">
        <f t="shared" si="9"/>
        <v>641</v>
      </c>
      <c r="W18" s="2">
        <v>150</v>
      </c>
      <c r="X18" s="2">
        <v>2695547.2564274496</v>
      </c>
      <c r="Y18" s="30">
        <v>491</v>
      </c>
      <c r="Z18" s="30">
        <v>2321510.967005603</v>
      </c>
      <c r="AA18" s="30">
        <f t="shared" si="0"/>
        <v>5017058.2234330531</v>
      </c>
      <c r="AB18" s="125">
        <f t="shared" si="1"/>
        <v>386.63867339337605</v>
      </c>
      <c r="AC18" s="131">
        <v>0</v>
      </c>
      <c r="AD18" s="2">
        <v>0</v>
      </c>
      <c r="AE18" s="2">
        <v>100</v>
      </c>
      <c r="AF18" s="2">
        <v>12</v>
      </c>
      <c r="AG18" s="2">
        <f t="shared" si="2"/>
        <v>112</v>
      </c>
      <c r="AH18" s="2">
        <v>1477500</v>
      </c>
      <c r="AI18" s="40">
        <f t="shared" si="3"/>
        <v>113.86326697795715</v>
      </c>
      <c r="AJ18" s="139">
        <v>245.56999999999971</v>
      </c>
      <c r="AK18" s="2">
        <v>2431142.9999999972</v>
      </c>
      <c r="AL18" s="36">
        <f t="shared" si="4"/>
        <v>187.35559016622088</v>
      </c>
      <c r="AM18" s="6"/>
    </row>
    <row r="19" spans="1:39">
      <c r="A19" s="32"/>
      <c r="B19" s="55">
        <v>8</v>
      </c>
      <c r="C19" s="146">
        <v>3</v>
      </c>
      <c r="D19" s="148">
        <v>51</v>
      </c>
      <c r="E19" s="103">
        <v>9816.9999999997272</v>
      </c>
      <c r="F19" s="2">
        <v>10676664.872999704</v>
      </c>
      <c r="G19" s="34">
        <v>1962.0000000000364</v>
      </c>
      <c r="H19" s="2">
        <v>3200715.5670000599</v>
      </c>
      <c r="I19" s="100">
        <f t="shared" si="5"/>
        <v>13877380.439999763</v>
      </c>
      <c r="J19" s="103">
        <v>1259.9999999999909</v>
      </c>
      <c r="K19" s="2">
        <v>1370336.9399999902</v>
      </c>
      <c r="L19" s="183">
        <v>319.99999999999318</v>
      </c>
      <c r="M19" s="184">
        <v>522033.11999998894</v>
      </c>
      <c r="N19" s="91">
        <f t="shared" si="6"/>
        <v>1892370.0599999791</v>
      </c>
      <c r="O19" s="105">
        <f t="shared" si="7"/>
        <v>15769750.499999743</v>
      </c>
      <c r="P19" s="108">
        <f t="shared" si="8"/>
        <v>13358.999999999747</v>
      </c>
      <c r="Q19" s="188"/>
      <c r="R19" s="199"/>
      <c r="S19" s="212"/>
      <c r="T19" s="209"/>
      <c r="U19" s="207">
        <v>0</v>
      </c>
      <c r="V19" s="185">
        <f t="shared" si="9"/>
        <v>559</v>
      </c>
      <c r="W19" s="2">
        <v>149</v>
      </c>
      <c r="X19" s="2">
        <v>2677576.9413845995</v>
      </c>
      <c r="Y19" s="30">
        <v>410</v>
      </c>
      <c r="Z19" s="30">
        <v>1938532.579373314</v>
      </c>
      <c r="AA19" s="30">
        <f t="shared" si="0"/>
        <v>4616109.5207579136</v>
      </c>
      <c r="AB19" s="125">
        <f t="shared" si="1"/>
        <v>355.73963503319669</v>
      </c>
      <c r="AC19" s="131">
        <v>0</v>
      </c>
      <c r="AD19" s="2">
        <v>0</v>
      </c>
      <c r="AE19" s="2">
        <v>100</v>
      </c>
      <c r="AF19" s="2">
        <v>12</v>
      </c>
      <c r="AG19" s="2">
        <f t="shared" si="2"/>
        <v>112</v>
      </c>
      <c r="AH19" s="2">
        <v>1477500</v>
      </c>
      <c r="AI19" s="40">
        <f t="shared" si="3"/>
        <v>113.86326697795715</v>
      </c>
      <c r="AJ19" s="139">
        <v>101.97999999999593</v>
      </c>
      <c r="AK19" s="2">
        <v>1009601.9999999597</v>
      </c>
      <c r="AL19" s="36">
        <f t="shared" si="4"/>
        <v>77.80479327747878</v>
      </c>
      <c r="AM19" s="6"/>
    </row>
    <row r="20" spans="1:39">
      <c r="A20" s="32"/>
      <c r="B20" s="55">
        <v>9</v>
      </c>
      <c r="C20" s="146">
        <v>5</v>
      </c>
      <c r="D20" s="148">
        <v>40</v>
      </c>
      <c r="E20" s="103">
        <v>9774.0000000002183</v>
      </c>
      <c r="F20" s="2">
        <v>10629899.406000238</v>
      </c>
      <c r="G20" s="34">
        <v>1923.9999999999591</v>
      </c>
      <c r="H20" s="2">
        <v>3138724.1339999335</v>
      </c>
      <c r="I20" s="100">
        <f t="shared" si="5"/>
        <v>13768623.54000017</v>
      </c>
      <c r="J20" s="103">
        <v>1219.9999999999704</v>
      </c>
      <c r="K20" s="2">
        <v>1326834.1799999678</v>
      </c>
      <c r="L20" s="183">
        <v>320.00000000000739</v>
      </c>
      <c r="M20" s="184">
        <v>522033.1200000121</v>
      </c>
      <c r="N20" s="91">
        <f t="shared" si="6"/>
        <v>1848867.2999999798</v>
      </c>
      <c r="O20" s="105">
        <f t="shared" si="7"/>
        <v>15617490.840000151</v>
      </c>
      <c r="P20" s="108">
        <f t="shared" si="8"/>
        <v>13238.000000000155</v>
      </c>
      <c r="Q20" s="188"/>
      <c r="R20" s="199"/>
      <c r="S20" s="212"/>
      <c r="T20" s="209"/>
      <c r="U20" s="207">
        <v>0</v>
      </c>
      <c r="V20" s="185">
        <f t="shared" si="9"/>
        <v>642</v>
      </c>
      <c r="W20" s="2">
        <v>125</v>
      </c>
      <c r="X20" s="2">
        <v>2246289.380356208</v>
      </c>
      <c r="Y20" s="30">
        <v>517</v>
      </c>
      <c r="Z20" s="30">
        <v>2444442.3013073253</v>
      </c>
      <c r="AA20" s="30">
        <f t="shared" si="0"/>
        <v>4690731.6816635337</v>
      </c>
      <c r="AB20" s="125">
        <f t="shared" si="1"/>
        <v>361.49037820048517</v>
      </c>
      <c r="AC20" s="131">
        <v>0</v>
      </c>
      <c r="AD20" s="2">
        <v>0</v>
      </c>
      <c r="AE20" s="2">
        <v>100</v>
      </c>
      <c r="AF20" s="2">
        <v>12</v>
      </c>
      <c r="AG20" s="2">
        <f t="shared" si="2"/>
        <v>112</v>
      </c>
      <c r="AH20" s="2">
        <v>1477500</v>
      </c>
      <c r="AI20" s="40">
        <f t="shared" si="3"/>
        <v>113.86326697795715</v>
      </c>
      <c r="AJ20" s="139">
        <v>378.90000000000146</v>
      </c>
      <c r="AK20" s="2">
        <v>3751110.0000000144</v>
      </c>
      <c r="AL20" s="36">
        <f t="shared" si="4"/>
        <v>289.07860534259663</v>
      </c>
      <c r="AM20" s="6"/>
    </row>
    <row r="21" spans="1:39">
      <c r="A21" s="32"/>
      <c r="B21" s="55">
        <v>10</v>
      </c>
      <c r="C21" s="146">
        <v>3</v>
      </c>
      <c r="D21" s="148">
        <v>42</v>
      </c>
      <c r="E21" s="103">
        <v>9059.9999999999636</v>
      </c>
      <c r="F21" s="2">
        <v>9853375.1399999596</v>
      </c>
      <c r="G21" s="34">
        <v>1923.9999999999591</v>
      </c>
      <c r="H21" s="2">
        <v>3138724.1339999335</v>
      </c>
      <c r="I21" s="100">
        <f t="shared" si="5"/>
        <v>12992099.273999892</v>
      </c>
      <c r="J21" s="103">
        <v>1220.0000000000273</v>
      </c>
      <c r="K21" s="2">
        <v>1326834.1800000297</v>
      </c>
      <c r="L21" s="183">
        <v>299.99999999999716</v>
      </c>
      <c r="M21" s="184">
        <v>489406.04999999545</v>
      </c>
      <c r="N21" s="91">
        <f t="shared" si="6"/>
        <v>1816240.2300000251</v>
      </c>
      <c r="O21" s="105">
        <f t="shared" si="7"/>
        <v>14808339.503999917</v>
      </c>
      <c r="P21" s="108">
        <f t="shared" si="8"/>
        <v>12503.999999999947</v>
      </c>
      <c r="Q21" s="188"/>
      <c r="R21" s="199"/>
      <c r="S21" s="212"/>
      <c r="T21" s="209"/>
      <c r="U21" s="207">
        <v>0</v>
      </c>
      <c r="V21" s="185">
        <f t="shared" si="9"/>
        <v>521</v>
      </c>
      <c r="W21" s="2">
        <v>126</v>
      </c>
      <c r="X21" s="2">
        <v>2264259.6953990576</v>
      </c>
      <c r="Y21" s="30">
        <v>395</v>
      </c>
      <c r="Z21" s="30">
        <v>1867610.6557377051</v>
      </c>
      <c r="AA21" s="30">
        <f t="shared" si="0"/>
        <v>4131870.3511367626</v>
      </c>
      <c r="AB21" s="125">
        <f t="shared" si="1"/>
        <v>318.42183208784485</v>
      </c>
      <c r="AC21" s="131">
        <v>0</v>
      </c>
      <c r="AD21" s="2">
        <v>0</v>
      </c>
      <c r="AE21" s="2">
        <v>100</v>
      </c>
      <c r="AF21" s="2">
        <v>12</v>
      </c>
      <c r="AG21" s="2">
        <f t="shared" si="2"/>
        <v>112</v>
      </c>
      <c r="AH21" s="2">
        <v>1477500</v>
      </c>
      <c r="AI21" s="40">
        <f t="shared" si="3"/>
        <v>113.86326697795715</v>
      </c>
      <c r="AJ21" s="139">
        <v>135.01000000000204</v>
      </c>
      <c r="AK21" s="2">
        <v>1336599.0000000203</v>
      </c>
      <c r="AL21" s="36">
        <f t="shared" si="4"/>
        <v>103.00475721114914</v>
      </c>
      <c r="AM21" s="6"/>
    </row>
    <row r="22" spans="1:39">
      <c r="A22" s="32"/>
      <c r="B22" s="55">
        <v>11</v>
      </c>
      <c r="C22" s="146">
        <v>3</v>
      </c>
      <c r="D22" s="148">
        <v>32</v>
      </c>
      <c r="E22" s="103">
        <v>9739.9999999997999</v>
      </c>
      <c r="F22" s="2">
        <v>10592922.059999783</v>
      </c>
      <c r="G22" s="34">
        <v>1964.0000000000364</v>
      </c>
      <c r="H22" s="2">
        <v>3203978.2740000598</v>
      </c>
      <c r="I22" s="100">
        <f t="shared" si="5"/>
        <v>13796900.333999842</v>
      </c>
      <c r="J22" s="103">
        <v>1240.0000000000091</v>
      </c>
      <c r="K22" s="2">
        <v>1348585.5600000101</v>
      </c>
      <c r="L22" s="183">
        <v>359.99999999999943</v>
      </c>
      <c r="M22" s="184">
        <v>587287.25999999908</v>
      </c>
      <c r="N22" s="91">
        <f t="shared" si="6"/>
        <v>1935872.8200000091</v>
      </c>
      <c r="O22" s="105">
        <f t="shared" si="7"/>
        <v>15732773.153999852</v>
      </c>
      <c r="P22" s="108">
        <f t="shared" si="8"/>
        <v>13303.999999999845</v>
      </c>
      <c r="Q22" s="188"/>
      <c r="R22" s="199"/>
      <c r="S22" s="212"/>
      <c r="T22" s="209"/>
      <c r="U22" s="207">
        <v>0</v>
      </c>
      <c r="V22" s="185">
        <f t="shared" si="9"/>
        <v>613</v>
      </c>
      <c r="W22" s="2">
        <v>124</v>
      </c>
      <c r="X22" s="2">
        <v>2228319.0653133583</v>
      </c>
      <c r="Y22" s="30">
        <v>489</v>
      </c>
      <c r="Z22" s="30">
        <v>2312054.7105208552</v>
      </c>
      <c r="AA22" s="30">
        <f t="shared" si="0"/>
        <v>4540373.7758342139</v>
      </c>
      <c r="AB22" s="125">
        <f t="shared" si="1"/>
        <v>349.90307371744598</v>
      </c>
      <c r="AC22" s="131">
        <v>0</v>
      </c>
      <c r="AD22" s="2">
        <v>0</v>
      </c>
      <c r="AE22" s="2">
        <v>100</v>
      </c>
      <c r="AF22" s="2">
        <v>12</v>
      </c>
      <c r="AG22" s="2">
        <f t="shared" si="2"/>
        <v>112</v>
      </c>
      <c r="AH22" s="2">
        <v>1477500</v>
      </c>
      <c r="AI22" s="40">
        <f t="shared" si="3"/>
        <v>113.86326697795715</v>
      </c>
      <c r="AJ22" s="139">
        <v>469.33999999998923</v>
      </c>
      <c r="AK22" s="2">
        <v>4646465.9999998938</v>
      </c>
      <c r="AL22" s="36">
        <f t="shared" si="4"/>
        <v>358.07905154787721</v>
      </c>
      <c r="AM22" s="6"/>
    </row>
    <row r="23" spans="1:39">
      <c r="A23" s="32"/>
      <c r="B23" s="55">
        <v>12</v>
      </c>
      <c r="C23" s="146">
        <v>5</v>
      </c>
      <c r="D23" s="148">
        <v>37</v>
      </c>
      <c r="E23" s="103">
        <v>9814.0000000001819</v>
      </c>
      <c r="F23" s="2">
        <v>10673402.166000199</v>
      </c>
      <c r="G23" s="34">
        <v>1964.0000000000364</v>
      </c>
      <c r="H23" s="2">
        <v>3203978.2740000598</v>
      </c>
      <c r="I23" s="100">
        <f t="shared" si="5"/>
        <v>13877380.440000258</v>
      </c>
      <c r="J23" s="103">
        <v>1359.9999999999568</v>
      </c>
      <c r="K23" s="2">
        <v>1479093.8399999528</v>
      </c>
      <c r="L23" s="183">
        <v>319.99999999999318</v>
      </c>
      <c r="M23" s="184">
        <v>522033.11999998894</v>
      </c>
      <c r="N23" s="91">
        <f t="shared" si="6"/>
        <v>2001126.9599999418</v>
      </c>
      <c r="O23" s="105">
        <f t="shared" si="7"/>
        <v>15878507.4000002</v>
      </c>
      <c r="P23" s="108">
        <f t="shared" si="8"/>
        <v>13458.000000000167</v>
      </c>
      <c r="Q23" s="188"/>
      <c r="R23" s="199"/>
      <c r="S23" s="212"/>
      <c r="T23" s="209"/>
      <c r="U23" s="207">
        <v>0</v>
      </c>
      <c r="V23" s="185">
        <f t="shared" si="9"/>
        <v>723</v>
      </c>
      <c r="W23" s="2">
        <v>126</v>
      </c>
      <c r="X23" s="2">
        <v>2264259.6953990576</v>
      </c>
      <c r="Y23" s="30">
        <v>597</v>
      </c>
      <c r="Z23" s="30">
        <v>2822692.5606972403</v>
      </c>
      <c r="AA23" s="30">
        <f t="shared" si="0"/>
        <v>5086952.2560962979</v>
      </c>
      <c r="AB23" s="125">
        <f t="shared" si="1"/>
        <v>392.02504422335988</v>
      </c>
      <c r="AC23" s="131">
        <v>0</v>
      </c>
      <c r="AD23" s="2">
        <v>0</v>
      </c>
      <c r="AE23" s="2">
        <v>100</v>
      </c>
      <c r="AF23" s="2">
        <v>12</v>
      </c>
      <c r="AG23" s="2">
        <f t="shared" si="2"/>
        <v>112</v>
      </c>
      <c r="AH23" s="2">
        <v>1477500</v>
      </c>
      <c r="AI23" s="40">
        <f t="shared" si="3"/>
        <v>113.86326697795715</v>
      </c>
      <c r="AJ23" s="139">
        <v>280.66000000001077</v>
      </c>
      <c r="AK23" s="2">
        <v>2778534.0000001066</v>
      </c>
      <c r="AL23" s="36">
        <f t="shared" si="4"/>
        <v>214.12721397586688</v>
      </c>
      <c r="AM23" s="6"/>
    </row>
    <row r="24" spans="1:39">
      <c r="A24" s="32"/>
      <c r="B24" s="55">
        <v>13</v>
      </c>
      <c r="C24" s="146">
        <v>5</v>
      </c>
      <c r="D24" s="148">
        <v>34</v>
      </c>
      <c r="E24" s="103">
        <v>9812.9999999997272</v>
      </c>
      <c r="F24" s="2">
        <v>10672314.596999703</v>
      </c>
      <c r="G24" s="34">
        <v>1923.9999999999591</v>
      </c>
      <c r="H24" s="2">
        <v>3138724.1339999335</v>
      </c>
      <c r="I24" s="100">
        <f t="shared" si="5"/>
        <v>13811038.730999637</v>
      </c>
      <c r="J24" s="103">
        <v>1400.0000000000341</v>
      </c>
      <c r="K24" s="2">
        <v>1522596.6000000371</v>
      </c>
      <c r="L24" s="183">
        <v>340.00000000000341</v>
      </c>
      <c r="M24" s="184">
        <v>554660.19000000553</v>
      </c>
      <c r="N24" s="91">
        <f t="shared" si="6"/>
        <v>2077256.7900000426</v>
      </c>
      <c r="O24" s="105">
        <f t="shared" si="7"/>
        <v>15888295.520999679</v>
      </c>
      <c r="P24" s="108">
        <f t="shared" si="8"/>
        <v>13476.999999999724</v>
      </c>
      <c r="Q24" s="188"/>
      <c r="R24" s="199"/>
      <c r="S24" s="212"/>
      <c r="T24" s="209"/>
      <c r="U24" s="207">
        <v>0</v>
      </c>
      <c r="V24" s="185">
        <f>Y24+W24</f>
        <v>709</v>
      </c>
      <c r="W24" s="2">
        <v>126</v>
      </c>
      <c r="X24" s="2">
        <v>2264259.6953990576</v>
      </c>
      <c r="Y24" s="30">
        <v>583</v>
      </c>
      <c r="Z24" s="30">
        <v>2756498.7653040052</v>
      </c>
      <c r="AA24" s="30">
        <f t="shared" si="0"/>
        <v>5020758.4607030628</v>
      </c>
      <c r="AB24" s="125">
        <f t="shared" si="1"/>
        <v>386.92383150109646</v>
      </c>
      <c r="AC24" s="131">
        <v>0</v>
      </c>
      <c r="AD24" s="2">
        <v>0</v>
      </c>
      <c r="AE24" s="2">
        <v>100</v>
      </c>
      <c r="AF24" s="2">
        <v>12</v>
      </c>
      <c r="AG24" s="2">
        <f t="shared" si="2"/>
        <v>112</v>
      </c>
      <c r="AH24" s="2">
        <v>1477500</v>
      </c>
      <c r="AI24" s="40">
        <f t="shared" si="3"/>
        <v>113.86326697795715</v>
      </c>
      <c r="AJ24" s="139">
        <v>321.77999999999884</v>
      </c>
      <c r="AK24" s="2">
        <v>3185621.9999999884</v>
      </c>
      <c r="AL24" s="36">
        <f t="shared" si="4"/>
        <v>245.49937616030624</v>
      </c>
      <c r="AM24" s="6"/>
    </row>
    <row r="25" spans="1:39">
      <c r="A25" s="32"/>
      <c r="B25" s="55">
        <v>14</v>
      </c>
      <c r="C25" s="146">
        <v>5</v>
      </c>
      <c r="D25" s="148">
        <v>56</v>
      </c>
      <c r="E25" s="103">
        <v>9661.0000000003274</v>
      </c>
      <c r="F25" s="2">
        <v>10507004.109000357</v>
      </c>
      <c r="G25" s="34">
        <v>2041.9999999999636</v>
      </c>
      <c r="H25" s="2">
        <v>3331223.8469999409</v>
      </c>
      <c r="I25" s="100">
        <f t="shared" si="5"/>
        <v>13838227.956000298</v>
      </c>
      <c r="J25" s="103">
        <v>1339.999999999975</v>
      </c>
      <c r="K25" s="2">
        <v>1457342.459999973</v>
      </c>
      <c r="L25" s="183">
        <v>359.99999999999943</v>
      </c>
      <c r="M25" s="184">
        <v>587287.25999999908</v>
      </c>
      <c r="N25" s="91">
        <f t="shared" si="6"/>
        <v>2044629.719999972</v>
      </c>
      <c r="O25" s="105">
        <f t="shared" si="7"/>
        <v>15882857.676000271</v>
      </c>
      <c r="P25" s="108">
        <f t="shared" si="8"/>
        <v>13403.000000000266</v>
      </c>
      <c r="Q25" s="188"/>
      <c r="R25" s="199"/>
      <c r="S25" s="212"/>
      <c r="T25" s="209"/>
      <c r="U25" s="207">
        <v>0</v>
      </c>
      <c r="V25" s="185">
        <f t="shared" si="9"/>
        <v>713</v>
      </c>
      <c r="W25" s="2">
        <v>123</v>
      </c>
      <c r="X25" s="2">
        <v>2210348.7502705087</v>
      </c>
      <c r="Y25" s="30">
        <v>590</v>
      </c>
      <c r="Z25" s="30">
        <v>2789595.6630006228</v>
      </c>
      <c r="AA25" s="30">
        <f t="shared" si="0"/>
        <v>4999944.413271131</v>
      </c>
      <c r="AB25" s="125">
        <f t="shared" si="1"/>
        <v>385.3198007466911</v>
      </c>
      <c r="AC25" s="131">
        <v>0</v>
      </c>
      <c r="AD25" s="2">
        <v>0</v>
      </c>
      <c r="AE25" s="2">
        <v>150</v>
      </c>
      <c r="AF25" s="2">
        <v>12</v>
      </c>
      <c r="AG25" s="2">
        <f t="shared" si="2"/>
        <v>162</v>
      </c>
      <c r="AH25" s="2">
        <v>2147500</v>
      </c>
      <c r="AI25" s="40">
        <f t="shared" si="3"/>
        <v>165.49669430467884</v>
      </c>
      <c r="AJ25" s="139">
        <v>126.9</v>
      </c>
      <c r="AK25" s="2">
        <v>1256310</v>
      </c>
      <c r="AL25" s="36">
        <f t="shared" si="4"/>
        <v>96.817300126617496</v>
      </c>
      <c r="AM25" s="6"/>
    </row>
    <row r="26" spans="1:39">
      <c r="A26" s="32"/>
      <c r="B26" s="55">
        <v>15</v>
      </c>
      <c r="C26" s="146">
        <v>1</v>
      </c>
      <c r="D26" s="148">
        <v>75</v>
      </c>
      <c r="E26" s="103">
        <v>10047.999999999964</v>
      </c>
      <c r="F26" s="2">
        <v>10927893.31199996</v>
      </c>
      <c r="G26" s="34">
        <v>1925.0000000000728</v>
      </c>
      <c r="H26" s="2">
        <v>3140355.487500119</v>
      </c>
      <c r="I26" s="100">
        <f t="shared" si="5"/>
        <v>14068248.799500078</v>
      </c>
      <c r="J26" s="103">
        <v>1340.0000000000318</v>
      </c>
      <c r="K26" s="2">
        <v>1457342.4600000347</v>
      </c>
      <c r="L26" s="183">
        <v>340.00000000000341</v>
      </c>
      <c r="M26" s="184">
        <v>554660.19000000553</v>
      </c>
      <c r="N26" s="91">
        <f t="shared" si="6"/>
        <v>2012002.6500000402</v>
      </c>
      <c r="O26" s="105">
        <f t="shared" si="7"/>
        <v>16080251.449500117</v>
      </c>
      <c r="P26" s="108">
        <f t="shared" si="8"/>
        <v>13653.000000000073</v>
      </c>
      <c r="Q26" s="188"/>
      <c r="R26" s="199"/>
      <c r="S26" s="212"/>
      <c r="T26" s="209"/>
      <c r="U26" s="207">
        <v>0</v>
      </c>
      <c r="V26" s="185">
        <f t="shared" si="9"/>
        <v>692</v>
      </c>
      <c r="W26" s="2">
        <v>125</v>
      </c>
      <c r="X26" s="2">
        <v>2246289.380356208</v>
      </c>
      <c r="Y26" s="30">
        <v>567</v>
      </c>
      <c r="Z26" s="30">
        <v>2680848.7134260223</v>
      </c>
      <c r="AA26" s="30">
        <f t="shared" si="0"/>
        <v>4927138.0937822303</v>
      </c>
      <c r="AB26" s="125">
        <f t="shared" si="1"/>
        <v>379.70899506571163</v>
      </c>
      <c r="AC26" s="131">
        <v>0</v>
      </c>
      <c r="AD26" s="2">
        <v>0</v>
      </c>
      <c r="AE26" s="2">
        <v>150</v>
      </c>
      <c r="AF26" s="2">
        <v>0</v>
      </c>
      <c r="AG26" s="2">
        <f t="shared" si="2"/>
        <v>150</v>
      </c>
      <c r="AH26" s="2">
        <v>2010000</v>
      </c>
      <c r="AI26" s="40">
        <f t="shared" si="3"/>
        <v>154.90028198016506</v>
      </c>
      <c r="AJ26" s="139">
        <v>281.39999999999998</v>
      </c>
      <c r="AK26" s="2">
        <v>2785860</v>
      </c>
      <c r="AL26" s="36">
        <f t="shared" si="4"/>
        <v>214.69179082450876</v>
      </c>
      <c r="AM26" s="6"/>
    </row>
    <row r="27" spans="1:39">
      <c r="A27" s="32"/>
      <c r="B27" s="55">
        <v>16</v>
      </c>
      <c r="C27" s="146">
        <v>1</v>
      </c>
      <c r="D27" s="148">
        <v>18</v>
      </c>
      <c r="E27" s="103">
        <v>9739.9999999997999</v>
      </c>
      <c r="F27" s="2">
        <v>10592922.059999783</v>
      </c>
      <c r="G27" s="34">
        <v>1924.9999999999591</v>
      </c>
      <c r="H27" s="2">
        <v>3140355.4874999337</v>
      </c>
      <c r="I27" s="100">
        <f t="shared" si="5"/>
        <v>13733277.547499716</v>
      </c>
      <c r="J27" s="103">
        <v>1319.9999999999932</v>
      </c>
      <c r="K27" s="2">
        <v>1435591.0799999926</v>
      </c>
      <c r="L27" s="183">
        <v>340.00000000000341</v>
      </c>
      <c r="M27" s="184">
        <v>554660.19000000553</v>
      </c>
      <c r="N27" s="91">
        <f t="shared" si="6"/>
        <v>1990251.2699999982</v>
      </c>
      <c r="O27" s="105">
        <f t="shared" si="7"/>
        <v>15723528.817499714</v>
      </c>
      <c r="P27" s="108">
        <f t="shared" si="8"/>
        <v>13324.999999999756</v>
      </c>
      <c r="Q27" s="188"/>
      <c r="R27" s="199"/>
      <c r="S27" s="212"/>
      <c r="T27" s="209"/>
      <c r="U27" s="207">
        <v>0</v>
      </c>
      <c r="V27" s="185">
        <f t="shared" si="9"/>
        <v>605</v>
      </c>
      <c r="W27" s="2">
        <v>127</v>
      </c>
      <c r="X27" s="2">
        <v>2282230.0104419072</v>
      </c>
      <c r="Y27" s="30">
        <v>478</v>
      </c>
      <c r="Z27" s="30">
        <v>2260045.2998547419</v>
      </c>
      <c r="AA27" s="30">
        <f t="shared" si="0"/>
        <v>4542275.3102966491</v>
      </c>
      <c r="AB27" s="125">
        <f t="shared" si="1"/>
        <v>350.04961512263316</v>
      </c>
      <c r="AC27" s="131">
        <v>0</v>
      </c>
      <c r="AD27" s="2">
        <v>0</v>
      </c>
      <c r="AE27" s="2">
        <v>50</v>
      </c>
      <c r="AF27" s="2">
        <v>12</v>
      </c>
      <c r="AG27" s="2">
        <f t="shared" si="2"/>
        <v>62</v>
      </c>
      <c r="AH27" s="2">
        <v>807500</v>
      </c>
      <c r="AI27" s="40">
        <f t="shared" si="3"/>
        <v>62.229839651235466</v>
      </c>
      <c r="AJ27" s="139">
        <v>351.13999999999942</v>
      </c>
      <c r="AK27" s="2">
        <v>3476285.9999999944</v>
      </c>
      <c r="AL27" s="36">
        <f t="shared" si="4"/>
        <v>267.89934410134288</v>
      </c>
      <c r="AM27" s="6"/>
    </row>
    <row r="28" spans="1:39">
      <c r="A28" s="32"/>
      <c r="B28" s="55">
        <v>17</v>
      </c>
      <c r="C28" s="146">
        <v>1</v>
      </c>
      <c r="D28" s="148">
        <v>58</v>
      </c>
      <c r="E28" s="103">
        <v>9214.0000000002728</v>
      </c>
      <c r="F28" s="2">
        <v>10020860.766000297</v>
      </c>
      <c r="G28" s="34">
        <v>1883.9999999999955</v>
      </c>
      <c r="H28" s="2">
        <v>3073469.993999993</v>
      </c>
      <c r="I28" s="100">
        <f t="shared" si="5"/>
        <v>13094330.76000029</v>
      </c>
      <c r="J28" s="103">
        <v>1279.9999999999727</v>
      </c>
      <c r="K28" s="2">
        <v>1392088.3199999705</v>
      </c>
      <c r="L28" s="183">
        <v>319.99999999999318</v>
      </c>
      <c r="M28" s="184">
        <v>522033.11999998894</v>
      </c>
      <c r="N28" s="91">
        <f t="shared" si="6"/>
        <v>1914121.4399999594</v>
      </c>
      <c r="O28" s="105">
        <f t="shared" si="7"/>
        <v>15008452.200000249</v>
      </c>
      <c r="P28" s="108">
        <f t="shared" si="8"/>
        <v>12698.000000000235</v>
      </c>
      <c r="Q28" s="188"/>
      <c r="R28" s="201"/>
      <c r="S28" s="212"/>
      <c r="T28" s="209"/>
      <c r="U28" s="207">
        <v>0</v>
      </c>
      <c r="V28" s="185">
        <f t="shared" si="9"/>
        <v>435</v>
      </c>
      <c r="W28" s="2">
        <v>126</v>
      </c>
      <c r="X28" s="2">
        <v>2264259.6953990576</v>
      </c>
      <c r="Y28" s="30">
        <v>309</v>
      </c>
      <c r="Z28" s="30">
        <v>1460991.6268935464</v>
      </c>
      <c r="AA28" s="30">
        <f t="shared" si="0"/>
        <v>3725251.322292604</v>
      </c>
      <c r="AB28" s="125">
        <f t="shared" si="1"/>
        <v>287.08581107965529</v>
      </c>
      <c r="AC28" s="131">
        <v>0</v>
      </c>
      <c r="AD28" s="2">
        <v>0</v>
      </c>
      <c r="AE28" s="2">
        <v>150</v>
      </c>
      <c r="AF28" s="2">
        <v>12</v>
      </c>
      <c r="AG28" s="2">
        <f t="shared" si="2"/>
        <v>162</v>
      </c>
      <c r="AH28" s="2">
        <v>2147500</v>
      </c>
      <c r="AI28" s="40">
        <f t="shared" si="3"/>
        <v>165.49669430467884</v>
      </c>
      <c r="AJ28" s="139">
        <v>179.4</v>
      </c>
      <c r="AK28" s="2">
        <v>1776060</v>
      </c>
      <c r="AL28" s="36">
        <f t="shared" si="4"/>
        <v>136.87173871327957</v>
      </c>
      <c r="AM28" s="6"/>
    </row>
    <row r="29" spans="1:39">
      <c r="A29" s="32"/>
      <c r="B29" s="55">
        <v>18</v>
      </c>
      <c r="C29" s="146">
        <v>1</v>
      </c>
      <c r="D29" s="148">
        <v>29</v>
      </c>
      <c r="E29" s="103">
        <v>9899.9999999996544</v>
      </c>
      <c r="F29" s="2">
        <v>10766933.099999625</v>
      </c>
      <c r="G29" s="34">
        <v>1965.0000000000364</v>
      </c>
      <c r="H29" s="2">
        <v>3205609.6275000595</v>
      </c>
      <c r="I29" s="100">
        <f t="shared" si="5"/>
        <v>13972542.727499684</v>
      </c>
      <c r="J29" s="103">
        <v>1280.0000000000296</v>
      </c>
      <c r="K29" s="2">
        <v>1392088.3200000322</v>
      </c>
      <c r="L29" s="183">
        <v>340.00000000000341</v>
      </c>
      <c r="M29" s="184">
        <v>554660.19000000553</v>
      </c>
      <c r="N29" s="91">
        <f t="shared" si="6"/>
        <v>1946748.5100000377</v>
      </c>
      <c r="O29" s="105">
        <f t="shared" si="7"/>
        <v>15919291.237499721</v>
      </c>
      <c r="P29" s="108">
        <f t="shared" si="8"/>
        <v>13484.999999999724</v>
      </c>
      <c r="Q29" s="189"/>
      <c r="R29" s="202"/>
      <c r="S29" s="212"/>
      <c r="T29" s="209"/>
      <c r="U29" s="207">
        <v>0</v>
      </c>
      <c r="V29" s="185">
        <f t="shared" si="9"/>
        <v>698</v>
      </c>
      <c r="W29" s="2">
        <v>127</v>
      </c>
      <c r="X29" s="2">
        <v>2282230.0104419072</v>
      </c>
      <c r="Y29" s="30">
        <v>571</v>
      </c>
      <c r="Z29" s="30">
        <v>2699761.2263955181</v>
      </c>
      <c r="AA29" s="30">
        <f t="shared" si="0"/>
        <v>4981991.2368374253</v>
      </c>
      <c r="AB29" s="125">
        <f t="shared" si="1"/>
        <v>383.93624249195443</v>
      </c>
      <c r="AC29" s="131">
        <v>0</v>
      </c>
      <c r="AD29" s="2">
        <v>0</v>
      </c>
      <c r="AE29" s="2">
        <v>50</v>
      </c>
      <c r="AF29" s="2">
        <v>12</v>
      </c>
      <c r="AG29" s="2">
        <f t="shared" si="2"/>
        <v>62</v>
      </c>
      <c r="AH29" s="2">
        <v>807500</v>
      </c>
      <c r="AI29" s="40">
        <f t="shared" si="3"/>
        <v>62.229839651235466</v>
      </c>
      <c r="AJ29" s="139">
        <v>292.34999999999127</v>
      </c>
      <c r="AK29" s="2">
        <v>2894264.9999999134</v>
      </c>
      <c r="AL29" s="36">
        <f t="shared" si="4"/>
        <v>223.04600230114875</v>
      </c>
      <c r="AM29" s="6"/>
    </row>
    <row r="30" spans="1:39">
      <c r="A30" s="32"/>
      <c r="B30" s="55">
        <v>19</v>
      </c>
      <c r="C30" s="146">
        <v>1</v>
      </c>
      <c r="D30" s="148">
        <v>15</v>
      </c>
      <c r="E30" s="103">
        <v>9532.9999999999818</v>
      </c>
      <c r="F30" s="2">
        <v>10367795.27699998</v>
      </c>
      <c r="G30" s="34">
        <v>1922.9999999999591</v>
      </c>
      <c r="H30" s="2">
        <v>3137092.7804999333</v>
      </c>
      <c r="I30" s="100">
        <f t="shared" si="5"/>
        <v>13504888.057499913</v>
      </c>
      <c r="J30" s="103">
        <v>1259.9999999999909</v>
      </c>
      <c r="K30" s="2">
        <v>1370336.9399999902</v>
      </c>
      <c r="L30" s="183">
        <v>340.00000000000341</v>
      </c>
      <c r="M30" s="184">
        <v>554660.19000000553</v>
      </c>
      <c r="N30" s="91">
        <f t="shared" si="6"/>
        <v>1924997.1299999957</v>
      </c>
      <c r="O30" s="105">
        <f t="shared" si="7"/>
        <v>15429885.187499909</v>
      </c>
      <c r="P30" s="108">
        <f t="shared" si="8"/>
        <v>13055.999999999935</v>
      </c>
      <c r="Q30" s="188" t="s">
        <v>53</v>
      </c>
      <c r="R30" s="188" t="s">
        <v>53</v>
      </c>
      <c r="S30" s="212"/>
      <c r="T30" s="209"/>
      <c r="U30" s="207">
        <v>0</v>
      </c>
      <c r="V30" s="185">
        <f t="shared" si="9"/>
        <v>676</v>
      </c>
      <c r="W30" s="2">
        <v>125</v>
      </c>
      <c r="X30" s="2">
        <v>2246289.380356208</v>
      </c>
      <c r="Y30" s="30">
        <v>551</v>
      </c>
      <c r="Z30" s="30">
        <v>2605198.6615480389</v>
      </c>
      <c r="AA30" s="30">
        <f t="shared" si="0"/>
        <v>4851488.0419042464</v>
      </c>
      <c r="AB30" s="125">
        <f t="shared" si="1"/>
        <v>373.87903766883909</v>
      </c>
      <c r="AC30" s="131">
        <v>0</v>
      </c>
      <c r="AD30" s="2">
        <v>0</v>
      </c>
      <c r="AE30" s="2">
        <v>50</v>
      </c>
      <c r="AF30" s="2">
        <v>12</v>
      </c>
      <c r="AG30" s="2">
        <f t="shared" si="2"/>
        <v>62</v>
      </c>
      <c r="AH30" s="2">
        <v>807500</v>
      </c>
      <c r="AI30" s="40">
        <f t="shared" si="3"/>
        <v>62.229839651235466</v>
      </c>
      <c r="AJ30" s="139">
        <v>218.8</v>
      </c>
      <c r="AK30" s="2">
        <v>2166120</v>
      </c>
      <c r="AL30" s="36">
        <f t="shared" si="4"/>
        <v>166.93164119546026</v>
      </c>
      <c r="AM30" s="6"/>
    </row>
    <row r="31" spans="1:39">
      <c r="A31" s="32"/>
      <c r="B31" s="55">
        <v>20</v>
      </c>
      <c r="C31" s="146">
        <v>2</v>
      </c>
      <c r="D31" s="148">
        <v>26</v>
      </c>
      <c r="E31" s="103">
        <v>9620.0000000003638</v>
      </c>
      <c r="F31" s="2">
        <v>10462413.780000394</v>
      </c>
      <c r="G31" s="34">
        <v>1963.0000000000364</v>
      </c>
      <c r="H31" s="2">
        <v>3202346.9205000596</v>
      </c>
      <c r="I31" s="100">
        <f t="shared" si="5"/>
        <v>13664760.700500455</v>
      </c>
      <c r="J31" s="103">
        <v>1339.999999999975</v>
      </c>
      <c r="K31" s="2">
        <v>1457342.459999973</v>
      </c>
      <c r="L31" s="183">
        <v>319.99999999999318</v>
      </c>
      <c r="M31" s="184">
        <v>522033.11999998894</v>
      </c>
      <c r="N31" s="91">
        <f t="shared" si="6"/>
        <v>1979375.5799999619</v>
      </c>
      <c r="O31" s="105">
        <f t="shared" si="7"/>
        <v>15644136.280500416</v>
      </c>
      <c r="P31" s="108">
        <f t="shared" si="8"/>
        <v>13243.000000000367</v>
      </c>
      <c r="Q31" s="189" t="s">
        <v>54</v>
      </c>
      <c r="R31" s="189" t="s">
        <v>54</v>
      </c>
      <c r="S31" s="212"/>
      <c r="T31" s="209"/>
      <c r="U31" s="207">
        <v>0</v>
      </c>
      <c r="V31" s="185">
        <f t="shared" si="9"/>
        <v>836</v>
      </c>
      <c r="W31" s="2">
        <v>126</v>
      </c>
      <c r="X31" s="2">
        <v>2264259.6953990576</v>
      </c>
      <c r="Y31" s="30">
        <v>710</v>
      </c>
      <c r="Z31" s="30">
        <v>3356971.0520854951</v>
      </c>
      <c r="AA31" s="30">
        <f t="shared" si="0"/>
        <v>5621230.7474845527</v>
      </c>
      <c r="AB31" s="125">
        <f t="shared" si="1"/>
        <v>433.19911833877177</v>
      </c>
      <c r="AC31" s="131">
        <v>0</v>
      </c>
      <c r="AD31" s="2">
        <v>0</v>
      </c>
      <c r="AE31" s="2">
        <v>50</v>
      </c>
      <c r="AF31" s="2">
        <v>12</v>
      </c>
      <c r="AG31" s="2">
        <f t="shared" si="2"/>
        <v>62</v>
      </c>
      <c r="AH31" s="2">
        <v>807500</v>
      </c>
      <c r="AI31" s="40">
        <f t="shared" si="3"/>
        <v>62.229839651235466</v>
      </c>
      <c r="AJ31" s="139">
        <v>338.63000000000466</v>
      </c>
      <c r="AK31" s="2">
        <v>3352437.0000000461</v>
      </c>
      <c r="AL31" s="36">
        <f t="shared" si="4"/>
        <v>258.35494359241079</v>
      </c>
      <c r="AM31" s="6"/>
    </row>
    <row r="32" spans="1:39">
      <c r="A32" s="32"/>
      <c r="B32" s="55">
        <v>21</v>
      </c>
      <c r="C32" s="146">
        <v>2</v>
      </c>
      <c r="D32" s="148">
        <v>49</v>
      </c>
      <c r="E32" s="103">
        <v>9980.0000000000364</v>
      </c>
      <c r="F32" s="2">
        <v>10853938.62000004</v>
      </c>
      <c r="G32" s="34">
        <v>1965.0000000000364</v>
      </c>
      <c r="H32" s="2">
        <v>3205609.6275000595</v>
      </c>
      <c r="I32" s="100">
        <f t="shared" si="5"/>
        <v>14059548.247500099</v>
      </c>
      <c r="J32" s="103">
        <v>1379.9999999999955</v>
      </c>
      <c r="K32" s="2">
        <v>1500845.2199999951</v>
      </c>
      <c r="L32" s="183">
        <v>359.99999999999943</v>
      </c>
      <c r="M32" s="184">
        <v>587287.25999999908</v>
      </c>
      <c r="N32" s="91">
        <f>+K32+M32</f>
        <v>2088132.4799999942</v>
      </c>
      <c r="O32" s="105">
        <f t="shared" si="7"/>
        <v>16147680.727500094</v>
      </c>
      <c r="P32" s="108">
        <f t="shared" si="8"/>
        <v>13685.000000000067</v>
      </c>
      <c r="Q32" s="188"/>
      <c r="R32" s="200"/>
      <c r="S32" s="212"/>
      <c r="T32" s="209"/>
      <c r="U32" s="207">
        <v>0</v>
      </c>
      <c r="V32" s="185">
        <f t="shared" si="9"/>
        <v>802</v>
      </c>
      <c r="W32" s="2">
        <v>125</v>
      </c>
      <c r="X32" s="2">
        <v>2246289.380356208</v>
      </c>
      <c r="Y32" s="30">
        <v>677</v>
      </c>
      <c r="Z32" s="30">
        <v>3200942.8200871553</v>
      </c>
      <c r="AA32" s="30">
        <f t="shared" si="0"/>
        <v>5447232.2004433628</v>
      </c>
      <c r="AB32" s="125">
        <f t="shared" si="1"/>
        <v>419.78995216920987</v>
      </c>
      <c r="AC32" s="131">
        <v>0</v>
      </c>
      <c r="AD32" s="2">
        <v>0</v>
      </c>
      <c r="AE32" s="2">
        <v>100</v>
      </c>
      <c r="AF32" s="2">
        <v>12</v>
      </c>
      <c r="AG32" s="2">
        <f t="shared" ref="AG32:AG40" si="10">+AE32+AF32</f>
        <v>112</v>
      </c>
      <c r="AH32" s="2">
        <v>1477500</v>
      </c>
      <c r="AI32" s="40">
        <f t="shared" si="3"/>
        <v>113.86326697795715</v>
      </c>
      <c r="AJ32" s="139">
        <v>297.5</v>
      </c>
      <c r="AK32" s="2">
        <v>2945250</v>
      </c>
      <c r="AL32" s="36">
        <f t="shared" si="4"/>
        <v>226.97515199108514</v>
      </c>
      <c r="AM32" s="6"/>
    </row>
    <row r="33" spans="1:39">
      <c r="A33" s="32"/>
      <c r="B33" s="55">
        <v>22</v>
      </c>
      <c r="C33" s="146">
        <v>3</v>
      </c>
      <c r="D33" s="148">
        <v>53</v>
      </c>
      <c r="E33" s="103">
        <v>9532.9999999999818</v>
      </c>
      <c r="F33" s="2">
        <v>10367795.27699998</v>
      </c>
      <c r="G33" s="34">
        <v>1884.9999999999955</v>
      </c>
      <c r="H33" s="2">
        <v>3075101.3474999932</v>
      </c>
      <c r="I33" s="100">
        <f t="shared" si="5"/>
        <v>13442896.624499973</v>
      </c>
      <c r="J33" s="103">
        <v>1340.0000000000318</v>
      </c>
      <c r="K33" s="2">
        <v>1457342.4600000347</v>
      </c>
      <c r="L33" s="183">
        <v>359.99999999999943</v>
      </c>
      <c r="M33" s="184">
        <v>587287.25999999908</v>
      </c>
      <c r="N33" s="91">
        <f t="shared" si="6"/>
        <v>2044629.7200000337</v>
      </c>
      <c r="O33" s="105">
        <f t="shared" si="7"/>
        <v>15487526.344500007</v>
      </c>
      <c r="P33" s="108">
        <f t="shared" si="8"/>
        <v>13118.000000000009</v>
      </c>
      <c r="Q33" s="188"/>
      <c r="R33" s="201"/>
      <c r="S33" s="212"/>
      <c r="T33" s="209"/>
      <c r="U33" s="207">
        <v>0</v>
      </c>
      <c r="V33" s="185">
        <f t="shared" si="9"/>
        <v>616</v>
      </c>
      <c r="W33" s="2">
        <v>126</v>
      </c>
      <c r="X33" s="2">
        <v>2264259.6953990576</v>
      </c>
      <c r="Y33" s="30">
        <v>490</v>
      </c>
      <c r="Z33" s="30">
        <v>2316782.8387632291</v>
      </c>
      <c r="AA33" s="30">
        <f t="shared" si="0"/>
        <v>4581042.5341622867</v>
      </c>
      <c r="AB33" s="125">
        <f t="shared" si="1"/>
        <v>353.03720413177518</v>
      </c>
      <c r="AC33" s="131">
        <v>0</v>
      </c>
      <c r="AD33" s="2">
        <v>0</v>
      </c>
      <c r="AE33" s="2">
        <v>150</v>
      </c>
      <c r="AF33" s="2">
        <v>12</v>
      </c>
      <c r="AG33" s="2">
        <f t="shared" si="10"/>
        <v>162</v>
      </c>
      <c r="AH33" s="2">
        <v>2147500</v>
      </c>
      <c r="AI33" s="40">
        <f t="shared" si="3"/>
        <v>165.49669430467884</v>
      </c>
      <c r="AJ33" s="139">
        <v>127.5</v>
      </c>
      <c r="AK33" s="2">
        <v>1262250</v>
      </c>
      <c r="AL33" s="36">
        <f t="shared" si="4"/>
        <v>97.275065139036485</v>
      </c>
      <c r="AM33" s="6"/>
    </row>
    <row r="34" spans="1:39">
      <c r="A34" s="32"/>
      <c r="B34" s="55">
        <v>23</v>
      </c>
      <c r="C34" s="146">
        <v>4</v>
      </c>
      <c r="D34" s="148">
        <v>28</v>
      </c>
      <c r="E34" s="103">
        <v>9412.9999999996362</v>
      </c>
      <c r="F34" s="2">
        <v>10237286.996999605</v>
      </c>
      <c r="G34" s="34">
        <v>1882.9999999999955</v>
      </c>
      <c r="H34" s="2">
        <v>3071838.6404999928</v>
      </c>
      <c r="I34" s="100">
        <f t="shared" si="5"/>
        <v>13309125.637499597</v>
      </c>
      <c r="J34" s="103">
        <v>1339.999999999975</v>
      </c>
      <c r="K34" s="2">
        <v>1457342.459999973</v>
      </c>
      <c r="L34" s="183">
        <v>359.99999999999943</v>
      </c>
      <c r="M34" s="184">
        <v>587287.25999999908</v>
      </c>
      <c r="N34" s="91">
        <f t="shared" si="6"/>
        <v>2044629.719999972</v>
      </c>
      <c r="O34" s="105">
        <f t="shared" si="7"/>
        <v>15353755.35749957</v>
      </c>
      <c r="P34" s="108">
        <f t="shared" si="8"/>
        <v>12995.999999999607</v>
      </c>
      <c r="Q34" s="189"/>
      <c r="R34" s="202"/>
      <c r="S34" s="212"/>
      <c r="T34" s="209"/>
      <c r="U34" s="207">
        <v>0</v>
      </c>
      <c r="V34" s="185">
        <f t="shared" si="9"/>
        <v>773</v>
      </c>
      <c r="W34" s="2">
        <v>126</v>
      </c>
      <c r="X34" s="2">
        <v>2264259.6953990576</v>
      </c>
      <c r="Y34" s="30">
        <v>647</v>
      </c>
      <c r="Z34" s="30">
        <v>3300000</v>
      </c>
      <c r="AA34" s="30">
        <f t="shared" si="0"/>
        <v>5564259.6953990571</v>
      </c>
      <c r="AB34" s="125">
        <f t="shared" si="1"/>
        <v>428.80865464088623</v>
      </c>
      <c r="AC34" s="131">
        <v>0</v>
      </c>
      <c r="AD34" s="2">
        <v>0</v>
      </c>
      <c r="AE34" s="2">
        <v>100</v>
      </c>
      <c r="AF34" s="2">
        <v>12</v>
      </c>
      <c r="AG34" s="2">
        <f t="shared" si="10"/>
        <v>112</v>
      </c>
      <c r="AH34" s="2">
        <v>1477500</v>
      </c>
      <c r="AI34" s="40">
        <f t="shared" si="3"/>
        <v>113.86326697795715</v>
      </c>
      <c r="AJ34" s="139">
        <v>360.16999999999825</v>
      </c>
      <c r="AK34" s="2">
        <v>3565682.9999999828</v>
      </c>
      <c r="AL34" s="36">
        <f t="shared" si="4"/>
        <v>274.78870753824788</v>
      </c>
      <c r="AM34" s="6"/>
    </row>
    <row r="35" spans="1:39">
      <c r="A35" s="32"/>
      <c r="B35" s="55">
        <v>24</v>
      </c>
      <c r="C35" s="146">
        <v>6</v>
      </c>
      <c r="D35" s="148">
        <v>42</v>
      </c>
      <c r="E35" s="103">
        <v>9300.0000000002001</v>
      </c>
      <c r="F35" s="2">
        <v>10114391.700000217</v>
      </c>
      <c r="G35" s="34">
        <v>1884.9999999999955</v>
      </c>
      <c r="H35" s="2">
        <v>3075101.3474999932</v>
      </c>
      <c r="I35" s="100">
        <f t="shared" si="5"/>
        <v>13189493.04750021</v>
      </c>
      <c r="J35" s="103">
        <v>1319.9999999999932</v>
      </c>
      <c r="K35" s="2">
        <v>1435591.0799999926</v>
      </c>
      <c r="L35" s="183">
        <v>320.00000000000739</v>
      </c>
      <c r="M35" s="184">
        <v>522033.1200000121</v>
      </c>
      <c r="N35" s="91">
        <f t="shared" si="6"/>
        <v>1957624.2000000048</v>
      </c>
      <c r="O35" s="105">
        <f t="shared" si="7"/>
        <v>15147117.247500215</v>
      </c>
      <c r="P35" s="108">
        <f t="shared" si="8"/>
        <v>12825.000000000196</v>
      </c>
      <c r="Q35" s="188"/>
      <c r="R35" s="200"/>
      <c r="S35" s="212"/>
      <c r="T35" s="209"/>
      <c r="U35" s="207">
        <v>0</v>
      </c>
      <c r="V35" s="185">
        <f t="shared" si="9"/>
        <v>662</v>
      </c>
      <c r="W35" s="2">
        <v>125</v>
      </c>
      <c r="X35" s="2">
        <v>2246289.380356208</v>
      </c>
      <c r="Y35" s="30">
        <v>537</v>
      </c>
      <c r="Z35" s="30">
        <v>3300000</v>
      </c>
      <c r="AA35" s="30">
        <f t="shared" si="0"/>
        <v>5546289.3803562075</v>
      </c>
      <c r="AB35" s="125">
        <f t="shared" si="1"/>
        <v>427.42377560237384</v>
      </c>
      <c r="AC35" s="131">
        <v>0</v>
      </c>
      <c r="AD35" s="2">
        <v>0</v>
      </c>
      <c r="AE35" s="2">
        <v>100</v>
      </c>
      <c r="AF35" s="2">
        <v>12</v>
      </c>
      <c r="AG35" s="2">
        <f t="shared" si="10"/>
        <v>112</v>
      </c>
      <c r="AH35" s="2">
        <v>1477500</v>
      </c>
      <c r="AI35" s="40">
        <f t="shared" si="3"/>
        <v>113.86326697795715</v>
      </c>
      <c r="AJ35" s="139">
        <v>197.19000000000233</v>
      </c>
      <c r="AK35" s="2">
        <v>1952181.0000000231</v>
      </c>
      <c r="AL35" s="36">
        <f t="shared" si="4"/>
        <v>150.44447133150456</v>
      </c>
      <c r="AM35" s="6"/>
    </row>
    <row r="36" spans="1:39">
      <c r="A36" s="32"/>
      <c r="B36" s="55">
        <v>25</v>
      </c>
      <c r="C36" s="146">
        <v>4</v>
      </c>
      <c r="D36" s="148">
        <v>28</v>
      </c>
      <c r="E36" s="103">
        <v>9854.0000000001455</v>
      </c>
      <c r="F36" s="2">
        <v>10716904.926000157</v>
      </c>
      <c r="G36" s="34">
        <v>1962.9999999999227</v>
      </c>
      <c r="H36" s="2">
        <v>3202346.9204998738</v>
      </c>
      <c r="I36" s="100">
        <f t="shared" si="5"/>
        <v>13919251.846500032</v>
      </c>
      <c r="J36" s="103">
        <v>1260.0000000000477</v>
      </c>
      <c r="K36" s="2">
        <v>1370336.9400000519</v>
      </c>
      <c r="L36" s="183">
        <v>359.99999999999943</v>
      </c>
      <c r="M36" s="184">
        <v>587287.25999999908</v>
      </c>
      <c r="N36" s="91">
        <f t="shared" si="6"/>
        <v>1957624.2000000509</v>
      </c>
      <c r="O36" s="105">
        <f t="shared" si="7"/>
        <v>15876876.046500083</v>
      </c>
      <c r="P36" s="108">
        <f t="shared" si="8"/>
        <v>13437.000000000116</v>
      </c>
      <c r="Q36" s="188"/>
      <c r="R36" s="200"/>
      <c r="S36" s="212"/>
      <c r="T36" s="209"/>
      <c r="U36" s="207">
        <v>0</v>
      </c>
      <c r="V36" s="185">
        <f t="shared" si="9"/>
        <v>609</v>
      </c>
      <c r="W36" s="2">
        <v>123</v>
      </c>
      <c r="X36" s="2">
        <v>2210348.7502705087</v>
      </c>
      <c r="Y36" s="30">
        <v>486</v>
      </c>
      <c r="Z36" s="30">
        <v>3300000</v>
      </c>
      <c r="AA36" s="30">
        <f t="shared" si="0"/>
        <v>5510348.7502705082</v>
      </c>
      <c r="AB36" s="125">
        <f t="shared" si="1"/>
        <v>424.65401752534916</v>
      </c>
      <c r="AC36" s="131">
        <v>0</v>
      </c>
      <c r="AD36" s="2">
        <v>0</v>
      </c>
      <c r="AE36" s="2">
        <v>50</v>
      </c>
      <c r="AF36" s="2">
        <v>12</v>
      </c>
      <c r="AG36" s="2">
        <f t="shared" si="10"/>
        <v>62</v>
      </c>
      <c r="AH36" s="2">
        <v>807500</v>
      </c>
      <c r="AI36" s="40">
        <f t="shared" si="3"/>
        <v>62.229839651235466</v>
      </c>
      <c r="AJ36" s="139">
        <v>278.83999999999651</v>
      </c>
      <c r="AK36" s="2">
        <v>2760515.9999999655</v>
      </c>
      <c r="AL36" s="36">
        <f t="shared" si="4"/>
        <v>212.73866010485173</v>
      </c>
      <c r="AM36" s="6"/>
    </row>
    <row r="37" spans="1:39">
      <c r="A37" s="32"/>
      <c r="B37" s="55">
        <v>26</v>
      </c>
      <c r="C37" s="146">
        <v>4</v>
      </c>
      <c r="D37" s="148">
        <v>47</v>
      </c>
      <c r="E37" s="103">
        <v>9180.9999999998545</v>
      </c>
      <c r="F37" s="2">
        <v>9984970.9889998417</v>
      </c>
      <c r="G37" s="34">
        <v>1883.9999999999955</v>
      </c>
      <c r="H37" s="2">
        <v>3073469.993999993</v>
      </c>
      <c r="I37" s="100">
        <f t="shared" si="5"/>
        <v>13058440.982999835</v>
      </c>
      <c r="J37" s="103">
        <v>1259.9999999999909</v>
      </c>
      <c r="K37" s="2">
        <v>1370336.9399999902</v>
      </c>
      <c r="L37" s="183">
        <v>359.99999999999943</v>
      </c>
      <c r="M37" s="184">
        <v>587287.25999999908</v>
      </c>
      <c r="N37" s="91">
        <f t="shared" si="6"/>
        <v>1957624.1999999892</v>
      </c>
      <c r="O37" s="105">
        <f t="shared" si="7"/>
        <v>15016065.182999825</v>
      </c>
      <c r="P37" s="108">
        <f t="shared" si="8"/>
        <v>12684.99999999984</v>
      </c>
      <c r="Q37" s="188"/>
      <c r="R37" s="200"/>
      <c r="S37" s="212"/>
      <c r="T37" s="209"/>
      <c r="U37" s="207">
        <v>0</v>
      </c>
      <c r="V37" s="185">
        <f t="shared" si="9"/>
        <v>774</v>
      </c>
      <c r="W37" s="2">
        <v>127</v>
      </c>
      <c r="X37" s="2">
        <v>2282230.0104419072</v>
      </c>
      <c r="Y37" s="30">
        <v>647</v>
      </c>
      <c r="Z37" s="30">
        <v>3300000</v>
      </c>
      <c r="AA37" s="30">
        <f t="shared" si="0"/>
        <v>5582230.0104419068</v>
      </c>
      <c r="AB37" s="125">
        <f t="shared" si="1"/>
        <v>430.19353367939857</v>
      </c>
      <c r="AC37" s="131">
        <v>0</v>
      </c>
      <c r="AD37" s="2">
        <v>0</v>
      </c>
      <c r="AE37" s="2">
        <v>100</v>
      </c>
      <c r="AF37" s="2">
        <v>12</v>
      </c>
      <c r="AG37" s="2">
        <f t="shared" si="10"/>
        <v>112</v>
      </c>
      <c r="AH37" s="2">
        <v>1477500</v>
      </c>
      <c r="AI37" s="40">
        <f t="shared" si="3"/>
        <v>113.86326697795715</v>
      </c>
      <c r="AJ37" s="139">
        <v>226.9800000000032</v>
      </c>
      <c r="AK37" s="2">
        <v>2247102.0000000317</v>
      </c>
      <c r="AL37" s="36">
        <f t="shared" si="4"/>
        <v>173.17250419810833</v>
      </c>
      <c r="AM37" s="6"/>
    </row>
    <row r="38" spans="1:39">
      <c r="A38" s="32"/>
      <c r="B38" s="55">
        <v>27</v>
      </c>
      <c r="C38" s="146">
        <v>5</v>
      </c>
      <c r="D38" s="148">
        <v>41</v>
      </c>
      <c r="E38" s="103">
        <v>9580.9999999999454</v>
      </c>
      <c r="F38" s="2">
        <v>10419998.588999942</v>
      </c>
      <c r="G38" s="34">
        <v>2004</v>
      </c>
      <c r="H38" s="2">
        <v>3269232.4140000003</v>
      </c>
      <c r="I38" s="100">
        <f t="shared" si="5"/>
        <v>13689231.002999943</v>
      </c>
      <c r="J38" s="103">
        <v>1419.9999999999591</v>
      </c>
      <c r="K38" s="2">
        <v>1544347.9799999555</v>
      </c>
      <c r="L38" s="183">
        <v>340.00000000000341</v>
      </c>
      <c r="M38" s="184">
        <v>554660.19000000553</v>
      </c>
      <c r="N38" s="91">
        <f t="shared" si="6"/>
        <v>2099008.1699999608</v>
      </c>
      <c r="O38" s="105">
        <f t="shared" si="7"/>
        <v>15788239.172999904</v>
      </c>
      <c r="P38" s="108">
        <f t="shared" si="8"/>
        <v>13344.999999999909</v>
      </c>
      <c r="Q38" s="188"/>
      <c r="R38" s="200"/>
      <c r="S38" s="212"/>
      <c r="T38" s="209"/>
      <c r="U38" s="207">
        <v>0</v>
      </c>
      <c r="V38" s="185">
        <f t="shared" si="9"/>
        <v>571</v>
      </c>
      <c r="W38" s="2">
        <v>125</v>
      </c>
      <c r="X38" s="2">
        <v>2246289.380356208</v>
      </c>
      <c r="Y38" s="30">
        <v>446</v>
      </c>
      <c r="Z38" s="30">
        <v>3300000</v>
      </c>
      <c r="AA38" s="30">
        <f t="shared" si="0"/>
        <v>5546289.3803562075</v>
      </c>
      <c r="AB38" s="125">
        <f t="shared" si="1"/>
        <v>427.42377560237384</v>
      </c>
      <c r="AC38" s="131">
        <v>0</v>
      </c>
      <c r="AD38" s="2">
        <v>0</v>
      </c>
      <c r="AE38" s="2">
        <v>100</v>
      </c>
      <c r="AF38" s="2">
        <v>12</v>
      </c>
      <c r="AG38" s="2">
        <f t="shared" si="10"/>
        <v>112</v>
      </c>
      <c r="AH38" s="2">
        <v>1477500</v>
      </c>
      <c r="AI38" s="40">
        <f t="shared" si="3"/>
        <v>113.86326697795715</v>
      </c>
      <c r="AJ38" s="139">
        <v>284.89999999999418</v>
      </c>
      <c r="AK38" s="2">
        <v>2820509.9999999423</v>
      </c>
      <c r="AL38" s="36">
        <f t="shared" si="4"/>
        <v>217.36208673028179</v>
      </c>
      <c r="AM38" s="6"/>
    </row>
    <row r="39" spans="1:39">
      <c r="A39" s="32"/>
      <c r="B39" s="55">
        <v>28</v>
      </c>
      <c r="C39" s="146">
        <v>6</v>
      </c>
      <c r="D39" s="148">
        <v>47</v>
      </c>
      <c r="E39" s="103">
        <v>9974.0000000000364</v>
      </c>
      <c r="F39" s="2">
        <v>10847413.206000039</v>
      </c>
      <c r="G39" s="34">
        <v>2044.0000000000773</v>
      </c>
      <c r="H39" s="2">
        <v>3334486.5540001262</v>
      </c>
      <c r="I39" s="100">
        <f t="shared" si="5"/>
        <v>14181899.760000166</v>
      </c>
      <c r="J39" s="103">
        <v>1380.0000000000523</v>
      </c>
      <c r="K39" s="2">
        <v>1500845.220000057</v>
      </c>
      <c r="L39" s="183">
        <v>359.99999999999943</v>
      </c>
      <c r="M39" s="184">
        <v>587287.25999999908</v>
      </c>
      <c r="N39" s="91">
        <f t="shared" si="6"/>
        <v>2088132.4800000561</v>
      </c>
      <c r="O39" s="105">
        <f t="shared" si="7"/>
        <v>16270032.240000222</v>
      </c>
      <c r="P39" s="108">
        <f t="shared" si="8"/>
        <v>13758.000000000166</v>
      </c>
      <c r="Q39" s="188"/>
      <c r="R39" s="203"/>
      <c r="S39" s="212"/>
      <c r="T39" s="209"/>
      <c r="U39" s="207">
        <v>0</v>
      </c>
      <c r="V39" s="185">
        <f t="shared" si="9"/>
        <v>772</v>
      </c>
      <c r="W39" s="2">
        <v>125</v>
      </c>
      <c r="X39" s="2">
        <v>2246289.380356208</v>
      </c>
      <c r="Y39" s="30">
        <v>647</v>
      </c>
      <c r="Z39" s="30">
        <v>3300000</v>
      </c>
      <c r="AA39" s="30">
        <f t="shared" si="0"/>
        <v>5546289.3803562075</v>
      </c>
      <c r="AB39" s="125">
        <f t="shared" si="1"/>
        <v>427.42377560237384</v>
      </c>
      <c r="AC39" s="131">
        <v>0</v>
      </c>
      <c r="AD39" s="2">
        <v>0</v>
      </c>
      <c r="AE39" s="2">
        <v>100</v>
      </c>
      <c r="AF39" s="2">
        <v>12</v>
      </c>
      <c r="AG39" s="2">
        <f t="shared" si="10"/>
        <v>112</v>
      </c>
      <c r="AH39" s="2">
        <v>1477500</v>
      </c>
      <c r="AI39" s="40">
        <f t="shared" si="3"/>
        <v>113.86326697795715</v>
      </c>
      <c r="AJ39" s="139">
        <v>127.72000000000844</v>
      </c>
      <c r="AK39" s="2">
        <v>1264428.0000000836</v>
      </c>
      <c r="AL39" s="36">
        <f t="shared" si="4"/>
        <v>97.442912310263225</v>
      </c>
      <c r="AM39" s="6"/>
    </row>
    <row r="40" spans="1:39">
      <c r="A40" s="32"/>
      <c r="B40" s="55">
        <v>29</v>
      </c>
      <c r="C40" s="146">
        <v>6</v>
      </c>
      <c r="D40" s="148">
        <v>97</v>
      </c>
      <c r="E40" s="103">
        <v>10132.999999999891</v>
      </c>
      <c r="F40" s="2">
        <v>11020336.676999882</v>
      </c>
      <c r="G40" s="34">
        <v>2002</v>
      </c>
      <c r="H40" s="2">
        <v>3265969.7070000004</v>
      </c>
      <c r="I40" s="100">
        <f t="shared" si="5"/>
        <v>14286306.383999882</v>
      </c>
      <c r="J40" s="103">
        <v>1359.9999999999568</v>
      </c>
      <c r="K40" s="2">
        <v>1479093.8399999528</v>
      </c>
      <c r="L40" s="183">
        <v>359.99999999999943</v>
      </c>
      <c r="M40" s="184">
        <v>587287.25999999908</v>
      </c>
      <c r="N40" s="91">
        <f t="shared" si="6"/>
        <v>2066381.0999999519</v>
      </c>
      <c r="O40" s="105">
        <f t="shared" ref="O40:O41" si="11">N40+I40</f>
        <v>16352687.483999833</v>
      </c>
      <c r="P40" s="108">
        <f t="shared" ref="P40:P41" si="12">L40+J40+G40+E40</f>
        <v>13854.999999999847</v>
      </c>
      <c r="Q40" s="189"/>
      <c r="R40" s="204"/>
      <c r="S40" s="212"/>
      <c r="T40" s="209"/>
      <c r="U40" s="207">
        <v>0</v>
      </c>
      <c r="V40" s="185">
        <f t="shared" si="9"/>
        <v>536</v>
      </c>
      <c r="W40" s="2">
        <v>128</v>
      </c>
      <c r="X40" s="2">
        <v>2300200.3254847568</v>
      </c>
      <c r="Y40" s="30">
        <v>408</v>
      </c>
      <c r="Z40" s="30">
        <v>3300000</v>
      </c>
      <c r="AA40" s="30">
        <f t="shared" ref="AA40:AA41" si="13">Z40+X40</f>
        <v>5600200.3254847564</v>
      </c>
      <c r="AB40" s="125">
        <f t="shared" ref="AB40:AB41" si="14">AA40/$AL$48</f>
        <v>431.57841271791091</v>
      </c>
      <c r="AC40" s="131">
        <v>0</v>
      </c>
      <c r="AD40" s="2">
        <v>0</v>
      </c>
      <c r="AE40" s="2">
        <v>150</v>
      </c>
      <c r="AF40" s="2">
        <v>12</v>
      </c>
      <c r="AG40" s="2">
        <f t="shared" si="10"/>
        <v>162</v>
      </c>
      <c r="AH40" s="2">
        <v>2147500</v>
      </c>
      <c r="AI40" s="40">
        <f t="shared" ref="AI40:AI42" si="15">AH40/$AL$48</f>
        <v>165.49669430467884</v>
      </c>
      <c r="AJ40" s="139">
        <v>217.8</v>
      </c>
      <c r="AK40" s="2">
        <v>2156220</v>
      </c>
      <c r="AL40" s="36">
        <f t="shared" si="4"/>
        <v>166.16869950809527</v>
      </c>
      <c r="AM40" s="6"/>
    </row>
    <row r="41" spans="1:39" ht="17.25" customHeight="1">
      <c r="A41" s="32"/>
      <c r="B41" s="55">
        <v>30</v>
      </c>
      <c r="C41" s="146">
        <v>4</v>
      </c>
      <c r="D41" s="148">
        <v>46</v>
      </c>
      <c r="E41" s="103">
        <v>10140.999999999891</v>
      </c>
      <c r="F41" s="2">
        <v>11029037.228999881</v>
      </c>
      <c r="G41" s="34">
        <v>2002</v>
      </c>
      <c r="H41" s="2">
        <v>3265969.7070000004</v>
      </c>
      <c r="I41" s="100">
        <f t="shared" si="5"/>
        <v>14295006.935999881</v>
      </c>
      <c r="J41" s="103">
        <v>1379.9999999999955</v>
      </c>
      <c r="K41" s="2">
        <v>1500845.2199999951</v>
      </c>
      <c r="L41" s="183">
        <v>340.00000000000341</v>
      </c>
      <c r="M41" s="184">
        <v>554660.19000000553</v>
      </c>
      <c r="N41" s="91">
        <f t="shared" si="6"/>
        <v>2055505.4100000006</v>
      </c>
      <c r="O41" s="105">
        <f t="shared" si="11"/>
        <v>16350512.345999882</v>
      </c>
      <c r="P41" s="108">
        <f t="shared" si="12"/>
        <v>13862.999999999891</v>
      </c>
      <c r="Q41" s="188"/>
      <c r="R41" s="205"/>
      <c r="S41" s="212"/>
      <c r="T41" s="209"/>
      <c r="U41" s="207">
        <v>0</v>
      </c>
      <c r="V41" s="185">
        <f t="shared" si="9"/>
        <v>652</v>
      </c>
      <c r="W41" s="2">
        <v>125</v>
      </c>
      <c r="X41" s="2">
        <v>2246289.380356208</v>
      </c>
      <c r="Y41" s="30">
        <v>527</v>
      </c>
      <c r="Z41" s="30">
        <v>3300000</v>
      </c>
      <c r="AA41" s="30">
        <f t="shared" si="13"/>
        <v>5546289.3803562075</v>
      </c>
      <c r="AB41" s="125">
        <f t="shared" si="14"/>
        <v>427.42377560237384</v>
      </c>
      <c r="AC41" s="131">
        <v>0</v>
      </c>
      <c r="AD41" s="2">
        <v>0</v>
      </c>
      <c r="AE41" s="2">
        <v>100</v>
      </c>
      <c r="AF41" s="2">
        <v>12</v>
      </c>
      <c r="AG41" s="2">
        <f>+AE41+AF41</f>
        <v>112</v>
      </c>
      <c r="AH41" s="2">
        <v>1477500</v>
      </c>
      <c r="AI41" s="40">
        <f t="shared" si="15"/>
        <v>113.86326697795715</v>
      </c>
      <c r="AJ41" s="139">
        <v>281.34000000000378</v>
      </c>
      <c r="AK41" s="2">
        <v>2785266.0000000373</v>
      </c>
      <c r="AL41" s="36">
        <f t="shared" si="4"/>
        <v>214.64601432326972</v>
      </c>
      <c r="AM41" s="6"/>
    </row>
    <row r="42" spans="1:39">
      <c r="A42" s="32"/>
      <c r="B42" s="55">
        <v>31</v>
      </c>
      <c r="C42" s="172">
        <v>3</v>
      </c>
      <c r="D42" s="173">
        <v>47</v>
      </c>
      <c r="E42" s="103">
        <v>9577.0000000004002</v>
      </c>
      <c r="F42" s="2">
        <v>10415648.313000435</v>
      </c>
      <c r="G42" s="34">
        <v>1881.9999999999955</v>
      </c>
      <c r="H42" s="2">
        <v>3070207.2869999926</v>
      </c>
      <c r="I42" s="100">
        <f t="shared" si="5"/>
        <v>13485855.600000428</v>
      </c>
      <c r="J42" s="103">
        <v>1300.0000000000114</v>
      </c>
      <c r="K42" s="2">
        <v>1413839.7000000123</v>
      </c>
      <c r="L42" s="183">
        <v>339.9999999999892</v>
      </c>
      <c r="M42" s="184">
        <v>554660.18999998248</v>
      </c>
      <c r="N42" s="91">
        <f t="shared" ref="N42" si="16">+K42+M42</f>
        <v>1968499.8899999948</v>
      </c>
      <c r="O42" s="105">
        <f t="shared" ref="O42" si="17">N42+I42</f>
        <v>15454355.490000423</v>
      </c>
      <c r="P42" s="108">
        <f t="shared" ref="P42" si="18">L42+J42+G42+E42</f>
        <v>13099.000000000397</v>
      </c>
      <c r="Q42" s="188"/>
      <c r="R42" s="205"/>
      <c r="S42" s="212"/>
      <c r="T42" s="209"/>
      <c r="U42" s="207">
        <v>0</v>
      </c>
      <c r="V42" s="185">
        <f t="shared" ref="V42" si="19">Y42+W42</f>
        <v>562</v>
      </c>
      <c r="W42" s="2">
        <v>126</v>
      </c>
      <c r="X42" s="2">
        <v>2264259.6953990576</v>
      </c>
      <c r="Y42" s="30">
        <v>436</v>
      </c>
      <c r="Z42" s="30">
        <v>3300000</v>
      </c>
      <c r="AA42" s="30">
        <f t="shared" ref="AA42" si="20">Z42+X42</f>
        <v>5564259.6953990571</v>
      </c>
      <c r="AB42" s="125">
        <f t="shared" ref="AB42" si="21">AA42/$AL$48</f>
        <v>428.80865464088623</v>
      </c>
      <c r="AC42" s="131">
        <v>0</v>
      </c>
      <c r="AD42" s="2">
        <v>0</v>
      </c>
      <c r="AE42" s="2">
        <v>100</v>
      </c>
      <c r="AF42" s="2">
        <v>12</v>
      </c>
      <c r="AG42" s="2">
        <f>+AE42+AF42</f>
        <v>112</v>
      </c>
      <c r="AH42" s="2">
        <v>1477500</v>
      </c>
      <c r="AI42" s="40">
        <f t="shared" si="15"/>
        <v>113.86326697795715</v>
      </c>
      <c r="AJ42" s="139">
        <v>297.39999999999998</v>
      </c>
      <c r="AK42" s="2">
        <v>2944260</v>
      </c>
      <c r="AL42" s="36">
        <f t="shared" si="4"/>
        <v>226.89885782234865</v>
      </c>
      <c r="AM42" s="6"/>
    </row>
    <row r="43" spans="1:39" ht="16.5" thickBot="1">
      <c r="A43" s="32"/>
      <c r="B43" s="119"/>
      <c r="C43" s="147"/>
      <c r="D43" s="149"/>
      <c r="E43" s="101"/>
      <c r="F43" s="101"/>
      <c r="G43" s="92"/>
      <c r="H43" s="93"/>
      <c r="I43" s="102"/>
      <c r="J43" s="104"/>
      <c r="K43" s="92"/>
      <c r="L43" s="93"/>
      <c r="M43" s="94"/>
      <c r="N43" s="95"/>
      <c r="O43" s="106"/>
      <c r="P43" s="109"/>
      <c r="Q43" s="174"/>
      <c r="R43" s="206"/>
      <c r="S43" s="213"/>
      <c r="T43" s="213"/>
      <c r="U43" s="208"/>
      <c r="V43" s="185"/>
      <c r="W43" s="2"/>
      <c r="X43" s="2"/>
      <c r="Y43" s="30"/>
      <c r="Z43" s="30"/>
      <c r="AA43" s="16"/>
      <c r="AB43" s="126"/>
      <c r="AC43" s="124"/>
      <c r="AD43" s="2"/>
      <c r="AE43" s="1"/>
      <c r="AF43" s="1"/>
      <c r="AG43" s="1"/>
      <c r="AH43" s="2"/>
      <c r="AI43" s="40"/>
      <c r="AJ43" s="139"/>
      <c r="AK43" s="2"/>
      <c r="AL43" s="36"/>
      <c r="AM43" s="6"/>
    </row>
    <row r="44" spans="1:39" s="7" customFormat="1" ht="4.5" customHeight="1">
      <c r="B44" s="114"/>
      <c r="C44" s="115"/>
      <c r="D44" s="115"/>
      <c r="E44" s="113"/>
      <c r="F44" s="6"/>
      <c r="H44" s="6"/>
      <c r="L44" s="6"/>
      <c r="M44" s="59"/>
      <c r="N44" s="63"/>
      <c r="P44" s="63"/>
      <c r="R44" s="83"/>
      <c r="S44" s="6"/>
      <c r="U44" s="31"/>
      <c r="V44" s="127"/>
      <c r="AB44" s="31"/>
      <c r="AD44" s="6"/>
      <c r="AJ44" s="83"/>
      <c r="AL44" s="31"/>
    </row>
    <row r="45" spans="1:39" s="7" customFormat="1" ht="6" customHeight="1">
      <c r="B45" s="114"/>
      <c r="C45" s="115"/>
      <c r="D45" s="115"/>
      <c r="E45" s="113"/>
      <c r="F45" s="6"/>
      <c r="H45" s="6"/>
      <c r="L45" s="6"/>
      <c r="M45" s="59"/>
      <c r="N45" s="63"/>
      <c r="P45" s="63"/>
      <c r="R45" s="83"/>
      <c r="S45" s="14"/>
      <c r="T45" s="14"/>
      <c r="U45" s="31"/>
      <c r="V45" s="127"/>
      <c r="AB45" s="128"/>
      <c r="AD45" s="6"/>
      <c r="AH45" s="6"/>
      <c r="AJ45" s="85"/>
      <c r="AK45" s="4"/>
      <c r="AL45" s="37"/>
    </row>
    <row r="46" spans="1:39" s="7" customFormat="1" ht="16.5" thickBot="1">
      <c r="B46" s="116"/>
      <c r="C46" s="117"/>
      <c r="D46" s="117"/>
      <c r="E46" s="118"/>
      <c r="F46" s="69"/>
      <c r="G46" s="68"/>
      <c r="H46" s="69"/>
      <c r="I46" s="68"/>
      <c r="J46" s="68"/>
      <c r="K46" s="68"/>
      <c r="L46" s="69"/>
      <c r="M46" s="70"/>
      <c r="N46" s="71"/>
      <c r="O46" s="68"/>
      <c r="P46" s="71"/>
      <c r="Q46" s="68"/>
      <c r="R46" s="84"/>
      <c r="S46" s="72"/>
      <c r="T46" s="68"/>
      <c r="U46" s="186"/>
      <c r="V46" s="129"/>
      <c r="W46" s="74"/>
      <c r="X46" s="68"/>
      <c r="Y46" s="68"/>
      <c r="Z46" s="68"/>
      <c r="AA46" s="68"/>
      <c r="AB46" s="73"/>
      <c r="AC46" s="75"/>
      <c r="AD46" s="69"/>
      <c r="AE46" s="75"/>
      <c r="AF46" s="75"/>
      <c r="AG46" s="75"/>
      <c r="AH46" s="69"/>
      <c r="AI46" s="68"/>
      <c r="AJ46" s="140"/>
      <c r="AK46" s="76"/>
      <c r="AL46" s="77"/>
    </row>
    <row r="47" spans="1:39" ht="17.25" thickTop="1" thickBot="1">
      <c r="A47" s="24"/>
      <c r="B47" s="66"/>
      <c r="C47" s="67">
        <f>SUM(C12:C43)</f>
        <v>111</v>
      </c>
      <c r="D47" s="67">
        <f>SUM(D12:D43)</f>
        <v>1414</v>
      </c>
      <c r="E47" s="67">
        <f>SUM(E12:E43)</f>
        <v>298880.00000000006</v>
      </c>
      <c r="F47" s="67">
        <f>SUM(F12:F43)</f>
        <v>325052622.72000003</v>
      </c>
      <c r="G47" s="67">
        <f>SUM(G12:G43)</f>
        <v>60040.000000000058</v>
      </c>
      <c r="H47" s="67">
        <f t="shared" ref="H47:O47" si="22">SUM(H12:H43)</f>
        <v>97946464.140000135</v>
      </c>
      <c r="I47" s="67">
        <f t="shared" si="22"/>
        <v>422999086.86000031</v>
      </c>
      <c r="J47" s="67">
        <f t="shared" si="22"/>
        <v>41039.999999999964</v>
      </c>
      <c r="K47" s="67">
        <f t="shared" si="22"/>
        <v>44633831.759999953</v>
      </c>
      <c r="L47" s="67">
        <f t="shared" si="22"/>
        <v>10560.000000000004</v>
      </c>
      <c r="M47" s="67">
        <f t="shared" si="22"/>
        <v>17227092.960000005</v>
      </c>
      <c r="N47" s="67">
        <f t="shared" si="22"/>
        <v>61860924.719999962</v>
      </c>
      <c r="O47" s="67">
        <f t="shared" si="22"/>
        <v>484860011.58000028</v>
      </c>
      <c r="P47" s="79">
        <f>SUM(P12:P43)</f>
        <v>410520.00000000006</v>
      </c>
      <c r="Q47" s="187" t="e">
        <f>+#REF!</f>
        <v>#REF!</v>
      </c>
      <c r="R47" s="120" t="e">
        <f>+#REF!</f>
        <v>#REF!</v>
      </c>
      <c r="S47" s="112" t="e">
        <f>Q47+P47</f>
        <v>#REF!</v>
      </c>
      <c r="T47" s="112" t="e">
        <f>R47+O47</f>
        <v>#REF!</v>
      </c>
      <c r="U47" s="134" t="e">
        <f>T47/AL48</f>
        <v>#REF!</v>
      </c>
      <c r="V47" s="175">
        <f>SUM(V12:V42)</f>
        <v>20062</v>
      </c>
      <c r="W47" s="49">
        <f>SUM(W12:W42)</f>
        <v>4078</v>
      </c>
      <c r="X47" s="49">
        <f t="shared" ref="X47:Z47" si="23">SUM(X12:X42)</f>
        <v>73282944.744740933</v>
      </c>
      <c r="Y47" s="49">
        <f t="shared" si="23"/>
        <v>15984</v>
      </c>
      <c r="Z47" s="49">
        <f t="shared" si="23"/>
        <v>82669220.69931522</v>
      </c>
      <c r="AA47" s="133">
        <f>SUM(AA12:AA42)</f>
        <v>155952165.44405615</v>
      </c>
      <c r="AB47" s="121">
        <f>AA47/$AL$48</f>
        <v>12018.42507597097</v>
      </c>
      <c r="AC47" s="41">
        <f>SUM(AC12:AC41)</f>
        <v>0</v>
      </c>
      <c r="AD47" s="135">
        <f>SUM(AD12:AD41)</f>
        <v>0</v>
      </c>
      <c r="AE47" s="41">
        <f>SUM(AE12:AE42)</f>
        <v>3100</v>
      </c>
      <c r="AF47" s="41">
        <f>SUM(AF12:AF42)</f>
        <v>360</v>
      </c>
      <c r="AG47" s="211">
        <f>SUM(AG12:AG42)</f>
        <v>3460</v>
      </c>
      <c r="AH47" s="143">
        <f>SUM(AH12:AH43)</f>
        <v>45665000</v>
      </c>
      <c r="AI47" s="144">
        <f>AH47/$AL$48</f>
        <v>3519.1648639921577</v>
      </c>
      <c r="AJ47" s="210">
        <f>SUM(AJ12:AJ43)</f>
        <v>7988.2800000000043</v>
      </c>
      <c r="AK47" s="141">
        <f>SUM(AK12:AK43)</f>
        <v>79083972.00000006</v>
      </c>
      <c r="AL47" s="142">
        <f>AK47/AL48</f>
        <v>6094.5918223440231</v>
      </c>
      <c r="AM47" s="24"/>
    </row>
    <row r="48" spans="1:39">
      <c r="A48" s="24"/>
      <c r="B48" s="24"/>
      <c r="C48" s="4"/>
      <c r="D48" s="10"/>
      <c r="E48" s="4"/>
      <c r="F48" s="4"/>
      <c r="G48" s="10"/>
      <c r="H48" s="4"/>
      <c r="I48" s="8"/>
      <c r="J48" s="8"/>
      <c r="K48" s="8"/>
      <c r="L48" s="15"/>
      <c r="M48" s="60"/>
      <c r="N48" s="64"/>
      <c r="O48" s="9"/>
      <c r="P48" s="64"/>
      <c r="Q48" s="9"/>
      <c r="R48" s="111"/>
      <c r="S48" s="13"/>
      <c r="T48" s="78" t="s">
        <v>55</v>
      </c>
      <c r="U48" s="150" t="e">
        <f>U47/S47</f>
        <v>#REF!</v>
      </c>
      <c r="V48" s="190" t="s">
        <v>56</v>
      </c>
      <c r="W48" s="10"/>
      <c r="X48" s="10"/>
      <c r="Y48" s="136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5"/>
      <c r="AK48" s="10"/>
      <c r="AL48" s="145">
        <v>12976.09</v>
      </c>
      <c r="AM48" s="24"/>
    </row>
    <row r="49" spans="1:39">
      <c r="A49" s="24"/>
      <c r="B49" s="24"/>
      <c r="C49" s="4"/>
      <c r="D49" s="10"/>
      <c r="E49" s="4"/>
      <c r="F49" s="4"/>
      <c r="G49" s="15">
        <f>G47+E47</f>
        <v>358920.00000000012</v>
      </c>
      <c r="H49" s="4"/>
      <c r="I49" s="8"/>
      <c r="J49" s="8"/>
      <c r="K49" s="8"/>
      <c r="L49" s="15">
        <f>L47+J47</f>
        <v>51599.999999999971</v>
      </c>
      <c r="M49" s="60"/>
      <c r="N49" s="64"/>
      <c r="O49" s="9"/>
      <c r="P49" s="218">
        <f>G49</f>
        <v>358920.00000000012</v>
      </c>
      <c r="Q49" s="219">
        <f>I47</f>
        <v>422999086.86000031</v>
      </c>
      <c r="R49" s="220" t="e">
        <f>Q49/T47</f>
        <v>#REF!</v>
      </c>
      <c r="S49" s="13"/>
      <c r="T49" s="217"/>
      <c r="U49" s="150"/>
      <c r="V49" s="190"/>
      <c r="W49" s="10"/>
      <c r="X49" s="215"/>
      <c r="Y49" s="136"/>
      <c r="Z49" s="215"/>
      <c r="AA49" s="10"/>
      <c r="AB49" s="10"/>
      <c r="AC49" s="14"/>
      <c r="AD49" s="6"/>
      <c r="AE49" s="14"/>
      <c r="AF49" s="14"/>
      <c r="AG49" s="6"/>
      <c r="AH49" s="216"/>
      <c r="AI49" s="10"/>
      <c r="AJ49" s="85"/>
      <c r="AK49" s="10"/>
      <c r="AL49" s="145"/>
      <c r="AM49" s="24"/>
    </row>
    <row r="50" spans="1:39">
      <c r="A50" s="24"/>
      <c r="B50" s="24"/>
      <c r="C50" s="4"/>
      <c r="D50" s="10"/>
      <c r="E50" s="4"/>
      <c r="F50" s="4"/>
      <c r="G50" s="10"/>
      <c r="H50" s="4"/>
      <c r="I50" s="8"/>
      <c r="J50" s="8"/>
      <c r="K50" s="8"/>
      <c r="L50" s="15"/>
      <c r="M50" s="60"/>
      <c r="N50" s="64"/>
      <c r="O50" s="9"/>
      <c r="P50" s="218">
        <f>L49</f>
        <v>51599.999999999971</v>
      </c>
      <c r="Q50" s="219">
        <f>N47</f>
        <v>61860924.719999962</v>
      </c>
      <c r="R50" s="220" t="e">
        <f>Q50/T47</f>
        <v>#REF!</v>
      </c>
      <c r="S50" s="13"/>
      <c r="T50" s="78"/>
      <c r="U50" s="150"/>
      <c r="V50" s="190"/>
      <c r="W50" s="10"/>
      <c r="X50" s="10"/>
      <c r="Y50" s="136"/>
      <c r="Z50" s="215"/>
      <c r="AA50" s="10"/>
      <c r="AB50" s="10"/>
      <c r="AC50" s="14"/>
      <c r="AD50" s="6"/>
      <c r="AE50" s="14"/>
      <c r="AF50" s="14"/>
      <c r="AG50" s="6"/>
      <c r="AH50" s="216"/>
      <c r="AI50" s="10"/>
      <c r="AJ50" s="85"/>
      <c r="AK50" s="10"/>
      <c r="AL50" s="145"/>
      <c r="AM50" s="24"/>
    </row>
    <row r="51" spans="1:39" s="193" customFormat="1">
      <c r="A51" s="191"/>
      <c r="B51" s="191"/>
      <c r="C51" s="192"/>
      <c r="E51" s="192"/>
      <c r="F51" s="192"/>
      <c r="H51" s="192"/>
      <c r="L51" s="192"/>
      <c r="M51" s="194"/>
      <c r="N51" s="195"/>
      <c r="P51" s="221" t="e">
        <f>Q47</f>
        <v>#REF!</v>
      </c>
      <c r="Q51" s="222" t="e">
        <f>R47</f>
        <v>#REF!</v>
      </c>
      <c r="R51" s="223" t="e">
        <f>R47/T47</f>
        <v>#REF!</v>
      </c>
      <c r="T51" s="214"/>
      <c r="W51" s="225">
        <f>W47/V47</f>
        <v>0.20326986342338749</v>
      </c>
      <c r="AD51" s="192"/>
      <c r="AH51" s="192"/>
      <c r="AJ51" s="196"/>
      <c r="AL51" s="197"/>
      <c r="AM51" s="191"/>
    </row>
    <row r="52" spans="1:39" s="193" customFormat="1">
      <c r="A52" s="191"/>
      <c r="B52" s="191"/>
      <c r="C52" s="192"/>
      <c r="E52" s="192"/>
      <c r="F52" s="192"/>
      <c r="H52" s="192"/>
      <c r="L52" s="192"/>
      <c r="M52" s="194"/>
      <c r="N52" s="195"/>
      <c r="P52" s="221"/>
      <c r="Q52" s="224"/>
      <c r="R52" s="223" t="e">
        <f>SUM(R49:R51)</f>
        <v>#REF!</v>
      </c>
      <c r="AD52" s="192"/>
      <c r="AH52" s="192"/>
      <c r="AJ52" s="196"/>
      <c r="AL52" s="197"/>
      <c r="AM52" s="191"/>
    </row>
    <row r="53" spans="1:39" s="193" customFormat="1">
      <c r="A53" s="191"/>
      <c r="B53" s="191"/>
      <c r="C53" s="192"/>
      <c r="E53" s="192"/>
      <c r="F53" s="192"/>
      <c r="H53" s="192"/>
      <c r="L53" s="192"/>
      <c r="M53" s="194"/>
      <c r="N53" s="195"/>
      <c r="P53" s="195"/>
      <c r="R53" s="196"/>
      <c r="AD53" s="192"/>
      <c r="AH53" s="192"/>
      <c r="AJ53" s="196"/>
      <c r="AL53" s="197"/>
      <c r="AM53" s="191"/>
    </row>
    <row r="54" spans="1:39" s="193" customFormat="1">
      <c r="A54" s="191"/>
      <c r="B54" s="191"/>
      <c r="C54" s="192"/>
      <c r="E54" s="192"/>
      <c r="F54" s="192"/>
      <c r="H54" s="192"/>
      <c r="L54" s="192"/>
      <c r="M54" s="194"/>
      <c r="N54" s="195"/>
      <c r="P54" s="195"/>
      <c r="R54" s="196"/>
      <c r="AD54" s="192"/>
      <c r="AH54" s="192"/>
      <c r="AJ54" s="196"/>
      <c r="AL54" s="197"/>
      <c r="AM54" s="191"/>
    </row>
    <row r="55" spans="1:39" s="193" customFormat="1">
      <c r="A55" s="191"/>
      <c r="B55" s="191"/>
      <c r="C55" s="192"/>
      <c r="E55" s="192"/>
      <c r="F55" s="192"/>
      <c r="H55" s="192"/>
      <c r="L55" s="192"/>
      <c r="M55" s="194"/>
      <c r="N55" s="195"/>
      <c r="P55" s="195"/>
      <c r="R55" s="196"/>
      <c r="AD55" s="192"/>
      <c r="AH55" s="192"/>
      <c r="AJ55" s="196"/>
      <c r="AL55" s="197"/>
      <c r="AM55" s="191"/>
    </row>
    <row r="56" spans="1:39" s="193" customFormat="1">
      <c r="A56" s="191"/>
      <c r="B56" s="191"/>
      <c r="C56" s="192"/>
      <c r="E56" s="192"/>
      <c r="F56" s="192"/>
      <c r="H56" s="192"/>
      <c r="L56" s="192"/>
      <c r="M56" s="194"/>
      <c r="N56" s="195"/>
      <c r="P56" s="195"/>
      <c r="R56" s="196"/>
      <c r="AD56" s="192"/>
      <c r="AH56" s="192"/>
      <c r="AJ56" s="196"/>
      <c r="AL56" s="197"/>
      <c r="AM56" s="191"/>
    </row>
    <row r="57" spans="1:39" s="193" customFormat="1">
      <c r="A57" s="191"/>
      <c r="B57" s="191"/>
      <c r="C57" s="192"/>
      <c r="E57" s="192"/>
      <c r="F57" s="192"/>
      <c r="H57" s="192"/>
      <c r="L57" s="192"/>
      <c r="M57" s="194"/>
      <c r="N57" s="195"/>
      <c r="P57" s="195"/>
      <c r="R57" s="196"/>
      <c r="AD57" s="192"/>
      <c r="AH57" s="192"/>
      <c r="AJ57" s="196"/>
      <c r="AL57" s="197"/>
      <c r="AM57" s="191"/>
    </row>
    <row r="58" spans="1:39" s="193" customFormat="1">
      <c r="A58" s="191"/>
      <c r="B58" s="191"/>
      <c r="C58" s="192"/>
      <c r="E58" s="192"/>
      <c r="F58" s="192"/>
      <c r="H58" s="192"/>
      <c r="L58" s="192"/>
      <c r="M58" s="194"/>
      <c r="N58" s="195"/>
      <c r="P58" s="195"/>
      <c r="R58" s="196"/>
      <c r="AD58" s="192"/>
      <c r="AH58" s="192"/>
      <c r="AJ58" s="196"/>
      <c r="AL58" s="197"/>
      <c r="AM58" s="191"/>
    </row>
    <row r="59" spans="1:39" s="193" customFormat="1">
      <c r="A59" s="191"/>
      <c r="B59" s="191"/>
      <c r="C59" s="192"/>
      <c r="E59" s="192"/>
      <c r="F59" s="192"/>
      <c r="H59" s="192"/>
      <c r="L59" s="192"/>
      <c r="M59" s="194"/>
      <c r="N59" s="195"/>
      <c r="P59" s="195"/>
      <c r="R59" s="196"/>
      <c r="AD59" s="192"/>
      <c r="AH59" s="192"/>
      <c r="AJ59" s="196"/>
      <c r="AL59" s="197"/>
      <c r="AM59" s="191"/>
    </row>
    <row r="60" spans="1:39" s="193" customFormat="1">
      <c r="A60" s="191"/>
      <c r="B60" s="191"/>
      <c r="C60" s="192"/>
      <c r="E60" s="192"/>
      <c r="F60" s="192"/>
      <c r="H60" s="192"/>
      <c r="L60" s="192"/>
      <c r="M60" s="194"/>
      <c r="N60" s="195"/>
      <c r="P60" s="195"/>
      <c r="R60" s="196"/>
      <c r="AD60" s="192"/>
      <c r="AH60" s="192"/>
      <c r="AJ60" s="196"/>
      <c r="AL60" s="197"/>
      <c r="AM60" s="191"/>
    </row>
    <row r="61" spans="1:39" s="193" customFormat="1">
      <c r="A61" s="191"/>
      <c r="B61" s="191"/>
      <c r="C61" s="192"/>
      <c r="E61" s="192"/>
      <c r="F61" s="192"/>
      <c r="H61" s="192"/>
      <c r="L61" s="192"/>
      <c r="M61" s="194"/>
      <c r="N61" s="195"/>
      <c r="P61" s="195"/>
      <c r="R61" s="196"/>
      <c r="AD61" s="192"/>
      <c r="AH61" s="192"/>
      <c r="AJ61" s="196"/>
      <c r="AL61" s="197"/>
      <c r="AM61" s="191"/>
    </row>
    <row r="62" spans="1:39" s="193" customFormat="1">
      <c r="A62" s="191"/>
      <c r="B62" s="191"/>
      <c r="C62" s="192"/>
      <c r="E62" s="192"/>
      <c r="F62" s="192"/>
      <c r="H62" s="192"/>
      <c r="L62" s="192"/>
      <c r="M62" s="194"/>
      <c r="N62" s="195"/>
      <c r="P62" s="195"/>
      <c r="R62" s="196"/>
      <c r="AD62" s="192"/>
      <c r="AH62" s="192"/>
      <c r="AJ62" s="196"/>
      <c r="AL62" s="197"/>
      <c r="AM62" s="191"/>
    </row>
    <row r="63" spans="1:39" s="193" customFormat="1">
      <c r="A63" s="191"/>
      <c r="B63" s="191"/>
      <c r="C63" s="192"/>
      <c r="E63" s="192"/>
      <c r="F63" s="192"/>
      <c r="H63" s="192"/>
      <c r="L63" s="192"/>
      <c r="M63" s="194"/>
      <c r="N63" s="195"/>
      <c r="P63" s="195"/>
      <c r="R63" s="196"/>
      <c r="AD63" s="192"/>
      <c r="AH63" s="192"/>
      <c r="AJ63" s="196"/>
      <c r="AL63" s="197"/>
      <c r="AM63" s="191"/>
    </row>
    <row r="64" spans="1:39" s="193" customFormat="1">
      <c r="A64" s="191"/>
      <c r="B64" s="191"/>
      <c r="C64" s="192"/>
      <c r="E64" s="192"/>
      <c r="F64" s="192"/>
      <c r="H64" s="192"/>
      <c r="L64" s="192"/>
      <c r="M64" s="194"/>
      <c r="N64" s="195"/>
      <c r="P64" s="195"/>
      <c r="R64" s="196"/>
      <c r="AD64" s="192"/>
      <c r="AH64" s="192"/>
      <c r="AJ64" s="196"/>
      <c r="AL64" s="197"/>
      <c r="AM64" s="191"/>
    </row>
    <row r="65" spans="1:39" s="193" customFormat="1">
      <c r="A65" s="191"/>
      <c r="B65" s="191"/>
      <c r="C65" s="192"/>
      <c r="E65" s="192"/>
      <c r="F65" s="192"/>
      <c r="H65" s="192"/>
      <c r="L65" s="192"/>
      <c r="M65" s="194"/>
      <c r="N65" s="195"/>
      <c r="P65" s="195"/>
      <c r="R65" s="196"/>
      <c r="AD65" s="192"/>
      <c r="AH65" s="192"/>
      <c r="AJ65" s="196"/>
      <c r="AL65" s="197"/>
      <c r="AM65" s="191"/>
    </row>
    <row r="66" spans="1:39" s="193" customFormat="1">
      <c r="A66" s="191"/>
      <c r="B66" s="191"/>
      <c r="C66" s="192"/>
      <c r="E66" s="192"/>
      <c r="F66" s="192"/>
      <c r="H66" s="192"/>
      <c r="L66" s="192"/>
      <c r="M66" s="194"/>
      <c r="N66" s="195"/>
      <c r="P66" s="195"/>
      <c r="R66" s="196"/>
      <c r="AD66" s="192"/>
      <c r="AH66" s="192"/>
      <c r="AJ66" s="196"/>
      <c r="AL66" s="197"/>
      <c r="AM66" s="191"/>
    </row>
    <row r="67" spans="1:39" s="193" customFormat="1">
      <c r="A67" s="191"/>
      <c r="B67" s="191"/>
      <c r="C67" s="192"/>
      <c r="E67" s="192"/>
      <c r="F67" s="192"/>
      <c r="H67" s="192"/>
      <c r="L67" s="192"/>
      <c r="M67" s="194"/>
      <c r="N67" s="195"/>
      <c r="P67" s="195"/>
      <c r="R67" s="196"/>
      <c r="AD67" s="192"/>
      <c r="AH67" s="192"/>
      <c r="AJ67" s="196"/>
      <c r="AL67" s="197"/>
      <c r="AM67" s="191"/>
    </row>
    <row r="68" spans="1:39" s="193" customFormat="1">
      <c r="A68" s="191"/>
      <c r="B68" s="191"/>
      <c r="C68" s="192"/>
      <c r="E68" s="192"/>
      <c r="F68" s="192"/>
      <c r="H68" s="192"/>
      <c r="L68" s="192"/>
      <c r="M68" s="194"/>
      <c r="N68" s="195"/>
      <c r="P68" s="195"/>
      <c r="R68" s="196"/>
      <c r="AD68" s="192"/>
      <c r="AH68" s="192"/>
      <c r="AJ68" s="196"/>
      <c r="AL68" s="197"/>
      <c r="AM68" s="191"/>
    </row>
    <row r="69" spans="1:39" s="193" customFormat="1">
      <c r="A69" s="191"/>
      <c r="B69" s="191"/>
      <c r="C69" s="192"/>
      <c r="E69" s="192"/>
      <c r="F69" s="192"/>
      <c r="H69" s="192"/>
      <c r="L69" s="192"/>
      <c r="M69" s="194"/>
      <c r="N69" s="195"/>
      <c r="P69" s="195"/>
      <c r="R69" s="196"/>
      <c r="AD69" s="192"/>
      <c r="AH69" s="192"/>
      <c r="AJ69" s="196"/>
      <c r="AL69" s="197"/>
      <c r="AM69" s="191"/>
    </row>
    <row r="70" spans="1:39" s="193" customFormat="1">
      <c r="A70" s="191"/>
      <c r="B70" s="191"/>
      <c r="C70" s="192"/>
      <c r="E70" s="192"/>
      <c r="F70" s="192"/>
      <c r="H70" s="192"/>
      <c r="L70" s="192"/>
      <c r="M70" s="194"/>
      <c r="N70" s="195"/>
      <c r="P70" s="195"/>
      <c r="R70" s="196"/>
      <c r="AD70" s="192"/>
      <c r="AH70" s="192"/>
      <c r="AJ70" s="196"/>
      <c r="AL70" s="197"/>
      <c r="AM70" s="191"/>
    </row>
  </sheetData>
  <mergeCells count="18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</mergeCells>
  <hyperlinks>
    <hyperlink ref="Q31" location="'Residence Electricity'!A1" display="'Residence Electricity'!A1" xr:uid="{00000000-0004-0000-0100-000000000000}"/>
    <hyperlink ref="R31" location="'Residence Electricity'!A1" display="'Residence Electricity'!A1" xr:uid="{00000000-0004-0000-0100-000001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tabSelected="1" workbookViewId="0">
      <pane xSplit="1" ySplit="5" topLeftCell="B6" activePane="bottomRight" state="frozen"/>
      <selection pane="bottomRight" activeCell="J21" sqref="J21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5" t="s">
        <v>16</v>
      </c>
    </row>
    <row r="2" spans="1:3" ht="18">
      <c r="A2" s="265">
        <v>44409</v>
      </c>
      <c r="B2" s="266"/>
      <c r="C2" s="266"/>
    </row>
    <row r="3" spans="1:3">
      <c r="A3" s="268" t="s">
        <v>18</v>
      </c>
      <c r="B3" s="267" t="s">
        <v>19</v>
      </c>
      <c r="C3" s="267" t="s">
        <v>13</v>
      </c>
    </row>
    <row r="4" spans="1:3">
      <c r="A4" s="268"/>
      <c r="B4" s="267"/>
      <c r="C4" s="267"/>
    </row>
    <row r="5" spans="1:3">
      <c r="A5" s="268"/>
      <c r="B5" s="267"/>
      <c r="C5" s="267"/>
    </row>
    <row r="6" spans="1:3">
      <c r="A6" s="1">
        <v>1</v>
      </c>
      <c r="B6" s="1">
        <v>4</v>
      </c>
      <c r="C6" s="1">
        <v>95</v>
      </c>
    </row>
    <row r="7" spans="1:3">
      <c r="A7" s="1">
        <v>2</v>
      </c>
      <c r="B7" s="1">
        <v>5</v>
      </c>
      <c r="C7" s="1">
        <v>44</v>
      </c>
    </row>
    <row r="8" spans="1:3">
      <c r="A8" s="1">
        <f>A7+1</f>
        <v>3</v>
      </c>
      <c r="B8" s="1">
        <v>3</v>
      </c>
      <c r="C8" s="1">
        <v>47</v>
      </c>
    </row>
    <row r="9" spans="1:3">
      <c r="A9" s="1">
        <f>A8+1</f>
        <v>4</v>
      </c>
      <c r="B9" s="1">
        <v>3</v>
      </c>
      <c r="C9" s="1">
        <v>43</v>
      </c>
    </row>
    <row r="10" spans="1:3">
      <c r="A10" s="1">
        <f t="shared" ref="A10:A35" si="0">A9+1</f>
        <v>5</v>
      </c>
      <c r="B10" s="1">
        <v>3</v>
      </c>
      <c r="C10" s="1">
        <v>27</v>
      </c>
    </row>
    <row r="11" spans="1:3">
      <c r="A11" s="1">
        <f t="shared" si="0"/>
        <v>6</v>
      </c>
      <c r="B11" s="1">
        <v>5</v>
      </c>
      <c r="C11" s="1">
        <v>46</v>
      </c>
    </row>
    <row r="12" spans="1:3">
      <c r="A12" s="1">
        <f t="shared" si="0"/>
        <v>7</v>
      </c>
      <c r="B12" s="1">
        <v>5</v>
      </c>
      <c r="C12" s="1">
        <v>74</v>
      </c>
    </row>
    <row r="13" spans="1:3">
      <c r="A13" s="1">
        <f t="shared" si="0"/>
        <v>8</v>
      </c>
      <c r="B13" s="1">
        <v>3</v>
      </c>
      <c r="C13" s="1">
        <v>51</v>
      </c>
    </row>
    <row r="14" spans="1:3">
      <c r="A14" s="1">
        <f t="shared" si="0"/>
        <v>9</v>
      </c>
      <c r="B14" s="1">
        <v>5</v>
      </c>
      <c r="C14" s="1">
        <v>40</v>
      </c>
    </row>
    <row r="15" spans="1:3">
      <c r="A15" s="1">
        <f t="shared" si="0"/>
        <v>10</v>
      </c>
      <c r="B15" s="1">
        <v>3</v>
      </c>
      <c r="C15" s="1">
        <v>42</v>
      </c>
    </row>
    <row r="16" spans="1:3">
      <c r="A16" s="1">
        <f t="shared" si="0"/>
        <v>11</v>
      </c>
      <c r="B16" s="1">
        <v>3</v>
      </c>
      <c r="C16" s="1">
        <v>32</v>
      </c>
    </row>
    <row r="17" spans="1:3">
      <c r="A17" s="1">
        <f t="shared" si="0"/>
        <v>12</v>
      </c>
      <c r="B17" s="1">
        <v>5</v>
      </c>
      <c r="C17" s="1">
        <v>37</v>
      </c>
    </row>
    <row r="18" spans="1:3">
      <c r="A18" s="1">
        <f t="shared" si="0"/>
        <v>13</v>
      </c>
      <c r="B18" s="1">
        <v>5</v>
      </c>
      <c r="C18" s="1">
        <v>34</v>
      </c>
    </row>
    <row r="19" spans="1:3">
      <c r="A19" s="1">
        <f t="shared" si="0"/>
        <v>14</v>
      </c>
      <c r="B19" s="1">
        <v>5</v>
      </c>
      <c r="C19" s="1">
        <v>56</v>
      </c>
    </row>
    <row r="20" spans="1:3">
      <c r="A20" s="1">
        <f t="shared" si="0"/>
        <v>15</v>
      </c>
      <c r="B20" s="1">
        <v>1</v>
      </c>
      <c r="C20" s="1">
        <v>75</v>
      </c>
    </row>
    <row r="21" spans="1:3">
      <c r="A21" s="1">
        <f t="shared" si="0"/>
        <v>16</v>
      </c>
      <c r="B21" s="1">
        <v>1</v>
      </c>
      <c r="C21" s="1">
        <v>18</v>
      </c>
    </row>
    <row r="22" spans="1:3">
      <c r="A22" s="1">
        <f t="shared" si="0"/>
        <v>17</v>
      </c>
      <c r="B22" s="1">
        <v>1</v>
      </c>
      <c r="C22" s="1">
        <v>58</v>
      </c>
    </row>
    <row r="23" spans="1:3">
      <c r="A23" s="1">
        <f t="shared" si="0"/>
        <v>18</v>
      </c>
      <c r="B23" s="1">
        <v>1</v>
      </c>
      <c r="C23" s="1">
        <v>29</v>
      </c>
    </row>
    <row r="24" spans="1:3">
      <c r="A24" s="1">
        <f t="shared" si="0"/>
        <v>19</v>
      </c>
      <c r="B24" s="1">
        <v>1</v>
      </c>
      <c r="C24" s="1">
        <v>15</v>
      </c>
    </row>
    <row r="25" spans="1:3">
      <c r="A25" s="1">
        <f t="shared" si="0"/>
        <v>20</v>
      </c>
      <c r="B25" s="1">
        <v>2</v>
      </c>
      <c r="C25" s="1">
        <v>26</v>
      </c>
    </row>
    <row r="26" spans="1:3">
      <c r="A26" s="1">
        <f t="shared" si="0"/>
        <v>21</v>
      </c>
      <c r="B26" s="1">
        <v>2</v>
      </c>
      <c r="C26" s="1">
        <v>49</v>
      </c>
    </row>
    <row r="27" spans="1:3">
      <c r="A27" s="1">
        <f t="shared" si="0"/>
        <v>22</v>
      </c>
      <c r="B27" s="1">
        <v>3</v>
      </c>
      <c r="C27" s="1">
        <v>53</v>
      </c>
    </row>
    <row r="28" spans="1:3">
      <c r="A28" s="1">
        <f t="shared" si="0"/>
        <v>23</v>
      </c>
      <c r="B28" s="1">
        <v>4</v>
      </c>
      <c r="C28" s="1">
        <v>28</v>
      </c>
    </row>
    <row r="29" spans="1:3">
      <c r="A29" s="1">
        <f t="shared" si="0"/>
        <v>24</v>
      </c>
      <c r="B29" s="1">
        <v>6</v>
      </c>
      <c r="C29" s="1">
        <v>42</v>
      </c>
    </row>
    <row r="30" spans="1:3">
      <c r="A30" s="1">
        <f t="shared" si="0"/>
        <v>25</v>
      </c>
      <c r="B30" s="1">
        <v>4</v>
      </c>
      <c r="C30" s="1">
        <v>28</v>
      </c>
    </row>
    <row r="31" spans="1:3">
      <c r="A31" s="1">
        <f t="shared" si="0"/>
        <v>26</v>
      </c>
      <c r="B31" s="1">
        <v>4</v>
      </c>
      <c r="C31" s="1">
        <v>47</v>
      </c>
    </row>
    <row r="32" spans="1:3">
      <c r="A32" s="1">
        <f t="shared" si="0"/>
        <v>27</v>
      </c>
      <c r="B32" s="1">
        <v>5</v>
      </c>
      <c r="C32" s="1">
        <v>41</v>
      </c>
    </row>
    <row r="33" spans="1:3">
      <c r="A33" s="1">
        <f t="shared" si="0"/>
        <v>28</v>
      </c>
      <c r="B33" s="1">
        <v>6</v>
      </c>
      <c r="C33" s="1">
        <v>47</v>
      </c>
    </row>
    <row r="34" spans="1:3">
      <c r="A34" s="1">
        <f t="shared" si="0"/>
        <v>29</v>
      </c>
      <c r="B34" s="1">
        <v>6</v>
      </c>
      <c r="C34" s="1">
        <v>97</v>
      </c>
    </row>
    <row r="35" spans="1:3">
      <c r="A35" s="1">
        <f t="shared" si="0"/>
        <v>30</v>
      </c>
      <c r="B35" s="1">
        <v>4</v>
      </c>
      <c r="C35" s="1">
        <v>46</v>
      </c>
    </row>
    <row r="36" spans="1:3">
      <c r="A36" s="1">
        <v>31</v>
      </c>
      <c r="B36" s="1">
        <v>3</v>
      </c>
      <c r="C36" s="1">
        <v>47</v>
      </c>
    </row>
    <row r="38" spans="1:3">
      <c r="B38" s="5">
        <f>SUM(B6:B36)</f>
        <v>111</v>
      </c>
      <c r="C38" s="5">
        <f>SUM(C6:C36)</f>
        <v>1414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00BA5B-897D-4188-AACD-63EB8A4DD875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2022-10-31T02:38:44Z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1894300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