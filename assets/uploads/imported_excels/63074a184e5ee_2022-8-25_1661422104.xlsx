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601" documentId="8_{5B502D95-7A37-4D5A-8B6B-374537CC2F26}" xr6:coauthVersionLast="47" xr6:coauthVersionMax="47" xr10:uidLastSave="{50D78EA6-3366-4E29-B1DC-B0F30F3B8293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3" i="2" l="1"/>
  <c r="N34" i="2"/>
  <c r="M34" i="2"/>
  <c r="L34" i="2"/>
  <c r="F34" i="2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K31" i="6"/>
  <c r="N32" i="2" s="1"/>
  <c r="I31" i="6"/>
  <c r="M32" i="2" s="1"/>
  <c r="G31" i="6"/>
  <c r="L32" i="2" s="1"/>
  <c r="E31" i="6"/>
  <c r="F32" i="2" s="1"/>
  <c r="C31" i="6"/>
  <c r="V29" i="2"/>
  <c r="V30" i="2"/>
  <c r="K29" i="6"/>
  <c r="N30" i="2" s="1"/>
  <c r="K30" i="6"/>
  <c r="N31" i="2" s="1"/>
  <c r="I29" i="6"/>
  <c r="M30" i="2" s="1"/>
  <c r="I30" i="6"/>
  <c r="M31" i="2" s="1"/>
  <c r="G29" i="6"/>
  <c r="L30" i="2" s="1"/>
  <c r="G30" i="6"/>
  <c r="L31" i="2" s="1"/>
  <c r="E29" i="6"/>
  <c r="F30" i="2" s="1"/>
  <c r="E30" i="6"/>
  <c r="F31" i="2" s="1"/>
  <c r="C29" i="6"/>
  <c r="C30" i="6"/>
  <c r="V28" i="2"/>
  <c r="K28" i="6"/>
  <c r="N29" i="2" s="1"/>
  <c r="I28" i="6"/>
  <c r="M29" i="2" s="1"/>
  <c r="G28" i="6"/>
  <c r="L29" i="2" s="1"/>
  <c r="E28" i="6"/>
  <c r="F29" i="2" s="1"/>
  <c r="C28" i="6"/>
  <c r="V27" i="2"/>
  <c r="K27" i="6"/>
  <c r="N28" i="2" s="1"/>
  <c r="I27" i="6"/>
  <c r="M28" i="2" s="1"/>
  <c r="G27" i="6"/>
  <c r="L28" i="2" s="1"/>
  <c r="E27" i="6"/>
  <c r="F28" i="2" s="1"/>
  <c r="C27" i="6"/>
  <c r="V21" i="2"/>
  <c r="V22" i="2"/>
  <c r="V23" i="2"/>
  <c r="V24" i="2"/>
  <c r="V25" i="2"/>
  <c r="V26" i="2"/>
  <c r="K26" i="6"/>
  <c r="N27" i="2" s="1"/>
  <c r="I26" i="6"/>
  <c r="M27" i="2" s="1"/>
  <c r="G26" i="6"/>
  <c r="L27" i="2" s="1"/>
  <c r="E26" i="6"/>
  <c r="F27" i="2" s="1"/>
  <c r="C26" i="6"/>
  <c r="I25" i="6"/>
  <c r="M26" i="2" s="1"/>
  <c r="E25" i="6"/>
  <c r="F26" i="2" s="1"/>
  <c r="C25" i="6"/>
  <c r="K24" i="6"/>
  <c r="N25" i="2" s="1"/>
  <c r="K25" i="6"/>
  <c r="N26" i="2" s="1"/>
  <c r="I24" i="6"/>
  <c r="M25" i="2" s="1"/>
  <c r="G24" i="6"/>
  <c r="L25" i="2" s="1"/>
  <c r="G25" i="6"/>
  <c r="L26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8" i="2"/>
  <c r="V19" i="2"/>
  <c r="K19" i="6"/>
  <c r="N20" i="2" s="1"/>
  <c r="I19" i="6"/>
  <c r="M20" i="2" s="1"/>
  <c r="G19" i="6"/>
  <c r="L20" i="2" s="1"/>
  <c r="E19" i="6"/>
  <c r="F20" i="2" s="1"/>
  <c r="C19" i="6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4" i="2"/>
  <c r="V15" i="2"/>
  <c r="V16" i="2"/>
  <c r="K16" i="6"/>
  <c r="N17" i="2" s="1"/>
  <c r="I16" i="6"/>
  <c r="M17" i="2" s="1"/>
  <c r="G16" i="6"/>
  <c r="L17" i="2" s="1"/>
  <c r="E16" i="6"/>
  <c r="F17" i="2" s="1"/>
  <c r="C16" i="6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V12" i="2"/>
  <c r="V13" i="2"/>
  <c r="K12" i="6"/>
  <c r="N13" i="2" s="1"/>
  <c r="K13" i="6"/>
  <c r="N14" i="2" s="1"/>
  <c r="I12" i="6"/>
  <c r="M13" i="2" s="1"/>
  <c r="I13" i="6"/>
  <c r="M14" i="2" s="1"/>
  <c r="G12" i="6"/>
  <c r="L13" i="2" s="1"/>
  <c r="G13" i="6"/>
  <c r="L14" i="2" s="1"/>
  <c r="E12" i="6"/>
  <c r="F13" i="2" s="1"/>
  <c r="E13" i="6"/>
  <c r="F14" i="2" s="1"/>
  <c r="C12" i="6"/>
  <c r="C13" i="6"/>
  <c r="P5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K11" i="6"/>
  <c r="N12" i="2" s="1"/>
  <c r="I11" i="6"/>
  <c r="M12" i="2" s="1"/>
  <c r="G11" i="6"/>
  <c r="L12" i="2" s="1"/>
  <c r="E11" i="6"/>
  <c r="F12" i="2" s="1"/>
  <c r="C11" i="6"/>
  <c r="V10" i="2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<sst xmlns="http://schemas.openxmlformats.org/spreadsheetml/2006/main" count="484" uniqueCount="187">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</sst>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  <c:pt idx="24">
                  <c:v>134.5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  <c:pt idx="24">
                  <c:v>5373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  <c:pt idx="24">
                  <c:v>10289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  <c:pt idx="24">
                  <c:v>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2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12.94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12.94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12.94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12.94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12.94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12.94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12.94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12.94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12.94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12.94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12.94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12.94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12.94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12.94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12.94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12.94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12.94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12.94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12.94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12.94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12.94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223.99447000000001</v>
      </c>
      <c r="H24" s="134">
        <v>12.94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1.05</v>
      </c>
      <c r="G25" s="134">
        <f>'Consommation mensuel énergie'!V33</f>
        <v>287.99288999999999</v>
      </c>
      <c r="H25" s="134">
        <v>12.94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124</v>
      </c>
      <c r="L25" s="137">
        <f>'Consommation mensuel énergie'!E33</f>
        <v>193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20367</v>
      </c>
      <c r="F26" s="134">
        <v>1.05</v>
      </c>
      <c r="G26" s="134">
        <f>'Consommation mensuel énergie'!V34</f>
        <v>0</v>
      </c>
      <c r="H26" s="134">
        <v>12.94</v>
      </c>
      <c r="I26" s="134">
        <f>'Consommation mensuel énergie'!F34</f>
        <v>134.5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12.94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12.94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12.94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12.94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12.94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12.94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124</v>
      </c>
      <c r="I25" s="137">
        <f>'Consommation mensuel énergie'!E33</f>
        <v>193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5373</v>
      </c>
      <c r="F26" s="137">
        <f>'Consommation mensuel énergie'!M34</f>
        <v>10289</v>
      </c>
      <c r="G26" s="137">
        <f>'Consommation mensuel énergie'!N34</f>
        <v>4705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G38" activePane="bottomRight" state="frozen"/>
      <selection pane="bottomRight" activeCell="E34" sqref="E3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V10*12.94</f>
        <v>2070.3488870000001</v>
      </c>
    </row>
    <row r="11" spans="1:24" ht="32.25" customHeight="1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V11*12.94</f>
        <v>1656.2791096000001</v>
      </c>
    </row>
    <row r="12" spans="1:24" ht="32.25" customHeight="1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1656.2791096000001</v>
      </c>
    </row>
    <row r="13" spans="1:24" ht="32.25" customHeight="1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2903.9676260000001</v>
      </c>
    </row>
    <row r="14" spans="1:24" ht="32.25" customHeight="1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3726.6279965999997</v>
      </c>
    </row>
    <row r="15" spans="1:24" ht="32.25" customHeight="1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2070.3488870000001</v>
      </c>
    </row>
    <row r="16" spans="1:24" ht="32.25" customHeight="1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3726.6279965999997</v>
      </c>
    </row>
    <row r="17" spans="1:24" s="5" customFormat="1" ht="32.25" customHeight="1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1656.2791096000001</v>
      </c>
    </row>
    <row r="18" spans="1:24" ht="32.25" customHeight="1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2484.4186644000001</v>
      </c>
    </row>
    <row r="19" spans="1:24" ht="32.25" customHeight="1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8">
        <f t="shared" si="0"/>
        <v>1479.3569999998974</v>
      </c>
      <c r="I19" s="169"/>
      <c r="J19" s="169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2"/>
        <v>20345</v>
      </c>
      <c r="P19" s="12"/>
      <c r="Q19" s="34">
        <f t="shared" si="3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1242.2093322000001</v>
      </c>
    </row>
    <row r="20" spans="1:24" ht="32.25" customHeight="1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8">
        <f t="shared" si="0"/>
        <v>1781.7330000001023</v>
      </c>
      <c r="I20" s="169"/>
      <c r="J20" s="169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2"/>
        <v>20262</v>
      </c>
      <c r="P20" s="12"/>
      <c r="Q20" s="34">
        <f t="shared" si="3"/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2070.3488870000001</v>
      </c>
    </row>
    <row r="21" spans="1:24" ht="32.25" customHeight="1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8">
        <f t="shared" si="0"/>
        <v>1730.7509999999486</v>
      </c>
      <c r="I21" s="169"/>
      <c r="J21" s="169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3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1"/>
        <v>4554.7675514000002</v>
      </c>
    </row>
    <row r="22" spans="1:24" ht="32.25" customHeight="1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8">
        <f t="shared" ref="H22:H35" si="4">F22*8.79</f>
        <v>1409.9159999999488</v>
      </c>
      <c r="I22" s="169"/>
      <c r="J22" s="169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2"/>
        <v>21945</v>
      </c>
      <c r="P22" s="12"/>
      <c r="Q22" s="34">
        <f t="shared" si="3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1242.2093322000001</v>
      </c>
    </row>
    <row r="23" spans="1:24" ht="32.25" customHeight="1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8">
        <f t="shared" si="4"/>
        <v>1748.3309999999487</v>
      </c>
      <c r="I23" s="169"/>
      <c r="J23" s="169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828.13955480000004</v>
      </c>
    </row>
    <row r="24" spans="1:24" ht="32.25" customHeight="1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8">
        <f t="shared" si="4"/>
        <v>1343.9910000002046</v>
      </c>
      <c r="I24" s="169"/>
      <c r="J24" s="169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2070.3488870000001</v>
      </c>
    </row>
    <row r="25" spans="1:24" ht="32.25" customHeight="1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8">
        <f t="shared" si="4"/>
        <v>1456.5029999998465</v>
      </c>
      <c r="I25" s="169"/>
      <c r="J25" s="169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1"/>
        <v>4968.8373288000003</v>
      </c>
    </row>
    <row r="26" spans="1:24" ht="32.25" customHeight="1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8">
        <f t="shared" si="4"/>
        <v>1409.9159999999488</v>
      </c>
      <c r="I26" s="169"/>
      <c r="J26" s="169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1"/>
        <v>1242.2093322000001</v>
      </c>
    </row>
    <row r="27" spans="1:24" ht="32.25" customHeight="1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8">
        <f t="shared" si="4"/>
        <v>1464.4140000000509</v>
      </c>
      <c r="I27" s="169"/>
      <c r="J27" s="169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2"/>
        <v>18840</v>
      </c>
      <c r="P27" s="14"/>
      <c r="Q27" s="34">
        <f t="shared" si="3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1"/>
        <v>3726.6279965999997</v>
      </c>
    </row>
    <row r="28" spans="1:24" ht="32.25" customHeight="1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8">
        <f t="shared" si="4"/>
        <v>1334.3220000001534</v>
      </c>
      <c r="I28" s="169"/>
      <c r="J28" s="169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2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3726.6279965999997</v>
      </c>
    </row>
    <row r="29" spans="1:24" ht="32.25" customHeight="1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8">
        <f t="shared" si="4"/>
        <v>1441.56</v>
      </c>
      <c r="I29" s="169"/>
      <c r="J29" s="169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3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2898.4884418000001</v>
      </c>
    </row>
    <row r="30" spans="1:24" ht="32.25" customHeight="1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8">
        <f t="shared" si="4"/>
        <v>1655.1569999998976</v>
      </c>
      <c r="I30" s="169"/>
      <c r="J30" s="169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2898.4884418000001</v>
      </c>
    </row>
    <row r="31" spans="1:24" ht="27.75" customHeight="1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8">
        <f t="shared" si="4"/>
        <v>1513.6380000001022</v>
      </c>
      <c r="I31" s="169"/>
      <c r="J31" s="169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2484.4186644000001</v>
      </c>
    </row>
    <row r="32" spans="1:24" ht="37.5" customHeight="1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68">
        <f t="shared" si="4"/>
        <v>1410.7949999999998</v>
      </c>
      <c r="I32" s="169"/>
      <c r="J32" s="169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2"/>
        <v>20840</v>
      </c>
      <c r="P32" s="11"/>
      <c r="Q32" s="34">
        <f t="shared" si="3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2898.4884418000001</v>
      </c>
    </row>
    <row r="33" spans="1:24" ht="37.5" customHeight="1">
      <c r="A33" s="2"/>
      <c r="B33" s="6">
        <v>44797</v>
      </c>
      <c r="C33" s="7"/>
      <c r="D33" s="143">
        <v>124</v>
      </c>
      <c r="E33" s="143">
        <v>193</v>
      </c>
      <c r="F33" s="13">
        <f>'Suivi EAU-ELEC'!E32</f>
        <v>152.79999999998836</v>
      </c>
      <c r="G33" s="11"/>
      <c r="H33" s="168">
        <f t="shared" si="4"/>
        <v>1343.1119999998975</v>
      </c>
      <c r="I33" s="169"/>
      <c r="J33" s="169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2"/>
        <v>21054</v>
      </c>
      <c r="P33" s="11"/>
      <c r="Q33" s="34">
        <f t="shared" si="3"/>
        <v>20403.545900000001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3726.6279965999997</v>
      </c>
    </row>
    <row r="34" spans="1:24" ht="37.5" customHeight="1">
      <c r="A34" s="2"/>
      <c r="B34" s="6">
        <v>44798</v>
      </c>
      <c r="C34" s="7"/>
      <c r="D34" s="143"/>
      <c r="E34" s="143"/>
      <c r="F34" s="13">
        <f>'Suivi EAU-ELEC'!E33</f>
        <v>134.5</v>
      </c>
      <c r="G34" s="11"/>
      <c r="H34" s="168">
        <f t="shared" si="4"/>
        <v>1182.2549999999999</v>
      </c>
      <c r="I34" s="169"/>
      <c r="J34" s="169"/>
      <c r="K34" s="60">
        <v>42302</v>
      </c>
      <c r="L34" s="90">
        <f>'Suivi EAU-ELEC'!G33</f>
        <v>5373</v>
      </c>
      <c r="M34" s="91">
        <f>'Suivi EAU-ELEC'!I33</f>
        <v>10289</v>
      </c>
      <c r="N34" s="91">
        <f>'Suivi EAU-ELEC'!K33</f>
        <v>4705</v>
      </c>
      <c r="O34" s="91">
        <f t="shared" si="2"/>
        <v>20367</v>
      </c>
      <c r="P34" s="11"/>
      <c r="Q34" s="34">
        <f t="shared" si="3"/>
        <v>19801.527099999999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44799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3632</v>
      </c>
      <c r="E41" s="8">
        <f>SUM(E10:E40)</f>
        <v>6696</v>
      </c>
      <c r="F41" s="152">
        <f>SUM(F10:F40)</f>
        <v>4293</v>
      </c>
      <c r="G41" s="1"/>
      <c r="H41" s="249">
        <f>SUM(H10:H40)</f>
        <v>37735.47</v>
      </c>
      <c r="I41" s="250"/>
      <c r="J41" s="251"/>
      <c r="K41" s="1"/>
      <c r="L41" s="53">
        <f>SUM(L10:L40)</f>
        <v>138938</v>
      </c>
      <c r="M41" s="53">
        <f>SUM(M10:M40)</f>
        <v>266539</v>
      </c>
      <c r="N41" s="54">
        <f>SUM(N10:N40)</f>
        <v>112952</v>
      </c>
      <c r="O41" s="55">
        <f>SUM(O10:O40)</f>
        <v>518429</v>
      </c>
      <c r="P41" s="31"/>
      <c r="Q41" s="34">
        <f t="shared" ref="Q40:Q41" si="8">L41*0.6985+M41*0.9514+N41*1.3304</f>
        <v>500904.73840000003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4832.3041399999984</v>
      </c>
      <c r="W41" s="31"/>
      <c r="X41" s="32">
        <f>SUM(X10:X40)</f>
        <v>62530.015571600001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138938</v>
      </c>
      <c r="J44" s="210"/>
      <c r="K44" s="211"/>
      <c r="L44" s="170">
        <f>I44*H44</f>
        <v>97048.192999999999</v>
      </c>
      <c r="M44" s="171"/>
      <c r="N44" s="227">
        <f>L44+L45+L46</f>
        <v>500904.73840000003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266539</v>
      </c>
      <c r="J45" s="210"/>
      <c r="K45" s="211"/>
      <c r="L45" s="170">
        <f>I45*H45</f>
        <v>253585.2046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112952</v>
      </c>
      <c r="J46" s="241"/>
      <c r="K46" s="242"/>
      <c r="L46" s="170">
        <f>I46*H46</f>
        <v>150271.34080000001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651176.15992000001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4293</v>
      </c>
      <c r="J48" s="202"/>
      <c r="K48" s="203"/>
      <c r="L48" s="207">
        <f>I48*H48</f>
        <v>37735.469999999994</v>
      </c>
      <c r="M48" s="208"/>
      <c r="N48" s="224">
        <f>L48</f>
        <v>37735.469999999994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12.94</v>
      </c>
      <c r="I49" s="199">
        <f>V41</f>
        <v>4832.3041399999984</v>
      </c>
      <c r="J49" s="239"/>
      <c r="K49" s="200"/>
      <c r="L49" s="199">
        <f>I49*H49</f>
        <v>62530.015571599979</v>
      </c>
      <c r="M49" s="200"/>
      <c r="N49" s="221">
        <f>L49</f>
        <v>62530.015571599979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8" activePane="bottomRight" state="frozen"/>
      <selection pane="bottomRight" activeCell="B33" sqref="B33:K3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>
      <c r="A12" s="59">
        <v>44777</v>
      </c>
      <c r="B12" s="116">
        <v>2560</v>
      </c>
      <c r="C12" s="115">
        <f t="shared" ref="C12:C30" si="0">B12-B11</f>
        <v>0</v>
      </c>
      <c r="D12" s="57">
        <v>159087</v>
      </c>
      <c r="E12" s="50">
        <f t="shared" ref="E12:E33" si="1">D12-D11</f>
        <v>155</v>
      </c>
      <c r="F12" s="51">
        <v>12166599</v>
      </c>
      <c r="G12" s="50">
        <f t="shared" ref="G12:H33" si="2">F12-F11</f>
        <v>6251</v>
      </c>
      <c r="H12" s="51">
        <v>20784020</v>
      </c>
      <c r="I12" s="50">
        <f t="shared" ref="I12:I33" si="3">H12-H11</f>
        <v>11848</v>
      </c>
      <c r="J12" s="51">
        <v>9097096</v>
      </c>
      <c r="K12" s="50">
        <f t="shared" ref="K12:K33" si="4">J12-J11</f>
        <v>4497</v>
      </c>
    </row>
    <row r="13" spans="1:12" ht="19.5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>
      <c r="A18" s="59">
        <v>44783</v>
      </c>
      <c r="B18" s="116">
        <v>2560</v>
      </c>
      <c r="C18" s="115">
        <f t="shared" si="0"/>
        <v>0</v>
      </c>
      <c r="D18" s="57">
        <v>160183.4</v>
      </c>
      <c r="E18" s="50">
        <f t="shared" si="1"/>
        <v>168.29999999998836</v>
      </c>
      <c r="F18" s="51">
        <v>12196798</v>
      </c>
      <c r="G18" s="50">
        <f t="shared" si="2"/>
        <v>5602</v>
      </c>
      <c r="H18" s="51">
        <v>20848484</v>
      </c>
      <c r="I18" s="50">
        <f t="shared" si="3"/>
        <v>10234</v>
      </c>
      <c r="J18" s="51">
        <v>9124769</v>
      </c>
      <c r="K18" s="50">
        <f t="shared" si="4"/>
        <v>4509</v>
      </c>
    </row>
    <row r="19" spans="1:29" ht="19.5">
      <c r="A19" s="59">
        <v>44784</v>
      </c>
      <c r="B19" s="116">
        <v>2560</v>
      </c>
      <c r="C19" s="115">
        <f t="shared" si="0"/>
        <v>0</v>
      </c>
      <c r="D19" s="57">
        <v>160386.1</v>
      </c>
      <c r="E19" s="50">
        <f t="shared" si="1"/>
        <v>202.70000000001164</v>
      </c>
      <c r="F19" s="51">
        <v>12202500</v>
      </c>
      <c r="G19" s="50">
        <f t="shared" si="2"/>
        <v>5702</v>
      </c>
      <c r="H19" s="51">
        <v>20858740</v>
      </c>
      <c r="I19" s="50">
        <f t="shared" si="3"/>
        <v>10256</v>
      </c>
      <c r="J19" s="51">
        <v>9129073</v>
      </c>
      <c r="K19" s="50">
        <f t="shared" si="4"/>
        <v>4304</v>
      </c>
    </row>
    <row r="20" spans="1:29" ht="25.5">
      <c r="A20" s="59">
        <v>44785</v>
      </c>
      <c r="B20" s="116">
        <v>2560</v>
      </c>
      <c r="C20" s="115">
        <f t="shared" si="0"/>
        <v>0</v>
      </c>
      <c r="D20" s="57">
        <v>160583</v>
      </c>
      <c r="E20" s="50">
        <f t="shared" si="1"/>
        <v>196.89999999999418</v>
      </c>
      <c r="F20" s="51">
        <v>12208263</v>
      </c>
      <c r="G20" s="50">
        <f t="shared" si="2"/>
        <v>5763</v>
      </c>
      <c r="H20" s="51">
        <v>20868619</v>
      </c>
      <c r="I20" s="50">
        <f t="shared" si="3"/>
        <v>9879</v>
      </c>
      <c r="J20" s="51">
        <v>9133451</v>
      </c>
      <c r="K20" s="50">
        <f t="shared" si="4"/>
        <v>4378</v>
      </c>
      <c r="L20" s="117" t="s">
        <v>18</v>
      </c>
      <c r="AC20" t="s">
        <v>56</v>
      </c>
    </row>
    <row r="21" spans="1:29" ht="19.5">
      <c r="A21" s="59">
        <v>44786</v>
      </c>
      <c r="B21" s="116">
        <v>2560</v>
      </c>
      <c r="C21" s="115">
        <f t="shared" si="0"/>
        <v>0</v>
      </c>
      <c r="D21" s="57">
        <v>160743.4</v>
      </c>
      <c r="E21" s="50">
        <f t="shared" si="1"/>
        <v>160.39999999999418</v>
      </c>
      <c r="F21" s="51">
        <v>12214990</v>
      </c>
      <c r="G21" s="50">
        <f t="shared" si="2"/>
        <v>6727</v>
      </c>
      <c r="H21" s="51">
        <v>20879177</v>
      </c>
      <c r="I21" s="50">
        <f t="shared" si="3"/>
        <v>10558</v>
      </c>
      <c r="J21" s="51">
        <v>9138111</v>
      </c>
      <c r="K21" s="50">
        <f t="shared" si="4"/>
        <v>4660</v>
      </c>
    </row>
    <row r="22" spans="1:29" ht="19.5">
      <c r="A22" s="59">
        <v>44787</v>
      </c>
      <c r="B22" s="116">
        <v>2560</v>
      </c>
      <c r="C22" s="115">
        <f t="shared" si="0"/>
        <v>0</v>
      </c>
      <c r="D22" s="57">
        <v>160942.29999999999</v>
      </c>
      <c r="E22" s="50">
        <f t="shared" si="1"/>
        <v>198.89999999999418</v>
      </c>
      <c r="F22" s="51">
        <v>12221208</v>
      </c>
      <c r="G22" s="50">
        <f t="shared" si="2"/>
        <v>6218</v>
      </c>
      <c r="H22" s="51">
        <v>20889418</v>
      </c>
      <c r="I22" s="50">
        <f t="shared" si="3"/>
        <v>10241</v>
      </c>
      <c r="J22" s="51">
        <v>9142490</v>
      </c>
      <c r="K22" s="50">
        <f t="shared" si="4"/>
        <v>4379</v>
      </c>
    </row>
    <row r="23" spans="1:29" ht="19.5">
      <c r="A23" s="59">
        <v>44788</v>
      </c>
      <c r="B23" s="116">
        <v>2560</v>
      </c>
      <c r="C23" s="115">
        <f t="shared" si="0"/>
        <v>0</v>
      </c>
      <c r="D23" s="57">
        <v>161095.20000000001</v>
      </c>
      <c r="E23" s="50">
        <f t="shared" si="1"/>
        <v>152.90000000002328</v>
      </c>
      <c r="F23" s="51">
        <v>12226766</v>
      </c>
      <c r="G23" s="50">
        <f t="shared" si="2"/>
        <v>5558</v>
      </c>
      <c r="H23" s="51">
        <v>20899869</v>
      </c>
      <c r="I23" s="50">
        <f t="shared" si="3"/>
        <v>10451</v>
      </c>
      <c r="J23" s="51">
        <v>9146711</v>
      </c>
      <c r="K23" s="50">
        <f t="shared" si="4"/>
        <v>4221</v>
      </c>
    </row>
    <row r="24" spans="1:29" ht="19.5">
      <c r="A24" s="59">
        <v>44789</v>
      </c>
      <c r="B24" s="116">
        <v>2560</v>
      </c>
      <c r="C24" s="115">
        <f t="shared" si="0"/>
        <v>0</v>
      </c>
      <c r="D24" s="57">
        <v>161260.9</v>
      </c>
      <c r="E24" s="50">
        <f t="shared" si="1"/>
        <v>165.69999999998254</v>
      </c>
      <c r="F24" s="51">
        <v>12232471</v>
      </c>
      <c r="G24" s="50">
        <f t="shared" si="2"/>
        <v>5705</v>
      </c>
      <c r="H24" s="51">
        <v>20909961</v>
      </c>
      <c r="I24" s="50">
        <f t="shared" si="3"/>
        <v>10092</v>
      </c>
      <c r="J24" s="51">
        <v>9151133</v>
      </c>
      <c r="K24" s="50">
        <f t="shared" si="4"/>
        <v>4422</v>
      </c>
    </row>
    <row r="25" spans="1:29" ht="19.5">
      <c r="A25" s="59">
        <v>44790</v>
      </c>
      <c r="B25" s="116">
        <v>2560</v>
      </c>
      <c r="C25" s="115">
        <f t="shared" si="0"/>
        <v>0</v>
      </c>
      <c r="D25" s="57">
        <v>161421.29999999999</v>
      </c>
      <c r="E25" s="50">
        <f t="shared" si="1"/>
        <v>160.39999999999418</v>
      </c>
      <c r="F25" s="51">
        <v>12237864</v>
      </c>
      <c r="G25" s="50">
        <f t="shared" si="2"/>
        <v>5393</v>
      </c>
      <c r="H25" s="51">
        <v>20920243</v>
      </c>
      <c r="I25" s="50">
        <f t="shared" si="3"/>
        <v>10282</v>
      </c>
      <c r="J25" s="51">
        <v>9155509</v>
      </c>
      <c r="K25" s="50">
        <f t="shared" si="4"/>
        <v>4376</v>
      </c>
    </row>
    <row r="26" spans="1:29" ht="19.5">
      <c r="A26" s="59">
        <v>44791</v>
      </c>
      <c r="B26" s="116">
        <v>2560</v>
      </c>
      <c r="C26" s="115">
        <f t="shared" si="0"/>
        <v>0</v>
      </c>
      <c r="D26" s="57">
        <v>161587.9</v>
      </c>
      <c r="E26" s="50">
        <f t="shared" si="1"/>
        <v>166.60000000000582</v>
      </c>
      <c r="F26" s="51">
        <v>12242456</v>
      </c>
      <c r="G26" s="50">
        <f t="shared" si="2"/>
        <v>4592</v>
      </c>
      <c r="H26" s="51">
        <v>20930579</v>
      </c>
      <c r="I26" s="50">
        <f t="shared" si="3"/>
        <v>10336</v>
      </c>
      <c r="J26" s="51">
        <v>9159421</v>
      </c>
      <c r="K26" s="50">
        <f t="shared" si="4"/>
        <v>3912</v>
      </c>
    </row>
    <row r="27" spans="1:29" ht="19.5">
      <c r="A27" s="59">
        <v>44792</v>
      </c>
      <c r="B27" s="116">
        <v>2560</v>
      </c>
      <c r="C27" s="115">
        <f t="shared" si="0"/>
        <v>0</v>
      </c>
      <c r="D27" s="57">
        <v>161739.70000000001</v>
      </c>
      <c r="E27" s="50">
        <f t="shared" si="1"/>
        <v>151.80000000001746</v>
      </c>
      <c r="F27" s="51">
        <v>12247451</v>
      </c>
      <c r="G27" s="50">
        <f t="shared" si="2"/>
        <v>4995</v>
      </c>
      <c r="H27" s="51">
        <v>20939360</v>
      </c>
      <c r="I27" s="50">
        <f t="shared" si="3"/>
        <v>8781</v>
      </c>
      <c r="J27" s="51">
        <v>9163313</v>
      </c>
      <c r="K27" s="50">
        <f t="shared" si="4"/>
        <v>3892</v>
      </c>
    </row>
    <row r="28" spans="1:29" ht="19.5">
      <c r="A28" s="59">
        <v>44793</v>
      </c>
      <c r="B28" s="116">
        <v>2560</v>
      </c>
      <c r="C28" s="115">
        <f t="shared" si="0"/>
        <v>0</v>
      </c>
      <c r="D28" s="57">
        <v>161903.70000000001</v>
      </c>
      <c r="E28" s="50">
        <f t="shared" si="1"/>
        <v>164</v>
      </c>
      <c r="F28" s="51">
        <v>12252704</v>
      </c>
      <c r="G28" s="50">
        <f t="shared" si="2"/>
        <v>5253</v>
      </c>
      <c r="H28" s="51">
        <v>20948799</v>
      </c>
      <c r="I28" s="50">
        <f t="shared" si="3"/>
        <v>9439</v>
      </c>
      <c r="J28" s="51">
        <v>9167462</v>
      </c>
      <c r="K28" s="50">
        <f t="shared" si="4"/>
        <v>4149</v>
      </c>
    </row>
    <row r="29" spans="1:29" ht="19.5">
      <c r="A29" s="59">
        <v>44794</v>
      </c>
      <c r="B29" s="116">
        <v>2560</v>
      </c>
      <c r="C29" s="115">
        <f t="shared" si="0"/>
        <v>0</v>
      </c>
      <c r="D29" s="57">
        <v>162092</v>
      </c>
      <c r="E29" s="50">
        <f t="shared" si="1"/>
        <v>188.29999999998836</v>
      </c>
      <c r="F29" s="51">
        <v>12259991</v>
      </c>
      <c r="G29" s="50">
        <f t="shared" si="2"/>
        <v>7287</v>
      </c>
      <c r="H29" s="51">
        <v>20960792</v>
      </c>
      <c r="I29" s="50">
        <f t="shared" si="3"/>
        <v>11993</v>
      </c>
      <c r="J29" s="51">
        <v>9172842</v>
      </c>
      <c r="K29" s="50">
        <f t="shared" si="4"/>
        <v>5380</v>
      </c>
    </row>
    <row r="30" spans="1:29" ht="19.5">
      <c r="A30" s="59">
        <v>44795</v>
      </c>
      <c r="B30" s="116">
        <v>2560</v>
      </c>
      <c r="C30" s="115">
        <f t="shared" si="0"/>
        <v>0</v>
      </c>
      <c r="D30" s="57">
        <v>162264.20000000001</v>
      </c>
      <c r="E30" s="50">
        <f t="shared" si="1"/>
        <v>172.20000000001164</v>
      </c>
      <c r="F30" s="51">
        <v>12267185</v>
      </c>
      <c r="G30" s="50">
        <f t="shared" si="2"/>
        <v>7194</v>
      </c>
      <c r="H30" s="51">
        <v>20971508</v>
      </c>
      <c r="I30" s="50">
        <f t="shared" si="3"/>
        <v>10716</v>
      </c>
      <c r="J30" s="51">
        <v>9177596</v>
      </c>
      <c r="K30" s="50">
        <f t="shared" si="4"/>
        <v>4754</v>
      </c>
    </row>
    <row r="31" spans="1:29" ht="19.5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1"/>
        <v>160.5</v>
      </c>
      <c r="F31" s="51">
        <v>12272744</v>
      </c>
      <c r="G31" s="50">
        <f t="shared" si="2"/>
        <v>5559</v>
      </c>
      <c r="H31" s="51">
        <v>20982257</v>
      </c>
      <c r="I31" s="50">
        <f t="shared" si="3"/>
        <v>10749</v>
      </c>
      <c r="J31" s="51">
        <v>9182128</v>
      </c>
      <c r="K31" s="50">
        <f t="shared" si="4"/>
        <v>4532</v>
      </c>
    </row>
    <row r="32" spans="1:29" ht="19.5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1"/>
        <v>152.79999999998836</v>
      </c>
      <c r="F32" s="51">
        <v>12278327</v>
      </c>
      <c r="G32" s="50">
        <f t="shared" si="2"/>
        <v>5583</v>
      </c>
      <c r="H32" s="51">
        <v>20993019</v>
      </c>
      <c r="I32" s="50">
        <f t="shared" si="3"/>
        <v>10762</v>
      </c>
      <c r="J32" s="51">
        <v>9186837</v>
      </c>
      <c r="K32" s="50">
        <f t="shared" si="4"/>
        <v>4709</v>
      </c>
    </row>
    <row r="33" spans="1:11" ht="19.5">
      <c r="A33" s="59">
        <v>44798</v>
      </c>
      <c r="B33" s="116">
        <v>2560</v>
      </c>
      <c r="C33" s="115">
        <f>B33-B32</f>
        <v>0</v>
      </c>
      <c r="D33" s="57">
        <v>162712</v>
      </c>
      <c r="E33" s="50">
        <f t="shared" si="1"/>
        <v>134.5</v>
      </c>
      <c r="F33" s="51">
        <v>12283700</v>
      </c>
      <c r="G33" s="50">
        <f t="shared" si="2"/>
        <v>5373</v>
      </c>
      <c r="H33" s="51">
        <v>21003308</v>
      </c>
      <c r="I33" s="50">
        <f t="shared" si="3"/>
        <v>10289</v>
      </c>
      <c r="J33" s="51">
        <v>9191542</v>
      </c>
      <c r="K33" s="50">
        <f t="shared" si="4"/>
        <v>4705</v>
      </c>
    </row>
    <row r="34" spans="1:11" ht="19.5">
      <c r="A34" s="59">
        <v>44799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34:E40">
    <cfRule type="cellIs" dxfId="3" priority="10" stopIfTrue="1" operator="lessThanOrEqual">
      <formula>0</formula>
    </cfRule>
  </conditionalFormatting>
  <conditionalFormatting sqref="E34:E40">
    <cfRule type="cellIs" dxfId="2" priority="9" stopIfTrue="1" operator="lessThanOrEqual">
      <formula>0</formula>
    </cfRule>
  </conditionalFormatting>
  <conditionalFormatting sqref="E9:E33">
    <cfRule type="cellIs" dxfId="1" priority="8" stopIfTrue="1" operator="lessThanOrEqual">
      <formula>0</formula>
    </cfRule>
  </conditionalFormatting>
  <conditionalFormatting sqref="E9:E33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6" activePane="bottomRight" state="frozen"/>
      <selection pane="bottomRight" activeCell="B28" sqref="B28:H2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O4*12.94</f>
        <v>2070.3488870000001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2</v>
      </c>
      <c r="F5" s="41">
        <v>71</v>
      </c>
      <c r="G5" s="39">
        <f t="shared" ref="G4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1656.2791096000001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2903.9676260000001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3726.6279965999997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2070.3488870000001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3726.6279965999997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1656.2791096000001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1.5</v>
      </c>
      <c r="M12" s="149">
        <f t="shared" si="17"/>
        <v>24196</v>
      </c>
      <c r="N12" s="39">
        <f t="shared" si="15"/>
        <v>362.94</v>
      </c>
      <c r="O12" s="39">
        <f t="shared" si="16"/>
        <v>191.99526</v>
      </c>
      <c r="P12" s="42">
        <f t="shared" si="10"/>
        <v>2484.4186644000001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1"/>
        <v>0</v>
      </c>
      <c r="J13" s="39">
        <f t="shared" si="12"/>
        <v>233</v>
      </c>
      <c r="K13" s="39">
        <f t="shared" si="13"/>
        <v>58.25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1242.2093322000001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2070.3488870000001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2"/>
        <v>335</v>
      </c>
      <c r="K15" s="39">
        <f t="shared" si="13"/>
        <v>83.75</v>
      </c>
      <c r="L15" s="39">
        <f t="shared" si="14"/>
        <v>2.75</v>
      </c>
      <c r="M15" s="149">
        <f t="shared" si="17"/>
        <v>24196</v>
      </c>
      <c r="N15" s="39">
        <f t="shared" si="15"/>
        <v>665.39</v>
      </c>
      <c r="O15" s="39">
        <f t="shared" si="16"/>
        <v>351.99131</v>
      </c>
      <c r="P15" s="42">
        <f t="shared" si="10"/>
        <v>4554.7675514000002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1"/>
        <v>1</v>
      </c>
      <c r="J16" s="39">
        <f t="shared" si="12"/>
        <v>324</v>
      </c>
      <c r="K16" s="39">
        <f t="shared" si="13"/>
        <v>81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1242.2093322000001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1"/>
        <v>1</v>
      </c>
      <c r="J17" s="39">
        <f t="shared" si="12"/>
        <v>321</v>
      </c>
      <c r="K17" s="39">
        <f t="shared" si="13"/>
        <v>80.25</v>
      </c>
      <c r="L17" s="39">
        <f t="shared" si="14"/>
        <v>0.5</v>
      </c>
      <c r="M17" s="149">
        <f t="shared" si="17"/>
        <v>24196</v>
      </c>
      <c r="N17" s="39">
        <f t="shared" si="15"/>
        <v>120.98</v>
      </c>
      <c r="O17" s="39">
        <f t="shared" si="16"/>
        <v>63.998420000000003</v>
      </c>
      <c r="P17" s="42">
        <f t="shared" si="10"/>
        <v>828.13955480000004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2070.3488870000001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1"/>
        <v>2</v>
      </c>
      <c r="J19" s="39">
        <f t="shared" si="12"/>
        <v>314</v>
      </c>
      <c r="K19" s="39">
        <f t="shared" si="13"/>
        <v>78.5</v>
      </c>
      <c r="L19" s="39">
        <f t="shared" si="14"/>
        <v>3</v>
      </c>
      <c r="M19" s="149">
        <f t="shared" si="17"/>
        <v>24196</v>
      </c>
      <c r="N19" s="39">
        <f t="shared" si="15"/>
        <v>725.88</v>
      </c>
      <c r="O19" s="39">
        <f t="shared" si="16"/>
        <v>383.99052</v>
      </c>
      <c r="P19" s="42">
        <f t="shared" si="10"/>
        <v>4968.8373288000003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1"/>
        <v>0</v>
      </c>
      <c r="J20" s="39">
        <f t="shared" si="12"/>
        <v>302</v>
      </c>
      <c r="K20" s="39">
        <f t="shared" si="13"/>
        <v>75.5</v>
      </c>
      <c r="L20" s="39">
        <f t="shared" ref="L20:L42" si="18">IF(AC20&gt;0,((K20-AD20)+(AE20-K21)),IF(K21=0, ,(K20-K21)))</f>
        <v>0.75</v>
      </c>
      <c r="M20" s="149">
        <f t="shared" si="17"/>
        <v>24196</v>
      </c>
      <c r="N20" s="39">
        <f t="shared" si="15"/>
        <v>181.47</v>
      </c>
      <c r="O20" s="39">
        <f t="shared" si="16"/>
        <v>95.997630000000001</v>
      </c>
      <c r="P20" s="42">
        <f t="shared" si="10"/>
        <v>1242.2093322000001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1"/>
        <v>2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2.25</v>
      </c>
      <c r="M21" s="149">
        <f t="shared" si="17"/>
        <v>24196</v>
      </c>
      <c r="N21" s="39">
        <f t="shared" si="15"/>
        <v>544.41</v>
      </c>
      <c r="O21" s="39">
        <f t="shared" si="16"/>
        <v>287.99288999999999</v>
      </c>
      <c r="P21" s="42">
        <f t="shared" si="10"/>
        <v>3726.6279965999997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1"/>
        <v>4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3726.6279965999997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1"/>
        <v>1</v>
      </c>
      <c r="J23" s="39">
        <f t="shared" si="12"/>
        <v>281</v>
      </c>
      <c r="K23" s="39">
        <f t="shared" si="13"/>
        <v>70.25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2898.4884418000001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1"/>
        <v>2</v>
      </c>
      <c r="J24" s="39">
        <f t="shared" si="12"/>
        <v>274</v>
      </c>
      <c r="K24" s="39">
        <f t="shared" si="13"/>
        <v>68.5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2898.4884418000001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1"/>
        <v>1</v>
      </c>
      <c r="J25" s="39">
        <f t="shared" si="12"/>
        <v>267</v>
      </c>
      <c r="K25" s="39">
        <f t="shared" si="13"/>
        <v>66.75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2484.4186644000001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1"/>
        <v>1</v>
      </c>
      <c r="J26" s="39">
        <f t="shared" si="12"/>
        <v>261</v>
      </c>
      <c r="K26" s="39">
        <f t="shared" si="13"/>
        <v>65.25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2898.4884418000001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>
        <v>63</v>
      </c>
      <c r="C27" s="39">
        <f t="shared" ref="C27" si="21">IF(AC27&gt;0,((B27-R27)+(S27-B28)),IF(B28=0, ,(B27-B28)))</f>
        <v>3</v>
      </c>
      <c r="D27" s="41">
        <v>62</v>
      </c>
      <c r="E27" s="39">
        <f t="shared" ref="E27" si="22">IF(AC27&gt;0,((D27-U27)+(V27-D28)),IF(D28=0, ,(D27-D28)))</f>
        <v>2</v>
      </c>
      <c r="F27" s="41">
        <v>64</v>
      </c>
      <c r="G27" s="39">
        <f t="shared" ref="G27" si="23">IF(AC27&gt;0,((F27-X27)+(Y27-F28)),IF(F28=0, ,(F27-F28)))</f>
        <v>3</v>
      </c>
      <c r="H27" s="41">
        <v>65</v>
      </c>
      <c r="I27" s="39">
        <f t="shared" si="11"/>
        <v>1</v>
      </c>
      <c r="J27" s="39">
        <f t="shared" si="12"/>
        <v>254</v>
      </c>
      <c r="K27" s="39">
        <f t="shared" si="13"/>
        <v>63.5</v>
      </c>
      <c r="L27" s="39">
        <f t="shared" si="18"/>
        <v>2.25</v>
      </c>
      <c r="M27" s="149">
        <f t="shared" si="17"/>
        <v>24196</v>
      </c>
      <c r="N27" s="39">
        <f t="shared" si="15"/>
        <v>544.41</v>
      </c>
      <c r="O27" s="39">
        <f t="shared" si="16"/>
        <v>287.99288999999999</v>
      </c>
      <c r="P27" s="42">
        <f t="shared" si="10"/>
        <v>3726.6279965999997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>
        <v>60</v>
      </c>
      <c r="C28" s="39">
        <f t="shared" si="7"/>
        <v>0</v>
      </c>
      <c r="D28" s="41">
        <v>60</v>
      </c>
      <c r="E28" s="39">
        <f t="shared" si="8"/>
        <v>0</v>
      </c>
      <c r="F28" s="41">
        <v>61</v>
      </c>
      <c r="G28" s="39">
        <f t="shared" si="9"/>
        <v>0</v>
      </c>
      <c r="H28" s="41">
        <v>64</v>
      </c>
      <c r="I28" s="39">
        <f>IF(AC28&gt;0,((H28-AA28)+(AB28-H29)),IF(H29=0, ,(H28-H29)))</f>
        <v>0</v>
      </c>
      <c r="J28" s="39">
        <f t="shared" si="12"/>
        <v>245</v>
      </c>
      <c r="K28" s="39">
        <f t="shared" si="13"/>
        <v>61.25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9133.99</v>
      </c>
      <c r="O43" s="39">
        <f>N43*0.529</f>
        <v>4831.8807100000004</v>
      </c>
      <c r="P43" s="42">
        <f>O43*12.94</f>
        <v>62524.536387400003</v>
      </c>
      <c r="Q43" s="286">
        <f>SUM(Q4:Q42)</f>
        <v>2434</v>
      </c>
      <c r="R43" s="287"/>
      <c r="S43" s="288"/>
      <c r="T43" s="289">
        <f>SUM(T4:T42)</f>
        <v>2418</v>
      </c>
      <c r="U43" s="287"/>
      <c r="V43" s="288"/>
      <c r="W43" s="289">
        <f>SUM(W4:W42)</f>
        <v>2192</v>
      </c>
      <c r="X43" s="287"/>
      <c r="Y43" s="288"/>
      <c r="Z43" s="289">
        <f>SUM(Z4:Z42)</f>
        <v>2275</v>
      </c>
      <c r="AA43" s="287"/>
      <c r="AB43" s="288"/>
      <c r="AC43" s="39">
        <f t="shared" si="20"/>
        <v>9319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9319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9319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9133.99</v>
      </c>
      <c r="L47" s="46">
        <f>O43</f>
        <v>4831.8807100000004</v>
      </c>
      <c r="M47" s="46">
        <f>P43</f>
        <v>62524.536387400003</v>
      </c>
    </row>
    <row r="48" spans="1:31" ht="54.75" customHeight="1" thickBot="1">
      <c r="H48" s="282" t="s">
        <v>86</v>
      </c>
      <c r="I48" s="283"/>
      <c r="J48" s="284"/>
      <c r="K48" s="43">
        <f>AC44</f>
        <v>9319</v>
      </c>
      <c r="L48" s="44">
        <f>K48*0.529</f>
        <v>4929.7510000000002</v>
      </c>
      <c r="M48" s="44">
        <f>L48*12.94</f>
        <v>63790.977939999997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0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44375</v>
      </c>
      <c r="D8" s="350"/>
      <c r="E8" s="113">
        <v>44770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29"/>
      <c r="H17" s="330"/>
      <c r="I17" s="329">
        <f>+E17</f>
        <v>321318</v>
      </c>
      <c r="J17" s="330"/>
    </row>
    <row r="18" spans="1:10">
      <c r="A18" s="327" t="s">
        <v>111</v>
      </c>
      <c r="B18" s="328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29"/>
      <c r="H18" s="330"/>
      <c r="I18" s="329">
        <f>+E18</f>
        <v>153681</v>
      </c>
      <c r="J18" s="330"/>
    </row>
    <row r="19" spans="1:10">
      <c r="A19" s="327" t="s">
        <v>112</v>
      </c>
      <c r="B19" s="328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29"/>
      <c r="H19" s="330"/>
      <c r="I19" s="329">
        <f>+E19</f>
        <v>126487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601486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04">
        <f>SUM(H25,F25)</f>
        <v>348500.21752800001</v>
      </c>
      <c r="J25" s="305"/>
    </row>
    <row r="26" spans="1:10" ht="15">
      <c r="A26" s="301" t="s">
        <v>124</v>
      </c>
      <c r="B26" s="302"/>
      <c r="C26" s="303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04">
        <f t="shared" ref="I26:I31" si="0">SUM(H26,F26)</f>
        <v>122374.64348999999</v>
      </c>
      <c r="J26" s="305"/>
    </row>
    <row r="27" spans="1:10" ht="15">
      <c r="A27" s="301" t="s">
        <v>125</v>
      </c>
      <c r="B27" s="302"/>
      <c r="C27" s="303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04">
        <f>SUM(H27,F27)</f>
        <v>191837.26747200001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17">
        <f t="shared" si="0"/>
        <v>30240.175247100007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654067.56801500008</v>
      </c>
      <c r="G32" s="85"/>
      <c r="H32" s="86"/>
      <c r="I32" s="313">
        <f>SUM(I25:J31)</f>
        <v>745583.04753710004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5359</v>
      </c>
      <c r="C13" s="397"/>
      <c r="D13" s="397">
        <v>8.7899999999999991</v>
      </c>
      <c r="E13" s="397"/>
      <c r="F13" s="399">
        <f>PRODUCT(D13,B13)</f>
        <v>47105.609999999993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5359</v>
      </c>
      <c r="C19" s="397"/>
      <c r="D19" s="397">
        <v>2.61</v>
      </c>
      <c r="E19" s="397"/>
      <c r="F19" s="397">
        <f>PRODUCT(D19,B19)</f>
        <v>13986.99</v>
      </c>
      <c r="G19" s="397"/>
      <c r="H19" s="397"/>
    </row>
    <row r="20" spans="1:8" ht="18.75">
      <c r="A20" s="413" t="s">
        <v>149</v>
      </c>
      <c r="B20" s="414"/>
      <c r="C20" s="414"/>
      <c r="D20" s="414"/>
      <c r="E20" s="415"/>
      <c r="F20" s="416">
        <f>SUM(F11+F13+F16+F17+F18+F19)</f>
        <v>61115.599999999991</v>
      </c>
      <c r="G20" s="416"/>
      <c r="H20" s="416"/>
    </row>
    <row r="21" spans="1:8" ht="15">
      <c r="A21" s="402" t="s">
        <v>150</v>
      </c>
      <c r="B21" s="403"/>
      <c r="C21" s="403"/>
      <c r="D21" s="403"/>
      <c r="E21" s="404"/>
      <c r="F21" s="397">
        <f>PRODUCT(F20,0.07)</f>
        <v>4278.0919999999996</v>
      </c>
      <c r="G21" s="397"/>
      <c r="H21" s="397"/>
    </row>
    <row r="22" spans="1:8" ht="15">
      <c r="A22" s="434" t="s">
        <v>151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152</v>
      </c>
      <c r="B23" s="403"/>
      <c r="C23" s="403"/>
      <c r="D23" s="403"/>
      <c r="E23" s="404"/>
      <c r="F23" s="405">
        <f>SUM(F21:H22)</f>
        <v>4486.3519999999999</v>
      </c>
      <c r="G23" s="405"/>
      <c r="H23" s="405"/>
    </row>
    <row r="24" spans="1:8">
      <c r="A24" s="406" t="s">
        <v>153</v>
      </c>
      <c r="B24" s="407"/>
      <c r="C24" s="407"/>
      <c r="D24" s="407"/>
      <c r="E24" s="408"/>
      <c r="F24" s="412">
        <f>SUM(F20,F23)</f>
        <v>65601.95199999999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149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150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151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152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153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139</v>
      </c>
      <c r="E10" s="395"/>
      <c r="F10" s="393" t="s">
        <v>140</v>
      </c>
      <c r="G10" s="396"/>
      <c r="H10" s="394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149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150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151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152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153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2022-08-25T09:56:28Z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