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119" documentId="8_{5B502D95-7A37-4D5A-8B6B-374537CC2F26}" xr6:coauthVersionLast="47" xr6:coauthVersionMax="47" xr10:uidLastSave="{9065EA18-CCD6-4840-B362-065CC6AF791E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5" i="2" l="1"/>
  <c r="N26" i="2"/>
  <c r="M26" i="2"/>
  <c r="L26" i="2"/>
  <c r="F26" i="2"/>
  <c r="K25" i="6"/>
  <c r="I25" i="6"/>
  <c r="G25" i="6"/>
  <c r="E25" i="6"/>
  <c r="C25" i="6"/>
  <c r="V23" i="2"/>
  <c r="V24" i="2"/>
  <c r="N24" i="2"/>
  <c r="N25" i="2"/>
  <c r="M25" i="2"/>
  <c r="M24" i="2"/>
  <c r="L25" i="2"/>
  <c r="F25" i="2"/>
  <c r="K23" i="6"/>
  <c r="K24" i="6"/>
  <c r="I23" i="6"/>
  <c r="I24" i="6"/>
  <c r="G23" i="6"/>
  <c r="G24" i="6"/>
  <c r="E23" i="6"/>
  <c r="E24" i="6"/>
  <c r="C23" i="6"/>
  <c r="C24" i="6"/>
  <c r="V22" i="2"/>
  <c r="N23" i="2"/>
  <c r="M23" i="2"/>
  <c r="L23" i="2"/>
  <c r="L24" i="2"/>
  <c r="F23" i="2"/>
  <c r="F24" i="2"/>
  <c r="V21" i="2"/>
  <c r="N22" i="2"/>
  <c r="M22" i="2"/>
  <c r="L22" i="2"/>
  <c r="F22" i="2"/>
  <c r="K21" i="6"/>
  <c r="K22" i="6"/>
  <c r="I21" i="6"/>
  <c r="I22" i="6"/>
  <c r="G21" i="6"/>
  <c r="G22" i="6"/>
  <c r="E21" i="6"/>
  <c r="E22" i="6"/>
  <c r="C21" i="6"/>
  <c r="C22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8" i="6"/>
  <c r="K19" i="6"/>
  <c r="K20" i="6"/>
  <c r="I18" i="6"/>
  <c r="I19" i="6"/>
  <c r="I20" i="6"/>
  <c r="G18" i="6"/>
  <c r="G19" i="6"/>
  <c r="G20" i="6"/>
  <c r="E18" i="6"/>
  <c r="E19" i="6"/>
  <c r="E20" i="6"/>
  <c r="C18" i="6"/>
  <c r="C19" i="6"/>
  <c r="C20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<sst xmlns="http://schemas.openxmlformats.org/spreadsheetml/2006/main" count="482" uniqueCount="186">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</sst>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  <c:pt idx="8">
                  <c:v>156.80000000001746</c:v>
                </c:pt>
                <c:pt idx="9">
                  <c:v>177.89999999999418</c:v>
                </c:pt>
                <c:pt idx="10">
                  <c:v>151</c:v>
                </c:pt>
                <c:pt idx="11">
                  <c:v>138</c:v>
                </c:pt>
                <c:pt idx="12">
                  <c:v>149</c:v>
                </c:pt>
                <c:pt idx="13">
                  <c:v>157</c:v>
                </c:pt>
                <c:pt idx="14">
                  <c:v>135.79999999998836</c:v>
                </c:pt>
                <c:pt idx="15">
                  <c:v>137</c:v>
                </c:pt>
                <c:pt idx="16">
                  <c:v>137.40000000002328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  <c:pt idx="8">
                  <c:v>5521</c:v>
                </c:pt>
                <c:pt idx="9">
                  <c:v>5152</c:v>
                </c:pt>
                <c:pt idx="10">
                  <c:v>4789</c:v>
                </c:pt>
                <c:pt idx="11">
                  <c:v>5397</c:v>
                </c:pt>
                <c:pt idx="12">
                  <c:v>6472</c:v>
                </c:pt>
                <c:pt idx="13">
                  <c:v>4462</c:v>
                </c:pt>
                <c:pt idx="14">
                  <c:v>5352</c:v>
                </c:pt>
                <c:pt idx="15">
                  <c:v>5591</c:v>
                </c:pt>
                <c:pt idx="16">
                  <c:v>5209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  <c:pt idx="8">
                  <c:v>9156</c:v>
                </c:pt>
                <c:pt idx="9">
                  <c:v>10908</c:v>
                </c:pt>
                <c:pt idx="10">
                  <c:v>10243</c:v>
                </c:pt>
                <c:pt idx="11">
                  <c:v>9722</c:v>
                </c:pt>
                <c:pt idx="12">
                  <c:v>10630</c:v>
                </c:pt>
                <c:pt idx="13">
                  <c:v>10547</c:v>
                </c:pt>
                <c:pt idx="14">
                  <c:v>10568</c:v>
                </c:pt>
                <c:pt idx="15">
                  <c:v>10252</c:v>
                </c:pt>
                <c:pt idx="16">
                  <c:v>9528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  <c:pt idx="8">
                  <c:v>3995</c:v>
                </c:pt>
                <c:pt idx="9">
                  <c:v>4913</c:v>
                </c:pt>
                <c:pt idx="10">
                  <c:v>4237</c:v>
                </c:pt>
                <c:pt idx="11">
                  <c:v>4251</c:v>
                </c:pt>
                <c:pt idx="12">
                  <c:v>4544</c:v>
                </c:pt>
                <c:pt idx="13">
                  <c:v>4635</c:v>
                </c:pt>
                <c:pt idx="14">
                  <c:v>4198</c:v>
                </c:pt>
                <c:pt idx="15">
                  <c:v>4616</c:v>
                </c:pt>
                <c:pt idx="16">
                  <c:v>4026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95.997630000000001</c:v>
                </c:pt>
                <c:pt idx="8">
                  <c:v>511.98736000000002</c:v>
                </c:pt>
                <c:pt idx="9">
                  <c:v>0</c:v>
                </c:pt>
                <c:pt idx="10">
                  <c:v>159.99605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223.99447000000001</c:v>
                </c:pt>
                <c:pt idx="14">
                  <c:v>223.99447000000001</c:v>
                </c:pt>
                <c:pt idx="15">
                  <c:v>223.99447000000001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95.997630000000001</v>
      </c>
      <c r="H9" s="134">
        <v>12.84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142</v>
      </c>
      <c r="L9" s="137">
        <f>'Consommation mensuel énergie'!E17</f>
        <v>198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18672</v>
      </c>
      <c r="F10" s="134">
        <v>1.05</v>
      </c>
      <c r="G10" s="134">
        <f>'Consommation mensuel énergie'!V18</f>
        <v>511.98736000000002</v>
      </c>
      <c r="H10" s="134">
        <v>12.84</v>
      </c>
      <c r="I10" s="134">
        <f>'Consommation mensuel énergie'!F18</f>
        <v>156.80000000001746</v>
      </c>
      <c r="J10" s="134">
        <v>11.4</v>
      </c>
      <c r="K10" s="137">
        <f>'Consommation mensuel énergie'!D18</f>
        <v>136</v>
      </c>
      <c r="L10" s="137">
        <f>'Consommation mensuel énergie'!E18</f>
        <v>206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20973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177.89999999999418</v>
      </c>
      <c r="J11" s="134">
        <v>11.4</v>
      </c>
      <c r="K11" s="137">
        <f>'Consommation mensuel énergie'!D19</f>
        <v>160</v>
      </c>
      <c r="L11" s="137">
        <f>'Consommation mensuel énergie'!E19</f>
        <v>239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19269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151</v>
      </c>
      <c r="J12" s="134">
        <v>11.4</v>
      </c>
      <c r="K12" s="137">
        <f>'Consommation mensuel énergie'!D20</f>
        <v>157</v>
      </c>
      <c r="L12" s="137">
        <f>'Consommation mensuel énergie'!E20</f>
        <v>209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19370</v>
      </c>
      <c r="F13" s="134">
        <v>1.05</v>
      </c>
      <c r="G13" s="134">
        <f>'Consommation mensuel énergie'!V21</f>
        <v>223.99447000000001</v>
      </c>
      <c r="H13" s="134">
        <v>12.84</v>
      </c>
      <c r="I13" s="134">
        <f>'Consommation mensuel énergie'!F21</f>
        <v>138</v>
      </c>
      <c r="J13" s="134">
        <v>11.4</v>
      </c>
      <c r="K13" s="137">
        <f>'Consommation mensuel énergie'!D21</f>
        <v>180</v>
      </c>
      <c r="L13" s="137">
        <f>'Consommation mensuel énergie'!E21</f>
        <v>229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21646</v>
      </c>
      <c r="F14" s="134">
        <v>1.05</v>
      </c>
      <c r="G14" s="134">
        <f>'Consommation mensuel énergie'!V22</f>
        <v>255.99368000000001</v>
      </c>
      <c r="H14" s="134">
        <v>12.84</v>
      </c>
      <c r="I14" s="134">
        <f>'Consommation mensuel énergie'!F22</f>
        <v>149</v>
      </c>
      <c r="J14" s="134">
        <v>11.4</v>
      </c>
      <c r="K14" s="137">
        <f>'Consommation mensuel énergie'!D22</f>
        <v>165</v>
      </c>
      <c r="L14" s="137">
        <f>'Consommation mensuel énergie'!E22</f>
        <v>224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19644</v>
      </c>
      <c r="F15" s="134">
        <v>1.05</v>
      </c>
      <c r="G15" s="134">
        <f>'Consommation mensuel énergie'!V23</f>
        <v>223.99447000000001</v>
      </c>
      <c r="H15" s="134">
        <v>12.84</v>
      </c>
      <c r="I15" s="134">
        <f>'Consommation mensuel énergie'!F23</f>
        <v>157</v>
      </c>
      <c r="J15" s="134">
        <v>11.4</v>
      </c>
      <c r="K15" s="137">
        <f>'Consommation mensuel énergie'!D23</f>
        <v>119</v>
      </c>
      <c r="L15" s="137">
        <f>'Consommation mensuel énergie'!E23</f>
        <v>159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20118</v>
      </c>
      <c r="F16" s="134">
        <v>1.05</v>
      </c>
      <c r="G16" s="134">
        <f>'Consommation mensuel énergie'!V24</f>
        <v>223.99447000000001</v>
      </c>
      <c r="H16" s="134">
        <v>12.84</v>
      </c>
      <c r="I16" s="134">
        <f>'Consommation mensuel énergie'!F24</f>
        <v>135.79999999998836</v>
      </c>
      <c r="J16" s="134">
        <v>11.4</v>
      </c>
      <c r="K16" s="137">
        <f>'Consommation mensuel énergie'!D24</f>
        <v>115</v>
      </c>
      <c r="L16" s="137">
        <f>'Consommation mensuel énergie'!E24</f>
        <v>176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20459</v>
      </c>
      <c r="F17" s="134">
        <v>1.05</v>
      </c>
      <c r="G17" s="134">
        <f>'Consommation mensuel énergie'!V25</f>
        <v>223.99447000000001</v>
      </c>
      <c r="H17" s="134">
        <v>12.84</v>
      </c>
      <c r="I17" s="134">
        <f>'Consommation mensuel énergie'!F25</f>
        <v>137</v>
      </c>
      <c r="J17" s="134">
        <v>11.4</v>
      </c>
      <c r="K17" s="137">
        <f>'Consommation mensuel énergie'!D25</f>
        <v>142</v>
      </c>
      <c r="L17" s="137">
        <f>'Consommation mensuel énergie'!E25</f>
        <v>220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18763</v>
      </c>
      <c r="F18" s="134">
        <v>1.05</v>
      </c>
      <c r="G18" s="134">
        <f>'Consommation mensuel énergie'!V26</f>
        <v>0</v>
      </c>
      <c r="H18" s="134">
        <v>12.84</v>
      </c>
      <c r="I18" s="134">
        <f>'Consommation mensuel énergie'!F26</f>
        <v>137.40000000002328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12.84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142</v>
      </c>
      <c r="I9" s="137">
        <f>'Consommation mensuel énergie'!E17</f>
        <v>198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5521</v>
      </c>
      <c r="F10" s="137">
        <f>'Consommation mensuel énergie'!M18</f>
        <v>9156</v>
      </c>
      <c r="G10" s="137">
        <f>'Consommation mensuel énergie'!N18</f>
        <v>3995</v>
      </c>
      <c r="H10" s="137">
        <f>'Consommation mensuel énergie'!D18</f>
        <v>136</v>
      </c>
      <c r="I10" s="137">
        <f>'Consommation mensuel énergie'!E18</f>
        <v>206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5152</v>
      </c>
      <c r="F11" s="137">
        <f>'Consommation mensuel énergie'!M19</f>
        <v>10908</v>
      </c>
      <c r="G11" s="137">
        <f>'Consommation mensuel énergie'!N19</f>
        <v>4913</v>
      </c>
      <c r="H11" s="137">
        <f>'Consommation mensuel énergie'!D19</f>
        <v>160</v>
      </c>
      <c r="I11" s="137">
        <f>'Consommation mensuel énergie'!E19</f>
        <v>239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4789</v>
      </c>
      <c r="F12" s="137">
        <f>'Consommation mensuel énergie'!M20</f>
        <v>10243</v>
      </c>
      <c r="G12" s="137">
        <f>'Consommation mensuel énergie'!N20</f>
        <v>4237</v>
      </c>
      <c r="H12" s="137">
        <f>'Consommation mensuel énergie'!D20</f>
        <v>157</v>
      </c>
      <c r="I12" s="137">
        <f>'Consommation mensuel énergie'!E20</f>
        <v>209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5397</v>
      </c>
      <c r="F13" s="137">
        <f>'Consommation mensuel énergie'!M21</f>
        <v>9722</v>
      </c>
      <c r="G13" s="137">
        <f>'Consommation mensuel énergie'!N21</f>
        <v>4251</v>
      </c>
      <c r="H13" s="137">
        <f>'Consommation mensuel énergie'!D21</f>
        <v>180</v>
      </c>
      <c r="I13" s="137">
        <f>'Consommation mensuel énergie'!E21</f>
        <v>229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6472</v>
      </c>
      <c r="F14" s="137">
        <f>'Consommation mensuel énergie'!M22</f>
        <v>10630</v>
      </c>
      <c r="G14" s="137">
        <f>'Consommation mensuel énergie'!N22</f>
        <v>4544</v>
      </c>
      <c r="H14" s="137">
        <f>'Consommation mensuel énergie'!D22</f>
        <v>165</v>
      </c>
      <c r="I14" s="137">
        <f>'Consommation mensuel énergie'!E22</f>
        <v>224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4462</v>
      </c>
      <c r="F15" s="137">
        <f>'Consommation mensuel énergie'!M23</f>
        <v>10547</v>
      </c>
      <c r="G15" s="137">
        <f>'Consommation mensuel énergie'!N23</f>
        <v>4635</v>
      </c>
      <c r="H15" s="137">
        <f>'Consommation mensuel énergie'!D23</f>
        <v>119</v>
      </c>
      <c r="I15" s="137">
        <f>'Consommation mensuel énergie'!E23</f>
        <v>159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5352</v>
      </c>
      <c r="F16" s="137">
        <f>'Consommation mensuel énergie'!M24</f>
        <v>10568</v>
      </c>
      <c r="G16" s="137">
        <f>'Consommation mensuel énergie'!N24</f>
        <v>4198</v>
      </c>
      <c r="H16" s="137">
        <f>'Consommation mensuel énergie'!D24</f>
        <v>115</v>
      </c>
      <c r="I16" s="137">
        <f>'Consommation mensuel énergie'!E24</f>
        <v>176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5591</v>
      </c>
      <c r="F17" s="137">
        <f>'Consommation mensuel énergie'!M25</f>
        <v>10252</v>
      </c>
      <c r="G17" s="137">
        <f>'Consommation mensuel énergie'!N25</f>
        <v>4616</v>
      </c>
      <c r="H17" s="137">
        <f>'Consommation mensuel énergie'!D25</f>
        <v>142</v>
      </c>
      <c r="I17" s="137">
        <f>'Consommation mensuel énergie'!E25</f>
        <v>220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5209</v>
      </c>
      <c r="F18" s="137">
        <f>'Consommation mensuel énergie'!M26</f>
        <v>9528</v>
      </c>
      <c r="G18" s="137">
        <f>'Consommation mensuel énergie'!N26</f>
        <v>4026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E35" activePane="bottomRight" state="frozen"/>
      <selection pane="bottomRight" activeCell="E26" sqref="E2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7806.5272716000009</v>
      </c>
    </row>
    <row r="17" spans="1:24" s="5" customFormat="1" ht="32.25" customHeight="1">
      <c r="A17" s="2"/>
      <c r="B17" s="6">
        <v>44812</v>
      </c>
      <c r="C17" s="7"/>
      <c r="D17" s="143">
        <v>142</v>
      </c>
      <c r="E17" s="143">
        <v>198</v>
      </c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1232.6095691999999</v>
      </c>
    </row>
    <row r="18" spans="1:24" ht="32.25" customHeight="1">
      <c r="A18" s="2"/>
      <c r="B18" s="6">
        <v>44813</v>
      </c>
      <c r="C18" s="7"/>
      <c r="D18" s="143">
        <v>136</v>
      </c>
      <c r="E18" s="143">
        <v>206</v>
      </c>
      <c r="F18" s="13">
        <f>'Suivi EAU-ELEC'!E17</f>
        <v>156.80000000001746</v>
      </c>
      <c r="G18" s="11"/>
      <c r="H18" s="168">
        <f t="shared" si="0"/>
        <v>1378.2720000001534</v>
      </c>
      <c r="I18" s="169"/>
      <c r="J18" s="169"/>
      <c r="K18" s="60">
        <v>42286</v>
      </c>
      <c r="L18" s="90">
        <f>'Suivi EAU-ELEC'!G17</f>
        <v>5521</v>
      </c>
      <c r="M18" s="91">
        <f>'Suivi EAU-ELEC'!I17</f>
        <v>9156</v>
      </c>
      <c r="N18" s="91">
        <f>'Suivi EAU-ELEC'!K17</f>
        <v>3995</v>
      </c>
      <c r="O18" s="91">
        <f t="shared" si="2"/>
        <v>18672</v>
      </c>
      <c r="P18" s="12"/>
      <c r="Q18" s="34">
        <f t="shared" si="3"/>
        <v>17882.384900000001</v>
      </c>
      <c r="R18" s="12"/>
      <c r="S18" s="28"/>
      <c r="T18" s="12"/>
      <c r="U18" s="28"/>
      <c r="V18" s="146">
        <f>'Suvi Gaz'!O12</f>
        <v>511.98736000000002</v>
      </c>
      <c r="W18" s="11"/>
      <c r="X18" s="34">
        <f t="shared" si="1"/>
        <v>6573.9177024000001</v>
      </c>
    </row>
    <row r="19" spans="1:24" ht="32.25" customHeight="1">
      <c r="A19" s="2"/>
      <c r="B19" s="6">
        <v>44814</v>
      </c>
      <c r="C19" s="7"/>
      <c r="D19" s="143">
        <v>160</v>
      </c>
      <c r="E19" s="143">
        <v>239</v>
      </c>
      <c r="F19" s="13">
        <f>'Suivi EAU-ELEC'!E18</f>
        <v>177.89999999999418</v>
      </c>
      <c r="G19" s="12"/>
      <c r="H19" s="168">
        <f t="shared" si="0"/>
        <v>1563.7409999999486</v>
      </c>
      <c r="I19" s="169"/>
      <c r="J19" s="169"/>
      <c r="K19" s="60">
        <v>42287</v>
      </c>
      <c r="L19" s="90">
        <f>'Suivi EAU-ELEC'!G18</f>
        <v>5152</v>
      </c>
      <c r="M19" s="91">
        <f>'Suivi EAU-ELEC'!I18</f>
        <v>10908</v>
      </c>
      <c r="N19" s="91">
        <f>'Suivi EAU-ELEC'!K18</f>
        <v>4913</v>
      </c>
      <c r="O19" s="91">
        <f t="shared" si="2"/>
        <v>20973</v>
      </c>
      <c r="P19" s="12"/>
      <c r="Q19" s="34">
        <f t="shared" si="3"/>
        <v>20512.7984</v>
      </c>
      <c r="R19" s="12"/>
      <c r="S19" s="28"/>
      <c r="T19" s="12"/>
      <c r="U19" s="28"/>
      <c r="V19" s="146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>
        <v>157</v>
      </c>
      <c r="E20" s="143">
        <v>209</v>
      </c>
      <c r="F20" s="13">
        <f>'Suivi EAU-ELEC'!E19</f>
        <v>151</v>
      </c>
      <c r="G20" s="12"/>
      <c r="H20" s="168">
        <f t="shared" si="0"/>
        <v>1327.29</v>
      </c>
      <c r="I20" s="169"/>
      <c r="J20" s="169"/>
      <c r="K20" s="60">
        <v>42288</v>
      </c>
      <c r="L20" s="90">
        <f>'Suivi EAU-ELEC'!G19</f>
        <v>4789</v>
      </c>
      <c r="M20" s="91">
        <f>'Suivi EAU-ELEC'!I19</f>
        <v>10243</v>
      </c>
      <c r="N20" s="91">
        <f>'Suivi EAU-ELEC'!K19</f>
        <v>4237</v>
      </c>
      <c r="O20" s="91">
        <f t="shared" si="2"/>
        <v>19269</v>
      </c>
      <c r="P20" s="12"/>
      <c r="Q20" s="34">
        <f t="shared" si="3"/>
        <v>18727.211500000001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2054.3492820000001</v>
      </c>
    </row>
    <row r="21" spans="1:24" ht="32.25" customHeight="1">
      <c r="A21" s="2"/>
      <c r="B21" s="6">
        <v>44816</v>
      </c>
      <c r="C21" s="7"/>
      <c r="D21" s="143">
        <v>180</v>
      </c>
      <c r="E21" s="143">
        <v>229</v>
      </c>
      <c r="F21" s="13">
        <f>'Suivi EAU-ELEC'!E20</f>
        <v>138</v>
      </c>
      <c r="G21" s="12"/>
      <c r="H21" s="168">
        <f t="shared" si="0"/>
        <v>1213.02</v>
      </c>
      <c r="I21" s="169"/>
      <c r="J21" s="169"/>
      <c r="K21" s="60">
        <v>42289</v>
      </c>
      <c r="L21" s="90">
        <f>'Suivi EAU-ELEC'!G20</f>
        <v>5397</v>
      </c>
      <c r="M21" s="91">
        <f>'Suivi EAU-ELEC'!I20</f>
        <v>9722</v>
      </c>
      <c r="N21" s="91">
        <f>'Suivi EAU-ELEC'!K20</f>
        <v>4251</v>
      </c>
      <c r="O21" s="91">
        <f>L21+M21+N21</f>
        <v>19370</v>
      </c>
      <c r="P21" s="12"/>
      <c r="Q21" s="34">
        <f t="shared" si="3"/>
        <v>18674.845700000002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2876.0889947999999</v>
      </c>
    </row>
    <row r="22" spans="1:24" ht="32.25" customHeight="1">
      <c r="A22" s="2"/>
      <c r="B22" s="6">
        <v>44817</v>
      </c>
      <c r="C22" s="7"/>
      <c r="D22" s="143">
        <v>165</v>
      </c>
      <c r="E22" s="143">
        <v>224</v>
      </c>
      <c r="F22" s="13">
        <f>'Suivi EAU-ELEC'!E21</f>
        <v>149</v>
      </c>
      <c r="G22" s="12"/>
      <c r="H22" s="168">
        <f t="shared" ref="H22:H35" si="4">F22*8.79</f>
        <v>1309.7099999999998</v>
      </c>
      <c r="I22" s="169"/>
      <c r="J22" s="169"/>
      <c r="K22" s="60">
        <v>42290</v>
      </c>
      <c r="L22" s="90">
        <f>'Suivi EAU-ELEC'!G21</f>
        <v>6472</v>
      </c>
      <c r="M22" s="91">
        <f>'Suivi EAU-ELEC'!I21</f>
        <v>10630</v>
      </c>
      <c r="N22" s="91">
        <f>'Suivi EAU-ELEC'!K21</f>
        <v>4544</v>
      </c>
      <c r="O22" s="91">
        <f t="shared" si="2"/>
        <v>21646</v>
      </c>
      <c r="P22" s="12"/>
      <c r="Q22" s="34">
        <f t="shared" si="3"/>
        <v>20679.411599999999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3286.9588512</v>
      </c>
    </row>
    <row r="23" spans="1:24" ht="32.25" customHeight="1">
      <c r="A23" s="2"/>
      <c r="B23" s="6">
        <v>44818</v>
      </c>
      <c r="C23" s="7"/>
      <c r="D23" s="143">
        <v>119</v>
      </c>
      <c r="E23" s="143">
        <v>159</v>
      </c>
      <c r="F23" s="13">
        <f>'Suivi EAU-ELEC'!E22</f>
        <v>157</v>
      </c>
      <c r="G23" s="14"/>
      <c r="H23" s="168">
        <f t="shared" si="4"/>
        <v>1380.03</v>
      </c>
      <c r="I23" s="169"/>
      <c r="J23" s="169"/>
      <c r="K23" s="60">
        <v>42291</v>
      </c>
      <c r="L23" s="90">
        <f>'Suivi EAU-ELEC'!G22</f>
        <v>4462</v>
      </c>
      <c r="M23" s="91">
        <f>'Suivi EAU-ELEC'!I22</f>
        <v>10547</v>
      </c>
      <c r="N23" s="91">
        <f>'Suivi EAU-ELEC'!K22</f>
        <v>4635</v>
      </c>
      <c r="O23" s="91">
        <f>L23+M23+N23</f>
        <v>19644</v>
      </c>
      <c r="P23" s="12"/>
      <c r="Q23" s="34">
        <f>L23*0.6985+M23*0.9514+N23*1.3304</f>
        <v>19317.5268</v>
      </c>
      <c r="R23" s="12"/>
      <c r="S23" s="28"/>
      <c r="T23" s="14"/>
      <c r="U23" s="28"/>
      <c r="V23" s="146">
        <f>'Suvi Gaz'!O17</f>
        <v>223.99447000000001</v>
      </c>
      <c r="W23" s="11"/>
      <c r="X23" s="34">
        <f t="shared" si="1"/>
        <v>2876.0889947999999</v>
      </c>
    </row>
    <row r="24" spans="1:24" ht="32.25" customHeight="1">
      <c r="A24" s="2"/>
      <c r="B24" s="6">
        <v>44819</v>
      </c>
      <c r="C24" s="7"/>
      <c r="D24" s="143">
        <v>115</v>
      </c>
      <c r="E24" s="143">
        <v>176</v>
      </c>
      <c r="F24" s="13">
        <f>'Suivi EAU-ELEC'!E23</f>
        <v>135.79999999998836</v>
      </c>
      <c r="G24" s="14"/>
      <c r="H24" s="168">
        <f t="shared" si="4"/>
        <v>1193.6819999998975</v>
      </c>
      <c r="I24" s="169"/>
      <c r="J24" s="169"/>
      <c r="K24" s="60">
        <v>42292</v>
      </c>
      <c r="L24" s="90">
        <f>'Suivi EAU-ELEC'!G23</f>
        <v>5352</v>
      </c>
      <c r="M24" s="91">
        <f>'Suivi EAU-ELEC'!I23</f>
        <v>10568</v>
      </c>
      <c r="N24" s="91">
        <f>'Suivi EAU-ELEC'!K23</f>
        <v>4198</v>
      </c>
      <c r="O24" s="91">
        <f>L24+M24+N24</f>
        <v>20118</v>
      </c>
      <c r="P24" s="12"/>
      <c r="Q24" s="34">
        <f>L24*0.6985+M24*0.9514+N24*1.3304</f>
        <v>19377.786400000001</v>
      </c>
      <c r="R24" s="12"/>
      <c r="S24" s="28"/>
      <c r="T24" s="14"/>
      <c r="U24" s="28"/>
      <c r="V24" s="146">
        <f>'Suvi Gaz'!O18</f>
        <v>223.99447000000001</v>
      </c>
      <c r="W24" s="11"/>
      <c r="X24" s="34">
        <f t="shared" si="1"/>
        <v>2876.0889947999999</v>
      </c>
    </row>
    <row r="25" spans="1:24" ht="32.25" customHeight="1">
      <c r="A25" s="2"/>
      <c r="B25" s="6">
        <v>44820</v>
      </c>
      <c r="C25" s="7"/>
      <c r="D25" s="143">
        <v>142</v>
      </c>
      <c r="E25" s="143">
        <v>220</v>
      </c>
      <c r="F25" s="13">
        <f>'Suivi EAU-ELEC'!E24</f>
        <v>137</v>
      </c>
      <c r="G25" s="14"/>
      <c r="H25" s="168">
        <f t="shared" si="4"/>
        <v>1204.2299999999998</v>
      </c>
      <c r="I25" s="169"/>
      <c r="J25" s="169"/>
      <c r="K25" s="60">
        <v>42293</v>
      </c>
      <c r="L25" s="90">
        <f>'Suivi EAU-ELEC'!G24</f>
        <v>5591</v>
      </c>
      <c r="M25" s="91">
        <f>'Suivi EAU-ELEC'!I24</f>
        <v>10252</v>
      </c>
      <c r="N25" s="91">
        <f>'Suivi EAU-ELEC'!K24</f>
        <v>4616</v>
      </c>
      <c r="O25" s="91">
        <f>L25+M25+N25</f>
        <v>20459</v>
      </c>
      <c r="P25" s="12"/>
      <c r="Q25" s="34">
        <f>L25*0.6985+M25*0.9514+N25*1.3304</f>
        <v>19800.1927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2876.0889947999999</v>
      </c>
    </row>
    <row r="26" spans="1:24" ht="32.25" customHeight="1">
      <c r="A26" s="2"/>
      <c r="B26" s="6">
        <v>44821</v>
      </c>
      <c r="C26" s="7"/>
      <c r="D26" s="143"/>
      <c r="E26" s="143"/>
      <c r="F26" s="13">
        <f>'Suivi EAU-ELEC'!E25</f>
        <v>137.40000000002328</v>
      </c>
      <c r="G26" s="14"/>
      <c r="H26" s="168">
        <f t="shared" si="4"/>
        <v>1207.7460000002045</v>
      </c>
      <c r="I26" s="169"/>
      <c r="J26" s="169"/>
      <c r="K26" s="60">
        <v>42294</v>
      </c>
      <c r="L26" s="90">
        <f>'Suivi EAU-ELEC'!G25</f>
        <v>5209</v>
      </c>
      <c r="M26" s="91">
        <f>'Suivi EAU-ELEC'!I25</f>
        <v>9528</v>
      </c>
      <c r="N26" s="91">
        <f>'Suivi EAU-ELEC'!K25</f>
        <v>4026</v>
      </c>
      <c r="O26" s="91">
        <f>L26+M26+N26</f>
        <v>18763</v>
      </c>
      <c r="P26" s="14"/>
      <c r="Q26" s="34">
        <f>L26*0.6985+M26*0.9514+N26*1.3304</f>
        <v>18059.616099999999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44822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44823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2339</v>
      </c>
      <c r="E40" s="8">
        <f>SUM(E10:E39)</f>
        <v>3421</v>
      </c>
      <c r="F40" s="152">
        <f>SUM(F10:F39)</f>
        <v>2501.3000000000175</v>
      </c>
      <c r="G40" s="1"/>
      <c r="H40" s="249">
        <f>SUM(H10:H39)</f>
        <v>21986.427000000152</v>
      </c>
      <c r="I40" s="250"/>
      <c r="J40" s="251"/>
      <c r="K40" s="1"/>
      <c r="L40" s="53">
        <f>SUM(L10:L39)</f>
        <v>86699</v>
      </c>
      <c r="M40" s="53">
        <f>SUM(M10:M39)</f>
        <v>169581</v>
      </c>
      <c r="N40" s="54">
        <f>SUM(N10:N39)</f>
        <v>72560</v>
      </c>
      <c r="O40" s="55">
        <f>SUM(O10:O39)</f>
        <v>328840</v>
      </c>
      <c r="P40" s="31"/>
      <c r="Q40" s="34">
        <f t="shared" ref="Q40" si="8">L40*0.6985+M40*0.9514+N40*1.3304</f>
        <v>318432.43890000001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4160.2602400000005</v>
      </c>
      <c r="W40" s="31"/>
      <c r="X40" s="32">
        <f>SUM(X10:X39)</f>
        <v>53417.741481599987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86699</v>
      </c>
      <c r="J43" s="210"/>
      <c r="K43" s="211"/>
      <c r="L43" s="170">
        <f>I43*H43</f>
        <v>60559.251499999998</v>
      </c>
      <c r="M43" s="171"/>
      <c r="N43" s="227">
        <f>L43+L44+L45</f>
        <v>318432.43890000001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169581</v>
      </c>
      <c r="J44" s="210"/>
      <c r="K44" s="211"/>
      <c r="L44" s="170">
        <f>I44*H44</f>
        <v>161339.3634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72560</v>
      </c>
      <c r="J45" s="241"/>
      <c r="K45" s="242"/>
      <c r="L45" s="170">
        <f>I45*H45</f>
        <v>96533.824000000008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413962.17057000002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2501.3000000000175</v>
      </c>
      <c r="J47" s="202"/>
      <c r="K47" s="203"/>
      <c r="L47" s="207">
        <f>I47*H47</f>
        <v>21986.427000000152</v>
      </c>
      <c r="M47" s="208"/>
      <c r="N47" s="224">
        <f>L47</f>
        <v>21986.427000000152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12.84</v>
      </c>
      <c r="I48" s="199">
        <f>V40</f>
        <v>4160.2602400000005</v>
      </c>
      <c r="J48" s="239"/>
      <c r="K48" s="200"/>
      <c r="L48" s="199">
        <f>I48*H48</f>
        <v>53417.741481600009</v>
      </c>
      <c r="M48" s="200"/>
      <c r="N48" s="221">
        <f>L48</f>
        <v>53417.741481600009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3" activePane="bottomRight" state="frozen"/>
      <selection pane="bottomRight" activeCell="B25" sqref="B25:K2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25" si="0">B14-B13</f>
        <v>0</v>
      </c>
      <c r="D14" s="57">
        <v>164537</v>
      </c>
      <c r="E14" s="50">
        <f t="shared" ref="E14:E25" si="1">D14-D13</f>
        <v>145</v>
      </c>
      <c r="F14" s="51">
        <v>12342786</v>
      </c>
      <c r="G14" s="50">
        <f t="shared" ref="G14:G25" si="2">F14-F13</f>
        <v>4101</v>
      </c>
      <c r="H14" s="51">
        <v>21120262</v>
      </c>
      <c r="I14" s="50">
        <f t="shared" ref="I14:I25" si="3">H14-H13</f>
        <v>9545</v>
      </c>
      <c r="J14" s="51">
        <v>9240174</v>
      </c>
      <c r="K14" s="50">
        <f t="shared" ref="K14:K25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>
        <v>2560</v>
      </c>
      <c r="C17" s="115">
        <f t="shared" si="0"/>
        <v>0</v>
      </c>
      <c r="D17" s="57">
        <v>164973.1</v>
      </c>
      <c r="E17" s="50">
        <f t="shared" si="1"/>
        <v>156.80000000001746</v>
      </c>
      <c r="F17" s="51">
        <v>12356936</v>
      </c>
      <c r="G17" s="50">
        <f t="shared" si="2"/>
        <v>5521</v>
      </c>
      <c r="H17" s="51">
        <v>21148093</v>
      </c>
      <c r="I17" s="50">
        <f t="shared" si="3"/>
        <v>9156</v>
      </c>
      <c r="J17" s="51">
        <v>9251963</v>
      </c>
      <c r="K17" s="50">
        <f t="shared" si="4"/>
        <v>3995</v>
      </c>
    </row>
    <row r="18" spans="1:29" ht="19.5">
      <c r="A18" s="59">
        <v>44814</v>
      </c>
      <c r="B18" s="116">
        <v>2560</v>
      </c>
      <c r="C18" s="115">
        <f t="shared" si="0"/>
        <v>0</v>
      </c>
      <c r="D18" s="57">
        <v>165151</v>
      </c>
      <c r="E18" s="50">
        <f t="shared" si="1"/>
        <v>177.89999999999418</v>
      </c>
      <c r="F18" s="51">
        <v>12362088</v>
      </c>
      <c r="G18" s="50">
        <f t="shared" si="2"/>
        <v>5152</v>
      </c>
      <c r="H18" s="51">
        <v>21159001</v>
      </c>
      <c r="I18" s="50">
        <f t="shared" si="3"/>
        <v>10908</v>
      </c>
      <c r="J18" s="51">
        <v>9256876</v>
      </c>
      <c r="K18" s="50">
        <f t="shared" si="4"/>
        <v>4913</v>
      </c>
    </row>
    <row r="19" spans="1:29" ht="19.5">
      <c r="A19" s="59">
        <v>44815</v>
      </c>
      <c r="B19" s="116">
        <v>2560</v>
      </c>
      <c r="C19" s="115">
        <f t="shared" si="0"/>
        <v>0</v>
      </c>
      <c r="D19" s="57">
        <v>165302</v>
      </c>
      <c r="E19" s="50">
        <f t="shared" si="1"/>
        <v>151</v>
      </c>
      <c r="F19" s="51">
        <v>12366877</v>
      </c>
      <c r="G19" s="50">
        <f t="shared" si="2"/>
        <v>4789</v>
      </c>
      <c r="H19" s="51">
        <v>21169244</v>
      </c>
      <c r="I19" s="50">
        <f t="shared" si="3"/>
        <v>10243</v>
      </c>
      <c r="J19" s="51">
        <v>9261113</v>
      </c>
      <c r="K19" s="50">
        <f t="shared" si="4"/>
        <v>4237</v>
      </c>
    </row>
    <row r="20" spans="1:29" ht="25.5">
      <c r="A20" s="59">
        <v>44816</v>
      </c>
      <c r="B20" s="116">
        <v>2560</v>
      </c>
      <c r="C20" s="115">
        <f t="shared" si="0"/>
        <v>0</v>
      </c>
      <c r="D20" s="57">
        <v>165440</v>
      </c>
      <c r="E20" s="50">
        <f t="shared" si="1"/>
        <v>138</v>
      </c>
      <c r="F20" s="51">
        <v>12372274</v>
      </c>
      <c r="G20" s="50">
        <f t="shared" si="2"/>
        <v>5397</v>
      </c>
      <c r="H20" s="51">
        <v>21178966</v>
      </c>
      <c r="I20" s="50">
        <f t="shared" si="3"/>
        <v>9722</v>
      </c>
      <c r="J20" s="51">
        <v>9265364</v>
      </c>
      <c r="K20" s="50">
        <f t="shared" si="4"/>
        <v>4251</v>
      </c>
      <c r="L20" s="117" t="s">
        <v>18</v>
      </c>
      <c r="AC20" t="s">
        <v>56</v>
      </c>
    </row>
    <row r="21" spans="1:29" ht="19.5">
      <c r="A21" s="59">
        <v>44817</v>
      </c>
      <c r="B21" s="116">
        <v>2560</v>
      </c>
      <c r="C21" s="115">
        <f t="shared" si="0"/>
        <v>0</v>
      </c>
      <c r="D21" s="57">
        <v>165589</v>
      </c>
      <c r="E21" s="50">
        <f t="shared" si="1"/>
        <v>149</v>
      </c>
      <c r="F21" s="51">
        <v>12378746</v>
      </c>
      <c r="G21" s="50">
        <f t="shared" si="2"/>
        <v>6472</v>
      </c>
      <c r="H21" s="51">
        <v>21189596</v>
      </c>
      <c r="I21" s="50">
        <f t="shared" si="3"/>
        <v>10630</v>
      </c>
      <c r="J21" s="51">
        <v>9269908</v>
      </c>
      <c r="K21" s="50">
        <f t="shared" si="4"/>
        <v>4544</v>
      </c>
    </row>
    <row r="22" spans="1:29" ht="19.5">
      <c r="A22" s="59">
        <v>44818</v>
      </c>
      <c r="B22" s="116">
        <v>2560</v>
      </c>
      <c r="C22" s="115">
        <f t="shared" si="0"/>
        <v>0</v>
      </c>
      <c r="D22" s="57">
        <v>165746</v>
      </c>
      <c r="E22" s="50">
        <f t="shared" si="1"/>
        <v>157</v>
      </c>
      <c r="F22" s="51">
        <v>12383208</v>
      </c>
      <c r="G22" s="50">
        <f t="shared" si="2"/>
        <v>4462</v>
      </c>
      <c r="H22" s="51">
        <v>21200143</v>
      </c>
      <c r="I22" s="50">
        <f t="shared" si="3"/>
        <v>10547</v>
      </c>
      <c r="J22" s="51">
        <v>9274543</v>
      </c>
      <c r="K22" s="50">
        <f t="shared" si="4"/>
        <v>4635</v>
      </c>
    </row>
    <row r="23" spans="1:29" ht="19.5">
      <c r="A23" s="59">
        <v>44819</v>
      </c>
      <c r="B23" s="116">
        <v>2560</v>
      </c>
      <c r="C23" s="115">
        <f t="shared" si="0"/>
        <v>0</v>
      </c>
      <c r="D23" s="57">
        <v>165881.79999999999</v>
      </c>
      <c r="E23" s="50">
        <f t="shared" si="1"/>
        <v>135.79999999998836</v>
      </c>
      <c r="F23" s="51">
        <v>12388560</v>
      </c>
      <c r="G23" s="50">
        <f t="shared" si="2"/>
        <v>5352</v>
      </c>
      <c r="H23" s="51">
        <v>21210711</v>
      </c>
      <c r="I23" s="50">
        <f t="shared" si="3"/>
        <v>10568</v>
      </c>
      <c r="J23" s="51">
        <v>9278741</v>
      </c>
      <c r="K23" s="50">
        <f t="shared" si="4"/>
        <v>4198</v>
      </c>
    </row>
    <row r="24" spans="1:29" ht="19.5">
      <c r="A24" s="59">
        <v>44820</v>
      </c>
      <c r="B24" s="116">
        <v>2560</v>
      </c>
      <c r="C24" s="115">
        <f t="shared" si="0"/>
        <v>0</v>
      </c>
      <c r="D24" s="57">
        <v>166018.79999999999</v>
      </c>
      <c r="E24" s="50">
        <f t="shared" si="1"/>
        <v>137</v>
      </c>
      <c r="F24" s="51">
        <v>12394151</v>
      </c>
      <c r="G24" s="50">
        <f t="shared" si="2"/>
        <v>5591</v>
      </c>
      <c r="H24" s="51">
        <v>21220963</v>
      </c>
      <c r="I24" s="50">
        <f t="shared" si="3"/>
        <v>10252</v>
      </c>
      <c r="J24" s="51">
        <v>9283357</v>
      </c>
      <c r="K24" s="50">
        <f t="shared" si="4"/>
        <v>4616</v>
      </c>
    </row>
    <row r="25" spans="1:29" ht="19.5">
      <c r="A25" s="59">
        <v>44821</v>
      </c>
      <c r="B25" s="116">
        <v>2560</v>
      </c>
      <c r="C25" s="115">
        <f t="shared" si="0"/>
        <v>0</v>
      </c>
      <c r="D25" s="57">
        <v>166156.20000000001</v>
      </c>
      <c r="E25" s="50">
        <f t="shared" si="1"/>
        <v>137.40000000002328</v>
      </c>
      <c r="F25" s="51">
        <v>12399360</v>
      </c>
      <c r="G25" s="50">
        <f t="shared" si="2"/>
        <v>5209</v>
      </c>
      <c r="H25" s="51">
        <v>21230491</v>
      </c>
      <c r="I25" s="50">
        <f t="shared" si="3"/>
        <v>9528</v>
      </c>
      <c r="J25" s="51">
        <v>9287383</v>
      </c>
      <c r="K25" s="50">
        <f t="shared" si="4"/>
        <v>4026</v>
      </c>
    </row>
    <row r="26" spans="1:29" ht="19.5">
      <c r="A26" s="59">
        <v>44822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44823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8" activePane="bottomRight" state="frozen"/>
      <selection pane="bottomRight" activeCell="B20" sqref="B20:H2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7806.5272716000009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1</v>
      </c>
      <c r="F11" s="41">
        <v>60</v>
      </c>
      <c r="G11" s="39">
        <f t="shared" si="9"/>
        <v>1</v>
      </c>
      <c r="H11" s="41">
        <v>60</v>
      </c>
      <c r="I11" s="39">
        <f t="shared" si="11"/>
        <v>1</v>
      </c>
      <c r="J11" s="39">
        <f t="shared" si="12"/>
        <v>230</v>
      </c>
      <c r="K11" s="39">
        <f t="shared" si="13"/>
        <v>57.5</v>
      </c>
      <c r="L11" s="39">
        <f t="shared" si="14"/>
        <v>0.75</v>
      </c>
      <c r="M11" s="149">
        <f t="shared" si="17"/>
        <v>24196</v>
      </c>
      <c r="N11" s="39">
        <f t="shared" si="15"/>
        <v>181.47</v>
      </c>
      <c r="O11" s="39">
        <f t="shared" si="16"/>
        <v>95.997630000000001</v>
      </c>
      <c r="P11" s="42">
        <f t="shared" si="10"/>
        <v>1232.6095691999999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>
        <v>55</v>
      </c>
      <c r="C12" s="39">
        <f t="shared" si="7"/>
        <v>5</v>
      </c>
      <c r="D12" s="41">
        <v>54</v>
      </c>
      <c r="E12" s="39">
        <f t="shared" si="8"/>
        <v>2</v>
      </c>
      <c r="F12" s="41">
        <v>59</v>
      </c>
      <c r="G12" s="39">
        <f t="shared" si="9"/>
        <v>5</v>
      </c>
      <c r="H12" s="41">
        <v>59</v>
      </c>
      <c r="I12" s="39">
        <f t="shared" si="11"/>
        <v>4</v>
      </c>
      <c r="J12" s="39">
        <f t="shared" si="12"/>
        <v>227</v>
      </c>
      <c r="K12" s="39">
        <f t="shared" si="13"/>
        <v>56.75</v>
      </c>
      <c r="L12" s="39">
        <f t="shared" si="14"/>
        <v>4</v>
      </c>
      <c r="M12" s="149">
        <f t="shared" si="17"/>
        <v>24196</v>
      </c>
      <c r="N12" s="39">
        <f t="shared" si="15"/>
        <v>967.84</v>
      </c>
      <c r="O12" s="39">
        <f t="shared" si="16"/>
        <v>511.98736000000002</v>
      </c>
      <c r="P12" s="42">
        <f t="shared" si="10"/>
        <v>6573.9177024000001</v>
      </c>
      <c r="Q12" s="39">
        <v>2515</v>
      </c>
      <c r="R12" s="39">
        <v>50</v>
      </c>
      <c r="S12" s="39">
        <v>85</v>
      </c>
      <c r="T12" s="39">
        <v>2610</v>
      </c>
      <c r="U12" s="39">
        <v>52</v>
      </c>
      <c r="V12" s="39">
        <v>85</v>
      </c>
      <c r="W12" s="39">
        <v>2348</v>
      </c>
      <c r="X12" s="39">
        <v>54</v>
      </c>
      <c r="Y12" s="39">
        <v>85</v>
      </c>
      <c r="Z12" s="39">
        <v>2241</v>
      </c>
      <c r="AA12" s="39">
        <v>55</v>
      </c>
      <c r="AB12" s="39">
        <v>85</v>
      </c>
      <c r="AC12" s="39">
        <f t="shared" si="4"/>
        <v>9714</v>
      </c>
      <c r="AD12" s="38">
        <f t="shared" si="5"/>
        <v>52.75</v>
      </c>
      <c r="AE12" s="38">
        <f t="shared" si="6"/>
        <v>85</v>
      </c>
    </row>
    <row r="13" spans="1:31" ht="32.25" customHeight="1">
      <c r="A13" s="40">
        <v>44814</v>
      </c>
      <c r="B13" s="41">
        <v>85</v>
      </c>
      <c r="C13" s="39">
        <f t="shared" si="7"/>
        <v>0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>
        <v>85</v>
      </c>
      <c r="C14" s="39">
        <f t="shared" si="7"/>
        <v>2</v>
      </c>
      <c r="D14" s="41">
        <v>85</v>
      </c>
      <c r="E14" s="39">
        <f t="shared" si="8"/>
        <v>0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3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>
        <v>83</v>
      </c>
      <c r="C15" s="39">
        <f t="shared" si="7"/>
        <v>1</v>
      </c>
      <c r="D15" s="41">
        <v>85</v>
      </c>
      <c r="E15" s="39">
        <f t="shared" si="8"/>
        <v>3</v>
      </c>
      <c r="F15" s="41">
        <v>85</v>
      </c>
      <c r="G15" s="39">
        <f t="shared" si="9"/>
        <v>3</v>
      </c>
      <c r="H15" s="41">
        <v>82</v>
      </c>
      <c r="I15" s="39">
        <f>IF(AC15&gt;0,((H15-AA15)+(AB15-H16)),IF(H16=0, ,(H15-H16)))</f>
        <v>0</v>
      </c>
      <c r="J15" s="39">
        <f t="shared" si="12"/>
        <v>335</v>
      </c>
      <c r="K15" s="39">
        <f t="shared" si="13"/>
        <v>83.75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2876.0889947999999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>
        <v>82</v>
      </c>
      <c r="C16" s="39">
        <f t="shared" si="7"/>
        <v>2</v>
      </c>
      <c r="D16" s="41">
        <v>82</v>
      </c>
      <c r="E16" s="39">
        <f t="shared" si="8"/>
        <v>2</v>
      </c>
      <c r="F16" s="41">
        <v>82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328</v>
      </c>
      <c r="K16" s="39">
        <f t="shared" si="13"/>
        <v>82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3286.9588512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>
        <v>80</v>
      </c>
      <c r="C17" s="39">
        <f t="shared" si="7"/>
        <v>2</v>
      </c>
      <c r="D17" s="41">
        <v>80</v>
      </c>
      <c r="E17" s="39">
        <f t="shared" si="8"/>
        <v>1</v>
      </c>
      <c r="F17" s="41">
        <v>80</v>
      </c>
      <c r="G17" s="39">
        <f t="shared" si="9"/>
        <v>2</v>
      </c>
      <c r="H17" s="41">
        <v>80</v>
      </c>
      <c r="I17" s="39">
        <f t="shared" si="11"/>
        <v>2</v>
      </c>
      <c r="J17" s="39">
        <f t="shared" si="12"/>
        <v>320</v>
      </c>
      <c r="K17" s="39">
        <f t="shared" si="13"/>
        <v>80</v>
      </c>
      <c r="L17" s="39">
        <f t="shared" si="14"/>
        <v>1.75</v>
      </c>
      <c r="M17" s="149">
        <f t="shared" si="17"/>
        <v>24196</v>
      </c>
      <c r="N17" s="39">
        <f t="shared" si="15"/>
        <v>423.43</v>
      </c>
      <c r="O17" s="39">
        <f t="shared" si="16"/>
        <v>223.99447000000001</v>
      </c>
      <c r="P17" s="42">
        <f t="shared" si="10"/>
        <v>2876.0889947999999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>
        <v>78</v>
      </c>
      <c r="C18" s="39">
        <f t="shared" si="7"/>
        <v>1</v>
      </c>
      <c r="D18" s="41">
        <v>79</v>
      </c>
      <c r="E18" s="39">
        <f t="shared" si="8"/>
        <v>2</v>
      </c>
      <c r="F18" s="41">
        <v>78</v>
      </c>
      <c r="G18" s="39">
        <f t="shared" si="9"/>
        <v>2</v>
      </c>
      <c r="H18" s="41">
        <v>78</v>
      </c>
      <c r="I18" s="39">
        <f t="shared" si="11"/>
        <v>2</v>
      </c>
      <c r="J18" s="39">
        <f t="shared" si="12"/>
        <v>313</v>
      </c>
      <c r="K18" s="39">
        <f t="shared" si="13"/>
        <v>78.25</v>
      </c>
      <c r="L18" s="39">
        <f t="shared" si="14"/>
        <v>1.75</v>
      </c>
      <c r="M18" s="149">
        <f t="shared" si="17"/>
        <v>24196</v>
      </c>
      <c r="N18" s="39">
        <f t="shared" si="15"/>
        <v>423.43</v>
      </c>
      <c r="O18" s="39">
        <f t="shared" si="16"/>
        <v>223.99447000000001</v>
      </c>
      <c r="P18" s="42">
        <f t="shared" si="10"/>
        <v>2876.0889947999999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>
        <v>77</v>
      </c>
      <c r="C19" s="39">
        <f t="shared" si="7"/>
        <v>2</v>
      </c>
      <c r="D19" s="41">
        <v>77</v>
      </c>
      <c r="E19" s="39">
        <f t="shared" si="8"/>
        <v>2</v>
      </c>
      <c r="F19" s="41">
        <v>76</v>
      </c>
      <c r="G19" s="39">
        <f t="shared" si="9"/>
        <v>1</v>
      </c>
      <c r="H19" s="41">
        <v>76</v>
      </c>
      <c r="I19" s="39">
        <f t="shared" si="11"/>
        <v>2</v>
      </c>
      <c r="J19" s="39">
        <f t="shared" si="12"/>
        <v>306</v>
      </c>
      <c r="K19" s="39">
        <f t="shared" si="13"/>
        <v>76.5</v>
      </c>
      <c r="L19" s="39">
        <f t="shared" si="14"/>
        <v>1.75</v>
      </c>
      <c r="M19" s="149">
        <f t="shared" si="17"/>
        <v>24196</v>
      </c>
      <c r="N19" s="39">
        <f t="shared" si="15"/>
        <v>423.43</v>
      </c>
      <c r="O19" s="39">
        <f t="shared" si="16"/>
        <v>223.99447000000001</v>
      </c>
      <c r="P19" s="42">
        <f t="shared" si="10"/>
        <v>2876.0889947999999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>
        <v>75</v>
      </c>
      <c r="C20" s="39">
        <f t="shared" si="7"/>
        <v>0</v>
      </c>
      <c r="D20" s="41">
        <v>75</v>
      </c>
      <c r="E20" s="39">
        <f t="shared" si="8"/>
        <v>0</v>
      </c>
      <c r="F20" s="41">
        <v>75</v>
      </c>
      <c r="G20" s="39">
        <f t="shared" si="9"/>
        <v>0</v>
      </c>
      <c r="H20" s="41">
        <v>74</v>
      </c>
      <c r="I20" s="39">
        <f t="shared" si="11"/>
        <v>0</v>
      </c>
      <c r="J20" s="39">
        <f t="shared" si="12"/>
        <v>299</v>
      </c>
      <c r="K20" s="39">
        <f t="shared" si="13"/>
        <v>74.75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7863.7000000000007</v>
      </c>
      <c r="O43" s="39">
        <f>N43*0.529</f>
        <v>4159.8973000000005</v>
      </c>
      <c r="P43" s="42">
        <f>O43*12.84</f>
        <v>53413.081332000009</v>
      </c>
      <c r="Q43" s="286">
        <f>SUM(Q4:Q42)</f>
        <v>2515</v>
      </c>
      <c r="R43" s="287"/>
      <c r="S43" s="288"/>
      <c r="T43" s="289">
        <f>SUM(T4:T42)</f>
        <v>2610</v>
      </c>
      <c r="U43" s="287"/>
      <c r="V43" s="288"/>
      <c r="W43" s="289">
        <f>SUM(W4:W42)</f>
        <v>2348</v>
      </c>
      <c r="X43" s="287"/>
      <c r="Y43" s="288"/>
      <c r="Z43" s="289">
        <f>SUM(Z4:Z42)</f>
        <v>2241</v>
      </c>
      <c r="AA43" s="287"/>
      <c r="AB43" s="288"/>
      <c r="AC43" s="39">
        <f t="shared" si="20"/>
        <v>9714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9714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9714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7863.7000000000007</v>
      </c>
      <c r="L47" s="46">
        <f>O43</f>
        <v>4159.8973000000005</v>
      </c>
      <c r="M47" s="46">
        <f>P43</f>
        <v>53413.081332000009</v>
      </c>
    </row>
    <row r="48" spans="1:31" ht="54.75" customHeight="1" thickBot="1">
      <c r="H48" s="282" t="s">
        <v>86</v>
      </c>
      <c r="I48" s="283"/>
      <c r="J48" s="284"/>
      <c r="K48" s="43">
        <f>AC44</f>
        <v>9714</v>
      </c>
      <c r="L48" s="44">
        <f>K48*0.529</f>
        <v>5138.7060000000001</v>
      </c>
      <c r="M48" s="44">
        <f>L48*12.84</f>
        <v>65980.98504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44570</v>
      </c>
      <c r="D8" s="350"/>
      <c r="E8" s="113">
        <v>44601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44405</v>
      </c>
      <c r="D8" s="350"/>
      <c r="E8" s="113">
        <v>44801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1400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29"/>
      <c r="H17" s="330"/>
      <c r="I17" s="329">
        <f>+E17</f>
        <v>329853</v>
      </c>
      <c r="J17" s="330"/>
    </row>
    <row r="18" spans="1:10">
      <c r="A18" s="327" t="s">
        <v>111</v>
      </c>
      <c r="B18" s="328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29"/>
      <c r="H18" s="330"/>
      <c r="I18" s="329">
        <f>+E18</f>
        <v>171013</v>
      </c>
      <c r="J18" s="330"/>
    </row>
    <row r="19" spans="1:10">
      <c r="A19" s="327" t="s">
        <v>112</v>
      </c>
      <c r="B19" s="328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29"/>
      <c r="H19" s="330"/>
      <c r="I19" s="329">
        <f>+E19</f>
        <v>138178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639044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04">
        <f>SUM(H25,F25)</f>
        <v>357757.24438799999</v>
      </c>
      <c r="J25" s="305"/>
    </row>
    <row r="26" spans="1:10" ht="15">
      <c r="A26" s="301" t="s">
        <v>124</v>
      </c>
      <c r="B26" s="302"/>
      <c r="C26" s="303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04">
        <f t="shared" ref="I26:I31" si="0">SUM(H26,F26)</f>
        <v>136175.94177</v>
      </c>
      <c r="J26" s="305"/>
    </row>
    <row r="27" spans="1:10" ht="15">
      <c r="A27" s="301" t="s">
        <v>125</v>
      </c>
      <c r="B27" s="302"/>
      <c r="C27" s="303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04">
        <f>SUM(H27,F27)</f>
        <v>209568.492768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17">
        <f t="shared" si="0"/>
        <v>30015.062280000006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689650.40789999999</v>
      </c>
      <c r="G32" s="85"/>
      <c r="H32" s="86"/>
      <c r="I32" s="313">
        <f>SUM(I25:J31)</f>
        <v>786147.48500599992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5198.3999999999942</v>
      </c>
      <c r="C13" s="397"/>
      <c r="D13" s="397">
        <v>8.7899999999999991</v>
      </c>
      <c r="E13" s="397"/>
      <c r="F13" s="399">
        <f>PRODUCT(D13,B13)</f>
        <v>45693.935999999943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5198.3999999999942</v>
      </c>
      <c r="C19" s="397"/>
      <c r="D19" s="397">
        <v>2.61</v>
      </c>
      <c r="E19" s="397"/>
      <c r="F19" s="397">
        <f>PRODUCT(D19,B19)</f>
        <v>13567.823999999984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59284.759999999929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4149.9331999999958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4358.1931999999961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63642.953199999924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2022-09-17T09:20:15Z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