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B09C3C9E-41FA-457A-99F7-EE3006D356EE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L38" i="119" s="1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J38" i="119" s="1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38" i="119" s="1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38" i="119" s="1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D38" i="119" s="1"/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 l="1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J31" i="117" l="1"/>
  <c r="J28" i="117"/>
  <c r="J25" i="117"/>
  <c r="J22" i="117"/>
  <c r="J19" i="117"/>
  <c r="J16" i="117"/>
  <c r="J13" i="117"/>
  <c r="J10" i="117"/>
  <c r="J7" i="117"/>
  <c r="J4" i="117"/>
  <c r="J30" i="117"/>
  <c r="J27" i="117"/>
  <c r="J24" i="117"/>
  <c r="J21" i="117"/>
  <c r="J18" i="117"/>
  <c r="J15" i="117"/>
  <c r="J12" i="117"/>
  <c r="J9" i="117"/>
  <c r="J6" i="117"/>
  <c r="J3" i="117"/>
  <c r="J32" i="117"/>
  <c r="J29" i="117"/>
  <c r="J26" i="117"/>
  <c r="J23" i="117"/>
  <c r="J20" i="117"/>
  <c r="J17" i="117"/>
  <c r="J14" i="117"/>
  <c r="J11" i="117"/>
  <c r="J8" i="117"/>
  <c r="J5" i="117"/>
  <c r="J2" i="117"/>
  <c r="L27" i="117"/>
  <c r="L21" i="117"/>
  <c r="L18" i="117"/>
  <c r="L12" i="117"/>
  <c r="L6" i="117"/>
  <c r="L32" i="117"/>
  <c r="L17" i="117"/>
  <c r="L8" i="117"/>
  <c r="L28" i="117"/>
  <c r="L25" i="117"/>
  <c r="L22" i="117"/>
  <c r="L16" i="117"/>
  <c r="L7" i="117"/>
  <c r="L4" i="117"/>
  <c r="L30" i="117"/>
  <c r="L24" i="117"/>
  <c r="L15" i="117"/>
  <c r="L9" i="117"/>
  <c r="L3" i="117"/>
  <c r="L29" i="117"/>
  <c r="L23" i="117"/>
  <c r="L14" i="117"/>
  <c r="L11" i="117"/>
  <c r="L2" i="117"/>
  <c r="L10" i="117"/>
  <c r="L20" i="117"/>
  <c r="L5" i="117"/>
  <c r="L31" i="117"/>
  <c r="L13" i="117"/>
  <c r="L26" i="117"/>
  <c r="L19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<sst xmlns="http://schemas.openxmlformats.org/spreadsheetml/2006/main" count="66" uniqueCount="32">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</sst>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3.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139</v>
          </cell>
          <cell r="H387">
            <v>124</v>
          </cell>
          <cell r="I387">
            <v>98</v>
          </cell>
          <cell r="J387">
            <v>94</v>
          </cell>
          <cell r="K387">
            <v>66</v>
          </cell>
          <cell r="L387">
            <v>90</v>
          </cell>
          <cell r="M387">
            <v>90</v>
          </cell>
          <cell r="N387">
            <v>83</v>
          </cell>
          <cell r="O387">
            <v>85</v>
          </cell>
          <cell r="P387">
            <v>134</v>
          </cell>
          <cell r="Q387">
            <v>142</v>
          </cell>
          <cell r="R387">
            <v>146</v>
          </cell>
          <cell r="S387">
            <v>118</v>
          </cell>
          <cell r="T387">
            <v>149</v>
          </cell>
          <cell r="U387">
            <v>138</v>
          </cell>
          <cell r="V387">
            <v>116</v>
          </cell>
          <cell r="W387">
            <v>130</v>
          </cell>
          <cell r="X387">
            <v>136</v>
          </cell>
          <cell r="Y387">
            <v>152</v>
          </cell>
          <cell r="Z387">
            <v>163</v>
          </cell>
          <cell r="AA387">
            <v>166</v>
          </cell>
          <cell r="AB387">
            <v>122</v>
          </cell>
          <cell r="AC387">
            <v>103</v>
          </cell>
          <cell r="AD387">
            <v>124</v>
          </cell>
          <cell r="AE387">
            <v>117</v>
          </cell>
          <cell r="AF387">
            <v>134</v>
          </cell>
          <cell r="AG387">
            <v>163</v>
          </cell>
          <cell r="AH387">
            <v>171</v>
          </cell>
          <cell r="AI387"/>
          <cell r="AJ387"/>
          <cell r="AK387"/>
        </row>
        <row r="388">
          <cell r="G388">
            <v>199</v>
          </cell>
          <cell r="H388">
            <v>181</v>
          </cell>
          <cell r="I388">
            <v>169</v>
          </cell>
          <cell r="J388">
            <v>179</v>
          </cell>
          <cell r="K388">
            <v>107</v>
          </cell>
          <cell r="L388">
            <v>148</v>
          </cell>
          <cell r="M388">
            <v>145</v>
          </cell>
          <cell r="N388">
            <v>140</v>
          </cell>
          <cell r="O388">
            <v>140</v>
          </cell>
          <cell r="P388">
            <v>260</v>
          </cell>
          <cell r="Q388">
            <v>274</v>
          </cell>
          <cell r="R388">
            <v>289</v>
          </cell>
          <cell r="S388">
            <v>186</v>
          </cell>
          <cell r="T388">
            <v>236</v>
          </cell>
          <cell r="U388">
            <v>210</v>
          </cell>
          <cell r="V388">
            <v>190</v>
          </cell>
          <cell r="W388">
            <v>234</v>
          </cell>
          <cell r="X388">
            <v>261</v>
          </cell>
          <cell r="Y388">
            <v>256</v>
          </cell>
          <cell r="Z388">
            <v>263</v>
          </cell>
          <cell r="AA388">
            <v>272</v>
          </cell>
          <cell r="AB388">
            <v>204</v>
          </cell>
          <cell r="AC388">
            <v>180</v>
          </cell>
          <cell r="AD388">
            <v>215</v>
          </cell>
          <cell r="AE388">
            <v>216</v>
          </cell>
          <cell r="AF388">
            <v>205</v>
          </cell>
          <cell r="AG388">
            <v>223</v>
          </cell>
          <cell r="AH388">
            <v>232</v>
          </cell>
          <cell r="AI388"/>
          <cell r="AJ388"/>
          <cell r="AK388"/>
        </row>
      </sheetData>
      <sheetData sheetId="6"/>
      <sheetData sheetId="7"/>
      <sheetData sheetId="8">
        <row r="23">
          <cell r="G23">
            <v>198.3</v>
          </cell>
          <cell r="H23">
            <v>210.9</v>
          </cell>
          <cell r="I23">
            <v>220.7</v>
          </cell>
          <cell r="J23">
            <v>217.6</v>
          </cell>
          <cell r="K23">
            <v>208.5</v>
          </cell>
          <cell r="L23">
            <v>183.5</v>
          </cell>
          <cell r="M23">
            <v>190.5</v>
          </cell>
          <cell r="N23">
            <v>203.2</v>
          </cell>
          <cell r="O23">
            <v>199.7</v>
          </cell>
          <cell r="P23">
            <v>221.5</v>
          </cell>
          <cell r="Q23">
            <v>233.3</v>
          </cell>
          <cell r="R23">
            <v>207.6</v>
          </cell>
          <cell r="S23">
            <v>195.6</v>
          </cell>
          <cell r="T23">
            <v>188.3</v>
          </cell>
          <cell r="U23">
            <v>215.9</v>
          </cell>
          <cell r="V23">
            <v>216</v>
          </cell>
          <cell r="W23">
            <v>223.2</v>
          </cell>
          <cell r="X23">
            <v>233.1</v>
          </cell>
          <cell r="Y23">
            <v>216.8</v>
          </cell>
          <cell r="Z23">
            <v>186.2</v>
          </cell>
          <cell r="AA23">
            <v>203.2</v>
          </cell>
          <cell r="AB23">
            <v>208.2</v>
          </cell>
          <cell r="AC23">
            <v>219.4</v>
          </cell>
          <cell r="AD23">
            <v>224.3</v>
          </cell>
          <cell r="AE23">
            <v>227.6</v>
          </cell>
          <cell r="AF23">
            <v>207.6</v>
          </cell>
          <cell r="AG23">
            <v>203.8</v>
          </cell>
          <cell r="AH23">
            <v>206.7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183</v>
          </cell>
          <cell r="I41">
            <v>166</v>
          </cell>
          <cell r="J41">
            <v>171</v>
          </cell>
          <cell r="K41">
            <v>174</v>
          </cell>
          <cell r="L41">
            <v>146</v>
          </cell>
          <cell r="M41">
            <v>140</v>
          </cell>
          <cell r="N41">
            <v>258</v>
          </cell>
          <cell r="O41">
            <v>168</v>
          </cell>
          <cell r="P41">
            <v>180</v>
          </cell>
          <cell r="Q41">
            <v>226</v>
          </cell>
          <cell r="R41">
            <v>217</v>
          </cell>
          <cell r="S41">
            <v>167</v>
          </cell>
          <cell r="T41">
            <v>170</v>
          </cell>
          <cell r="U41">
            <v>181</v>
          </cell>
          <cell r="V41">
            <v>200</v>
          </cell>
          <cell r="W41">
            <v>180</v>
          </cell>
          <cell r="X41">
            <v>197</v>
          </cell>
          <cell r="Y41">
            <v>213</v>
          </cell>
          <cell r="Z41">
            <v>195</v>
          </cell>
          <cell r="AA41">
            <v>181</v>
          </cell>
          <cell r="AB41">
            <v>182</v>
          </cell>
          <cell r="AC41">
            <v>183</v>
          </cell>
          <cell r="AD41">
            <v>163</v>
          </cell>
          <cell r="AE41">
            <v>192</v>
          </cell>
          <cell r="AF41">
            <v>193</v>
          </cell>
          <cell r="AG41">
            <v>196</v>
          </cell>
          <cell r="AH41">
            <v>184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8858.9586600000002</v>
          </cell>
          <cell r="H66">
            <v>9137.9809799999985</v>
          </cell>
          <cell r="I66">
            <v>8579.9363400000002</v>
          </cell>
          <cell r="J66">
            <v>8858.9586600000002</v>
          </cell>
          <cell r="K66">
            <v>8998.4698200000003</v>
          </cell>
          <cell r="L66">
            <v>7254.58032</v>
          </cell>
          <cell r="M66">
            <v>7812.6249600000001</v>
          </cell>
          <cell r="N66">
            <v>10463.337</v>
          </cell>
          <cell r="O66">
            <v>8789.2030800000011</v>
          </cell>
          <cell r="P66">
            <v>8998.4698200000003</v>
          </cell>
          <cell r="Q66">
            <v>10463.337</v>
          </cell>
          <cell r="R66">
            <v>10184.314679999999</v>
          </cell>
          <cell r="S66">
            <v>8719.4475000000002</v>
          </cell>
          <cell r="T66">
            <v>8789.2030800000011</v>
          </cell>
          <cell r="U66">
            <v>8858.9586600000002</v>
          </cell>
          <cell r="V66">
            <v>9905.2923600000013</v>
          </cell>
          <cell r="W66">
            <v>8719.4475000000002</v>
          </cell>
          <cell r="X66">
            <v>9277.4921400000003</v>
          </cell>
          <cell r="Y66">
            <v>10114.5591</v>
          </cell>
          <cell r="Z66">
            <v>9137.9809799999985</v>
          </cell>
          <cell r="AA66">
            <v>8928.7142400000012</v>
          </cell>
          <cell r="AB66">
            <v>8998.4698200000003</v>
          </cell>
          <cell r="AC66">
            <v>8510.1807599999993</v>
          </cell>
          <cell r="AD66">
            <v>8440.4251800000002</v>
          </cell>
          <cell r="AE66">
            <v>8440.4251800000002</v>
          </cell>
          <cell r="AF66">
            <v>9277.4921400000003</v>
          </cell>
          <cell r="AG66">
            <v>8579.9363400000002</v>
          </cell>
          <cell r="AH66">
            <v>8370.6695999999993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23241.303599999999</v>
          </cell>
          <cell r="H91">
            <v>25943.464199999999</v>
          </cell>
          <cell r="I91">
            <v>26173.482599999999</v>
          </cell>
          <cell r="J91">
            <v>21943.699799999999</v>
          </cell>
          <cell r="K91">
            <v>22235.667600000001</v>
          </cell>
          <cell r="L91">
            <v>17595.851999999999</v>
          </cell>
          <cell r="M91">
            <v>13722.4866</v>
          </cell>
          <cell r="N91">
            <v>16576.603800000001</v>
          </cell>
          <cell r="O91">
            <v>24157.487999999998</v>
          </cell>
          <cell r="P91">
            <v>29343.4584</v>
          </cell>
          <cell r="Q91">
            <v>20798.330399999999</v>
          </cell>
          <cell r="R91">
            <v>15701.533799999999</v>
          </cell>
          <cell r="S91">
            <v>19105.1394</v>
          </cell>
          <cell r="T91">
            <v>25018.112399999998</v>
          </cell>
          <cell r="U91">
            <v>29084.8266</v>
          </cell>
          <cell r="V91">
            <v>27494.421599999998</v>
          </cell>
          <cell r="W91">
            <v>23748.5664</v>
          </cell>
          <cell r="X91">
            <v>17993.661599999999</v>
          </cell>
          <cell r="Y91">
            <v>14835.3534</v>
          </cell>
          <cell r="Z91">
            <v>16746.339599999999</v>
          </cell>
          <cell r="AA91">
            <v>25997.635200000001</v>
          </cell>
          <cell r="AB91">
            <v>23839.129199999999</v>
          </cell>
          <cell r="AC91">
            <v>18490.090199999999</v>
          </cell>
          <cell r="AD91">
            <v>16850.236799999999</v>
          </cell>
          <cell r="AE91">
            <v>21817.023000000001</v>
          </cell>
          <cell r="AF91">
            <v>25292.300999999999</v>
          </cell>
          <cell r="AG91">
            <v>20275.233</v>
          </cell>
          <cell r="AH91">
            <v>14494.4928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1477.6181999999999</v>
          </cell>
          <cell r="H115">
            <v>1697.9135999999999</v>
          </cell>
          <cell r="I115">
            <v>41.67</v>
          </cell>
          <cell r="J115">
            <v>1179.261</v>
          </cell>
          <cell r="K115">
            <v>1733.472</v>
          </cell>
          <cell r="L115">
            <v>2015.1612</v>
          </cell>
          <cell r="M115">
            <v>2273.7930000000001</v>
          </cell>
          <cell r="N115">
            <v>2210.4546</v>
          </cell>
          <cell r="O115">
            <v>1736.5277999999998</v>
          </cell>
          <cell r="P115">
            <v>59.171399999999998</v>
          </cell>
          <cell r="Q115">
            <v>2447.4180000000001</v>
          </cell>
          <cell r="R115">
            <v>2999.4065999999998</v>
          </cell>
          <cell r="S115">
            <v>2177.6741999999999</v>
          </cell>
          <cell r="T115">
            <v>979.80059999999992</v>
          </cell>
          <cell r="U115">
            <v>118.8984</v>
          </cell>
          <cell r="V115">
            <v>871.18079999999998</v>
          </cell>
          <cell r="W115">
            <v>1702.6361999999999</v>
          </cell>
          <cell r="X115">
            <v>2707.4387999999999</v>
          </cell>
          <cell r="Y115">
            <v>3036.9096</v>
          </cell>
          <cell r="Z115">
            <v>3547.2282</v>
          </cell>
          <cell r="AA115">
            <v>1200.096</v>
          </cell>
          <cell r="AB115">
            <v>1726.2492</v>
          </cell>
          <cell r="AC115">
            <v>2351.8548000000001</v>
          </cell>
          <cell r="AD115">
            <v>2297.9616000000001</v>
          </cell>
          <cell r="AE115">
            <v>2328.2417999999998</v>
          </cell>
          <cell r="AF115">
            <v>1954.3229999999999</v>
          </cell>
          <cell r="AG115">
            <v>2396.0250000000001</v>
          </cell>
          <cell r="AH115">
            <v>3551.1174000000001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15952</v>
          </cell>
          <cell r="H147">
            <v>15744</v>
          </cell>
          <cell r="I147">
            <v>16561</v>
          </cell>
          <cell r="J147">
            <v>15622</v>
          </cell>
          <cell r="K147">
            <v>15364</v>
          </cell>
          <cell r="L147">
            <v>14135</v>
          </cell>
          <cell r="M147">
            <v>14424</v>
          </cell>
          <cell r="N147">
            <v>14965</v>
          </cell>
          <cell r="O147">
            <v>15543</v>
          </cell>
          <cell r="P147">
            <v>16494</v>
          </cell>
          <cell r="Q147">
            <v>16349</v>
          </cell>
          <cell r="R147">
            <v>15715</v>
          </cell>
          <cell r="S147">
            <v>15445</v>
          </cell>
          <cell r="T147">
            <v>15655</v>
          </cell>
          <cell r="U147">
            <v>16449</v>
          </cell>
          <cell r="V147">
            <v>16329</v>
          </cell>
          <cell r="W147">
            <v>16012</v>
          </cell>
          <cell r="X147">
            <v>15813</v>
          </cell>
          <cell r="Y147">
            <v>15774</v>
          </cell>
          <cell r="Z147">
            <v>14637</v>
          </cell>
          <cell r="AA147">
            <v>15924</v>
          </cell>
          <cell r="AB147">
            <v>15377</v>
          </cell>
          <cell r="AC147">
            <v>15295</v>
          </cell>
          <cell r="AD147">
            <v>15225</v>
          </cell>
          <cell r="AE147">
            <v>15353</v>
          </cell>
          <cell r="AF147">
            <v>15272</v>
          </cell>
          <cell r="AG147">
            <v>14944</v>
          </cell>
          <cell r="AH147">
            <v>15004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35.06</v>
          </cell>
        </row>
        <row r="23">
          <cell r="M23">
            <v>158.86824649134761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412.53300000000002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412.81079999999997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411.14400000000001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412.2552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412.53300000000002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412.81079999999997</v>
          </cell>
        </row>
      </sheetData>
      <sheetData sheetId="35">
        <row r="29">
          <cell r="C29">
            <v>413.08859999999999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413.3664</v>
          </cell>
        </row>
      </sheetData>
      <sheetData sheetId="38">
        <row r="29">
          <cell r="C29">
            <v>412.53300000000002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V3">
            <v>39.765556037289926</v>
          </cell>
          <cell r="AE3">
            <v>24.422196894420253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F37" sqref="F3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2023</v>
      </c>
      <c r="E2" s="9">
        <f>'Otemachi Daily'!D5</f>
        <v>15952</v>
      </c>
      <c r="F2" s="34">
        <f>[1]見込!$G$3</f>
        <v>35.06</v>
      </c>
      <c r="G2" s="9">
        <f>'Otemachi Daily'!F5</f>
        <v>198.3</v>
      </c>
      <c r="H2" s="34">
        <f>[1]見込!$M$23</f>
        <v>158.86824649134761</v>
      </c>
      <c r="I2" s="9">
        <f>'Otemachi Daily'!H5</f>
        <v>1890.7067999999999</v>
      </c>
      <c r="J2" s="34">
        <f>[2]Sheet1!$V$3</f>
        <v>39.765556037289926</v>
      </c>
      <c r="K2" s="9">
        <f>'Otemachi Daily'!J5</f>
        <v>32100.26226</v>
      </c>
      <c r="L2" s="34">
        <f>[2]Sheet1!$AE$3</f>
        <v>24.422196894420253</v>
      </c>
      <c r="M2" s="9">
        <f>'Otemachi Daily'!L5</f>
        <v>167</v>
      </c>
      <c r="N2" s="34">
        <v>741</v>
      </c>
      <c r="O2" s="9">
        <f>'Otemachi Daily'!M5</f>
        <v>139</v>
      </c>
      <c r="P2" s="9">
        <f>'Otemachi Daily'!N5</f>
        <v>199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2023</v>
      </c>
      <c r="E3" s="9">
        <f>'Otemachi Daily'!D6</f>
        <v>15744</v>
      </c>
      <c r="F3" s="34">
        <f>[1]見込!$G$3</f>
        <v>35.06</v>
      </c>
      <c r="G3" s="9">
        <f>'Otemachi Daily'!F6</f>
        <v>210.9</v>
      </c>
      <c r="H3" s="34">
        <f>[1]見込!$M$23</f>
        <v>158.86824649134761</v>
      </c>
      <c r="I3" s="9">
        <f>'Otemachi Daily'!H6</f>
        <v>2111.0021999999999</v>
      </c>
      <c r="J3" s="34">
        <f>[2]Sheet1!$V$3</f>
        <v>39.765556037289926</v>
      </c>
      <c r="K3" s="9">
        <f>'Otemachi Daily'!J6</f>
        <v>35081.445179999995</v>
      </c>
      <c r="L3" s="34">
        <f>[2]Sheet1!$AE$3</f>
        <v>24.422196894420253</v>
      </c>
      <c r="M3" s="9">
        <f>'Otemachi Daily'!L6</f>
        <v>183</v>
      </c>
      <c r="N3" s="34">
        <v>741</v>
      </c>
      <c r="O3" s="9">
        <f>'Otemachi Daily'!M6</f>
        <v>124</v>
      </c>
      <c r="P3" s="9">
        <f>'Otemachi Daily'!N6</f>
        <v>181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2023</v>
      </c>
      <c r="E4" s="9">
        <f>'Otemachi Daily'!D7</f>
        <v>16561</v>
      </c>
      <c r="F4" s="34">
        <f>[1]見込!$G$3</f>
        <v>35.06</v>
      </c>
      <c r="G4" s="9">
        <f>'Otemachi Daily'!F7</f>
        <v>220.7</v>
      </c>
      <c r="H4" s="34">
        <f>[1]見込!$M$23</f>
        <v>158.86824649134761</v>
      </c>
      <c r="I4" s="9">
        <f>'Otemachi Daily'!H7</f>
        <v>454.20300000000003</v>
      </c>
      <c r="J4" s="34">
        <f>[2]Sheet1!$V$3</f>
        <v>39.765556037289926</v>
      </c>
      <c r="K4" s="9">
        <f>'Otemachi Daily'!J7</f>
        <v>34753.418940000003</v>
      </c>
      <c r="L4" s="34">
        <f>[2]Sheet1!$AE$3</f>
        <v>24.422196894420253</v>
      </c>
      <c r="M4" s="9">
        <f>'Otemachi Daily'!L7</f>
        <v>166</v>
      </c>
      <c r="N4" s="34">
        <v>741</v>
      </c>
      <c r="O4" s="9">
        <f>'Otemachi Daily'!M7</f>
        <v>98</v>
      </c>
      <c r="P4" s="9">
        <f>'Otemachi Daily'!N7</f>
        <v>169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f>'Otemachi Daily'!D8</f>
        <v>15622</v>
      </c>
      <c r="F5" s="34">
        <f>[1]見込!$G$3</f>
        <v>35.06</v>
      </c>
      <c r="G5" s="9">
        <f>'Otemachi Daily'!F8</f>
        <v>217.6</v>
      </c>
      <c r="H5" s="34">
        <f>[1]見込!$M$23</f>
        <v>158.86824649134761</v>
      </c>
      <c r="I5" s="9">
        <f>'Otemachi Daily'!H8</f>
        <v>1592.6273999999999</v>
      </c>
      <c r="J5" s="34">
        <f>[2]Sheet1!$V$3</f>
        <v>39.765556037289926</v>
      </c>
      <c r="K5" s="9">
        <f>'Otemachi Daily'!J8</f>
        <v>30802.658459999999</v>
      </c>
      <c r="L5" s="34">
        <f>[2]Sheet1!$AE$3</f>
        <v>24.422196894420253</v>
      </c>
      <c r="M5" s="9">
        <f>'Otemachi Daily'!L8</f>
        <v>171</v>
      </c>
      <c r="N5" s="34">
        <v>741</v>
      </c>
      <c r="O5" s="9">
        <f>'Otemachi Daily'!M8</f>
        <v>94</v>
      </c>
      <c r="P5" s="9">
        <f>'Otemachi Daily'!N8</f>
        <v>179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f>'Otemachi Daily'!D9</f>
        <v>15364</v>
      </c>
      <c r="F6" s="34">
        <f>[1]見込!$G$3</f>
        <v>35.06</v>
      </c>
      <c r="G6" s="9">
        <f>'Otemachi Daily'!F9</f>
        <v>208.5</v>
      </c>
      <c r="H6" s="34">
        <f>[1]見込!$M$23</f>
        <v>158.86824649134761</v>
      </c>
      <c r="I6" s="9">
        <f>'Otemachi Daily'!H9</f>
        <v>2146.5605999999998</v>
      </c>
      <c r="J6" s="34">
        <f>[2]Sheet1!$V$3</f>
        <v>39.765556037289926</v>
      </c>
      <c r="K6" s="9">
        <f>'Otemachi Daily'!J9</f>
        <v>31234.137419999999</v>
      </c>
      <c r="L6" s="34">
        <f>[2]Sheet1!$AE$3</f>
        <v>24.422196894420253</v>
      </c>
      <c r="M6" s="9">
        <f>'Otemachi Daily'!L9</f>
        <v>174</v>
      </c>
      <c r="N6" s="34">
        <v>741</v>
      </c>
      <c r="O6" s="9">
        <f>'Otemachi Daily'!M9</f>
        <v>66</v>
      </c>
      <c r="P6" s="9">
        <f>'Otemachi Daily'!N9</f>
        <v>107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f>'Otemachi Daily'!D10</f>
        <v>14135</v>
      </c>
      <c r="F7" s="34">
        <f>[1]見込!$G$3</f>
        <v>35.06</v>
      </c>
      <c r="G7" s="9">
        <f>'Otemachi Daily'!F10</f>
        <v>183.5</v>
      </c>
      <c r="H7" s="34">
        <f>[1]見込!$M$23</f>
        <v>158.86824649134761</v>
      </c>
      <c r="I7" s="9">
        <f>'Otemachi Daily'!H10</f>
        <v>2427.9719999999998</v>
      </c>
      <c r="J7" s="34">
        <f>[2]Sheet1!$V$3</f>
        <v>39.765556037289926</v>
      </c>
      <c r="K7" s="9">
        <f>'Otemachi Daily'!J10</f>
        <v>24850.43232</v>
      </c>
      <c r="L7" s="34">
        <f>[2]Sheet1!$AE$3</f>
        <v>24.422196894420253</v>
      </c>
      <c r="M7" s="9">
        <f>'Otemachi Daily'!L10</f>
        <v>146</v>
      </c>
      <c r="N7" s="34">
        <v>741</v>
      </c>
      <c r="O7" s="9">
        <f>'Otemachi Daily'!M10</f>
        <v>90</v>
      </c>
      <c r="P7" s="9">
        <f>'Otemachi Daily'!N10</f>
        <v>148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f>'Otemachi Daily'!D11</f>
        <v>14424</v>
      </c>
      <c r="F8" s="34">
        <f>[1]見込!$G$3</f>
        <v>35.06</v>
      </c>
      <c r="G8" s="9">
        <f>'Otemachi Daily'!F11</f>
        <v>190.5</v>
      </c>
      <c r="H8" s="34">
        <f>[1]見込!$M$23</f>
        <v>158.86824649134761</v>
      </c>
      <c r="I8" s="9">
        <f>'Otemachi Daily'!H11</f>
        <v>2686.6037999999999</v>
      </c>
      <c r="J8" s="34">
        <f>[2]Sheet1!$V$3</f>
        <v>39.765556037289926</v>
      </c>
      <c r="K8" s="9">
        <f>'Otemachi Daily'!J11</f>
        <v>21535.111560000001</v>
      </c>
      <c r="L8" s="34">
        <f>[2]Sheet1!$AE$3</f>
        <v>24.422196894420253</v>
      </c>
      <c r="M8" s="9">
        <f>'Otemachi Daily'!L11</f>
        <v>140</v>
      </c>
      <c r="N8" s="34">
        <v>741</v>
      </c>
      <c r="O8" s="9">
        <f>'Otemachi Daily'!M11</f>
        <v>90</v>
      </c>
      <c r="P8" s="9">
        <f>'Otemachi Daily'!N11</f>
        <v>145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f>'Otemachi Daily'!D12</f>
        <v>14965</v>
      </c>
      <c r="F9" s="34">
        <f>[1]見込!$G$3</f>
        <v>35.06</v>
      </c>
      <c r="G9" s="9">
        <f>'Otemachi Daily'!F12</f>
        <v>203.2</v>
      </c>
      <c r="H9" s="34">
        <f>[1]見込!$M$23</f>
        <v>158.86824649134761</v>
      </c>
      <c r="I9" s="9">
        <f>'Otemachi Daily'!H12</f>
        <v>2623.5432000000001</v>
      </c>
      <c r="J9" s="34">
        <f>[2]Sheet1!$V$3</f>
        <v>39.765556037289926</v>
      </c>
      <c r="K9" s="9">
        <f>'Otemachi Daily'!J12</f>
        <v>27039.9408</v>
      </c>
      <c r="L9" s="34">
        <f>[2]Sheet1!$AE$3</f>
        <v>24.422196894420253</v>
      </c>
      <c r="M9" s="9">
        <f>'Otemachi Daily'!L12</f>
        <v>258</v>
      </c>
      <c r="N9" s="34">
        <v>741</v>
      </c>
      <c r="O9" s="9">
        <f>'Otemachi Daily'!M12</f>
        <v>83</v>
      </c>
      <c r="P9" s="9">
        <f>'Otemachi Daily'!N12</f>
        <v>140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f>'Otemachi Daily'!D13</f>
        <v>15543</v>
      </c>
      <c r="F10" s="34">
        <f>[1]見込!$G$3</f>
        <v>35.06</v>
      </c>
      <c r="G10" s="9">
        <f>'Otemachi Daily'!F13</f>
        <v>199.7</v>
      </c>
      <c r="H10" s="34">
        <f>[1]見込!$M$23</f>
        <v>158.86824649134761</v>
      </c>
      <c r="I10" s="9">
        <f>'Otemachi Daily'!H13</f>
        <v>2147.6718000000001</v>
      </c>
      <c r="J10" s="34">
        <f>[2]Sheet1!$V$3</f>
        <v>39.765556037289926</v>
      </c>
      <c r="K10" s="9">
        <f>'Otemachi Daily'!J13</f>
        <v>32946.691079999997</v>
      </c>
      <c r="L10" s="34">
        <f>[2]Sheet1!$AE$3</f>
        <v>24.422196894420253</v>
      </c>
      <c r="M10" s="9">
        <f>'Otemachi Daily'!L13</f>
        <v>168</v>
      </c>
      <c r="N10" s="34">
        <v>741</v>
      </c>
      <c r="O10" s="9">
        <f>'Otemachi Daily'!M13</f>
        <v>85</v>
      </c>
      <c r="P10" s="9">
        <f>'Otemachi Daily'!N13</f>
        <v>140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f>'Otemachi Daily'!D14</f>
        <v>16494</v>
      </c>
      <c r="F11" s="34">
        <f>[1]見込!$G$3</f>
        <v>35.06</v>
      </c>
      <c r="G11" s="9">
        <f>'Otemachi Daily'!F14</f>
        <v>221.5</v>
      </c>
      <c r="H11" s="34">
        <f>[1]見込!$M$23</f>
        <v>158.86824649134761</v>
      </c>
      <c r="I11" s="9">
        <f>'Otemachi Daily'!H14</f>
        <v>472.5378</v>
      </c>
      <c r="J11" s="34">
        <f>[2]Sheet1!$V$3</f>
        <v>39.765556037289926</v>
      </c>
      <c r="K11" s="9">
        <f>'Otemachi Daily'!J14</f>
        <v>38341.928220000002</v>
      </c>
      <c r="L11" s="34">
        <f>[2]Sheet1!$AE$3</f>
        <v>24.422196894420253</v>
      </c>
      <c r="M11" s="9">
        <f>'Otemachi Daily'!L14</f>
        <v>180</v>
      </c>
      <c r="N11" s="34">
        <v>741</v>
      </c>
      <c r="O11" s="9">
        <f>'Otemachi Daily'!M14</f>
        <v>134</v>
      </c>
      <c r="P11" s="9">
        <f>'Otemachi Daily'!N14</f>
        <v>260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f>'Otemachi Daily'!D15</f>
        <v>16349</v>
      </c>
      <c r="F12" s="34">
        <f>[1]見込!$G$3</f>
        <v>35.06</v>
      </c>
      <c r="G12" s="9">
        <f>'Otemachi Daily'!F15</f>
        <v>233.3</v>
      </c>
      <c r="H12" s="34">
        <f>[1]見込!$M$23</f>
        <v>158.86824649134761</v>
      </c>
      <c r="I12" s="9">
        <f>'Otemachi Daily'!H15</f>
        <v>2859.951</v>
      </c>
      <c r="J12" s="34">
        <f>[2]Sheet1!$V$3</f>
        <v>39.765556037289926</v>
      </c>
      <c r="K12" s="9">
        <f>'Otemachi Daily'!J15</f>
        <v>31261.667399999998</v>
      </c>
      <c r="L12" s="34">
        <f>[2]Sheet1!$AE$3</f>
        <v>24.422196894420253</v>
      </c>
      <c r="M12" s="9">
        <f>'Otemachi Daily'!L15</f>
        <v>226</v>
      </c>
      <c r="N12" s="34">
        <v>741</v>
      </c>
      <c r="O12" s="9">
        <f>'Otemachi Daily'!M15</f>
        <v>142</v>
      </c>
      <c r="P12" s="9">
        <f>'Otemachi Daily'!N15</f>
        <v>274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f>'Otemachi Daily'!D16</f>
        <v>15715</v>
      </c>
      <c r="F13" s="34">
        <f>[1]見込!$G$3</f>
        <v>35.06</v>
      </c>
      <c r="G13" s="9">
        <f>'Otemachi Daily'!F16</f>
        <v>207.6</v>
      </c>
      <c r="H13" s="34">
        <f>[1]見込!$M$23</f>
        <v>158.86824649134761</v>
      </c>
      <c r="I13" s="9">
        <f>'Otemachi Daily'!H16</f>
        <v>3412.7729999999997</v>
      </c>
      <c r="J13" s="34">
        <f>[2]Sheet1!$V$3</f>
        <v>39.765556037289926</v>
      </c>
      <c r="K13" s="9">
        <f>'Otemachi Daily'!J16</f>
        <v>25885.848480000001</v>
      </c>
      <c r="L13" s="34">
        <f>[2]Sheet1!$AE$3</f>
        <v>24.422196894420253</v>
      </c>
      <c r="M13" s="9">
        <f>'Otemachi Daily'!L16</f>
        <v>217</v>
      </c>
      <c r="N13" s="34">
        <v>741</v>
      </c>
      <c r="O13" s="9">
        <f>'Otemachi Daily'!M16</f>
        <v>146</v>
      </c>
      <c r="P13" s="9">
        <f>'Otemachi Daily'!N16</f>
        <v>289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f>'Otemachi Daily'!D17</f>
        <v>15445</v>
      </c>
      <c r="F14" s="34">
        <f>[1]見込!$G$3</f>
        <v>35.06</v>
      </c>
      <c r="G14" s="9">
        <f>'Otemachi Daily'!F17</f>
        <v>195.6</v>
      </c>
      <c r="H14" s="34">
        <f>[1]見込!$M$23</f>
        <v>158.86824649134761</v>
      </c>
      <c r="I14" s="9">
        <f>'Otemachi Daily'!H17</f>
        <v>2589.9294</v>
      </c>
      <c r="J14" s="34">
        <f>[2]Sheet1!$V$3</f>
        <v>39.765556037289926</v>
      </c>
      <c r="K14" s="9">
        <f>'Otemachi Daily'!J17</f>
        <v>27824.586900000002</v>
      </c>
      <c r="L14" s="34">
        <f>[2]Sheet1!$AE$3</f>
        <v>24.422196894420253</v>
      </c>
      <c r="M14" s="9">
        <f>'Otemachi Daily'!L17</f>
        <v>167</v>
      </c>
      <c r="N14" s="34">
        <v>741</v>
      </c>
      <c r="O14" s="9">
        <f>'Otemachi Daily'!M17</f>
        <v>118</v>
      </c>
      <c r="P14" s="9">
        <f>'Otemachi Daily'!N17</f>
        <v>186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f>'Otemachi Daily'!D18</f>
        <v>15655</v>
      </c>
      <c r="F15" s="34">
        <f>[1]見込!$G$3</f>
        <v>35.06</v>
      </c>
      <c r="G15" s="9">
        <f>'Otemachi Daily'!F18</f>
        <v>188.3</v>
      </c>
      <c r="H15" s="34">
        <f>[1]見込!$M$23</f>
        <v>158.86824649134761</v>
      </c>
      <c r="I15" s="9">
        <f>'Otemachi Daily'!H18</f>
        <v>1392.6113999999998</v>
      </c>
      <c r="J15" s="34">
        <f>[2]Sheet1!$V$3</f>
        <v>39.765556037289926</v>
      </c>
      <c r="K15" s="9">
        <f>'Otemachi Daily'!J18</f>
        <v>33807.315479999997</v>
      </c>
      <c r="L15" s="34">
        <f>[2]Sheet1!$AE$3</f>
        <v>24.422196894420253</v>
      </c>
      <c r="M15" s="9">
        <f>'Otemachi Daily'!L18</f>
        <v>170</v>
      </c>
      <c r="N15" s="34">
        <v>741</v>
      </c>
      <c r="O15" s="9">
        <f>'Otemachi Daily'!M18</f>
        <v>149</v>
      </c>
      <c r="P15" s="9">
        <f>'Otemachi Daily'!N18</f>
        <v>236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f>'Otemachi Daily'!D19</f>
        <v>16449</v>
      </c>
      <c r="F16" s="34">
        <f>[1]見込!$G$3</f>
        <v>35.06</v>
      </c>
      <c r="G16" s="9">
        <f>'Otemachi Daily'!F19</f>
        <v>215.9</v>
      </c>
      <c r="H16" s="34">
        <f>[1]見込!$M$23</f>
        <v>158.86824649134761</v>
      </c>
      <c r="I16" s="9">
        <f>'Otemachi Daily'!H19</f>
        <v>531.70920000000001</v>
      </c>
      <c r="J16" s="34">
        <f>[2]Sheet1!$V$3</f>
        <v>39.765556037289926</v>
      </c>
      <c r="K16" s="9">
        <f>'Otemachi Daily'!J19</f>
        <v>37943.785260000004</v>
      </c>
      <c r="L16" s="34">
        <f>[2]Sheet1!$AE$3</f>
        <v>24.422196894420253</v>
      </c>
      <c r="M16" s="9">
        <f>'Otemachi Daily'!L19</f>
        <v>181</v>
      </c>
      <c r="N16" s="34">
        <v>741</v>
      </c>
      <c r="O16" s="9">
        <f>'Otemachi Daily'!M19</f>
        <v>138</v>
      </c>
      <c r="P16" s="9">
        <f>'Otemachi Daily'!N19</f>
        <v>210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f>'Otemachi Daily'!D20</f>
        <v>16329</v>
      </c>
      <c r="F17" s="34">
        <f>[1]見込!$G$3</f>
        <v>35.06</v>
      </c>
      <c r="G17" s="9">
        <f>'Otemachi Daily'!F20</f>
        <v>216</v>
      </c>
      <c r="H17" s="34">
        <f>[1]見込!$M$23</f>
        <v>158.86824649134761</v>
      </c>
      <c r="I17" s="9">
        <f>'Otemachi Daily'!H20</f>
        <v>1284.825</v>
      </c>
      <c r="J17" s="34">
        <f>[2]Sheet1!$V$3</f>
        <v>39.765556037289926</v>
      </c>
      <c r="K17" s="9">
        <f>'Otemachi Daily'!J20</f>
        <v>37399.713960000001</v>
      </c>
      <c r="L17" s="34">
        <f>[2]Sheet1!$AE$3</f>
        <v>24.422196894420253</v>
      </c>
      <c r="M17" s="9">
        <f>'Otemachi Daily'!L20</f>
        <v>200</v>
      </c>
      <c r="N17" s="34">
        <v>741</v>
      </c>
      <c r="O17" s="9">
        <f>'Otemachi Daily'!M20</f>
        <v>116</v>
      </c>
      <c r="P17" s="9">
        <f>'Otemachi Daily'!N20</f>
        <v>190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f>'Otemachi Daily'!D21</f>
        <v>16012</v>
      </c>
      <c r="F18" s="34">
        <f>[1]見込!$G$3</f>
        <v>35.06</v>
      </c>
      <c r="G18" s="9">
        <f>'Otemachi Daily'!F21</f>
        <v>223.2</v>
      </c>
      <c r="H18" s="34">
        <f>[1]見込!$M$23</f>
        <v>158.86824649134761</v>
      </c>
      <c r="I18" s="9">
        <f>'Otemachi Daily'!H21</f>
        <v>2115.1691999999998</v>
      </c>
      <c r="J18" s="34">
        <f>[2]Sheet1!$V$3</f>
        <v>39.765556037289926</v>
      </c>
      <c r="K18" s="9">
        <f>'Otemachi Daily'!J21</f>
        <v>32468.013899999998</v>
      </c>
      <c r="L18" s="34">
        <f>[2]Sheet1!$AE$3</f>
        <v>24.422196894420253</v>
      </c>
      <c r="M18" s="9">
        <f>'Otemachi Daily'!L21</f>
        <v>180</v>
      </c>
      <c r="N18" s="34">
        <v>741</v>
      </c>
      <c r="O18" s="9">
        <f>'Otemachi Daily'!M21</f>
        <v>130</v>
      </c>
      <c r="P18" s="9">
        <f>'Otemachi Daily'!N21</f>
        <v>234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f>'Otemachi Daily'!D22</f>
        <v>15813</v>
      </c>
      <c r="F19" s="34">
        <f>[1]見込!$G$3</f>
        <v>35.06</v>
      </c>
      <c r="G19" s="9">
        <f>'Otemachi Daily'!F22</f>
        <v>233.1</v>
      </c>
      <c r="H19" s="34">
        <f>[1]見込!$M$23</f>
        <v>158.86824649134761</v>
      </c>
      <c r="I19" s="9">
        <f>'Otemachi Daily'!H22</f>
        <v>3120.8051999999998</v>
      </c>
      <c r="J19" s="34">
        <f>[2]Sheet1!$V$3</f>
        <v>39.765556037289926</v>
      </c>
      <c r="K19" s="9">
        <f>'Otemachi Daily'!J22</f>
        <v>27271.153740000002</v>
      </c>
      <c r="L19" s="34">
        <f>[2]Sheet1!$AE$3</f>
        <v>24.422196894420253</v>
      </c>
      <c r="M19" s="9">
        <f>'Otemachi Daily'!L22</f>
        <v>197</v>
      </c>
      <c r="N19" s="34">
        <v>741</v>
      </c>
      <c r="O19" s="9">
        <f>'Otemachi Daily'!M22</f>
        <v>136</v>
      </c>
      <c r="P19" s="9">
        <f>'Otemachi Daily'!N22</f>
        <v>261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f>'Otemachi Daily'!D23</f>
        <v>15774</v>
      </c>
      <c r="F20" s="34">
        <f>[1]見込!$G$3</f>
        <v>35.06</v>
      </c>
      <c r="G20" s="9">
        <f>'Otemachi Daily'!F23</f>
        <v>216.8</v>
      </c>
      <c r="H20" s="34">
        <f>[1]見込!$M$23</f>
        <v>158.86824649134761</v>
      </c>
      <c r="I20" s="9">
        <f>'Otemachi Daily'!H23</f>
        <v>3449.7204000000002</v>
      </c>
      <c r="J20" s="34">
        <f>[2]Sheet1!$V$3</f>
        <v>39.765556037289926</v>
      </c>
      <c r="K20" s="9">
        <f>'Otemachi Daily'!J23</f>
        <v>24949.912499999999</v>
      </c>
      <c r="L20" s="34">
        <f>[2]Sheet1!$AE$3</f>
        <v>24.422196894420253</v>
      </c>
      <c r="M20" s="9">
        <f>'Otemachi Daily'!L23</f>
        <v>213</v>
      </c>
      <c r="N20" s="34">
        <v>741</v>
      </c>
      <c r="O20" s="9">
        <f>'Otemachi Daily'!M23</f>
        <v>152</v>
      </c>
      <c r="P20" s="9">
        <f>'Otemachi Daily'!N23</f>
        <v>256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f>'Otemachi Daily'!D24</f>
        <v>14637</v>
      </c>
      <c r="F21" s="34">
        <f>[1]見込!$G$3</f>
        <v>35.06</v>
      </c>
      <c r="G21" s="9">
        <f>'Otemachi Daily'!F24</f>
        <v>186.2</v>
      </c>
      <c r="H21" s="34">
        <f>[1]見込!$M$23</f>
        <v>158.86824649134761</v>
      </c>
      <c r="I21" s="9">
        <f>'Otemachi Daily'!H24</f>
        <v>3960.5945999999999</v>
      </c>
      <c r="J21" s="34">
        <f>[2]Sheet1!$V$3</f>
        <v>39.765556037289926</v>
      </c>
      <c r="K21" s="9">
        <f>'Otemachi Daily'!J24</f>
        <v>25884.32058</v>
      </c>
      <c r="L21" s="34">
        <f>[2]Sheet1!$AE$3</f>
        <v>24.422196894420253</v>
      </c>
      <c r="M21" s="9">
        <f>'Otemachi Daily'!L24</f>
        <v>195</v>
      </c>
      <c r="N21" s="34">
        <v>741</v>
      </c>
      <c r="O21" s="9">
        <f>'Otemachi Daily'!M24</f>
        <v>163</v>
      </c>
      <c r="P21" s="9">
        <f>'Otemachi Daily'!N24</f>
        <v>263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f>'Otemachi Daily'!D25</f>
        <v>15924</v>
      </c>
      <c r="F22" s="34">
        <f>[1]見込!$G$3</f>
        <v>35.06</v>
      </c>
      <c r="G22" s="9">
        <f>'Otemachi Daily'!F25</f>
        <v>203.2</v>
      </c>
      <c r="H22" s="34">
        <f>[1]見込!$M$23</f>
        <v>158.86824649134761</v>
      </c>
      <c r="I22" s="9">
        <f>'Otemachi Daily'!H25</f>
        <v>1612.6289999999999</v>
      </c>
      <c r="J22" s="34">
        <f>[2]Sheet1!$V$3</f>
        <v>39.765556037289926</v>
      </c>
      <c r="K22" s="9">
        <f>'Otemachi Daily'!J25</f>
        <v>34926.349440000005</v>
      </c>
      <c r="L22" s="34">
        <f>[2]Sheet1!$AE$3</f>
        <v>24.422196894420253</v>
      </c>
      <c r="M22" s="9">
        <f>'Otemachi Daily'!L25</f>
        <v>181</v>
      </c>
      <c r="N22" s="34">
        <v>741</v>
      </c>
      <c r="O22" s="9">
        <f>'Otemachi Daily'!M25</f>
        <v>166</v>
      </c>
      <c r="P22" s="9">
        <f>'Otemachi Daily'!N25</f>
        <v>272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f>'Otemachi Daily'!D26</f>
        <v>15377</v>
      </c>
      <c r="F23" s="34">
        <f>[1]見込!$G$3</f>
        <v>35.06</v>
      </c>
      <c r="G23" s="9">
        <f>'Otemachi Daily'!F26</f>
        <v>208.2</v>
      </c>
      <c r="H23" s="34">
        <f>[1]見込!$M$23</f>
        <v>158.86824649134761</v>
      </c>
      <c r="I23" s="9">
        <f>'Otemachi Daily'!H26</f>
        <v>2139.6156000000001</v>
      </c>
      <c r="J23" s="34">
        <f>[2]Sheet1!$V$3</f>
        <v>39.765556037289926</v>
      </c>
      <c r="K23" s="9">
        <f>'Otemachi Daily'!J26</f>
        <v>32837.599020000001</v>
      </c>
      <c r="L23" s="34">
        <f>[2]Sheet1!$AE$3</f>
        <v>24.422196894420253</v>
      </c>
      <c r="M23" s="9">
        <f>'Otemachi Daily'!L26</f>
        <v>182</v>
      </c>
      <c r="N23" s="34">
        <v>741</v>
      </c>
      <c r="O23" s="9">
        <f>'Otemachi Daily'!M26</f>
        <v>122</v>
      </c>
      <c r="P23" s="9">
        <f>'Otemachi Daily'!N26</f>
        <v>204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f>'Otemachi Daily'!D27</f>
        <v>15295</v>
      </c>
      <c r="F24" s="34">
        <f>[1]見込!$G$3</f>
        <v>35.06</v>
      </c>
      <c r="G24" s="9">
        <f>'Otemachi Daily'!F27</f>
        <v>219.4</v>
      </c>
      <c r="H24" s="34">
        <f>[1]見込!$M$23</f>
        <v>158.86824649134761</v>
      </c>
      <c r="I24" s="9">
        <f>'Otemachi Daily'!H27</f>
        <v>2764.6656000000003</v>
      </c>
      <c r="J24" s="34">
        <f>[2]Sheet1!$V$3</f>
        <v>39.765556037289926</v>
      </c>
      <c r="K24" s="9">
        <f>'Otemachi Daily'!J27</f>
        <v>27000.270959999998</v>
      </c>
      <c r="L24" s="34">
        <f>[2]Sheet1!$AE$3</f>
        <v>24.422196894420253</v>
      </c>
      <c r="M24" s="9">
        <f>'Otemachi Daily'!L27</f>
        <v>183</v>
      </c>
      <c r="N24" s="34">
        <v>741</v>
      </c>
      <c r="O24" s="9">
        <f>'Otemachi Daily'!M27</f>
        <v>103</v>
      </c>
      <c r="P24" s="9">
        <f>'Otemachi Daily'!N27</f>
        <v>180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f>'Otemachi Daily'!D28</f>
        <v>15225</v>
      </c>
      <c r="F25" s="34">
        <f>[1]見込!$G$3</f>
        <v>35.06</v>
      </c>
      <c r="G25" s="9">
        <f>'Otemachi Daily'!F28</f>
        <v>224.3</v>
      </c>
      <c r="H25" s="34">
        <f>[1]見込!$M$23</f>
        <v>158.86824649134761</v>
      </c>
      <c r="I25" s="9">
        <f>'Otemachi Daily'!H28</f>
        <v>2711.0502000000001</v>
      </c>
      <c r="J25" s="34">
        <f>[2]Sheet1!$V$3</f>
        <v>39.765556037289926</v>
      </c>
      <c r="K25" s="9">
        <f>'Otemachi Daily'!J28</f>
        <v>25290.661979999997</v>
      </c>
      <c r="L25" s="34">
        <f>[2]Sheet1!$AE$3</f>
        <v>24.422196894420253</v>
      </c>
      <c r="M25" s="9">
        <f>'Otemachi Daily'!L28</f>
        <v>163</v>
      </c>
      <c r="N25" s="34">
        <v>741</v>
      </c>
      <c r="O25" s="9">
        <f>'Otemachi Daily'!M28</f>
        <v>124</v>
      </c>
      <c r="P25" s="9">
        <f>'Otemachi Daily'!N28</f>
        <v>215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2023</v>
      </c>
      <c r="E26" s="9">
        <f>'Otemachi Daily'!D29</f>
        <v>15353</v>
      </c>
      <c r="F26" s="34">
        <f>[1]見込!$G$3</f>
        <v>35.06</v>
      </c>
      <c r="G26" s="9">
        <f>'Otemachi Daily'!F29</f>
        <v>227.6</v>
      </c>
      <c r="H26" s="34">
        <f>[1]見込!$M$23</f>
        <v>158.86824649134761</v>
      </c>
      <c r="I26" s="9">
        <f>'Otemachi Daily'!H29</f>
        <v>2741.0526</v>
      </c>
      <c r="J26" s="34">
        <f>[2]Sheet1!$V$3</f>
        <v>39.765556037289926</v>
      </c>
      <c r="K26" s="9">
        <f>'Otemachi Daily'!J29</f>
        <v>30257.448179999999</v>
      </c>
      <c r="L26" s="34">
        <f>[2]Sheet1!$AE$3</f>
        <v>24.422196894420253</v>
      </c>
      <c r="M26" s="9">
        <f>'Otemachi Daily'!L29</f>
        <v>192</v>
      </c>
      <c r="N26" s="34">
        <v>741</v>
      </c>
      <c r="O26" s="9">
        <f>'Otemachi Daily'!M29</f>
        <v>117</v>
      </c>
      <c r="P26" s="9">
        <f>'Otemachi Daily'!N29</f>
        <v>216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f>'Otemachi Daily'!D30</f>
        <v>15272</v>
      </c>
      <c r="F27" s="34">
        <f>[1]見込!$G$3</f>
        <v>35.06</v>
      </c>
      <c r="G27" s="9">
        <f>'Otemachi Daily'!F30</f>
        <v>207.6</v>
      </c>
      <c r="H27" s="34">
        <f>[1]見込!$M$23</f>
        <v>158.86824649134761</v>
      </c>
      <c r="I27" s="9">
        <f>'Otemachi Daily'!H30</f>
        <v>2367.6893999999998</v>
      </c>
      <c r="J27" s="34">
        <f>[2]Sheet1!$V$3</f>
        <v>39.765556037289926</v>
      </c>
      <c r="K27" s="9">
        <f>'Otemachi Daily'!J30</f>
        <v>34569.793140000002</v>
      </c>
      <c r="L27" s="34">
        <f>[2]Sheet1!$AE$3</f>
        <v>24.422196894420253</v>
      </c>
      <c r="M27" s="9">
        <f>'Otemachi Daily'!L30</f>
        <v>193</v>
      </c>
      <c r="N27" s="34">
        <v>741</v>
      </c>
      <c r="O27" s="9">
        <f>'Otemachi Daily'!M30</f>
        <v>134</v>
      </c>
      <c r="P27" s="9">
        <f>'Otemachi Daily'!N30</f>
        <v>205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f>'Otemachi Daily'!D31</f>
        <v>14944</v>
      </c>
      <c r="F28" s="34">
        <f>[1]見込!$G$3</f>
        <v>35.06</v>
      </c>
      <c r="G28" s="9">
        <f>'Otemachi Daily'!F31</f>
        <v>203.8</v>
      </c>
      <c r="H28" s="34">
        <f>[1]見込!$M$23</f>
        <v>158.86824649134761</v>
      </c>
      <c r="I28" s="9">
        <f>'Otemachi Daily'!H31</f>
        <v>2808.558</v>
      </c>
      <c r="J28" s="34">
        <f>[2]Sheet1!$V$3</f>
        <v>39.765556037289926</v>
      </c>
      <c r="K28" s="9">
        <f>'Otemachi Daily'!J31</f>
        <v>28855.16934</v>
      </c>
      <c r="L28" s="34">
        <f>[2]Sheet1!$AE$3</f>
        <v>24.422196894420253</v>
      </c>
      <c r="M28" s="9">
        <f>'Otemachi Daily'!L31</f>
        <v>196</v>
      </c>
      <c r="N28" s="34">
        <v>741</v>
      </c>
      <c r="O28" s="9">
        <f>'Otemachi Daily'!M31</f>
        <v>163</v>
      </c>
      <c r="P28" s="9">
        <f>'Otemachi Daily'!N31</f>
        <v>223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f>'Otemachi Daily'!D32</f>
        <v>15004</v>
      </c>
      <c r="F29" s="34">
        <f>[1]見込!$G$3</f>
        <v>35.06</v>
      </c>
      <c r="G29" s="9">
        <f>'Otemachi Daily'!F32</f>
        <v>206.7</v>
      </c>
      <c r="H29" s="34">
        <f>[1]見込!$M$23</f>
        <v>158.86824649134761</v>
      </c>
      <c r="I29" s="9">
        <f>'Otemachi Daily'!H32</f>
        <v>3964.4838</v>
      </c>
      <c r="J29" s="34">
        <f>[2]Sheet1!$V$3</f>
        <v>39.765556037289926</v>
      </c>
      <c r="K29" s="9">
        <f>'Otemachi Daily'!J32</f>
        <v>22865.162400000001</v>
      </c>
      <c r="L29" s="34">
        <f>[2]Sheet1!$AE$3</f>
        <v>24.422196894420253</v>
      </c>
      <c r="M29" s="9">
        <f>'Otemachi Daily'!L32</f>
        <v>184</v>
      </c>
      <c r="N29" s="34">
        <v>741</v>
      </c>
      <c r="O29" s="9">
        <f>'Otemachi Daily'!M32</f>
        <v>171</v>
      </c>
      <c r="P29" s="9">
        <f>'Otemachi Daily'!N32</f>
        <v>232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2023</v>
      </c>
      <c r="E30" s="9">
        <f>'Otemachi Daily'!D33</f>
        <v>0</v>
      </c>
      <c r="F30" s="34">
        <f>[1]見込!$G$3</f>
        <v>35.06</v>
      </c>
      <c r="G30" s="9">
        <f>'Otemachi Daily'!F33</f>
        <v>0</v>
      </c>
      <c r="H30" s="34">
        <f>[1]見込!$M$23</f>
        <v>158.86824649134761</v>
      </c>
      <c r="I30" s="9">
        <f>'Otemachi Daily'!H33</f>
        <v>0</v>
      </c>
      <c r="J30" s="34">
        <f>[2]Sheet1!$V$3</f>
        <v>39.765556037289926</v>
      </c>
      <c r="K30" s="9">
        <f>'Otemachi Daily'!J33</f>
        <v>0</v>
      </c>
      <c r="L30" s="34">
        <f>[2]Sheet1!$AE$3</f>
        <v>24.422196894420253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2023</v>
      </c>
      <c r="E31" s="9">
        <f>'Otemachi Daily'!D34</f>
        <v>0</v>
      </c>
      <c r="F31" s="34">
        <f>[1]見込!$G$3</f>
        <v>35.06</v>
      </c>
      <c r="G31" s="9">
        <f>'Otemachi Daily'!F34</f>
        <v>0</v>
      </c>
      <c r="H31" s="34">
        <f>[1]見込!$M$23</f>
        <v>158.86824649134761</v>
      </c>
      <c r="I31" s="9">
        <f>'Otemachi Daily'!H34</f>
        <v>0</v>
      </c>
      <c r="J31" s="34">
        <f>[2]Sheet1!$V$3</f>
        <v>39.765556037289926</v>
      </c>
      <c r="K31" s="9">
        <f>'Otemachi Daily'!J34</f>
        <v>0</v>
      </c>
      <c r="L31" s="34">
        <f>[2]Sheet1!$AE$3</f>
        <v>24.422196894420253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2023</v>
      </c>
      <c r="E32" s="9">
        <f>'Otemachi Daily'!D35</f>
        <v>0</v>
      </c>
      <c r="F32" s="34">
        <f>[1]見込!$G$3</f>
        <v>35.06</v>
      </c>
      <c r="G32" s="9">
        <f>'Otemachi Daily'!F35</f>
        <v>0</v>
      </c>
      <c r="H32" s="34">
        <f>[1]見込!$M$23</f>
        <v>158.86824649134761</v>
      </c>
      <c r="I32" s="9">
        <f>'Otemachi Daily'!H35</f>
        <v>0</v>
      </c>
      <c r="J32" s="34">
        <f>[2]Sheet1!$V$3</f>
        <v>39.765556037289926</v>
      </c>
      <c r="K32" s="9">
        <f>'Otemachi Daily'!J35</f>
        <v>0</v>
      </c>
      <c r="L32" s="34">
        <f>[2]Sheet1!$AE$3</f>
        <v>24.422196894420253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zoomScale="80" zoomScaleNormal="80" workbookViewId="0">
      <pane xSplit="1" topLeftCell="B1" activePane="topRight" state="frozen"/>
      <selection pane="topRight" activeCell="L44" sqref="L44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44958</v>
      </c>
      <c r="B5" s="39"/>
      <c r="C5" s="35"/>
      <c r="D5" s="35">
        <f>[1]コスト!$G$147</f>
        <v>15952</v>
      </c>
      <c r="E5" s="35"/>
      <c r="F5" s="35">
        <f>[1]コスト!$G$23</f>
        <v>198.3</v>
      </c>
      <c r="G5" s="35"/>
      <c r="H5" s="35">
        <f>[1]コスト!$G$115+'[1]1日'!$C$29</f>
        <v>1890.7067999999999</v>
      </c>
      <c r="I5" s="35"/>
      <c r="J5" s="35">
        <f>[1]コスト!$G$91+[1]コスト!$G$66</f>
        <v>32100.26226</v>
      </c>
      <c r="K5" s="35"/>
      <c r="L5" s="35">
        <f>[1]コスト!$G$41</f>
        <v>167</v>
      </c>
      <c r="M5" s="35">
        <f>[1]使用量!$G$387</f>
        <v>139</v>
      </c>
      <c r="N5" s="35">
        <f>[1]使用量!$G$388</f>
        <v>199</v>
      </c>
      <c r="O5" s="26"/>
      <c r="P5" s="37"/>
      <c r="Q5" s="37"/>
    </row>
    <row r="6" spans="1:17" ht="45" customHeight="1">
      <c r="A6" s="28">
        <v>44959</v>
      </c>
      <c r="B6" s="39"/>
      <c r="C6" s="35"/>
      <c r="D6" s="35">
        <f>[1]コスト!$H$147</f>
        <v>15744</v>
      </c>
      <c r="E6" s="35"/>
      <c r="F6" s="35">
        <f>[1]コスト!$H$23</f>
        <v>210.9</v>
      </c>
      <c r="G6" s="35"/>
      <c r="H6" s="35">
        <f>[1]コスト!$H$115+'[1]2日'!$C$29</f>
        <v>2111.0021999999999</v>
      </c>
      <c r="I6" s="35"/>
      <c r="J6" s="35">
        <f>[1]コスト!$H$91+[1]コスト!$H$66</f>
        <v>35081.445179999995</v>
      </c>
      <c r="K6" s="35"/>
      <c r="L6" s="35">
        <f>[1]コスト!$H$41</f>
        <v>183</v>
      </c>
      <c r="M6" s="35">
        <f>[1]使用量!$H$387</f>
        <v>124</v>
      </c>
      <c r="N6" s="35">
        <f>[1]使用量!$H$388</f>
        <v>181</v>
      </c>
      <c r="O6" s="26"/>
      <c r="P6" s="37"/>
      <c r="Q6" s="37"/>
    </row>
    <row r="7" spans="1:17" ht="45" customHeight="1">
      <c r="A7" s="28">
        <v>44960</v>
      </c>
      <c r="B7" s="39"/>
      <c r="C7" s="35"/>
      <c r="D7" s="35">
        <f>[1]コスト!$I$147</f>
        <v>16561</v>
      </c>
      <c r="E7" s="35"/>
      <c r="F7" s="35">
        <f>[1]コスト!$I$23</f>
        <v>220.7</v>
      </c>
      <c r="G7" s="35"/>
      <c r="H7" s="35">
        <f>[1]コスト!$I$115+'[1]3日'!$C$29</f>
        <v>454.20300000000003</v>
      </c>
      <c r="I7" s="35"/>
      <c r="J7" s="35">
        <f>[1]コスト!$I$91+[1]コスト!$I$66</f>
        <v>34753.418940000003</v>
      </c>
      <c r="K7" s="35"/>
      <c r="L7" s="35">
        <f>[1]コスト!$I$41</f>
        <v>166</v>
      </c>
      <c r="M7" s="35">
        <f>[1]使用量!$I$387</f>
        <v>98</v>
      </c>
      <c r="N7" s="35">
        <f>[1]使用量!$I$388</f>
        <v>169</v>
      </c>
      <c r="P7" s="37"/>
      <c r="Q7" s="37"/>
    </row>
    <row r="8" spans="1:17" ht="45" customHeight="1">
      <c r="A8" s="28">
        <v>44961</v>
      </c>
      <c r="B8" s="39"/>
      <c r="C8" s="35"/>
      <c r="D8" s="35">
        <f>[1]コスト!$J$147</f>
        <v>15622</v>
      </c>
      <c r="E8" s="35"/>
      <c r="F8" s="35">
        <f>[1]コスト!$J$23</f>
        <v>217.6</v>
      </c>
      <c r="G8" s="35"/>
      <c r="H8" s="35">
        <f>[1]コスト!$J$115+'[1]4日'!$C$29</f>
        <v>1592.6273999999999</v>
      </c>
      <c r="I8" s="35"/>
      <c r="J8" s="35">
        <f>[1]コスト!$J$91+[1]コスト!$J$66</f>
        <v>30802.658459999999</v>
      </c>
      <c r="K8" s="35"/>
      <c r="L8" s="35">
        <f>[1]コスト!$J$41</f>
        <v>171</v>
      </c>
      <c r="M8" s="35">
        <f>[1]使用量!$J$387</f>
        <v>94</v>
      </c>
      <c r="N8" s="35">
        <f>[1]使用量!$J$388</f>
        <v>179</v>
      </c>
      <c r="P8" s="37"/>
      <c r="Q8" s="37"/>
    </row>
    <row r="9" spans="1:17" ht="45" customHeight="1">
      <c r="A9" s="28">
        <v>44962</v>
      </c>
      <c r="B9" s="39"/>
      <c r="C9" s="35"/>
      <c r="D9" s="35">
        <f>[1]コスト!$K$147</f>
        <v>15364</v>
      </c>
      <c r="E9" s="35"/>
      <c r="F9" s="35">
        <f>[1]コスト!$K$23</f>
        <v>208.5</v>
      </c>
      <c r="G9" s="35"/>
      <c r="H9" s="35">
        <f>[1]コスト!$K$115+'[1]5日'!$C$29</f>
        <v>2146.5605999999998</v>
      </c>
      <c r="I9" s="35"/>
      <c r="J9" s="35">
        <f>[1]コスト!$K$91+[1]コスト!$K$66</f>
        <v>31234.137419999999</v>
      </c>
      <c r="K9" s="35"/>
      <c r="L9" s="35">
        <f>[1]コスト!$K$41</f>
        <v>174</v>
      </c>
      <c r="M9" s="35">
        <f>[1]使用量!$K$387</f>
        <v>66</v>
      </c>
      <c r="N9" s="35">
        <f>[1]使用量!$K$388</f>
        <v>107</v>
      </c>
      <c r="P9" s="37"/>
      <c r="Q9" s="37"/>
    </row>
    <row r="10" spans="1:17" ht="45" customHeight="1">
      <c r="A10" s="28">
        <v>44963</v>
      </c>
      <c r="B10" s="39"/>
      <c r="C10" s="35"/>
      <c r="D10" s="35">
        <f>[1]コスト!$L$147</f>
        <v>14135</v>
      </c>
      <c r="E10" s="35"/>
      <c r="F10" s="35">
        <f>[1]コスト!$L$23</f>
        <v>183.5</v>
      </c>
      <c r="G10" s="35"/>
      <c r="H10" s="35">
        <f>[1]コスト!$L$115+'[1]6日'!$C$29</f>
        <v>2427.9719999999998</v>
      </c>
      <c r="I10" s="35"/>
      <c r="J10" s="35">
        <f>[1]コスト!$L$91+[1]コスト!$L$66</f>
        <v>24850.43232</v>
      </c>
      <c r="K10" s="35"/>
      <c r="L10" s="35">
        <f>[1]コスト!$L$41</f>
        <v>146</v>
      </c>
      <c r="M10" s="35">
        <f>[1]使用量!$L$387</f>
        <v>90</v>
      </c>
      <c r="N10" s="35">
        <f>[1]使用量!$L$388</f>
        <v>148</v>
      </c>
      <c r="P10" s="37"/>
      <c r="Q10" s="37"/>
    </row>
    <row r="11" spans="1:17" ht="45" customHeight="1">
      <c r="A11" s="28">
        <v>44964</v>
      </c>
      <c r="B11" s="39"/>
      <c r="C11" s="35"/>
      <c r="D11" s="35">
        <f>[1]コスト!$M$147</f>
        <v>14424</v>
      </c>
      <c r="E11" s="35"/>
      <c r="F11" s="35">
        <f>[1]コスト!$M$23</f>
        <v>190.5</v>
      </c>
      <c r="G11" s="35"/>
      <c r="H11" s="35">
        <f>[1]コスト!$M$115+'[1]7日'!$C$29</f>
        <v>2686.6037999999999</v>
      </c>
      <c r="I11" s="35"/>
      <c r="J11" s="35">
        <f>[1]コスト!$M$91+[1]コスト!$M$66</f>
        <v>21535.111560000001</v>
      </c>
      <c r="K11" s="35"/>
      <c r="L11" s="35">
        <f>[1]コスト!$M$41</f>
        <v>140</v>
      </c>
      <c r="M11" s="35">
        <f>[1]使用量!$M$387</f>
        <v>90</v>
      </c>
      <c r="N11" s="35">
        <f>[1]使用量!$M$388</f>
        <v>145</v>
      </c>
      <c r="P11" s="37"/>
      <c r="Q11" s="37"/>
    </row>
    <row r="12" spans="1:17" ht="45" customHeight="1">
      <c r="A12" s="28">
        <v>44965</v>
      </c>
      <c r="B12" s="39"/>
      <c r="C12" s="35"/>
      <c r="D12" s="35">
        <f>[1]コスト!$N$147</f>
        <v>14965</v>
      </c>
      <c r="E12" s="35"/>
      <c r="F12" s="35">
        <f>[1]コスト!$N$23</f>
        <v>203.2</v>
      </c>
      <c r="G12" s="35"/>
      <c r="H12" s="35">
        <f>[1]コスト!$N$115+'[1]8日'!$C$29</f>
        <v>2623.5432000000001</v>
      </c>
      <c r="I12" s="35"/>
      <c r="J12" s="35">
        <f>[1]コスト!$N$91+[1]コスト!$N$66</f>
        <v>27039.9408</v>
      </c>
      <c r="K12" s="35"/>
      <c r="L12" s="35">
        <f>[1]コスト!$N$41</f>
        <v>258</v>
      </c>
      <c r="M12" s="35">
        <f>[1]使用量!$N$387</f>
        <v>83</v>
      </c>
      <c r="N12" s="35">
        <f>[1]使用量!$N$388</f>
        <v>140</v>
      </c>
      <c r="P12" s="37"/>
      <c r="Q12" s="37"/>
    </row>
    <row r="13" spans="1:17" ht="45" customHeight="1">
      <c r="A13" s="28">
        <v>44966</v>
      </c>
      <c r="B13" s="39"/>
      <c r="C13" s="35"/>
      <c r="D13" s="35">
        <f>[1]コスト!$O$147</f>
        <v>15543</v>
      </c>
      <c r="E13" s="35"/>
      <c r="F13" s="35">
        <f>[1]コスト!$O$23</f>
        <v>199.7</v>
      </c>
      <c r="G13" s="35"/>
      <c r="H13" s="35">
        <f>[1]コスト!$O$115+'[1]9日'!$C$29</f>
        <v>2147.6718000000001</v>
      </c>
      <c r="I13" s="35"/>
      <c r="J13" s="35">
        <f>[1]コスト!$O$91+[1]コスト!$O$66</f>
        <v>32946.691079999997</v>
      </c>
      <c r="K13" s="35"/>
      <c r="L13" s="35">
        <f>[1]コスト!$O$41</f>
        <v>168</v>
      </c>
      <c r="M13" s="35">
        <f>[1]使用量!$O$387</f>
        <v>85</v>
      </c>
      <c r="N13" s="35">
        <f>[1]使用量!$O$388</f>
        <v>140</v>
      </c>
      <c r="P13" s="37"/>
      <c r="Q13" s="37"/>
    </row>
    <row r="14" spans="1:17" ht="45" customHeight="1">
      <c r="A14" s="28">
        <v>44967</v>
      </c>
      <c r="B14" s="39"/>
      <c r="C14" s="35"/>
      <c r="D14" s="35">
        <f>[1]コスト!$P$147</f>
        <v>16494</v>
      </c>
      <c r="E14" s="35"/>
      <c r="F14" s="35">
        <f>[1]コスト!$P$23</f>
        <v>221.5</v>
      </c>
      <c r="G14" s="35"/>
      <c r="H14" s="35">
        <f>[1]コスト!$P$115+'[1]10日'!$C$29</f>
        <v>472.5378</v>
      </c>
      <c r="I14" s="35"/>
      <c r="J14" s="35">
        <f>[1]コスト!$P$91+[1]コスト!$P$66</f>
        <v>38341.928220000002</v>
      </c>
      <c r="K14" s="35"/>
      <c r="L14" s="35">
        <f>[1]コスト!$P$41</f>
        <v>180</v>
      </c>
      <c r="M14" s="35">
        <f>[1]使用量!$P$387</f>
        <v>134</v>
      </c>
      <c r="N14" s="35">
        <f>[1]使用量!$P$388</f>
        <v>260</v>
      </c>
      <c r="P14" s="37"/>
      <c r="Q14" s="37"/>
    </row>
    <row r="15" spans="1:17" ht="45" customHeight="1">
      <c r="A15" s="28">
        <v>44968</v>
      </c>
      <c r="B15" s="39"/>
      <c r="C15" s="35"/>
      <c r="D15" s="35">
        <f>[1]コスト!$Q$147</f>
        <v>16349</v>
      </c>
      <c r="E15" s="35"/>
      <c r="F15" s="35">
        <f>[1]コスト!$Q$23</f>
        <v>233.3</v>
      </c>
      <c r="G15" s="35"/>
      <c r="H15" s="35">
        <f>[1]コスト!$Q$115+'[1]11日'!$C$29</f>
        <v>2859.951</v>
      </c>
      <c r="I15" s="35"/>
      <c r="J15" s="35">
        <f>[1]コスト!$Q$91+[1]コスト!$Q$66</f>
        <v>31261.667399999998</v>
      </c>
      <c r="K15" s="35"/>
      <c r="L15" s="35">
        <f>[1]コスト!$Q$41</f>
        <v>226</v>
      </c>
      <c r="M15" s="35">
        <f>[1]使用量!$Q$387</f>
        <v>142</v>
      </c>
      <c r="N15" s="35">
        <f>[1]使用量!$Q$388</f>
        <v>274</v>
      </c>
      <c r="P15" s="37"/>
      <c r="Q15" s="37"/>
    </row>
    <row r="16" spans="1:17" ht="45" customHeight="1">
      <c r="A16" s="28">
        <v>44969</v>
      </c>
      <c r="B16" s="39"/>
      <c r="C16" s="35"/>
      <c r="D16" s="35">
        <f>[1]コスト!$R$147</f>
        <v>15715</v>
      </c>
      <c r="E16" s="35"/>
      <c r="F16" s="35">
        <f>[1]コスト!$R$23</f>
        <v>207.6</v>
      </c>
      <c r="G16" s="35"/>
      <c r="H16" s="35">
        <f>[1]コスト!$R$115+'[1]12日'!$C$29</f>
        <v>3412.7729999999997</v>
      </c>
      <c r="I16" s="35"/>
      <c r="J16" s="35">
        <f>[1]コスト!$R$91+[1]コスト!$R$66</f>
        <v>25885.848480000001</v>
      </c>
      <c r="K16" s="35"/>
      <c r="L16" s="35">
        <f>[1]コスト!$R$41</f>
        <v>217</v>
      </c>
      <c r="M16" s="35">
        <f>[1]使用量!$R$387</f>
        <v>146</v>
      </c>
      <c r="N16" s="35">
        <f>[1]使用量!$R$388</f>
        <v>289</v>
      </c>
      <c r="P16" s="37"/>
      <c r="Q16" s="37"/>
    </row>
    <row r="17" spans="1:26" ht="45" customHeight="1">
      <c r="A17" s="28">
        <v>44970</v>
      </c>
      <c r="B17" s="39"/>
      <c r="C17" s="35"/>
      <c r="D17" s="35">
        <f>[1]コスト!$S$147</f>
        <v>15445</v>
      </c>
      <c r="E17" s="35"/>
      <c r="F17" s="35">
        <f>[1]コスト!$S$23</f>
        <v>195.6</v>
      </c>
      <c r="G17" s="35"/>
      <c r="H17" s="35">
        <f>[1]コスト!$S$115+'[1]13日'!$C$29</f>
        <v>2589.9294</v>
      </c>
      <c r="I17" s="35"/>
      <c r="J17" s="35">
        <f>[1]コスト!$S$91+[1]コスト!$S$66</f>
        <v>27824.586900000002</v>
      </c>
      <c r="K17" s="35"/>
      <c r="L17" s="35">
        <f>[1]コスト!$S$41</f>
        <v>167</v>
      </c>
      <c r="M17" s="35">
        <f>[1]使用量!$S$387</f>
        <v>118</v>
      </c>
      <c r="N17" s="35">
        <f>[1]使用量!$S$388</f>
        <v>186</v>
      </c>
      <c r="P17" s="37"/>
      <c r="Q17" s="37"/>
    </row>
    <row r="18" spans="1:26" ht="45" customHeight="1">
      <c r="A18" s="28">
        <v>44971</v>
      </c>
      <c r="B18" s="39"/>
      <c r="C18" s="35"/>
      <c r="D18" s="35">
        <f>[1]コスト!$T$147</f>
        <v>15655</v>
      </c>
      <c r="E18" s="35"/>
      <c r="F18" s="35">
        <f>[1]コスト!$T$23</f>
        <v>188.3</v>
      </c>
      <c r="G18" s="35"/>
      <c r="H18" s="35">
        <f>[1]コスト!$T$115+'[1]14日'!$C$29</f>
        <v>1392.6113999999998</v>
      </c>
      <c r="I18" s="35"/>
      <c r="J18" s="35">
        <f>[1]コスト!$T$91+[1]コスト!$T$66</f>
        <v>33807.315479999997</v>
      </c>
      <c r="K18" s="35"/>
      <c r="L18" s="35">
        <f>[1]コスト!$T$41</f>
        <v>170</v>
      </c>
      <c r="M18" s="35">
        <f>[1]使用量!$T$387</f>
        <v>149</v>
      </c>
      <c r="N18" s="35">
        <f>[1]使用量!$T$388</f>
        <v>236</v>
      </c>
      <c r="P18" s="37"/>
      <c r="Q18" s="37"/>
      <c r="Z18" s="36"/>
    </row>
    <row r="19" spans="1:26" ht="45" customHeight="1">
      <c r="A19" s="28">
        <v>44972</v>
      </c>
      <c r="B19" s="39"/>
      <c r="C19" s="35"/>
      <c r="D19" s="35">
        <f>[1]コスト!$U$147</f>
        <v>16449</v>
      </c>
      <c r="E19" s="35"/>
      <c r="F19" s="35">
        <f>[1]コスト!$U$23</f>
        <v>215.9</v>
      </c>
      <c r="G19" s="35"/>
      <c r="H19" s="35">
        <f>[1]コスト!$U$115+'[1]15日'!$C$29</f>
        <v>531.70920000000001</v>
      </c>
      <c r="I19" s="35"/>
      <c r="J19" s="35">
        <f>[1]コスト!$U$91+[1]コスト!$U$66</f>
        <v>37943.785260000004</v>
      </c>
      <c r="K19" s="35"/>
      <c r="L19" s="35">
        <f>[1]コスト!$U$41</f>
        <v>181</v>
      </c>
      <c r="M19" s="35">
        <f>[1]使用量!$U$387</f>
        <v>138</v>
      </c>
      <c r="N19" s="35">
        <f>[1]使用量!$U$388</f>
        <v>210</v>
      </c>
      <c r="P19" s="37"/>
      <c r="Q19" s="37"/>
    </row>
    <row r="20" spans="1:26" ht="45" customHeight="1">
      <c r="A20" s="28">
        <v>44973</v>
      </c>
      <c r="B20" s="39"/>
      <c r="C20" s="35"/>
      <c r="D20" s="35">
        <f>[1]コスト!$V$147</f>
        <v>16329</v>
      </c>
      <c r="E20" s="35"/>
      <c r="F20" s="35">
        <f>[1]コスト!$V$23</f>
        <v>216</v>
      </c>
      <c r="G20" s="35"/>
      <c r="H20" s="35">
        <f>[1]コスト!$V$115+'[1]16日'!$C$29</f>
        <v>1284.825</v>
      </c>
      <c r="I20" s="35"/>
      <c r="J20" s="35">
        <f>[1]コスト!$V$91+[1]コスト!$V$66</f>
        <v>37399.713960000001</v>
      </c>
      <c r="K20" s="35"/>
      <c r="L20" s="35">
        <f>[1]コスト!$V$41</f>
        <v>200</v>
      </c>
      <c r="M20" s="35">
        <f>[1]使用量!$V$387</f>
        <v>116</v>
      </c>
      <c r="N20" s="35">
        <f>[1]使用量!$V$388</f>
        <v>190</v>
      </c>
      <c r="P20" s="37"/>
      <c r="Q20" s="37"/>
    </row>
    <row r="21" spans="1:26" ht="45" customHeight="1">
      <c r="A21" s="28">
        <v>44974</v>
      </c>
      <c r="B21" s="39"/>
      <c r="C21" s="35"/>
      <c r="D21" s="35">
        <f>[1]コスト!$W$147</f>
        <v>16012</v>
      </c>
      <c r="E21" s="35"/>
      <c r="F21" s="35">
        <f>[1]コスト!$W$23</f>
        <v>223.2</v>
      </c>
      <c r="G21" s="35"/>
      <c r="H21" s="35">
        <f>[1]コスト!$W$115+'[1]17日'!$C$29</f>
        <v>2115.1691999999998</v>
      </c>
      <c r="I21" s="35"/>
      <c r="J21" s="35">
        <f>[1]コスト!$W$91+[1]コスト!$W$66</f>
        <v>32468.013899999998</v>
      </c>
      <c r="K21" s="35"/>
      <c r="L21" s="35">
        <f>[1]コスト!$W$41</f>
        <v>180</v>
      </c>
      <c r="M21" s="35">
        <f>[1]使用量!$W$387</f>
        <v>130</v>
      </c>
      <c r="N21" s="35">
        <f>[1]使用量!$W$388</f>
        <v>234</v>
      </c>
      <c r="P21" s="37"/>
      <c r="Q21" s="37"/>
    </row>
    <row r="22" spans="1:26" ht="45" customHeight="1">
      <c r="A22" s="28">
        <v>44975</v>
      </c>
      <c r="B22" s="39"/>
      <c r="C22" s="35"/>
      <c r="D22" s="35">
        <f>[1]コスト!$X$147</f>
        <v>15813</v>
      </c>
      <c r="E22" s="35"/>
      <c r="F22" s="35">
        <f>[1]コスト!$X$23</f>
        <v>233.1</v>
      </c>
      <c r="G22" s="35"/>
      <c r="H22" s="35">
        <f>[1]コスト!$X$115+'[1]18日'!$C$29</f>
        <v>3120.8051999999998</v>
      </c>
      <c r="I22" s="35"/>
      <c r="J22" s="35">
        <f>[1]コスト!$X$91+[1]コスト!$X$66</f>
        <v>27271.153740000002</v>
      </c>
      <c r="K22" s="35"/>
      <c r="L22" s="35">
        <f>[1]コスト!$X$41</f>
        <v>197</v>
      </c>
      <c r="M22" s="35">
        <f>[1]使用量!$X$387</f>
        <v>136</v>
      </c>
      <c r="N22" s="35">
        <f>[1]使用量!$X$388</f>
        <v>261</v>
      </c>
      <c r="P22" s="37"/>
      <c r="Q22" s="37"/>
    </row>
    <row r="23" spans="1:26" ht="45" customHeight="1">
      <c r="A23" s="28">
        <v>44976</v>
      </c>
      <c r="B23" s="39"/>
      <c r="C23" s="35"/>
      <c r="D23" s="35">
        <f>[1]コスト!$Y$147</f>
        <v>15774</v>
      </c>
      <c r="E23" s="35"/>
      <c r="F23" s="35">
        <f>[1]コスト!$Y$23</f>
        <v>216.8</v>
      </c>
      <c r="G23" s="35"/>
      <c r="H23" s="35">
        <f>[1]コスト!$Y$115+'[1]19日'!$C$29</f>
        <v>3449.7204000000002</v>
      </c>
      <c r="I23" s="35"/>
      <c r="J23" s="35">
        <f>[1]コスト!$Y$91+[1]コスト!$Y$66</f>
        <v>24949.912499999999</v>
      </c>
      <c r="K23" s="35"/>
      <c r="L23" s="35">
        <f>[1]コスト!$Y$41</f>
        <v>213</v>
      </c>
      <c r="M23" s="35">
        <f>[1]使用量!$Y$387</f>
        <v>152</v>
      </c>
      <c r="N23" s="35">
        <f>[1]使用量!$Y$388</f>
        <v>256</v>
      </c>
      <c r="P23" s="37"/>
      <c r="Q23" s="37"/>
    </row>
    <row r="24" spans="1:26" ht="45" customHeight="1">
      <c r="A24" s="28">
        <v>44977</v>
      </c>
      <c r="B24" s="39"/>
      <c r="C24" s="35"/>
      <c r="D24" s="35">
        <f>[1]コスト!$Z$147</f>
        <v>14637</v>
      </c>
      <c r="E24" s="35"/>
      <c r="F24" s="35">
        <f>[1]コスト!$Z$23</f>
        <v>186.2</v>
      </c>
      <c r="G24" s="35"/>
      <c r="H24" s="35">
        <f>[1]コスト!$Z$115+'[1]20日'!$C$29</f>
        <v>3960.5945999999999</v>
      </c>
      <c r="I24" s="35"/>
      <c r="J24" s="35">
        <f>[1]コスト!$Z$91+[1]コスト!$Z$66</f>
        <v>25884.32058</v>
      </c>
      <c r="K24" s="35"/>
      <c r="L24" s="35">
        <f>[1]コスト!$Z$41</f>
        <v>195</v>
      </c>
      <c r="M24" s="35">
        <f>[1]使用量!$Z$387</f>
        <v>163</v>
      </c>
      <c r="N24" s="35">
        <f>[1]使用量!$Z$388</f>
        <v>263</v>
      </c>
      <c r="P24" s="37"/>
      <c r="Q24" s="37"/>
    </row>
    <row r="25" spans="1:26" ht="45" customHeight="1">
      <c r="A25" s="28">
        <v>44978</v>
      </c>
      <c r="B25" s="39"/>
      <c r="C25" s="35"/>
      <c r="D25" s="35">
        <f>[1]コスト!$AA$147</f>
        <v>15924</v>
      </c>
      <c r="E25" s="35"/>
      <c r="F25" s="35">
        <f>[1]コスト!$AA$23</f>
        <v>203.2</v>
      </c>
      <c r="G25" s="35"/>
      <c r="H25" s="35">
        <f>[1]コスト!$AA$115+'[1]21日'!$C$29</f>
        <v>1612.6289999999999</v>
      </c>
      <c r="I25" s="35"/>
      <c r="J25" s="35">
        <f>[1]コスト!$AA$91+[1]コスト!$AA$66</f>
        <v>34926.349440000005</v>
      </c>
      <c r="K25" s="35"/>
      <c r="L25" s="35">
        <f>[1]コスト!$AA$41</f>
        <v>181</v>
      </c>
      <c r="M25" s="35">
        <f>[1]使用量!$AA$387</f>
        <v>166</v>
      </c>
      <c r="N25" s="35">
        <f>[1]使用量!$AA$388</f>
        <v>272</v>
      </c>
      <c r="P25" s="37"/>
      <c r="Q25" s="37"/>
    </row>
    <row r="26" spans="1:26" ht="45" customHeight="1">
      <c r="A26" s="28">
        <v>44979</v>
      </c>
      <c r="B26" s="39"/>
      <c r="C26" s="35"/>
      <c r="D26" s="35">
        <f>[1]コスト!$AB$147</f>
        <v>15377</v>
      </c>
      <c r="E26" s="35"/>
      <c r="F26" s="35">
        <f>[1]コスト!$AB$23</f>
        <v>208.2</v>
      </c>
      <c r="G26" s="35"/>
      <c r="H26" s="35">
        <f>[1]コスト!$AB$115+'[1]22日'!$C$29</f>
        <v>2139.6156000000001</v>
      </c>
      <c r="I26" s="35"/>
      <c r="J26" s="35">
        <f>[1]コスト!$AB$91+[1]コスト!$AB$66</f>
        <v>32837.599020000001</v>
      </c>
      <c r="K26" s="35"/>
      <c r="L26" s="35">
        <f>[1]コスト!$AB$41</f>
        <v>182</v>
      </c>
      <c r="M26" s="35">
        <f>[1]使用量!$AB$387</f>
        <v>122</v>
      </c>
      <c r="N26" s="35">
        <f>[1]使用量!$AB$388</f>
        <v>204</v>
      </c>
      <c r="P26" s="37"/>
      <c r="Q26" s="37"/>
    </row>
    <row r="27" spans="1:26" ht="45" customHeight="1">
      <c r="A27" s="28">
        <v>44980</v>
      </c>
      <c r="B27" s="39"/>
      <c r="C27" s="35"/>
      <c r="D27" s="35">
        <f>[1]コスト!$AC$147</f>
        <v>15295</v>
      </c>
      <c r="E27" s="35"/>
      <c r="F27" s="35">
        <f>[1]コスト!$AC$23</f>
        <v>219.4</v>
      </c>
      <c r="G27" s="35"/>
      <c r="H27" s="35">
        <f>[1]コスト!$AC$115+'[1]23日'!$C$29</f>
        <v>2764.6656000000003</v>
      </c>
      <c r="I27" s="35"/>
      <c r="J27" s="35">
        <f>[1]コスト!$AC$91+[1]コスト!$AC$66</f>
        <v>27000.270959999998</v>
      </c>
      <c r="K27" s="35"/>
      <c r="L27" s="35">
        <f>[1]コスト!$AC$41</f>
        <v>183</v>
      </c>
      <c r="M27" s="35">
        <f>[1]使用量!$AC$387</f>
        <v>103</v>
      </c>
      <c r="N27" s="35">
        <f>[1]使用量!$AC$388</f>
        <v>180</v>
      </c>
      <c r="P27" s="37"/>
      <c r="Q27" s="37"/>
    </row>
    <row r="28" spans="1:26" ht="45" customHeight="1">
      <c r="A28" s="28">
        <v>44981</v>
      </c>
      <c r="B28" s="39"/>
      <c r="C28" s="35"/>
      <c r="D28" s="35">
        <f>[1]コスト!$AD$147</f>
        <v>15225</v>
      </c>
      <c r="E28" s="35"/>
      <c r="F28" s="35">
        <f>[1]コスト!$AD$23</f>
        <v>224.3</v>
      </c>
      <c r="G28" s="35"/>
      <c r="H28" s="35">
        <f>[1]コスト!$AD$115+'[1]24日'!$C$29</f>
        <v>2711.0502000000001</v>
      </c>
      <c r="I28" s="35"/>
      <c r="J28" s="35">
        <f>[1]コスト!$AD$91+[1]コスト!$AD$66</f>
        <v>25290.661979999997</v>
      </c>
      <c r="K28" s="35"/>
      <c r="L28" s="35">
        <f>[1]コスト!$AD$41</f>
        <v>163</v>
      </c>
      <c r="M28" s="35">
        <f>[1]使用量!$AD$387</f>
        <v>124</v>
      </c>
      <c r="N28" s="35">
        <f>[1]使用量!$AD$388</f>
        <v>215</v>
      </c>
      <c r="P28" s="37"/>
      <c r="Q28" s="37"/>
    </row>
    <row r="29" spans="1:26" ht="45" customHeight="1">
      <c r="A29" s="28">
        <v>44982</v>
      </c>
      <c r="B29" s="39"/>
      <c r="C29" s="35"/>
      <c r="D29" s="35">
        <f>[1]コスト!$AE$147</f>
        <v>15353</v>
      </c>
      <c r="E29" s="35"/>
      <c r="F29" s="35">
        <f>[1]コスト!$AE$23</f>
        <v>227.6</v>
      </c>
      <c r="G29" s="35"/>
      <c r="H29" s="35">
        <f>[1]コスト!$AE$115+'[1]25日'!$C$29</f>
        <v>2741.0526</v>
      </c>
      <c r="I29" s="35"/>
      <c r="J29" s="35">
        <f>[1]コスト!$AE$91+[1]コスト!$AE$66</f>
        <v>30257.448179999999</v>
      </c>
      <c r="K29" s="35"/>
      <c r="L29" s="35">
        <f>[1]コスト!$AE$41</f>
        <v>192</v>
      </c>
      <c r="M29" s="35">
        <f>[1]使用量!$AE$387</f>
        <v>117</v>
      </c>
      <c r="N29" s="35">
        <f>[1]使用量!$AE$388</f>
        <v>216</v>
      </c>
      <c r="P29" s="37"/>
      <c r="Q29" s="37"/>
    </row>
    <row r="30" spans="1:26" ht="45" customHeight="1">
      <c r="A30" s="28">
        <v>44983</v>
      </c>
      <c r="B30" s="39"/>
      <c r="C30" s="35"/>
      <c r="D30" s="35">
        <f>[1]コスト!$AF$147</f>
        <v>15272</v>
      </c>
      <c r="E30" s="35"/>
      <c r="F30" s="35">
        <f>[1]コスト!$AF$23</f>
        <v>207.6</v>
      </c>
      <c r="G30" s="35"/>
      <c r="H30" s="35">
        <f>[1]コスト!$AF$115+'[1]26日'!$C$29</f>
        <v>2367.6893999999998</v>
      </c>
      <c r="I30" s="35"/>
      <c r="J30" s="35">
        <f>[1]コスト!$AF$91+[1]コスト!$AF$66</f>
        <v>34569.793140000002</v>
      </c>
      <c r="K30" s="35"/>
      <c r="L30" s="35">
        <f>[1]コスト!$AF$41</f>
        <v>193</v>
      </c>
      <c r="M30" s="35">
        <f>[1]使用量!$AF$387</f>
        <v>134</v>
      </c>
      <c r="N30" s="35">
        <f>[1]使用量!$AF$388</f>
        <v>205</v>
      </c>
      <c r="P30" s="37"/>
      <c r="Q30" s="37"/>
    </row>
    <row r="31" spans="1:26" ht="45" customHeight="1">
      <c r="A31" s="28">
        <v>44984</v>
      </c>
      <c r="B31" s="39"/>
      <c r="C31" s="35"/>
      <c r="D31" s="35">
        <f>[1]コスト!$AG$147</f>
        <v>14944</v>
      </c>
      <c r="E31" s="35"/>
      <c r="F31" s="35">
        <f>[1]コスト!$AG$23</f>
        <v>203.8</v>
      </c>
      <c r="G31" s="35"/>
      <c r="H31" s="35">
        <f>[1]コスト!$AG$115+'[1]27日'!$C$29</f>
        <v>2808.558</v>
      </c>
      <c r="I31" s="35"/>
      <c r="J31" s="35">
        <f>[1]コスト!$AG$91+[1]コスト!$AG$66</f>
        <v>28855.16934</v>
      </c>
      <c r="K31" s="35"/>
      <c r="L31" s="35">
        <f>[1]コスト!$AG$41</f>
        <v>196</v>
      </c>
      <c r="M31" s="35">
        <f>[1]使用量!$AG$387</f>
        <v>163</v>
      </c>
      <c r="N31" s="35">
        <f>[1]使用量!$AG$388</f>
        <v>223</v>
      </c>
      <c r="P31" s="37"/>
      <c r="Q31" s="37"/>
    </row>
    <row r="32" spans="1:26" ht="45" customHeight="1">
      <c r="A32" s="28">
        <v>44985</v>
      </c>
      <c r="B32" s="39"/>
      <c r="C32" s="35"/>
      <c r="D32" s="35">
        <f>[1]コスト!$AH$147</f>
        <v>15004</v>
      </c>
      <c r="E32" s="35"/>
      <c r="F32" s="35">
        <f>[1]コスト!$AH$23</f>
        <v>206.7</v>
      </c>
      <c r="G32" s="35"/>
      <c r="H32" s="35">
        <f>[1]コスト!$AH$115+'[1]28日'!$C$29</f>
        <v>3964.4838</v>
      </c>
      <c r="I32" s="35"/>
      <c r="J32" s="35">
        <f>[1]コスト!$AH$91+[1]コスト!$AH$66</f>
        <v>22865.162400000001</v>
      </c>
      <c r="K32" s="35"/>
      <c r="L32" s="35">
        <f>[1]コスト!$AH$41</f>
        <v>184</v>
      </c>
      <c r="M32" s="35">
        <f>[1]使用量!$AH$387</f>
        <v>171</v>
      </c>
      <c r="N32" s="35">
        <f>[1]使用量!$AH$388</f>
        <v>232</v>
      </c>
      <c r="P32" s="37"/>
      <c r="Q32" s="37"/>
    </row>
    <row r="33" spans="1:17" ht="36" customHeight="1">
      <c r="A33" s="28">
        <v>44986</v>
      </c>
      <c r="C33" s="35"/>
      <c r="D33" s="35">
        <f>[1]コスト!$AI$147</f>
        <v>0</v>
      </c>
      <c r="E33" s="35"/>
      <c r="F33" s="35">
        <f>[1]コスト!$AI$23</f>
        <v>0</v>
      </c>
      <c r="G33" s="35"/>
      <c r="H33" s="35">
        <f>[1]コスト!$AI$115+'[1]29日'!$C$29</f>
        <v>0</v>
      </c>
      <c r="I33" s="35"/>
      <c r="J33" s="35">
        <f>[1]コスト!$AI$91+[1]コスト!$AI$66</f>
        <v>0</v>
      </c>
      <c r="K33" s="35"/>
      <c r="L33" s="35">
        <f>[1]コスト!$AI$41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44987</v>
      </c>
      <c r="C34" s="35"/>
      <c r="D34" s="35">
        <f>[1]コスト!$AJ$147</f>
        <v>0</v>
      </c>
      <c r="E34" s="35"/>
      <c r="F34" s="35">
        <f>[1]コスト!$AJ$23</f>
        <v>0</v>
      </c>
      <c r="G34" s="35"/>
      <c r="H34" s="35">
        <f>[1]コスト!$AJ$115+'[1]30日'!$C$29</f>
        <v>0</v>
      </c>
      <c r="I34" s="35"/>
      <c r="J34" s="35">
        <f>[1]コスト!$AJ$91+[1]コスト!$AJ$66</f>
        <v>0</v>
      </c>
      <c r="K34" s="35"/>
      <c r="L34" s="35">
        <f>[1]コスト!$AJ$41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44988</v>
      </c>
      <c r="C35" s="35"/>
      <c r="D35" s="35">
        <f>[1]コスト!$AK$147</f>
        <v>0</v>
      </c>
      <c r="E35" s="35"/>
      <c r="F35" s="35">
        <f>[1]コスト!$AK$23</f>
        <v>0</v>
      </c>
      <c r="G35" s="35"/>
      <c r="H35" s="35">
        <f>[1]コスト!$AK$115+'[1]31日'!$C$29</f>
        <v>0</v>
      </c>
      <c r="I35" s="35"/>
      <c r="J35" s="35">
        <f>[1]コスト!$AK$91+[1]コスト!$AK$66</f>
        <v>0</v>
      </c>
      <c r="K35" s="35"/>
      <c r="L35" s="35">
        <f>[1]コスト!$AK$41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/>
      <c r="D38" s="38">
        <f t="shared" ref="D38:L38" si="0">SUM(D5:D37)</f>
        <v>435376</v>
      </c>
      <c r="E38" s="38"/>
      <c r="F38" s="38">
        <f t="shared" si="0"/>
        <v>5871.2000000000007</v>
      </c>
      <c r="G38" s="38"/>
      <c r="H38" s="38">
        <f t="shared" si="0"/>
        <v>64381.261199999994</v>
      </c>
      <c r="I38" s="38"/>
      <c r="J38" s="38">
        <f t="shared" si="0"/>
        <v>849984.79889999982</v>
      </c>
      <c r="K38" s="38"/>
      <c r="L38" s="38">
        <f t="shared" si="0"/>
        <v>5173</v>
      </c>
      <c r="M38" s="38">
        <f t="shared" ref="M38:N38" si="1">SUM(M5:M37)</f>
        <v>3493</v>
      </c>
      <c r="N38" s="38">
        <f t="shared" si="1"/>
        <v>5814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2023-03-02T07:18:50Z</dcterms:modified>
</cp:coreProperties>
</file>