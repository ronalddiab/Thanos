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341" documentId="8_{0497B0DD-18C1-40BD-B9FC-449099B2A16A}" xr6:coauthVersionLast="36" xr6:coauthVersionMax="36" xr10:uidLastSave="{A4F1C8DC-2D03-4592-80B2-4C574D6069CF}"/>
  <bookViews>
    <workbookView xWindow="-100" yWindow="-100" windowWidth="18190" windowHeight="11470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<sst xmlns="http://schemas.openxmlformats.org/spreadsheetml/2006/main" count="193" uniqueCount="51">
  <si>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</si>
  <si>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</si>
  <si>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</si>
  <si>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</si>
  <si>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</si>
  <si>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</si>
  <si>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</si>
  <si>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</si>
  <si>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</si>
  <si>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</si>
  <si>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</si>
  <si>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</si>
  <si>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</si>
  <si>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</si>
  <si>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</si>
  <si>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</si>
  <si>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</si>
  <si>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</si>
  <si>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</si>
  <si>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</si>
  <si>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</si>
  <si>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</si>
  <si>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</si>
  <si>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</si>
  <si>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</si>
  <si>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</si>
  <si>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</si>
  <si>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</si>
  <si>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</si>
  <si>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</si>
  <si>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</si>
  <si>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</si>
  <si>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</si>
  <si>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</si>
  <si>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</si>
  <si>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</si>
  <si>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</si>
  <si>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</si>
  <si>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</si>
  <si>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</si>
  <si>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</si>
  <si>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</si>
  <si>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</si>
  <si>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</si>
  <si>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</si>
  <si>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</si>
  <si>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</si>
  <si>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</si>
  <si>
    <t>Ramu/Sathis/Veera</t>
  </si>
  <si>
    <t>Aung/Sathis/Veeera</t>
  </si>
  <si>
    <t>Ramu/Sathis/Veeera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</si>
</sst>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topLeftCell="A4" workbookViewId="0">
      <selection activeCell="K20" sqref="K20:L22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12465</v>
      </c>
      <c r="F13" s="10">
        <v>0.2979</v>
      </c>
      <c r="G13" s="13">
        <f>-'Submetering '!J13+'Submetering '!K13</f>
        <v>871</v>
      </c>
      <c r="H13" s="10">
        <v>0.23119999999999999</v>
      </c>
      <c r="I13" s="13">
        <f>'Submetering '!L13+'Submetering '!M13</f>
        <v>129</v>
      </c>
      <c r="J13" s="10">
        <v>2.94</v>
      </c>
      <c r="K13" s="9">
        <v>209</v>
      </c>
      <c r="L13" s="9">
        <v>209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13620</v>
      </c>
      <c r="F14" s="10">
        <v>0.2979</v>
      </c>
      <c r="G14" s="13">
        <f>-'Submetering '!J14+'Submetering '!K14</f>
        <v>818</v>
      </c>
      <c r="H14" s="10">
        <v>0.23119999999999999</v>
      </c>
      <c r="I14" s="13">
        <f>'Submetering '!L14+'Submetering '!M14</f>
        <v>162</v>
      </c>
      <c r="J14" s="10">
        <v>2.94</v>
      </c>
      <c r="K14" s="9">
        <v>203</v>
      </c>
      <c r="L14" s="9">
        <v>203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12120</v>
      </c>
      <c r="F15" s="10">
        <v>0.2979</v>
      </c>
      <c r="G15" s="13">
        <f>-'Submetering '!J15+'Submetering '!K15</f>
        <v>743</v>
      </c>
      <c r="H15" s="10">
        <v>0.23119999999999999</v>
      </c>
      <c r="I15" s="13">
        <f>'Submetering '!L15+'Submetering '!M15</f>
        <v>140</v>
      </c>
      <c r="J15" s="10">
        <v>2.94</v>
      </c>
      <c r="K15" s="9">
        <v>191</v>
      </c>
      <c r="L15" s="9">
        <v>191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12150</v>
      </c>
      <c r="F16" s="10">
        <v>0.2979</v>
      </c>
      <c r="G16" s="13">
        <f>-'Submetering '!J16+'Submetering '!K16</f>
        <v>740</v>
      </c>
      <c r="H16" s="10">
        <v>0.23119999999999999</v>
      </c>
      <c r="I16" s="13">
        <f>'Submetering '!L16+'Submetering '!M16</f>
        <v>134</v>
      </c>
      <c r="J16" s="10">
        <v>2.94</v>
      </c>
      <c r="K16" s="9">
        <v>245</v>
      </c>
      <c r="L16" s="9">
        <v>245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12600</v>
      </c>
      <c r="F17" s="10">
        <v>0.2979</v>
      </c>
      <c r="G17" s="13">
        <f>-'Submetering '!J17+'Submetering '!K17</f>
        <v>866</v>
      </c>
      <c r="H17" s="10">
        <v>0.23119999999999999</v>
      </c>
      <c r="I17" s="13">
        <f>'Submetering '!L17+'Submetering '!M17</f>
        <v>147</v>
      </c>
      <c r="J17" s="10">
        <v>2.94</v>
      </c>
      <c r="K17" s="9">
        <v>266</v>
      </c>
      <c r="L17" s="9">
        <v>266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13215</v>
      </c>
      <c r="F18" s="10">
        <v>0.2979</v>
      </c>
      <c r="G18" s="13">
        <f>-'Submetering '!J18+'Submetering '!K18</f>
        <v>801</v>
      </c>
      <c r="H18" s="10">
        <v>0.23119999999999999</v>
      </c>
      <c r="I18" s="13">
        <f>'Submetering '!L18+'Submetering '!M18</f>
        <v>150</v>
      </c>
      <c r="J18" s="10">
        <v>2.94</v>
      </c>
      <c r="K18" s="9">
        <v>269</v>
      </c>
      <c r="L18" s="9">
        <v>269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13320</v>
      </c>
      <c r="F19" s="10">
        <v>0.2979</v>
      </c>
      <c r="G19" s="13">
        <f>-'Submetering '!J19+'Submetering '!K19</f>
        <v>775</v>
      </c>
      <c r="H19" s="10">
        <v>0.23119999999999999</v>
      </c>
      <c r="I19" s="13">
        <f>'Submetering '!L19+'Submetering '!M19</f>
        <v>182</v>
      </c>
      <c r="J19" s="10">
        <v>2.94</v>
      </c>
      <c r="K19" s="9">
        <v>272</v>
      </c>
      <c r="L19" s="9">
        <v>272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13920</v>
      </c>
      <c r="F20" s="10">
        <v>0.2979</v>
      </c>
      <c r="G20" s="13">
        <f>-'Submetering '!J20+'Submetering '!K20</f>
        <v>757</v>
      </c>
      <c r="H20" s="10">
        <v>0.23119999999999999</v>
      </c>
      <c r="I20" s="13">
        <f>'Submetering '!L20+'Submetering '!M20</f>
        <v>139</v>
      </c>
      <c r="J20" s="10">
        <v>2.94</v>
      </c>
      <c r="K20" s="9">
        <v>250</v>
      </c>
      <c r="L20" s="9">
        <v>250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13485</v>
      </c>
      <c r="F21" s="10">
        <v>0.2979</v>
      </c>
      <c r="G21" s="13">
        <f>-'Submetering '!J21+'Submetering '!K21</f>
        <v>755</v>
      </c>
      <c r="H21" s="10">
        <v>0.23119999999999999</v>
      </c>
      <c r="I21" s="13">
        <f>'Submetering '!L21+'Submetering '!M21</f>
        <v>180</v>
      </c>
      <c r="J21" s="10">
        <v>2.94</v>
      </c>
      <c r="K21" s="9">
        <v>253</v>
      </c>
      <c r="L21" s="9">
        <v>253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12315</v>
      </c>
      <c r="F22" s="10">
        <v>0.2979</v>
      </c>
      <c r="G22" s="13">
        <f>-'Submetering '!J22+'Submetering '!K22</f>
        <v>762</v>
      </c>
      <c r="H22" s="10">
        <v>0.23119999999999999</v>
      </c>
      <c r="I22" s="13">
        <f>'Submetering '!L22+'Submetering '!M22</f>
        <v>137</v>
      </c>
      <c r="J22" s="10">
        <v>2.94</v>
      </c>
      <c r="K22" s="9">
        <v>260</v>
      </c>
      <c r="L22" s="9">
        <v>260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abSelected="1" topLeftCell="J1" zoomScale="80" zoomScaleNormal="80" workbookViewId="0">
      <selection activeCell="Y26" sqref="Y26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5610</v>
      </c>
      <c r="F13" s="33">
        <f>(IF((Electrical!C14-Electrical!C13)&lt;0,"0",(Electrical!C14-Electrical!C13)))*15</f>
        <v>3300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3612</v>
      </c>
      <c r="I13" s="33">
        <f>IF((Electrical!F14-Electrical!F13)&lt;0,"0",(Electrical!F14-Electrical!F13))</f>
        <v>385</v>
      </c>
      <c r="J13" s="33">
        <f>IF((Gas!B14-Gas!B13)&lt;0,"0",(Gas!B14-Gas!B13))</f>
        <v>0</v>
      </c>
      <c r="K13" s="33">
        <f>IF((Gas!C14-Gas!C13)&lt;0,"0",(Gas!C14-Gas!C13))</f>
        <v>871</v>
      </c>
      <c r="L13" s="33">
        <f>(IF((Water!B14-Water!B13)&lt;0,"0",(Water!B14-Water!B13)))*10</f>
        <v>110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209</v>
      </c>
      <c r="Z13" s="9">
        <v>209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5730</v>
      </c>
      <c r="F14" s="33">
        <f>(IF((Electrical!C15-Electrical!C14)&lt;0,"0",(Electrical!C15-Electrical!C14)))*15</f>
        <v>4005</v>
      </c>
      <c r="G14" s="33">
        <f>(IF((Electrical!D15-Electrical!D14)&lt;0,"0",(Electrical!D15-Electrical!D14)))*15</f>
        <v>3885</v>
      </c>
      <c r="H14" s="33">
        <f>IF((Electrical!E15-Electrical!E14)&lt;0,"0",(Electrical!E15-Electrical!E14))</f>
        <v>4162</v>
      </c>
      <c r="I14" s="33">
        <f>IF((Electrical!F15-Electrical!F14)&lt;0,"0",(Electrical!F15-Electrical!F14))</f>
        <v>461</v>
      </c>
      <c r="J14" s="33">
        <f>IF((Gas!B15-Gas!B14)&lt;0,"0",(Gas!B15-Gas!B14))</f>
        <v>0</v>
      </c>
      <c r="K14" s="33">
        <f>IF((Gas!C15-Gas!C14)&lt;0,"0",(Gas!C15-Gas!C14))</f>
        <v>818</v>
      </c>
      <c r="L14" s="33">
        <f>(IF((Water!B15-Water!B14)&lt;0,"0",(Water!B15-Water!B14)))*10</f>
        <v>140</v>
      </c>
      <c r="M14" s="33">
        <f>IF((Water!C15-Water!C14)&lt;0,"0",(Water!C15-Water!C14))</f>
        <v>22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203</v>
      </c>
      <c r="Z14" s="9">
        <v>203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5205</v>
      </c>
      <c r="F15" s="33">
        <f>(IF((Electrical!C16-Electrical!C15)&lt;0,"0",(Electrical!C16-Electrical!C15)))*15</f>
        <v>3330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3699</v>
      </c>
      <c r="I15" s="33">
        <f>IF((Electrical!F16-Electrical!F15)&lt;0,"0",(Electrical!F16-Electrical!F15))</f>
        <v>399</v>
      </c>
      <c r="J15" s="33">
        <f>IF((Gas!B16-Gas!B15)&lt;0,"0",(Gas!B16-Gas!B15))</f>
        <v>0</v>
      </c>
      <c r="K15" s="33">
        <f>IF((Gas!C16-Gas!C15)&lt;0,"0",(Gas!C16-Gas!C15))</f>
        <v>743</v>
      </c>
      <c r="L15" s="33">
        <f>(IF((Water!B16-Water!B15)&lt;0,"0",(Water!B16-Water!B15)))*10</f>
        <v>120</v>
      </c>
      <c r="M15" s="33">
        <f>IF((Water!C16-Water!C15)&lt;0,"0",(Water!C16-Water!C15))</f>
        <v>20</v>
      </c>
      <c r="N15" s="33">
        <f>IF((Water!D16-Water!D15)&lt;0,"0",(Water!D16-Water!D15))</f>
        <v>0</v>
      </c>
      <c r="O15" s="33">
        <f>IF((Water!E16-Water!E15)&lt;0,"0",(Water!E16-Water!E15))</f>
        <v>14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191</v>
      </c>
      <c r="Z15" s="9">
        <v>191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5310</v>
      </c>
      <c r="F16" s="33">
        <f>(IF((Electrical!C17-Electrical!C16)&lt;0,"0",(Electrical!C17-Electrical!C16)))*15</f>
        <v>3480</v>
      </c>
      <c r="G16" s="33">
        <f>(IF((Electrical!D17-Electrical!D16)&lt;0,"0",(Electrical!D17-Electrical!D16)))*15</f>
        <v>3360</v>
      </c>
      <c r="H16" s="33">
        <f>IF((Electrical!E17-Electrical!E16)&lt;0,"0",(Electrical!E17-Electrical!E16))</f>
        <v>3796</v>
      </c>
      <c r="I16" s="33">
        <f>IF((Electrical!F17-Electrical!F16)&lt;0,"0",(Electrical!F17-Electrical!F16))</f>
        <v>397</v>
      </c>
      <c r="J16" s="33">
        <f>IF((Gas!B17-Gas!B16)&lt;0,"0",(Gas!B17-Gas!B16))</f>
        <v>0</v>
      </c>
      <c r="K16" s="33">
        <f>IF((Gas!C17-Gas!C16)&lt;0,"0",(Gas!C17-Gas!C16))</f>
        <v>740</v>
      </c>
      <c r="L16" s="33">
        <f>(IF((Water!B17-Water!B16)&lt;0,"0",(Water!B17-Water!B16)))*10</f>
        <v>110</v>
      </c>
      <c r="M16" s="33">
        <f>IF((Water!C17-Water!C16)&lt;0,"0",(Water!C17-Water!C16))</f>
        <v>24</v>
      </c>
      <c r="N16" s="33">
        <f>IF((Water!D17-Water!D16)&lt;0,"0",(Water!D17-Water!D16))</f>
        <v>0</v>
      </c>
      <c r="O16" s="33">
        <f>IF((Water!E17-Water!E16)&lt;0,"0",(Water!E17-Water!E16))</f>
        <v>13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6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245</v>
      </c>
      <c r="Z16" s="9">
        <v>245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5670</v>
      </c>
      <c r="F17" s="33">
        <f>(IF((Electrical!C18-Electrical!C17)&lt;0,"0",(Electrical!C18-Electrical!C17)))*15</f>
        <v>3495</v>
      </c>
      <c r="G17" s="33">
        <f>(IF((Electrical!D18-Electrical!D17)&lt;0,"0",(Electrical!D18-Electrical!D17)))*15</f>
        <v>3435</v>
      </c>
      <c r="H17" s="33">
        <f>IF((Electrical!E18-Electrical!E17)&lt;0,"0",(Electrical!E18-Electrical!E17))</f>
        <v>3822</v>
      </c>
      <c r="I17" s="33">
        <f>IF((Electrical!F18-Electrical!F17)&lt;0,"0",(Electrical!F18-Electrical!F17))</f>
        <v>444</v>
      </c>
      <c r="J17" s="33">
        <f>IF((Gas!B18-Gas!B17)&lt;0,"0",(Gas!B18-Gas!B17))</f>
        <v>0</v>
      </c>
      <c r="K17" s="33">
        <f>IF((Gas!C18-Gas!C17)&lt;0,"0",(Gas!C18-Gas!C17))</f>
        <v>866</v>
      </c>
      <c r="L17" s="33">
        <f>(IF((Water!B18-Water!B17)&lt;0,"0",(Water!B18-Water!B17)))*10</f>
        <v>130</v>
      </c>
      <c r="M17" s="33">
        <f>IF((Water!C18-Water!C17)&lt;0,"0",(Water!C18-Water!C17))</f>
        <v>17</v>
      </c>
      <c r="N17" s="33">
        <f>IF((Water!D18-Water!D17)&lt;0,"0",(Water!D18-Water!D17))</f>
        <v>0</v>
      </c>
      <c r="O17" s="33">
        <f>IF((Water!E18-Water!E17)&lt;0,"0",(Water!E18-Water!E17))</f>
        <v>17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47</v>
      </c>
      <c r="Y17" s="9">
        <v>266</v>
      </c>
      <c r="Z17" s="9">
        <v>266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5955</v>
      </c>
      <c r="F18" s="33">
        <f>(IF((Electrical!C19-Electrical!C18)&lt;0,"0",(Electrical!C19-Electrical!C18)))*15</f>
        <v>3585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4052</v>
      </c>
      <c r="I18" s="33">
        <f>IF((Electrical!F19-Electrical!F18)&lt;0,"0",(Electrical!F19-Electrical!F18))</f>
        <v>419</v>
      </c>
      <c r="J18" s="33">
        <f>IF((Gas!B19-Gas!B18)&lt;0,"0",(Gas!B19-Gas!B18))</f>
        <v>0</v>
      </c>
      <c r="K18" s="33">
        <f>IF((Gas!C19-Gas!C18)&lt;0,"0",(Gas!C19-Gas!C18))</f>
        <v>801</v>
      </c>
      <c r="L18" s="33">
        <f>(IF((Water!B19-Water!B18)&lt;0,"0",(Water!B19-Water!B18)))*10</f>
        <v>130</v>
      </c>
      <c r="M18" s="33">
        <f>IF((Water!C19-Water!C18)&lt;0,"0",(Water!C19-Water!C18))</f>
        <v>20</v>
      </c>
      <c r="N18" s="33">
        <f>IF((Water!D19-Water!D18)&lt;0,"0",(Water!D19-Water!D18))</f>
        <v>0</v>
      </c>
      <c r="O18" s="33">
        <f>IF((Water!E19-Water!E18)&lt;0,"0",(Water!E19-Water!E18))</f>
        <v>15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269</v>
      </c>
      <c r="Z18" s="9">
        <v>269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5880</v>
      </c>
      <c r="F19" s="33">
        <f>(IF((Electrical!C20-Electrical!C19)&lt;0,"0",(Electrical!C20-Electrical!C19)))*15</f>
        <v>3765</v>
      </c>
      <c r="G19" s="33">
        <f>(IF((Electrical!D20-Electrical!D19)&lt;0,"0",(Electrical!D20-Electrical!D19)))*15</f>
        <v>3675</v>
      </c>
      <c r="H19" s="33">
        <f>IF((Electrical!E20-Electrical!E19)&lt;0,"0",(Electrical!E20-Electrical!E19))</f>
        <v>4248</v>
      </c>
      <c r="I19" s="33">
        <f>IF((Electrical!F20-Electrical!F19)&lt;0,"0",(Electrical!F20-Electrical!F19))</f>
        <v>438</v>
      </c>
      <c r="J19" s="33">
        <f>IF((Gas!B20-Gas!B19)&lt;0,"0",(Gas!B20-Gas!B19))</f>
        <v>0</v>
      </c>
      <c r="K19" s="33">
        <f>IF((Gas!C20-Gas!C19)&lt;0,"0",(Gas!C20-Gas!C19))</f>
        <v>775</v>
      </c>
      <c r="L19" s="33">
        <f>(IF((Water!B20-Water!B19)&lt;0,"0",(Water!B20-Water!B19)))*10</f>
        <v>160</v>
      </c>
      <c r="M19" s="33">
        <f>IF((Water!C20-Water!C19)&lt;0,"0",(Water!C20-Water!C19))</f>
        <v>22</v>
      </c>
      <c r="N19" s="33">
        <f>IF((Water!D20-Water!D19)&lt;0,"0",(Water!D20-Water!D19))</f>
        <v>0</v>
      </c>
      <c r="O19" s="33">
        <f>IF((Water!E20-Water!E19)&lt;0,"0",(Water!E20-Water!E19))</f>
        <v>16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6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50</v>
      </c>
      <c r="Y19" s="9">
        <v>272</v>
      </c>
      <c r="Z19" s="9">
        <v>272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6150</v>
      </c>
      <c r="F20" s="33">
        <f>(IF((Electrical!C21-Electrical!C20)&lt;0,"0",(Electrical!C21-Electrical!C20)))*15</f>
        <v>3990</v>
      </c>
      <c r="G20" s="33">
        <f>(IF((Electrical!D21-Electrical!D20)&lt;0,"0",(Electrical!D21-Electrical!D20)))*15</f>
        <v>3780</v>
      </c>
      <c r="H20" s="33">
        <f>IF((Electrical!E21-Electrical!E20)&lt;0,"0",(Electrical!E21-Electrical!E20))</f>
        <v>4609</v>
      </c>
      <c r="I20" s="33">
        <f>IF((Electrical!F21-Electrical!F20)&lt;0,"0",(Electrical!F21-Electrical!F20))</f>
        <v>427</v>
      </c>
      <c r="J20" s="33">
        <f>IF((Gas!B21-Gas!B20)&lt;0,"0",(Gas!B21-Gas!B20))</f>
        <v>0</v>
      </c>
      <c r="K20" s="33">
        <f>IF((Gas!C21-Gas!C20)&lt;0,"0",(Gas!C21-Gas!C20))</f>
        <v>757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18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1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250</v>
      </c>
      <c r="Z20" s="9">
        <v>250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6105</v>
      </c>
      <c r="F21" s="33">
        <f>(IF((Electrical!C22-Electrical!C21)&lt;0,"0",(Electrical!C22-Electrical!C21)))*15</f>
        <v>3690</v>
      </c>
      <c r="G21" s="33">
        <f>(IF((Electrical!D22-Electrical!D21)&lt;0,"0",(Electrical!D22-Electrical!D21)))*15</f>
        <v>3690</v>
      </c>
      <c r="H21" s="33">
        <f>IF((Electrical!E22-Electrical!E21)&lt;0,"0",(Electrical!E22-Electrical!E21))</f>
        <v>4309</v>
      </c>
      <c r="I21" s="33">
        <f>IF((Electrical!F22-Electrical!F21)&lt;0,"0",(Electrical!F22-Electrical!F21))</f>
        <v>475</v>
      </c>
      <c r="J21" s="33">
        <f>IF((Gas!B22-Gas!B21)&lt;0,"0",(Gas!B22-Gas!B21))</f>
        <v>0</v>
      </c>
      <c r="K21" s="33">
        <f>IF((Gas!C22-Gas!C21)&lt;0,"0",(Gas!C22-Gas!C21))</f>
        <v>755</v>
      </c>
      <c r="L21" s="33">
        <f>(IF((Water!B22-Water!B21)&lt;0,"0",(Water!B22-Water!B21)))*10</f>
        <v>160</v>
      </c>
      <c r="M21" s="33">
        <f>IF((Water!C22-Water!C21)&lt;0,"0",(Water!C22-Water!C21))</f>
        <v>20</v>
      </c>
      <c r="N21" s="33">
        <f>IF((Water!D22-Water!D21)&lt;0,"0",(Water!D22-Water!D21))</f>
        <v>0</v>
      </c>
      <c r="O21" s="33">
        <f>IF((Water!E22-Water!E21)&lt;0,"0",(Water!E22-Water!E21))</f>
        <v>18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49</v>
      </c>
      <c r="Y21" s="9">
        <v>253</v>
      </c>
      <c r="Z21" s="9">
        <v>253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5145</v>
      </c>
      <c r="F22" s="33">
        <f>(IF((Electrical!C23-Electrical!C22)&lt;0,"0",(Electrical!C23-Electrical!C22)))*15</f>
        <v>3555</v>
      </c>
      <c r="G22" s="33">
        <f>(IF((Electrical!D23-Electrical!D22)&lt;0,"0",(Electrical!D23-Electrical!D22)))*15</f>
        <v>3615</v>
      </c>
      <c r="H22" s="33">
        <f>IF((Electrical!E23-Electrical!E22)&lt;0,"0",(Electrical!E23-Electrical!E22))</f>
        <v>3880</v>
      </c>
      <c r="I22" s="33">
        <f>IF((Electrical!F23-Electrical!F22)&lt;0,"0",(Electrical!F23-Electrical!F22))</f>
        <v>427</v>
      </c>
      <c r="J22" s="33">
        <f>IF((Gas!B23-Gas!B22)&lt;0,"0",(Gas!B23-Gas!B22))</f>
        <v>0</v>
      </c>
      <c r="K22" s="33">
        <f>IF((Gas!C23-Gas!C22)&lt;0,"0",(Gas!C23-Gas!C22))</f>
        <v>762</v>
      </c>
      <c r="L22" s="33">
        <f>(IF((Water!B23-Water!B22)&lt;0,"0",(Water!B23-Water!B22)))*10</f>
        <v>120</v>
      </c>
      <c r="M22" s="33">
        <f>IF((Water!C23-Water!C22)&lt;0,"0",(Water!C23-Water!C22))</f>
        <v>17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31</v>
      </c>
      <c r="Y22" s="9">
        <v>260</v>
      </c>
      <c r="Z22" s="9">
        <v>260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 t="str">
        <f>IF((Electrical!E24-Electrical!E23)&lt;0,"0",(Electrical!E24-Electrical!E23))</f>
        <v>0</v>
      </c>
      <c r="I23" s="33" t="str">
        <f>IF((Electrical!F24-Electrical!F23)&lt;0,"0",(Electrical!F24-Electrical!F23))</f>
        <v>0</v>
      </c>
      <c r="J23" s="33">
        <f>IF((Gas!B24-Gas!B23)&lt;0,"0",(Gas!B24-Gas!B23))</f>
        <v>0</v>
      </c>
      <c r="K23" s="33" t="str">
        <f>IF((Gas!C24-Gas!C23)&lt;0,"0",(Gas!C24-Gas!C23))</f>
        <v>0</v>
      </c>
      <c r="L23" s="33">
        <f>(IF((Water!B24-Water!B23)&lt;0,"0",(Water!B24-Water!B23)))*10</f>
        <v>0</v>
      </c>
      <c r="M23" s="33" t="str">
        <f>IF((Water!C24-Water!C23)&lt;0,"0",(Water!C24-Water!C23))</f>
        <v>0</v>
      </c>
      <c r="N23" s="33">
        <f>IF((Water!D24-Water!D23)&lt;0,"0",(Water!D24-Water!D23))</f>
        <v>0</v>
      </c>
      <c r="O23" s="33" t="str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 t="str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 t="str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IF((Electrical!E38-Electrical!E25)&lt;0,"0",(Electrical!E38-Electrical!E25))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IF((Electrical!E27-Electrical!E38)&lt;0,"0",(Electrical!E27-Electrical!E38))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opLeftCell="A7" zoomScale="70" zoomScaleNormal="70" workbookViewId="0">
      <selection activeCell="J26" sqref="J26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>
        <v>134131</v>
      </c>
      <c r="C14" s="28">
        <v>97487</v>
      </c>
      <c r="D14" s="45">
        <v>99159</v>
      </c>
      <c r="E14" s="45">
        <v>1394963</v>
      </c>
      <c r="F14" s="45">
        <v>157026</v>
      </c>
      <c r="G14" s="5" t="s">
        <v>47</v>
      </c>
    </row>
    <row r="15" spans="1:7" x14ac:dyDescent="0.35">
      <c r="A15" s="7">
        <v>13</v>
      </c>
      <c r="B15" s="28">
        <v>134513</v>
      </c>
      <c r="C15" s="28">
        <v>97754</v>
      </c>
      <c r="D15" s="45">
        <v>99418</v>
      </c>
      <c r="E15" s="45">
        <v>1399125</v>
      </c>
      <c r="F15" s="45">
        <v>157487</v>
      </c>
      <c r="G15" s="5" t="s">
        <v>40</v>
      </c>
    </row>
    <row r="16" spans="1:7" x14ac:dyDescent="0.35">
      <c r="A16" s="7">
        <v>14</v>
      </c>
      <c r="B16" s="28">
        <v>134860</v>
      </c>
      <c r="C16" s="28">
        <v>97976</v>
      </c>
      <c r="D16" s="45">
        <v>99657</v>
      </c>
      <c r="E16" s="45">
        <v>1402824</v>
      </c>
      <c r="F16" s="45">
        <v>157886</v>
      </c>
      <c r="G16" s="5" t="s">
        <v>40</v>
      </c>
    </row>
    <row r="17" spans="1:7" x14ac:dyDescent="0.35">
      <c r="A17" s="7">
        <v>15</v>
      </c>
      <c r="B17" s="28">
        <v>135214</v>
      </c>
      <c r="C17" s="28">
        <v>98208</v>
      </c>
      <c r="D17" s="45">
        <v>99881</v>
      </c>
      <c r="E17" s="45">
        <v>1406620</v>
      </c>
      <c r="F17" s="45">
        <v>158283</v>
      </c>
      <c r="G17" s="5" t="s">
        <v>42</v>
      </c>
    </row>
    <row r="18" spans="1:7" x14ac:dyDescent="0.35">
      <c r="A18" s="7">
        <v>16</v>
      </c>
      <c r="B18" s="28">
        <v>135592</v>
      </c>
      <c r="C18" s="28">
        <v>98441</v>
      </c>
      <c r="D18" s="45">
        <v>100110</v>
      </c>
      <c r="E18" s="45">
        <v>1410442</v>
      </c>
      <c r="F18" s="45">
        <v>158727</v>
      </c>
      <c r="G18" s="5" t="s">
        <v>42</v>
      </c>
    </row>
    <row r="19" spans="1:7" x14ac:dyDescent="0.35">
      <c r="A19" s="7">
        <v>17</v>
      </c>
      <c r="B19" s="28">
        <v>135989</v>
      </c>
      <c r="C19" s="28">
        <v>98680</v>
      </c>
      <c r="D19" s="45">
        <v>100355</v>
      </c>
      <c r="E19" s="45">
        <v>1414494</v>
      </c>
      <c r="F19" s="45">
        <v>159146</v>
      </c>
      <c r="G19" s="5" t="s">
        <v>48</v>
      </c>
    </row>
    <row r="20" spans="1:7" x14ac:dyDescent="0.35">
      <c r="A20" s="7">
        <v>18</v>
      </c>
      <c r="B20" s="28">
        <v>136381</v>
      </c>
      <c r="C20" s="28">
        <v>98931</v>
      </c>
      <c r="D20" s="45">
        <v>100600</v>
      </c>
      <c r="E20" s="45">
        <v>1418742</v>
      </c>
      <c r="F20" s="45">
        <v>159584</v>
      </c>
      <c r="G20" s="5" t="s">
        <v>48</v>
      </c>
    </row>
    <row r="21" spans="1:7" x14ac:dyDescent="0.35">
      <c r="A21" s="7">
        <v>19</v>
      </c>
      <c r="B21" s="28">
        <v>136791</v>
      </c>
      <c r="C21" s="28">
        <v>99197</v>
      </c>
      <c r="D21" s="45">
        <v>100852</v>
      </c>
      <c r="E21" s="45">
        <v>1423351</v>
      </c>
      <c r="F21" s="45">
        <v>160011</v>
      </c>
      <c r="G21" s="5" t="s">
        <v>49</v>
      </c>
    </row>
    <row r="22" spans="1:7" x14ac:dyDescent="0.35">
      <c r="A22" s="7">
        <v>20</v>
      </c>
      <c r="B22" s="28">
        <v>137198</v>
      </c>
      <c r="C22" s="28">
        <v>99443</v>
      </c>
      <c r="D22" s="45">
        <v>101098</v>
      </c>
      <c r="E22" s="45">
        <v>1427660</v>
      </c>
      <c r="F22" s="45">
        <v>160486</v>
      </c>
      <c r="G22" s="5" t="s">
        <v>49</v>
      </c>
    </row>
    <row r="23" spans="1:7" x14ac:dyDescent="0.35">
      <c r="A23" s="7">
        <v>21</v>
      </c>
      <c r="B23" s="28">
        <v>137541</v>
      </c>
      <c r="C23" s="28">
        <v>99680</v>
      </c>
      <c r="D23" s="45">
        <v>101339</v>
      </c>
      <c r="E23" s="45">
        <v>1431540</v>
      </c>
      <c r="F23" s="45">
        <v>160913</v>
      </c>
      <c r="G23" s="5" t="s">
        <v>50</v>
      </c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topLeftCell="A4" zoomScale="85" zoomScaleNormal="85" workbookViewId="0">
      <selection activeCell="F20" sqref="F20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>
        <v>235828</v>
      </c>
      <c r="D14" s="5" t="s">
        <v>47</v>
      </c>
    </row>
    <row r="15" spans="1:4" x14ac:dyDescent="0.35">
      <c r="A15" s="4">
        <v>13</v>
      </c>
      <c r="B15" s="5">
        <v>0</v>
      </c>
      <c r="C15" s="5">
        <v>236646</v>
      </c>
      <c r="D15" s="5" t="s">
        <v>40</v>
      </c>
    </row>
    <row r="16" spans="1:4" x14ac:dyDescent="0.35">
      <c r="A16" s="4">
        <v>14</v>
      </c>
      <c r="B16" s="5">
        <v>0</v>
      </c>
      <c r="C16" s="5">
        <v>237389</v>
      </c>
      <c r="D16" s="5" t="s">
        <v>40</v>
      </c>
    </row>
    <row r="17" spans="1:4" x14ac:dyDescent="0.35">
      <c r="A17" s="4">
        <v>15</v>
      </c>
      <c r="B17" s="5">
        <v>0</v>
      </c>
      <c r="C17" s="5">
        <v>238129</v>
      </c>
      <c r="D17" s="5" t="s">
        <v>42</v>
      </c>
    </row>
    <row r="18" spans="1:4" x14ac:dyDescent="0.35">
      <c r="A18" s="4">
        <v>16</v>
      </c>
      <c r="B18" s="5">
        <v>0</v>
      </c>
      <c r="C18" s="5">
        <v>238995</v>
      </c>
      <c r="D18" s="5" t="s">
        <v>42</v>
      </c>
    </row>
    <row r="19" spans="1:4" x14ac:dyDescent="0.35">
      <c r="A19" s="4">
        <v>17</v>
      </c>
      <c r="B19" s="5">
        <v>0</v>
      </c>
      <c r="C19" s="5">
        <v>239796</v>
      </c>
      <c r="D19" s="5" t="s">
        <v>48</v>
      </c>
    </row>
    <row r="20" spans="1:4" x14ac:dyDescent="0.35">
      <c r="A20" s="4">
        <v>18</v>
      </c>
      <c r="B20" s="5">
        <v>0</v>
      </c>
      <c r="C20" s="5">
        <v>240571</v>
      </c>
      <c r="D20" s="5" t="s">
        <v>48</v>
      </c>
    </row>
    <row r="21" spans="1:4" x14ac:dyDescent="0.35">
      <c r="A21" s="4">
        <v>19</v>
      </c>
      <c r="B21" s="5">
        <v>0</v>
      </c>
      <c r="C21" s="5">
        <v>241328</v>
      </c>
      <c r="D21" s="5" t="s">
        <v>49</v>
      </c>
    </row>
    <row r="22" spans="1:4" x14ac:dyDescent="0.35">
      <c r="A22" s="4">
        <v>20</v>
      </c>
      <c r="B22" s="5">
        <v>0</v>
      </c>
      <c r="C22" s="5">
        <v>242083</v>
      </c>
      <c r="D22" s="5" t="s">
        <v>49</v>
      </c>
    </row>
    <row r="23" spans="1:4" x14ac:dyDescent="0.35">
      <c r="A23" s="4">
        <v>21</v>
      </c>
      <c r="B23" s="5">
        <v>0</v>
      </c>
      <c r="C23" s="5">
        <v>242845</v>
      </c>
      <c r="D23" s="5" t="s">
        <v>50</v>
      </c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G4" zoomScale="85" zoomScaleNormal="85" workbookViewId="0">
      <selection activeCell="R22" sqref="R22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>
        <v>3848</v>
      </c>
      <c r="C14" s="5">
        <v>11200</v>
      </c>
      <c r="D14" s="5">
        <v>0</v>
      </c>
      <c r="E14" s="5">
        <v>3537</v>
      </c>
      <c r="F14" s="5">
        <v>0</v>
      </c>
      <c r="G14" s="5">
        <v>0</v>
      </c>
      <c r="H14" s="5">
        <v>0</v>
      </c>
      <c r="I14" s="5">
        <v>0</v>
      </c>
      <c r="J14" s="5">
        <v>467</v>
      </c>
      <c r="K14" s="5">
        <v>0</v>
      </c>
      <c r="L14" s="5">
        <v>0</v>
      </c>
      <c r="M14" s="5">
        <v>0</v>
      </c>
      <c r="N14" s="5">
        <v>13820</v>
      </c>
      <c r="O14" s="5" t="s">
        <v>47</v>
      </c>
    </row>
    <row r="15" spans="1:15" x14ac:dyDescent="0.35">
      <c r="A15" s="4">
        <v>13</v>
      </c>
      <c r="B15" s="5">
        <v>3862</v>
      </c>
      <c r="C15" s="5">
        <v>11222</v>
      </c>
      <c r="D15" s="5">
        <v>0</v>
      </c>
      <c r="E15" s="5">
        <v>3552</v>
      </c>
      <c r="F15" s="5">
        <v>0</v>
      </c>
      <c r="G15" s="5">
        <v>0</v>
      </c>
      <c r="H15" s="5">
        <v>0</v>
      </c>
      <c r="I15" s="5">
        <v>0</v>
      </c>
      <c r="J15" s="5">
        <v>467</v>
      </c>
      <c r="K15" s="5">
        <v>0</v>
      </c>
      <c r="L15" s="5">
        <v>0</v>
      </c>
      <c r="M15" s="5">
        <v>0</v>
      </c>
      <c r="N15" s="5">
        <v>13852</v>
      </c>
      <c r="O15" s="5" t="s">
        <v>40</v>
      </c>
    </row>
    <row r="16" spans="1:15" x14ac:dyDescent="0.35">
      <c r="A16" s="4">
        <v>14</v>
      </c>
      <c r="B16" s="5">
        <v>3874</v>
      </c>
      <c r="C16" s="5">
        <v>11242</v>
      </c>
      <c r="D16" s="5">
        <v>0</v>
      </c>
      <c r="E16" s="5">
        <v>3566</v>
      </c>
      <c r="F16" s="5">
        <v>0</v>
      </c>
      <c r="G16" s="5">
        <v>0</v>
      </c>
      <c r="H16" s="5">
        <v>0</v>
      </c>
      <c r="I16" s="5">
        <v>0</v>
      </c>
      <c r="J16" s="5">
        <v>467</v>
      </c>
      <c r="K16" s="5">
        <v>0</v>
      </c>
      <c r="L16" s="5">
        <v>0</v>
      </c>
      <c r="M16" s="5">
        <v>0</v>
      </c>
      <c r="N16" s="5">
        <v>13885</v>
      </c>
      <c r="O16" s="5" t="s">
        <v>40</v>
      </c>
    </row>
    <row r="17" spans="1:15" x14ac:dyDescent="0.35">
      <c r="A17" s="4">
        <v>15</v>
      </c>
      <c r="B17" s="5">
        <v>3885</v>
      </c>
      <c r="C17" s="5">
        <v>11266</v>
      </c>
      <c r="D17" s="5">
        <v>0</v>
      </c>
      <c r="E17" s="5">
        <v>3579</v>
      </c>
      <c r="F17" s="5">
        <v>0</v>
      </c>
      <c r="G17" s="5">
        <v>0</v>
      </c>
      <c r="H17" s="5">
        <v>0</v>
      </c>
      <c r="I17" s="5">
        <v>0</v>
      </c>
      <c r="J17" s="5">
        <v>473</v>
      </c>
      <c r="K17" s="5">
        <v>0</v>
      </c>
      <c r="L17" s="5">
        <v>0</v>
      </c>
      <c r="M17" s="5">
        <v>0</v>
      </c>
      <c r="N17" s="5">
        <v>13917</v>
      </c>
      <c r="O17" s="5" t="s">
        <v>42</v>
      </c>
    </row>
    <row r="18" spans="1:15" x14ac:dyDescent="0.35">
      <c r="A18" s="4">
        <v>16</v>
      </c>
      <c r="B18" s="5">
        <v>3898</v>
      </c>
      <c r="C18" s="5">
        <v>11283</v>
      </c>
      <c r="D18" s="5">
        <v>0</v>
      </c>
      <c r="E18" s="5">
        <v>3596</v>
      </c>
      <c r="F18" s="5">
        <v>0</v>
      </c>
      <c r="G18" s="5">
        <v>0</v>
      </c>
      <c r="H18" s="5">
        <v>0</v>
      </c>
      <c r="I18" s="5">
        <v>0</v>
      </c>
      <c r="J18" s="5">
        <v>473</v>
      </c>
      <c r="K18" s="5">
        <v>0</v>
      </c>
      <c r="L18" s="5">
        <v>0</v>
      </c>
      <c r="M18" s="5">
        <v>0</v>
      </c>
      <c r="N18" s="5">
        <v>13964</v>
      </c>
      <c r="O18" s="5" t="s">
        <v>42</v>
      </c>
    </row>
    <row r="19" spans="1:15" x14ac:dyDescent="0.35">
      <c r="A19" s="4">
        <v>17</v>
      </c>
      <c r="B19" s="5">
        <v>3911</v>
      </c>
      <c r="C19" s="5">
        <v>11303</v>
      </c>
      <c r="D19" s="5">
        <v>0</v>
      </c>
      <c r="E19" s="5">
        <v>3611</v>
      </c>
      <c r="F19" s="5">
        <v>0</v>
      </c>
      <c r="G19" s="5">
        <v>0</v>
      </c>
      <c r="H19" s="5">
        <v>0</v>
      </c>
      <c r="I19" s="5">
        <v>0</v>
      </c>
      <c r="J19" s="5">
        <v>473</v>
      </c>
      <c r="K19" s="5">
        <v>0</v>
      </c>
      <c r="L19" s="5">
        <v>0</v>
      </c>
      <c r="M19" s="5">
        <v>0</v>
      </c>
      <c r="N19" s="5">
        <v>13997</v>
      </c>
      <c r="O19" s="5" t="s">
        <v>48</v>
      </c>
    </row>
    <row r="20" spans="1:15" x14ac:dyDescent="0.35">
      <c r="A20" s="4">
        <v>18</v>
      </c>
      <c r="B20" s="5">
        <v>3927</v>
      </c>
      <c r="C20" s="5">
        <v>11325</v>
      </c>
      <c r="D20" s="5">
        <v>0</v>
      </c>
      <c r="E20" s="5">
        <v>3627</v>
      </c>
      <c r="F20" s="5">
        <v>0</v>
      </c>
      <c r="G20" s="5">
        <v>0</v>
      </c>
      <c r="H20" s="5">
        <v>0</v>
      </c>
      <c r="I20" s="5">
        <v>0</v>
      </c>
      <c r="J20" s="5">
        <v>479</v>
      </c>
      <c r="K20" s="5">
        <v>0</v>
      </c>
      <c r="L20" s="5">
        <v>0</v>
      </c>
      <c r="M20" s="5">
        <v>0</v>
      </c>
      <c r="N20" s="5">
        <v>14047</v>
      </c>
      <c r="O20" s="5" t="s">
        <v>48</v>
      </c>
    </row>
    <row r="21" spans="1:15" x14ac:dyDescent="0.35">
      <c r="A21" s="4">
        <v>19</v>
      </c>
      <c r="B21" s="5">
        <v>3939</v>
      </c>
      <c r="C21" s="5">
        <v>11344</v>
      </c>
      <c r="D21" s="5">
        <v>0</v>
      </c>
      <c r="E21" s="5">
        <v>3645</v>
      </c>
      <c r="F21" s="5">
        <v>0</v>
      </c>
      <c r="G21" s="5">
        <v>0</v>
      </c>
      <c r="H21" s="5">
        <v>0</v>
      </c>
      <c r="I21" s="5">
        <v>0</v>
      </c>
      <c r="J21" s="5">
        <v>480</v>
      </c>
      <c r="K21" s="5">
        <v>0</v>
      </c>
      <c r="L21" s="5">
        <v>0</v>
      </c>
      <c r="M21" s="5">
        <v>0</v>
      </c>
      <c r="N21" s="5">
        <v>14079</v>
      </c>
      <c r="O21" s="5" t="s">
        <v>49</v>
      </c>
    </row>
    <row r="22" spans="1:15" x14ac:dyDescent="0.35">
      <c r="A22" s="4">
        <v>20</v>
      </c>
      <c r="B22" s="5">
        <v>3955</v>
      </c>
      <c r="C22" s="5">
        <v>11364</v>
      </c>
      <c r="D22" s="5">
        <v>0</v>
      </c>
      <c r="E22" s="5">
        <v>3663</v>
      </c>
      <c r="F22" s="5">
        <v>0</v>
      </c>
      <c r="G22" s="5">
        <v>0</v>
      </c>
      <c r="H22" s="5">
        <v>0</v>
      </c>
      <c r="I22" s="5">
        <v>0</v>
      </c>
      <c r="J22" s="5">
        <v>480</v>
      </c>
      <c r="K22" s="5">
        <v>0</v>
      </c>
      <c r="L22" s="5">
        <v>0</v>
      </c>
      <c r="M22" s="5">
        <v>0</v>
      </c>
      <c r="N22" s="5">
        <v>14128</v>
      </c>
      <c r="O22" s="5" t="s">
        <v>49</v>
      </c>
    </row>
    <row r="23" spans="1:15" x14ac:dyDescent="0.35">
      <c r="A23" s="4">
        <v>21</v>
      </c>
      <c r="B23" s="5">
        <v>3967</v>
      </c>
      <c r="C23" s="5">
        <v>11381</v>
      </c>
      <c r="D23" s="5">
        <v>0</v>
      </c>
      <c r="E23" s="5">
        <v>3680</v>
      </c>
      <c r="F23" s="5">
        <v>0</v>
      </c>
      <c r="G23" s="5">
        <v>0</v>
      </c>
      <c r="H23" s="5">
        <v>0</v>
      </c>
      <c r="I23" s="5">
        <v>0</v>
      </c>
      <c r="J23" s="5">
        <v>480</v>
      </c>
      <c r="K23" s="5">
        <v>0</v>
      </c>
      <c r="L23" s="5">
        <v>0</v>
      </c>
      <c r="M23" s="5">
        <v>0</v>
      </c>
      <c r="N23" s="5">
        <v>14159</v>
      </c>
      <c r="O23" s="5" t="s">
        <v>50</v>
      </c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c0c63084-832f-4b13-a501-c844d9f3bfe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2024-04-22T00:26:16Z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