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</calcChain>
</file>

<file path=xl/sharedStrings.xml><?xml version="1.0" encoding="utf-8"?>
<sst xmlns="http://schemas.openxmlformats.org/spreadsheetml/2006/main" count="104" uniqueCount="33">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</sst>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" sqref="E2:K29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2</v>
      </c>
      <c r="D2" s="9">
        <v>2020</v>
      </c>
      <c r="E2" s="20">
        <f>Submetering!E3</f>
        <v>7305.75</v>
      </c>
      <c r="F2" s="16">
        <v>0.12</v>
      </c>
      <c r="G2" s="20">
        <f>Submetering!F3+Submetering!G3</f>
        <v>516.85148377457949</v>
      </c>
      <c r="H2" s="16">
        <v>0.71</v>
      </c>
      <c r="I2" s="20">
        <f>Submetering!J3+Submetering!I3+Submetering!H3</f>
        <v>75.573485900499989</v>
      </c>
      <c r="J2" s="16">
        <v>2.3196172978505634</v>
      </c>
      <c r="K2" s="20">
        <f>Submetering!K2</f>
        <v>96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2</v>
      </c>
      <c r="D3" s="9">
        <v>2020</v>
      </c>
      <c r="E3" s="20">
        <f>Submetering!E4</f>
        <v>7380</v>
      </c>
      <c r="F3" s="16">
        <v>0.12</v>
      </c>
      <c r="G3" s="20">
        <f>Submetering!F4+Submetering!G4</f>
        <v>460.02099753158882</v>
      </c>
      <c r="H3" s="16">
        <v>0.71</v>
      </c>
      <c r="I3" s="20">
        <f>Submetering!J4+Submetering!I4+Submetering!H4</f>
        <v>74.822760841699989</v>
      </c>
      <c r="J3" s="16">
        <v>2.3196172978505634</v>
      </c>
      <c r="K3" s="20">
        <f>Submetering!K3</f>
        <v>101</v>
      </c>
      <c r="L3" s="20">
        <f>Submetering!L3</f>
        <v>0</v>
      </c>
    </row>
    <row r="4" spans="1:24" x14ac:dyDescent="0.25">
      <c r="A4" s="17" t="s">
        <v>32</v>
      </c>
      <c r="B4" s="9">
        <f t="shared" ref="B4:B30" si="0">B3+1</f>
        <v>3</v>
      </c>
      <c r="C4" s="6">
        <v>2</v>
      </c>
      <c r="D4" s="9">
        <v>2020</v>
      </c>
      <c r="E4" s="20">
        <f>Submetering!E5</f>
        <v>7425</v>
      </c>
      <c r="F4" s="16">
        <v>0.12</v>
      </c>
      <c r="G4" s="20">
        <f>Submetering!F5+Submetering!G5</f>
        <v>650.20140014504682</v>
      </c>
      <c r="H4" s="16">
        <v>0.71</v>
      </c>
      <c r="I4" s="20">
        <f>Submetering!J5+Submetering!I5+Submetering!H5</f>
        <v>65.331994413400011</v>
      </c>
      <c r="J4" s="16">
        <v>2.3196172978505634</v>
      </c>
      <c r="K4" s="20">
        <f>Submetering!K4</f>
        <v>84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2</v>
      </c>
      <c r="D5" s="9">
        <v>2020</v>
      </c>
      <c r="E5" s="20">
        <f>Submetering!E6</f>
        <v>7364.25</v>
      </c>
      <c r="F5" s="16">
        <v>0.12</v>
      </c>
      <c r="G5" s="20">
        <f>Submetering!F6+Submetering!G6</f>
        <v>705.34241826878508</v>
      </c>
      <c r="H5" s="16">
        <v>0.71</v>
      </c>
      <c r="I5" s="20">
        <f>Submetering!J6+Submetering!I6+Submetering!H6</f>
        <v>70.125828062799997</v>
      </c>
      <c r="J5" s="16">
        <v>2.3196172978505634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2</v>
      </c>
      <c r="D6" s="9">
        <v>2020</v>
      </c>
      <c r="E6" s="20">
        <f>Submetering!E7</f>
        <v>7328.25</v>
      </c>
      <c r="F6" s="16">
        <v>0.12</v>
      </c>
      <c r="G6" s="20">
        <f>Submetering!F7+Submetering!G7</f>
        <v>793.31251475644865</v>
      </c>
      <c r="H6" s="16">
        <v>0.71</v>
      </c>
      <c r="I6" s="20">
        <f>Submetering!J7+Submetering!I7+Submetering!H7</f>
        <v>70.442166407300007</v>
      </c>
      <c r="J6" s="16">
        <v>2.3196172978505634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2</v>
      </c>
      <c r="D7" s="9">
        <v>2020</v>
      </c>
      <c r="E7" s="20">
        <f>Submetering!E8</f>
        <v>7429.5</v>
      </c>
      <c r="F7" s="16">
        <v>0.12</v>
      </c>
      <c r="G7" s="20">
        <f>Submetering!F8+Submetering!G8</f>
        <v>793.16574910551401</v>
      </c>
      <c r="H7" s="16">
        <v>0.71</v>
      </c>
      <c r="I7" s="20">
        <f>Submetering!J8+Submetering!I8+Submetering!H8</f>
        <v>76.314822563099995</v>
      </c>
      <c r="J7" s="16">
        <v>2.3196172978505634</v>
      </c>
      <c r="K7" s="20">
        <f>Submetering!K7</f>
        <v>93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2</v>
      </c>
      <c r="D8" s="9">
        <v>2020</v>
      </c>
      <c r="E8" s="20">
        <f>Submetering!E9</f>
        <v>7040.25</v>
      </c>
      <c r="F8" s="16">
        <v>0.12</v>
      </c>
      <c r="G8" s="20">
        <f>Submetering!F9+Submetering!G9</f>
        <v>719.14173043757012</v>
      </c>
      <c r="H8" s="16">
        <v>0.71</v>
      </c>
      <c r="I8" s="20">
        <f>Submetering!J9+Submetering!I9+Submetering!H9</f>
        <v>63.359349337300003</v>
      </c>
      <c r="J8" s="16">
        <v>2.3196172978505634</v>
      </c>
      <c r="K8" s="20">
        <f>Submetering!K8</f>
        <v>58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2</v>
      </c>
      <c r="D9" s="9">
        <v>2020</v>
      </c>
      <c r="E9" s="20">
        <f>Submetering!E9</f>
        <v>7040.25</v>
      </c>
      <c r="F9" s="16">
        <v>0.12</v>
      </c>
      <c r="G9" s="20">
        <f>Submetering!F10+Submetering!G10</f>
        <v>623.87244113570091</v>
      </c>
      <c r="H9" s="16">
        <v>0.71</v>
      </c>
      <c r="I9" s="20">
        <f>Submetering!J10+Submetering!I10+Submetering!H10</f>
        <v>63.190054550900001</v>
      </c>
      <c r="J9" s="16">
        <v>2.3196172978505634</v>
      </c>
      <c r="K9" s="20">
        <f>Submetering!K9</f>
        <v>57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2</v>
      </c>
      <c r="D10" s="9">
        <v>2020</v>
      </c>
      <c r="E10" s="20">
        <f>Submetering!E10</f>
        <v>6815.25</v>
      </c>
      <c r="F10" s="16">
        <v>0.12</v>
      </c>
      <c r="G10" s="20">
        <f>Submetering!F11+Submetering!G11</f>
        <v>380.0785100288785</v>
      </c>
      <c r="H10" s="16">
        <v>0.71</v>
      </c>
      <c r="I10" s="20">
        <f>Submetering!J10+Submetering!I10+Submetering!H10</f>
        <v>63.190054550900001</v>
      </c>
      <c r="J10" s="16">
        <v>2.3196172978505634</v>
      </c>
      <c r="K10" s="20">
        <f>Submetering!K10</f>
        <v>61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2</v>
      </c>
      <c r="D11" s="9">
        <v>2020</v>
      </c>
      <c r="E11" s="20">
        <f>Submetering!E11</f>
        <v>7229.25</v>
      </c>
      <c r="F11" s="16">
        <v>0.12</v>
      </c>
      <c r="G11" s="20">
        <f>Submetering!F11+Submetering!G11</f>
        <v>380.0785100288785</v>
      </c>
      <c r="H11" s="16">
        <v>0.71</v>
      </c>
      <c r="I11" s="20">
        <f>Submetering!J11+Submetering!I11+Submetering!H11</f>
        <v>70.508013715399997</v>
      </c>
      <c r="J11" s="16">
        <v>2.3196172978505634</v>
      </c>
      <c r="K11" s="20">
        <f>Submetering!K11</f>
        <v>84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2</v>
      </c>
      <c r="D12" s="9">
        <v>2020</v>
      </c>
      <c r="E12" s="20">
        <f>Submetering!E12</f>
        <v>7427.25</v>
      </c>
      <c r="F12" s="16">
        <v>0.12</v>
      </c>
      <c r="G12" s="20">
        <f>Submetering!F12+Submetering!G12</f>
        <v>484.84367466971969</v>
      </c>
      <c r="H12" s="16">
        <v>0.71</v>
      </c>
      <c r="I12" s="20">
        <f>Submetering!J12+Submetering!I12+Submetering!H12</f>
        <v>72.778941832300006</v>
      </c>
      <c r="J12" s="16">
        <v>2.3196172978505634</v>
      </c>
      <c r="K12" s="20">
        <f>Submetering!K12</f>
        <v>74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2</v>
      </c>
      <c r="D13" s="9">
        <v>2020</v>
      </c>
      <c r="E13" s="20">
        <f>Submetering!E13</f>
        <v>7139.25</v>
      </c>
      <c r="F13" s="16">
        <v>0.12</v>
      </c>
      <c r="G13" s="20">
        <f>Submetering!F13+Submetering!G13</f>
        <v>654.75957216635516</v>
      </c>
      <c r="H13" s="16">
        <v>0.71</v>
      </c>
      <c r="I13" s="20">
        <f>Submetering!J13+Submetering!I13+Submetering!H13</f>
        <v>65.874537921699996</v>
      </c>
      <c r="J13" s="16">
        <v>2.3196172978505634</v>
      </c>
      <c r="K13" s="20">
        <f>Submetering!K13</f>
        <v>67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2</v>
      </c>
      <c r="D14" s="9">
        <v>2020</v>
      </c>
      <c r="E14" s="20">
        <f>Submetering!E14</f>
        <v>7346.25</v>
      </c>
      <c r="F14" s="16">
        <v>0.12</v>
      </c>
      <c r="G14" s="20">
        <f>Submetering!F14+Submetering!G14</f>
        <v>698.48851334112157</v>
      </c>
      <c r="H14" s="16">
        <v>0.71</v>
      </c>
      <c r="I14" s="20">
        <f>Submetering!H12+Submetering!J12+Submetering!I12</f>
        <v>72.778941832300006</v>
      </c>
      <c r="J14" s="16">
        <v>2.3196172978505634</v>
      </c>
      <c r="K14" s="20">
        <f>Submetering!K14</f>
        <v>82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2</v>
      </c>
      <c r="D15" s="9">
        <v>2020</v>
      </c>
      <c r="E15" s="20">
        <f>Submetering!E15</f>
        <v>7472.25</v>
      </c>
      <c r="F15" s="16">
        <v>0.12</v>
      </c>
      <c r="G15" s="20">
        <f>Submetering!F15+Submetering!G15</f>
        <v>563.10059737719632</v>
      </c>
      <c r="H15" s="16">
        <v>0.71</v>
      </c>
      <c r="I15" s="20">
        <f>Submetering!J15+Submetering!I15+Submetering!H15</f>
        <v>82.697966173699996</v>
      </c>
      <c r="J15" s="16">
        <v>2.3196172978505634</v>
      </c>
      <c r="K15" s="20">
        <f>Submetering!K15</f>
        <v>83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2</v>
      </c>
      <c r="D16" s="9">
        <v>2020</v>
      </c>
      <c r="E16" s="20">
        <f>Submetering!E16</f>
        <v>7402.5</v>
      </c>
      <c r="F16" s="16">
        <v>0.12</v>
      </c>
      <c r="G16" s="20">
        <f>Submetering!F16+Submetering!G16</f>
        <v>575.95727473299075</v>
      </c>
      <c r="H16" s="16">
        <v>0.71</v>
      </c>
      <c r="I16" s="20">
        <f>Submetering!J16+Submetering!I16+Submetering!H16</f>
        <v>83.473229086199993</v>
      </c>
      <c r="J16" s="16">
        <v>2.3196172978505634</v>
      </c>
      <c r="K16" s="20">
        <f>Submetering!K16</f>
        <v>100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2</v>
      </c>
      <c r="D17" s="9">
        <v>2020</v>
      </c>
      <c r="E17" s="20">
        <f>Submetering!E17</f>
        <v>7454.25</v>
      </c>
      <c r="F17" s="16">
        <v>0.12</v>
      </c>
      <c r="G17" s="20">
        <f>Submetering!F17+Submetering!G17</f>
        <v>476.44686862850466</v>
      </c>
      <c r="H17" s="16">
        <v>0.71</v>
      </c>
      <c r="I17" s="20">
        <f>Submetering!J17+Submetering!I17+Submetering!H17</f>
        <v>81.487675977700007</v>
      </c>
      <c r="J17" s="16">
        <v>2.3196172978505634</v>
      </c>
      <c r="K17" s="20">
        <f>Submetering!K17</f>
        <v>95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2</v>
      </c>
      <c r="D18" s="9">
        <v>2020</v>
      </c>
      <c r="E18" s="20">
        <f>Submetering!E18</f>
        <v>7816.5</v>
      </c>
      <c r="F18" s="16">
        <v>0.12</v>
      </c>
      <c r="G18" s="20">
        <f>Submetering!F18+Submetering!G18</f>
        <v>463.61405611093454</v>
      </c>
      <c r="H18" s="16">
        <v>0.71</v>
      </c>
      <c r="I18" s="20">
        <f>Submetering!J18+Submetering!I18+Submetering!H18</f>
        <v>84.23853556200001</v>
      </c>
      <c r="J18" s="16">
        <v>2.3196172978505634</v>
      </c>
      <c r="K18" s="20">
        <f>Submetering!K18</f>
        <v>83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2</v>
      </c>
      <c r="D19" s="9">
        <v>2020</v>
      </c>
      <c r="E19" s="20">
        <f>Submetering!E19</f>
        <v>7467.75</v>
      </c>
      <c r="F19" s="16">
        <v>0.12</v>
      </c>
      <c r="G19" s="20">
        <f>Submetering!F19+Submetering!G19</f>
        <v>536.08641648794401</v>
      </c>
      <c r="H19" s="16">
        <v>0.71</v>
      </c>
      <c r="I19" s="20">
        <f>Submetering!J19+Submetering!I19+Submetering!H19</f>
        <v>77.409129840800006</v>
      </c>
      <c r="J19" s="16">
        <v>2.3196172978505634</v>
      </c>
      <c r="K19" s="20">
        <f>Submetering!K19</f>
        <v>91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2</v>
      </c>
      <c r="D20" s="9">
        <v>2020</v>
      </c>
      <c r="E20" s="20">
        <f>Submetering!E20</f>
        <v>7517.25</v>
      </c>
      <c r="F20" s="16">
        <v>0.12</v>
      </c>
      <c r="G20" s="20">
        <f>Submetering!F20+Submetering!G20</f>
        <v>586.30414492065427</v>
      </c>
      <c r="H20" s="16">
        <v>0.71</v>
      </c>
      <c r="I20" s="20">
        <f>Submetering!J20+Submetering!I20+Submetering!H20</f>
        <v>68.546015828799995</v>
      </c>
      <c r="J20" s="16">
        <v>2.3196172978505634</v>
      </c>
      <c r="K20" s="20">
        <f>Submetering!K20</f>
        <v>88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2</v>
      </c>
      <c r="D21" s="9">
        <v>2020</v>
      </c>
      <c r="E21" s="20">
        <f>Submetering!E21</f>
        <v>7807.5</v>
      </c>
      <c r="F21" s="16">
        <v>0.12</v>
      </c>
      <c r="G21" s="20">
        <f>Submetering!F21+Submetering!G21</f>
        <v>468.5467893992523</v>
      </c>
      <c r="H21" s="16">
        <v>0.71</v>
      </c>
      <c r="I21" s="20">
        <f>Submetering!J21+Submetering!I21+Submetering!H21</f>
        <v>75.105436968899994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2</v>
      </c>
      <c r="D22" s="9">
        <v>2020</v>
      </c>
      <c r="E22" s="20">
        <f>Submetering!E22</f>
        <v>7769.25</v>
      </c>
      <c r="F22" s="16">
        <v>0.12</v>
      </c>
      <c r="G22" s="20">
        <f>Submetering!F22+Submetering!G22</f>
        <v>395.84478231252342</v>
      </c>
      <c r="H22" s="16">
        <v>0.71</v>
      </c>
      <c r="I22" s="20">
        <f>Submetering!J22+Submetering!I22+Submetering!H22</f>
        <v>80.096798095899999</v>
      </c>
      <c r="J22" s="16">
        <v>2.3196172978505634</v>
      </c>
      <c r="K22" s="20">
        <f>Submetering!K22</f>
        <v>101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2</v>
      </c>
      <c r="D23" s="9">
        <v>2020</v>
      </c>
      <c r="E23" s="20">
        <f>Submetering!E23</f>
        <v>7330.5</v>
      </c>
      <c r="F23" s="16">
        <v>0.12</v>
      </c>
      <c r="G23" s="20">
        <f>Submetering!F23+Submetering!G23</f>
        <v>436.935181538785</v>
      </c>
      <c r="H23" s="16">
        <v>0.71</v>
      </c>
      <c r="I23" s="20">
        <f>Submetering!J23+Submetering!I23+Submetering!H23</f>
        <v>74.739111636499999</v>
      </c>
      <c r="J23" s="16">
        <v>2.3196172978505634</v>
      </c>
      <c r="K23" s="20">
        <f>Submetering!K23</f>
        <v>95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2</v>
      </c>
      <c r="D24" s="9">
        <v>2020</v>
      </c>
      <c r="E24" s="20">
        <f>Submetering!E24</f>
        <v>7476.75</v>
      </c>
      <c r="F24" s="16">
        <v>0.12</v>
      </c>
      <c r="G24" s="20">
        <f>Submetering!F24+Submetering!G24</f>
        <v>17.335031985233648</v>
      </c>
      <c r="H24" s="16">
        <v>0.71</v>
      </c>
      <c r="I24" s="20">
        <f>Submetering!J24+Submetering!I24+Submetering!H24</f>
        <v>1.4359999999999999</v>
      </c>
      <c r="J24" s="16">
        <v>2.3196172978505634</v>
      </c>
      <c r="K24" s="20">
        <f>Submetering!K24</f>
        <v>97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2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2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2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2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2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2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C31" s="6"/>
      <c r="E31" s="20"/>
      <c r="G31" s="20"/>
      <c r="I31" s="20"/>
      <c r="J31" s="16"/>
      <c r="K31" s="20"/>
      <c r="L31" s="20"/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3" sqref="K2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2</v>
      </c>
      <c r="D2" s="6">
        <v>2020</v>
      </c>
      <c r="E2" s="20">
        <v>7269.75</v>
      </c>
      <c r="F2" s="20">
        <v>536.0798109009346</v>
      </c>
      <c r="G2" s="20">
        <v>16.332591857383179</v>
      </c>
      <c r="H2" s="20">
        <v>1.2649999999999999</v>
      </c>
      <c r="I2" s="20">
        <v>47</v>
      </c>
      <c r="J2" s="20">
        <v>25.0093010147</v>
      </c>
      <c r="K2" s="20">
        <v>96</v>
      </c>
    </row>
    <row r="3" spans="1:12" x14ac:dyDescent="0.25">
      <c r="A3" s="17" t="s">
        <v>32</v>
      </c>
      <c r="B3" s="6">
        <f>B2+1</f>
        <v>2</v>
      </c>
      <c r="C3" s="6">
        <v>2</v>
      </c>
      <c r="D3" s="6">
        <v>2020</v>
      </c>
      <c r="E3" s="20">
        <v>7305.75</v>
      </c>
      <c r="F3" s="20">
        <v>501.17839484205615</v>
      </c>
      <c r="G3" s="20">
        <v>15.673088932523367</v>
      </c>
      <c r="H3" s="20">
        <v>1.2070000000000001</v>
      </c>
      <c r="I3" s="20">
        <v>47</v>
      </c>
      <c r="J3" s="20">
        <v>27.366485900499999</v>
      </c>
      <c r="K3" s="20">
        <v>101</v>
      </c>
    </row>
    <row r="4" spans="1:12" x14ac:dyDescent="0.25">
      <c r="A4" s="17" t="s">
        <v>32</v>
      </c>
      <c r="B4" s="6">
        <f t="shared" ref="B4:B30" si="0">B3+1</f>
        <v>3</v>
      </c>
      <c r="C4" s="6">
        <v>2</v>
      </c>
      <c r="D4" s="6">
        <v>2020</v>
      </c>
      <c r="E4" s="20">
        <v>7380</v>
      </c>
      <c r="F4" s="20">
        <v>444.66031483457948</v>
      </c>
      <c r="G4" s="20">
        <v>15.360682697009347</v>
      </c>
      <c r="H4" s="20">
        <v>1.2010000000000001</v>
      </c>
      <c r="I4" s="20">
        <v>45</v>
      </c>
      <c r="J4" s="20">
        <v>28.621760841699999</v>
      </c>
      <c r="K4" s="20">
        <v>84</v>
      </c>
    </row>
    <row r="5" spans="1:12" x14ac:dyDescent="0.25">
      <c r="A5" s="17" t="s">
        <v>32</v>
      </c>
      <c r="B5" s="6">
        <f t="shared" si="0"/>
        <v>4</v>
      </c>
      <c r="C5" s="6">
        <v>2</v>
      </c>
      <c r="D5" s="6">
        <v>2020</v>
      </c>
      <c r="E5" s="20">
        <v>7425</v>
      </c>
      <c r="F5" s="20">
        <v>633.08992314672901</v>
      </c>
      <c r="G5" s="20">
        <v>17.111476998317759</v>
      </c>
      <c r="H5" s="20">
        <v>1.3129999999999999</v>
      </c>
      <c r="I5" s="20">
        <v>38</v>
      </c>
      <c r="J5" s="20">
        <v>26.018994413400002</v>
      </c>
      <c r="K5" s="20">
        <v>86</v>
      </c>
    </row>
    <row r="6" spans="1:12" x14ac:dyDescent="0.25">
      <c r="A6" s="17" t="s">
        <v>32</v>
      </c>
      <c r="B6" s="6">
        <f t="shared" si="0"/>
        <v>5</v>
      </c>
      <c r="C6" s="6">
        <v>2</v>
      </c>
      <c r="D6" s="6">
        <v>2020</v>
      </c>
      <c r="E6" s="20">
        <v>7364.25</v>
      </c>
      <c r="F6" s="20">
        <v>688.48371076448598</v>
      </c>
      <c r="G6" s="20">
        <v>16.858707504299066</v>
      </c>
      <c r="H6" s="20">
        <v>1.1259999999999999</v>
      </c>
      <c r="I6" s="20">
        <v>44</v>
      </c>
      <c r="J6" s="20">
        <v>24.999828062799999</v>
      </c>
      <c r="K6" s="20">
        <v>86</v>
      </c>
    </row>
    <row r="7" spans="1:12" x14ac:dyDescent="0.25">
      <c r="A7" s="17" t="s">
        <v>32</v>
      </c>
      <c r="B7" s="6">
        <f t="shared" si="0"/>
        <v>6</v>
      </c>
      <c r="C7" s="6">
        <v>2</v>
      </c>
      <c r="D7" s="6">
        <v>2020</v>
      </c>
      <c r="E7" s="20">
        <v>7328.25</v>
      </c>
      <c r="F7" s="20">
        <v>777.00369609158884</v>
      </c>
      <c r="G7" s="20">
        <v>16.308818664859814</v>
      </c>
      <c r="H7" s="20">
        <v>1.456</v>
      </c>
      <c r="I7" s="20">
        <v>42</v>
      </c>
      <c r="J7" s="20">
        <v>26.986166407300001</v>
      </c>
      <c r="K7" s="20">
        <v>93</v>
      </c>
    </row>
    <row r="8" spans="1:12" x14ac:dyDescent="0.25">
      <c r="A8" s="17" t="s">
        <v>32</v>
      </c>
      <c r="B8" s="6">
        <f t="shared" si="0"/>
        <v>7</v>
      </c>
      <c r="C8" s="6">
        <v>2</v>
      </c>
      <c r="D8" s="6">
        <v>2020</v>
      </c>
      <c r="E8" s="20">
        <v>7429.5</v>
      </c>
      <c r="F8" s="20">
        <v>776.74172013644863</v>
      </c>
      <c r="G8" s="20">
        <v>16.424028969065422</v>
      </c>
      <c r="H8" s="20">
        <v>1.3149999999999999</v>
      </c>
      <c r="I8" s="6">
        <v>47</v>
      </c>
      <c r="J8" s="20">
        <v>27.9998225631</v>
      </c>
      <c r="K8" s="20">
        <v>58</v>
      </c>
    </row>
    <row r="9" spans="1:12" x14ac:dyDescent="0.25">
      <c r="A9" s="17" t="s">
        <v>32</v>
      </c>
      <c r="B9" s="6">
        <f t="shared" si="0"/>
        <v>8</v>
      </c>
      <c r="C9" s="6">
        <v>2</v>
      </c>
      <c r="D9" s="6">
        <v>2020</v>
      </c>
      <c r="E9" s="20">
        <v>7040.25</v>
      </c>
      <c r="F9" s="20">
        <v>705.25648601869159</v>
      </c>
      <c r="G9" s="20">
        <v>13.885244418878505</v>
      </c>
      <c r="H9" s="20">
        <v>1.3620000000000001</v>
      </c>
      <c r="I9" s="6">
        <v>39</v>
      </c>
      <c r="J9" s="20">
        <v>22.997349337300001</v>
      </c>
      <c r="K9" s="20">
        <v>57</v>
      </c>
    </row>
    <row r="10" spans="1:12" x14ac:dyDescent="0.25">
      <c r="A10" s="17" t="s">
        <v>32</v>
      </c>
      <c r="B10" s="6">
        <f t="shared" si="0"/>
        <v>9</v>
      </c>
      <c r="C10" s="6">
        <v>2</v>
      </c>
      <c r="D10" s="6">
        <v>2020</v>
      </c>
      <c r="E10" s="20">
        <v>6815.25</v>
      </c>
      <c r="F10" s="20">
        <v>609.0711927514019</v>
      </c>
      <c r="G10" s="20">
        <v>14.801248384299067</v>
      </c>
      <c r="H10" s="20">
        <v>1.1830000000000001</v>
      </c>
      <c r="I10" s="6">
        <v>39</v>
      </c>
      <c r="J10" s="20">
        <v>23.007054550900001</v>
      </c>
      <c r="K10" s="20">
        <v>61</v>
      </c>
    </row>
    <row r="11" spans="1:12" x14ac:dyDescent="0.25">
      <c r="A11" s="17" t="s">
        <v>32</v>
      </c>
      <c r="B11" s="6">
        <f t="shared" si="0"/>
        <v>10</v>
      </c>
      <c r="C11" s="6">
        <v>2</v>
      </c>
      <c r="D11" s="6">
        <v>2020</v>
      </c>
      <c r="E11" s="20">
        <v>7229.25</v>
      </c>
      <c r="F11" s="20">
        <v>363.94078870467291</v>
      </c>
      <c r="G11" s="20">
        <v>16.137721324205611</v>
      </c>
      <c r="H11" s="20">
        <v>5.1459999999999999</v>
      </c>
      <c r="I11" s="6">
        <v>38</v>
      </c>
      <c r="J11" s="20">
        <v>27.3620137154</v>
      </c>
      <c r="K11" s="20">
        <v>84</v>
      </c>
    </row>
    <row r="12" spans="1:12" x14ac:dyDescent="0.25">
      <c r="A12" s="17" t="s">
        <v>32</v>
      </c>
      <c r="B12" s="6">
        <f t="shared" si="0"/>
        <v>11</v>
      </c>
      <c r="C12" s="6">
        <v>2</v>
      </c>
      <c r="D12" s="6">
        <v>2020</v>
      </c>
      <c r="E12" s="20">
        <v>7427.25</v>
      </c>
      <c r="F12" s="20">
        <v>466.55793792056079</v>
      </c>
      <c r="G12" s="20">
        <v>18.285736749158879</v>
      </c>
      <c r="H12" s="20">
        <v>4.7560000000000002</v>
      </c>
      <c r="I12" s="20">
        <v>42</v>
      </c>
      <c r="J12" s="20">
        <v>26.022941832299999</v>
      </c>
      <c r="K12" s="20">
        <v>74</v>
      </c>
    </row>
    <row r="13" spans="1:12" x14ac:dyDescent="0.25">
      <c r="A13" s="17" t="s">
        <v>32</v>
      </c>
      <c r="B13" s="6">
        <f t="shared" si="0"/>
        <v>12</v>
      </c>
      <c r="C13" s="6">
        <v>2</v>
      </c>
      <c r="D13" s="6">
        <v>2020</v>
      </c>
      <c r="E13" s="20">
        <v>7139.25</v>
      </c>
      <c r="F13" s="20">
        <v>639.70456862242997</v>
      </c>
      <c r="G13" s="20">
        <v>15.055003543925235</v>
      </c>
      <c r="H13" s="20">
        <v>1.254</v>
      </c>
      <c r="I13" s="20">
        <v>41</v>
      </c>
      <c r="J13" s="20">
        <v>23.620537921699999</v>
      </c>
      <c r="K13" s="20">
        <v>67</v>
      </c>
    </row>
    <row r="14" spans="1:12" x14ac:dyDescent="0.25">
      <c r="A14" s="17" t="s">
        <v>32</v>
      </c>
      <c r="B14" s="6">
        <f t="shared" si="0"/>
        <v>13</v>
      </c>
      <c r="C14" s="6">
        <v>2</v>
      </c>
      <c r="D14" s="6">
        <v>2020</v>
      </c>
      <c r="E14" s="20">
        <v>7346.25</v>
      </c>
      <c r="F14" s="20">
        <v>681.27029639532714</v>
      </c>
      <c r="G14" s="20">
        <v>17.218216945794396</v>
      </c>
      <c r="H14" s="20">
        <v>1.4330000000000001</v>
      </c>
      <c r="I14" s="20">
        <v>46</v>
      </c>
      <c r="J14" s="20">
        <v>28.001554036400002</v>
      </c>
      <c r="K14" s="20">
        <v>82</v>
      </c>
    </row>
    <row r="15" spans="1:12" x14ac:dyDescent="0.25">
      <c r="A15" s="17" t="s">
        <v>32</v>
      </c>
      <c r="B15" s="6">
        <f t="shared" si="0"/>
        <v>14</v>
      </c>
      <c r="C15" s="6">
        <v>2</v>
      </c>
      <c r="D15" s="6">
        <v>2020</v>
      </c>
      <c r="E15" s="20">
        <v>7472.25</v>
      </c>
      <c r="F15" s="20">
        <v>546.18840148224308</v>
      </c>
      <c r="G15" s="20">
        <v>16.912195894953271</v>
      </c>
      <c r="H15" s="20">
        <v>1.34</v>
      </c>
      <c r="I15" s="20">
        <v>51</v>
      </c>
      <c r="J15" s="20">
        <v>30.3579661737</v>
      </c>
      <c r="K15" s="20">
        <v>83</v>
      </c>
    </row>
    <row r="16" spans="1:12" x14ac:dyDescent="0.25">
      <c r="A16" s="17" t="s">
        <v>32</v>
      </c>
      <c r="B16" s="6">
        <f t="shared" si="0"/>
        <v>15</v>
      </c>
      <c r="C16" s="6">
        <v>2</v>
      </c>
      <c r="D16" s="6">
        <v>2020</v>
      </c>
      <c r="E16" s="20">
        <v>7402.5</v>
      </c>
      <c r="F16" s="20">
        <v>561.58170616261691</v>
      </c>
      <c r="G16" s="20">
        <v>14.375568570373833</v>
      </c>
      <c r="H16" s="20">
        <v>1.4550000000000001</v>
      </c>
      <c r="I16" s="20">
        <v>53</v>
      </c>
      <c r="J16" s="20">
        <v>29.018229086200002</v>
      </c>
      <c r="K16" s="20">
        <v>100</v>
      </c>
    </row>
    <row r="17" spans="1:11" x14ac:dyDescent="0.25">
      <c r="A17" s="17" t="s">
        <v>32</v>
      </c>
      <c r="B17" s="6">
        <f t="shared" si="0"/>
        <v>16</v>
      </c>
      <c r="C17" s="6">
        <v>2</v>
      </c>
      <c r="D17" s="6">
        <v>2020</v>
      </c>
      <c r="E17" s="20">
        <v>7454.25</v>
      </c>
      <c r="F17" s="20">
        <v>455.98610127943925</v>
      </c>
      <c r="G17" s="20">
        <v>20.460767349065424</v>
      </c>
      <c r="H17" s="20">
        <v>1.486</v>
      </c>
      <c r="I17" s="20">
        <v>51</v>
      </c>
      <c r="J17" s="20">
        <v>29.0016759777</v>
      </c>
      <c r="K17" s="20">
        <v>95</v>
      </c>
    </row>
    <row r="18" spans="1:11" x14ac:dyDescent="0.25">
      <c r="A18" s="17" t="s">
        <v>32</v>
      </c>
      <c r="B18" s="6">
        <f t="shared" si="0"/>
        <v>17</v>
      </c>
      <c r="C18" s="6">
        <v>2</v>
      </c>
      <c r="D18" s="6">
        <v>2020</v>
      </c>
      <c r="E18" s="20">
        <v>7816.5</v>
      </c>
      <c r="F18" s="20">
        <v>443.34105527850465</v>
      </c>
      <c r="G18" s="20">
        <v>20.273000832429908</v>
      </c>
      <c r="H18" s="20">
        <v>5.2210000000000001</v>
      </c>
      <c r="I18" s="20">
        <v>48</v>
      </c>
      <c r="J18" s="20">
        <v>31.017535561999999</v>
      </c>
      <c r="K18" s="20">
        <v>83</v>
      </c>
    </row>
    <row r="19" spans="1:11" x14ac:dyDescent="0.25">
      <c r="A19" s="17" t="s">
        <v>32</v>
      </c>
      <c r="B19" s="6">
        <f t="shared" si="0"/>
        <v>18</v>
      </c>
      <c r="C19" s="6">
        <v>2</v>
      </c>
      <c r="D19" s="6">
        <v>2020</v>
      </c>
      <c r="E19" s="20">
        <v>7467.75</v>
      </c>
      <c r="F19" s="20">
        <v>514.13614160654208</v>
      </c>
      <c r="G19" s="20">
        <v>21.950274881401871</v>
      </c>
      <c r="H19" s="20">
        <v>4.8019999999999996</v>
      </c>
      <c r="I19" s="20">
        <v>46</v>
      </c>
      <c r="J19" s="20">
        <v>26.607129840799999</v>
      </c>
      <c r="K19" s="20">
        <v>91</v>
      </c>
    </row>
    <row r="20" spans="1:11" x14ac:dyDescent="0.25">
      <c r="A20" s="17" t="s">
        <v>32</v>
      </c>
      <c r="B20" s="6">
        <f t="shared" si="0"/>
        <v>19</v>
      </c>
      <c r="C20" s="6">
        <v>2</v>
      </c>
      <c r="D20" s="6">
        <v>2020</v>
      </c>
      <c r="E20" s="20">
        <v>7517.25</v>
      </c>
      <c r="F20" s="20">
        <v>568.79087875420566</v>
      </c>
      <c r="G20" s="20">
        <v>17.513266166448599</v>
      </c>
      <c r="H20" s="20">
        <v>2.5529999999999999</v>
      </c>
      <c r="I20" s="20">
        <v>40</v>
      </c>
      <c r="J20" s="20">
        <v>25.993015828800001</v>
      </c>
      <c r="K20" s="20">
        <v>88</v>
      </c>
    </row>
    <row r="21" spans="1:11" x14ac:dyDescent="0.25">
      <c r="A21" s="17" t="s">
        <v>32</v>
      </c>
      <c r="B21" s="6">
        <f t="shared" si="0"/>
        <v>20</v>
      </c>
      <c r="C21" s="6">
        <v>2</v>
      </c>
      <c r="D21" s="6">
        <v>2020</v>
      </c>
      <c r="E21" s="20">
        <v>7807.5</v>
      </c>
      <c r="F21" s="20">
        <v>449.00769277383176</v>
      </c>
      <c r="G21" s="20">
        <v>19.539096625420562</v>
      </c>
      <c r="H21" s="20">
        <v>1.7250000000000001</v>
      </c>
      <c r="I21" s="20">
        <v>43</v>
      </c>
      <c r="J21" s="20">
        <v>30.3804369689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2</v>
      </c>
      <c r="D22" s="6">
        <v>2020</v>
      </c>
      <c r="E22" s="20">
        <v>7769.25</v>
      </c>
      <c r="F22" s="20">
        <v>378.21696330186921</v>
      </c>
      <c r="G22" s="20">
        <v>17.627819010654207</v>
      </c>
      <c r="H22" s="20">
        <v>1.4750000000000001</v>
      </c>
      <c r="I22" s="20">
        <v>48</v>
      </c>
      <c r="J22" s="20">
        <v>30.621798095900001</v>
      </c>
      <c r="K22" s="20">
        <v>101</v>
      </c>
    </row>
    <row r="23" spans="1:11" x14ac:dyDescent="0.25">
      <c r="A23" s="17" t="s">
        <v>32</v>
      </c>
      <c r="B23" s="6">
        <f t="shared" si="0"/>
        <v>22</v>
      </c>
      <c r="C23" s="6">
        <v>2</v>
      </c>
      <c r="D23" s="6">
        <v>2020</v>
      </c>
      <c r="E23" s="20">
        <v>7330.5</v>
      </c>
      <c r="F23" s="20">
        <v>419.74577372803736</v>
      </c>
      <c r="G23" s="20">
        <v>17.189407810747664</v>
      </c>
      <c r="H23" s="20">
        <v>1.3540000000000001</v>
      </c>
      <c r="I23" s="20">
        <v>47</v>
      </c>
      <c r="J23" s="20">
        <v>26.3851116365</v>
      </c>
      <c r="K23" s="20">
        <v>95</v>
      </c>
    </row>
    <row r="24" spans="1:11" x14ac:dyDescent="0.25">
      <c r="A24" s="17" t="s">
        <v>32</v>
      </c>
      <c r="B24" s="6">
        <f t="shared" si="0"/>
        <v>23</v>
      </c>
      <c r="C24" s="6">
        <v>2</v>
      </c>
      <c r="D24" s="6">
        <v>2020</v>
      </c>
      <c r="E24" s="20">
        <v>7476.75</v>
      </c>
      <c r="G24" s="20">
        <v>17.335031985233648</v>
      </c>
      <c r="H24" s="20">
        <v>1.4359999999999999</v>
      </c>
      <c r="K24" s="20">
        <v>97</v>
      </c>
    </row>
    <row r="25" spans="1:11" x14ac:dyDescent="0.25">
      <c r="A25" s="17" t="s">
        <v>32</v>
      </c>
      <c r="B25" s="6">
        <f t="shared" si="0"/>
        <v>24</v>
      </c>
      <c r="C25" s="6">
        <v>2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2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2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2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2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2</v>
      </c>
      <c r="D30" s="6">
        <v>2020</v>
      </c>
      <c r="K30" s="20"/>
    </row>
    <row r="31" spans="1:11" x14ac:dyDescent="0.25"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2020-02-24T15:45:41Z</dcterms:modified>
</cp:coreProperties>
</file>