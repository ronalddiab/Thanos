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J7" i="4" s="1"/>
  <c r="K5" i="4"/>
  <c r="K4" i="4"/>
  <c r="K3" i="4"/>
  <c r="J8" i="4" l="1"/>
  <c r="K7" i="4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J9" i="4"/>
  <c r="T3" i="1"/>
  <c r="U3" i="1" s="1"/>
  <c r="D3" i="4"/>
  <c r="X32" i="8"/>
  <c r="Q32" i="8"/>
  <c r="P32" i="8"/>
  <c r="O32" i="8"/>
  <c r="N32" i="8"/>
  <c r="B32" i="8"/>
  <c r="K32" i="9"/>
  <c r="B32" i="9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5" i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B5" i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E33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K34" i="2"/>
  <c r="V6" i="4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6" i="4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J10" i="4" l="1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G32" i="8"/>
  <c r="F32" i="8"/>
  <c r="J33" i="3"/>
  <c r="E32" i="8"/>
  <c r="Z33" i="4"/>
  <c r="AD32" i="8"/>
  <c r="T2" i="1"/>
  <c r="U2" i="1" s="1"/>
  <c r="Y2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3"/>
  <c r="J11" i="4" l="1"/>
  <c r="K10" i="4"/>
  <c r="P33" i="1"/>
  <c r="L32" i="8"/>
  <c r="K33" i="3"/>
  <c r="M32" i="8" s="1"/>
  <c r="AE32" i="8"/>
  <c r="I32" i="9" s="1"/>
  <c r="C30" i="5"/>
  <c r="G29" i="9" s="1"/>
  <c r="C31" i="5"/>
  <c r="G30" i="9" s="1"/>
  <c r="C32" i="5"/>
  <c r="G31" i="9" s="1"/>
  <c r="K11" i="4" l="1"/>
  <c r="J12" i="4"/>
  <c r="Y32" i="8"/>
  <c r="E32" i="9" s="1"/>
  <c r="L26" i="1"/>
  <c r="J13" i="4" l="1"/>
  <c r="K12" i="4"/>
  <c r="AE12" i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J14" i="4" l="1"/>
  <c r="K13" i="4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K14" i="4" l="1"/>
  <c r="J15" i="4"/>
  <c r="AG20" i="1"/>
  <c r="O18" i="4"/>
  <c r="J16" i="4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J17" i="4" l="1"/>
  <c r="K16" i="4"/>
  <c r="AG22" i="1"/>
  <c r="T15" i="1"/>
  <c r="U15" i="1" s="1"/>
  <c r="U15" i="2"/>
  <c r="R15" i="2"/>
  <c r="Q15" i="2"/>
  <c r="O15" i="2"/>
  <c r="M15" i="2"/>
  <c r="I15" i="2"/>
  <c r="G15" i="2"/>
  <c r="K17" i="4" l="1"/>
  <c r="J18" i="4"/>
  <c r="AG23" i="1"/>
  <c r="J19" i="4" l="1"/>
  <c r="K18" i="4"/>
  <c r="AG24" i="1"/>
  <c r="W13" i="4"/>
  <c r="S13" i="4"/>
  <c r="Q13" i="4"/>
  <c r="O13" i="4"/>
  <c r="M13" i="4"/>
  <c r="H13" i="4"/>
  <c r="F13" i="4"/>
  <c r="J20" i="4" l="1"/>
  <c r="K19" i="4"/>
  <c r="Z13" i="4"/>
  <c r="AG25" i="1"/>
  <c r="X13" i="4"/>
  <c r="I13" i="4"/>
  <c r="W12" i="4"/>
  <c r="K20" i="4" l="1"/>
  <c r="J21" i="4"/>
  <c r="Y13" i="4"/>
  <c r="AG26" i="1"/>
  <c r="J22" i="4" l="1"/>
  <c r="K21" i="4"/>
  <c r="AG27" i="1"/>
  <c r="J23" i="4" l="1"/>
  <c r="K22" i="4"/>
  <c r="AG28" i="1"/>
  <c r="K23" i="4" l="1"/>
  <c r="J24" i="4"/>
  <c r="AG29" i="1"/>
  <c r="J25" i="4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J26" i="4" l="1"/>
  <c r="K25" i="4"/>
  <c r="AG31" i="1"/>
  <c r="AG32" i="1"/>
  <c r="AC25" i="1"/>
  <c r="K26" i="4" l="1"/>
  <c r="J27" i="4"/>
  <c r="AC27" i="1"/>
  <c r="AC26" i="1"/>
  <c r="D18" i="4"/>
  <c r="J28" i="4" l="1"/>
  <c r="K27" i="4"/>
  <c r="AA30" i="1"/>
  <c r="AC28" i="1"/>
  <c r="AC4" i="1"/>
  <c r="AC5" i="1"/>
  <c r="AC6" i="1"/>
  <c r="AC7" i="1"/>
  <c r="AC8" i="1"/>
  <c r="J29" i="4" l="1"/>
  <c r="K28" i="4"/>
  <c r="AC29" i="1"/>
  <c r="C11" i="5"/>
  <c r="K29" i="4" l="1"/>
  <c r="J30" i="4"/>
  <c r="AC30" i="1"/>
  <c r="C9" i="5"/>
  <c r="O10" i="1"/>
  <c r="J31" i="4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J32" i="4" l="1"/>
  <c r="K31" i="4"/>
  <c r="Y3" i="1"/>
  <c r="AA4" i="1"/>
  <c r="J3" i="2"/>
  <c r="K32" i="4" l="1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0" i="2"/>
  <c r="S21" i="2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<sst xmlns="http://schemas.openxmlformats.org/spreadsheetml/2006/main" count="445" uniqueCount="149">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</sst>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2" sqref="K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47861.073795999997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4">
        <v>1.27</v>
      </c>
      <c r="G5" s="41">
        <f>Gas!C6*0.9147</f>
        <v>0</v>
      </c>
      <c r="H5" s="145">
        <v>3.65</v>
      </c>
      <c r="I5" s="147">
        <f>Submetering!H5+Submetering!AD5+Submetering!AE5</f>
        <v>-194</v>
      </c>
      <c r="J5" s="147">
        <v>10.029999999999999</v>
      </c>
      <c r="K5" s="41">
        <f>ELECT.!B6</f>
        <v>0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4">
        <v>1.27</v>
      </c>
      <c r="G6" s="41">
        <f>Gas!C7*0.9147</f>
        <v>0</v>
      </c>
      <c r="H6" s="145">
        <v>3.65</v>
      </c>
      <c r="I6" s="147">
        <f>Submetering!H6+Submetering!AD6+Submetering!AE6</f>
        <v>-194</v>
      </c>
      <c r="J6" s="147">
        <v>10.029999999999999</v>
      </c>
      <c r="K6" s="41">
        <f>ELECT.!B7</f>
        <v>0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4">
        <v>1.27</v>
      </c>
      <c r="G7" s="41">
        <f>Gas!C8*0.9147</f>
        <v>0</v>
      </c>
      <c r="H7" s="145">
        <v>3.65</v>
      </c>
      <c r="I7" s="147">
        <f>Submetering!H7+Submetering!AD7+Submetering!AE7</f>
        <v>-194</v>
      </c>
      <c r="J7" s="147">
        <v>10.029999999999999</v>
      </c>
      <c r="K7" s="41">
        <f>ELECT.!B8</f>
        <v>0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4">
        <v>1.27</v>
      </c>
      <c r="G8" s="41">
        <f>Gas!C9*0.9147</f>
        <v>0</v>
      </c>
      <c r="H8" s="145">
        <v>3.65</v>
      </c>
      <c r="I8" s="147">
        <f>Submetering!H8+Submetering!AD8+Submetering!AE8</f>
        <v>-194</v>
      </c>
      <c r="J8" s="147">
        <v>10.029999999999999</v>
      </c>
      <c r="K8" s="41">
        <f>ELECT.!B9</f>
        <v>0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4">
        <v>1.27</v>
      </c>
      <c r="G9" s="41">
        <f>Gas!C10*0.9147</f>
        <v>0</v>
      </c>
      <c r="H9" s="145">
        <v>3.65</v>
      </c>
      <c r="I9" s="147">
        <f>Submetering!H9+Submetering!AD9+Submetering!AE9</f>
        <v>-194</v>
      </c>
      <c r="J9" s="147">
        <v>10.029999999999999</v>
      </c>
      <c r="K9" s="41">
        <f>ELECT.!B10</f>
        <v>0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4">
        <v>1.27</v>
      </c>
      <c r="G10" s="41">
        <f>Gas!C11*0.9147</f>
        <v>0</v>
      </c>
      <c r="H10" s="145">
        <v>3.65</v>
      </c>
      <c r="I10" s="147">
        <f>Submetering!H10+Submetering!AD10+Submetering!AE10</f>
        <v>-194</v>
      </c>
      <c r="J10" s="147">
        <v>10.029999999999999</v>
      </c>
      <c r="K10" s="41">
        <f>ELECT.!B11</f>
        <v>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0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0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0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0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0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0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0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0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0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81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83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0</v>
      </c>
      <c r="F5" s="41">
        <f>Water!E6</f>
        <v>0</v>
      </c>
      <c r="G5" s="41">
        <f>Water!G6</f>
        <v>0</v>
      </c>
      <c r="H5" s="41">
        <f>Water!I6</f>
        <v>0</v>
      </c>
      <c r="I5" s="41">
        <f>ELECT.!F6</f>
        <v>0</v>
      </c>
      <c r="J5" s="41">
        <f>ELECT.!H6</f>
        <v>0</v>
      </c>
      <c r="K5" s="41">
        <f>ELECT.!K6</f>
        <v>0</v>
      </c>
      <c r="L5" s="41">
        <f>ELECT.!M6</f>
        <v>0</v>
      </c>
      <c r="M5" s="41">
        <f>ELECT.!O6</f>
        <v>0</v>
      </c>
      <c r="N5" s="41">
        <f>ELECT.!Q6</f>
        <v>0</v>
      </c>
      <c r="O5" s="41">
        <f>ELECT.!S6</f>
        <v>0</v>
      </c>
      <c r="P5" s="41">
        <f>ELECT.!W6*2</f>
        <v>0</v>
      </c>
      <c r="Q5" s="41">
        <f>ELECT.!D6</f>
        <v>0</v>
      </c>
      <c r="R5" s="42">
        <f>BTU!C6</f>
        <v>0</v>
      </c>
      <c r="S5" s="42">
        <f>BTU!F6</f>
        <v>0</v>
      </c>
      <c r="T5" s="42">
        <f>BTU!I6</f>
        <v>0</v>
      </c>
      <c r="U5" s="42">
        <f>BTU!O6</f>
        <v>0</v>
      </c>
      <c r="V5" s="42">
        <f>BTU!L6</f>
        <v>0</v>
      </c>
      <c r="W5" s="42">
        <f>BTU!R6</f>
        <v>0</v>
      </c>
      <c r="X5" s="39">
        <f>ELECT.!B6</f>
        <v>0</v>
      </c>
      <c r="Y5" s="39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9">
        <f t="shared" si="1"/>
        <v>-25.569199999999999</v>
      </c>
      <c r="AE5" s="39">
        <f t="shared" si="2"/>
        <v>-168.4308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0</v>
      </c>
      <c r="F6" s="41">
        <f>Water!E7</f>
        <v>0</v>
      </c>
      <c r="G6" s="41">
        <f>Water!G7</f>
        <v>0</v>
      </c>
      <c r="H6" s="41">
        <f>Water!I7</f>
        <v>0</v>
      </c>
      <c r="I6" s="41">
        <f>ELECT.!F7</f>
        <v>0</v>
      </c>
      <c r="J6" s="41">
        <f>ELECT.!H7</f>
        <v>0</v>
      </c>
      <c r="K6" s="41">
        <f>ELECT.!K7</f>
        <v>0</v>
      </c>
      <c r="L6" s="41">
        <f>ELECT.!M7</f>
        <v>0</v>
      </c>
      <c r="M6" s="41">
        <f>ELECT.!O7</f>
        <v>0</v>
      </c>
      <c r="N6" s="41">
        <f>ELECT.!Q7</f>
        <v>0</v>
      </c>
      <c r="O6" s="41">
        <f>ELECT.!S7</f>
        <v>0</v>
      </c>
      <c r="P6" s="41">
        <f>ELECT.!W7*2</f>
        <v>0</v>
      </c>
      <c r="Q6" s="41">
        <f>ELECT.!D7</f>
        <v>0</v>
      </c>
      <c r="R6" s="42">
        <f>BTU!C7</f>
        <v>0</v>
      </c>
      <c r="S6" s="42">
        <f>BTU!F7</f>
        <v>0</v>
      </c>
      <c r="T6" s="42">
        <f>BTU!I7</f>
        <v>0</v>
      </c>
      <c r="U6" s="42">
        <f>BTU!O7</f>
        <v>0</v>
      </c>
      <c r="V6" s="42">
        <f>BTU!L7</f>
        <v>0</v>
      </c>
      <c r="W6" s="42">
        <f>BTU!R7</f>
        <v>0</v>
      </c>
      <c r="X6" s="39">
        <f>ELECT.!B7</f>
        <v>0</v>
      </c>
      <c r="Y6" s="39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9">
        <f t="shared" si="1"/>
        <v>-25.569199999999999</v>
      </c>
      <c r="AE6" s="39">
        <f t="shared" si="2"/>
        <v>-168.4308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0</v>
      </c>
      <c r="F7" s="41">
        <f>Water!E8</f>
        <v>0</v>
      </c>
      <c r="G7" s="41">
        <f>Water!G8</f>
        <v>0</v>
      </c>
      <c r="H7" s="41">
        <f>Water!I8</f>
        <v>0</v>
      </c>
      <c r="I7" s="41">
        <f>ELECT.!F8</f>
        <v>0</v>
      </c>
      <c r="J7" s="41">
        <f>ELECT.!H8</f>
        <v>0</v>
      </c>
      <c r="K7" s="41">
        <f>ELECT.!K8</f>
        <v>0</v>
      </c>
      <c r="L7" s="41">
        <f>ELECT.!M8</f>
        <v>0</v>
      </c>
      <c r="M7" s="41">
        <f>ELECT.!O8</f>
        <v>0</v>
      </c>
      <c r="N7" s="41">
        <f>ELECT.!Q8</f>
        <v>0</v>
      </c>
      <c r="O7" s="41">
        <f>ELECT.!S8</f>
        <v>0</v>
      </c>
      <c r="P7" s="41">
        <f>ELECT.!W8*2</f>
        <v>0</v>
      </c>
      <c r="Q7" s="41">
        <f>ELECT.!D8</f>
        <v>0</v>
      </c>
      <c r="R7" s="42">
        <f>BTU!C8</f>
        <v>0</v>
      </c>
      <c r="S7" s="42">
        <f>BTU!F8</f>
        <v>0</v>
      </c>
      <c r="T7" s="42">
        <f>BTU!I8</f>
        <v>0</v>
      </c>
      <c r="U7" s="42">
        <f>BTU!O8</f>
        <v>0</v>
      </c>
      <c r="V7" s="42">
        <f>BTU!L8</f>
        <v>0</v>
      </c>
      <c r="W7" s="42">
        <f>BTU!R8</f>
        <v>0</v>
      </c>
      <c r="X7" s="39">
        <f>ELECT.!B8</f>
        <v>0</v>
      </c>
      <c r="Y7" s="39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9">
        <f t="shared" si="1"/>
        <v>-25.569199999999999</v>
      </c>
      <c r="AE7" s="39">
        <f t="shared" si="2"/>
        <v>-168.4308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0</v>
      </c>
      <c r="F8" s="41">
        <f>Water!E9</f>
        <v>0</v>
      </c>
      <c r="G8" s="41">
        <f>Water!G9</f>
        <v>0</v>
      </c>
      <c r="H8" s="41">
        <f>Water!I9</f>
        <v>0</v>
      </c>
      <c r="I8" s="41">
        <f>ELECT.!F9</f>
        <v>0</v>
      </c>
      <c r="J8" s="41">
        <f>ELECT.!H9</f>
        <v>0</v>
      </c>
      <c r="K8" s="41">
        <f>ELECT.!K9</f>
        <v>0</v>
      </c>
      <c r="L8" s="41">
        <f>ELECT.!M9</f>
        <v>0</v>
      </c>
      <c r="M8" s="41">
        <f>ELECT.!O9</f>
        <v>0</v>
      </c>
      <c r="N8" s="41">
        <f>ELECT.!Q9</f>
        <v>0</v>
      </c>
      <c r="O8" s="41">
        <f>ELECT.!S9</f>
        <v>0</v>
      </c>
      <c r="P8" s="41">
        <f>ELECT.!W9*2</f>
        <v>0</v>
      </c>
      <c r="Q8" s="41">
        <f>ELECT.!D9</f>
        <v>0</v>
      </c>
      <c r="R8" s="42">
        <f>BTU!C9</f>
        <v>0</v>
      </c>
      <c r="S8" s="42">
        <f>BTU!F9</f>
        <v>0</v>
      </c>
      <c r="T8" s="42">
        <f>BTU!I9</f>
        <v>0</v>
      </c>
      <c r="U8" s="42">
        <f>BTU!O9</f>
        <v>0</v>
      </c>
      <c r="V8" s="42">
        <f>BTU!L9</f>
        <v>0</v>
      </c>
      <c r="W8" s="42">
        <f>BTU!R9</f>
        <v>0</v>
      </c>
      <c r="X8" s="39">
        <f>ELECT.!B9</f>
        <v>0</v>
      </c>
      <c r="Y8" s="39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9">
        <f t="shared" si="1"/>
        <v>-25.569199999999999</v>
      </c>
      <c r="AE8" s="39">
        <f t="shared" si="2"/>
        <v>-168.4308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0</v>
      </c>
      <c r="F9" s="41">
        <f>Water!E10</f>
        <v>0</v>
      </c>
      <c r="G9" s="41">
        <f>Water!G10</f>
        <v>0</v>
      </c>
      <c r="H9" s="41">
        <f>Water!I10</f>
        <v>0</v>
      </c>
      <c r="I9" s="41">
        <f>ELECT.!F10</f>
        <v>0</v>
      </c>
      <c r="J9" s="41">
        <f>ELECT.!H10</f>
        <v>0</v>
      </c>
      <c r="K9" s="41">
        <f>ELECT.!K10</f>
        <v>0</v>
      </c>
      <c r="L9" s="41">
        <f>ELECT.!M10</f>
        <v>0</v>
      </c>
      <c r="M9" s="41">
        <f>ELECT.!O10</f>
        <v>0</v>
      </c>
      <c r="N9" s="41">
        <f>ELECT.!Q10</f>
        <v>0</v>
      </c>
      <c r="O9" s="41">
        <f>ELECT.!S10</f>
        <v>0</v>
      </c>
      <c r="P9" s="41">
        <f>ELECT.!W10*2</f>
        <v>0</v>
      </c>
      <c r="Q9" s="41">
        <f>ELECT.!D10</f>
        <v>0</v>
      </c>
      <c r="R9" s="42">
        <f>BTU!C10</f>
        <v>0</v>
      </c>
      <c r="S9" s="42">
        <f>BTU!F10</f>
        <v>0</v>
      </c>
      <c r="T9" s="42">
        <f>BTU!I10</f>
        <v>0</v>
      </c>
      <c r="U9" s="42">
        <f>BTU!O10</f>
        <v>0</v>
      </c>
      <c r="V9" s="42">
        <f>BTU!L10</f>
        <v>0</v>
      </c>
      <c r="W9" s="42">
        <f>BTU!R10</f>
        <v>0</v>
      </c>
      <c r="X9" s="39">
        <f>ELECT.!B10</f>
        <v>0</v>
      </c>
      <c r="Y9" s="39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9">
        <f t="shared" si="1"/>
        <v>-25.569199999999999</v>
      </c>
      <c r="AE9" s="39">
        <f t="shared" si="2"/>
        <v>-168.4308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0</v>
      </c>
      <c r="F10" s="41">
        <f>Water!E11</f>
        <v>0</v>
      </c>
      <c r="G10" s="41">
        <f>Water!G11</f>
        <v>0</v>
      </c>
      <c r="H10" s="41">
        <f>Water!I11</f>
        <v>0</v>
      </c>
      <c r="I10" s="41">
        <f>ELECT.!F11</f>
        <v>0</v>
      </c>
      <c r="J10" s="41">
        <f>ELECT.!H11</f>
        <v>0</v>
      </c>
      <c r="K10" s="41">
        <f>ELECT.!K11</f>
        <v>0</v>
      </c>
      <c r="L10" s="41">
        <f>ELECT.!M11</f>
        <v>0</v>
      </c>
      <c r="M10" s="41">
        <f>ELECT.!O11</f>
        <v>0</v>
      </c>
      <c r="N10" s="41">
        <f>ELECT.!Q11</f>
        <v>0</v>
      </c>
      <c r="O10" s="41">
        <f>ELECT.!S11</f>
        <v>0</v>
      </c>
      <c r="P10" s="41">
        <f>ELECT.!W11*2</f>
        <v>0</v>
      </c>
      <c r="Q10" s="41">
        <f>ELECT.!D11</f>
        <v>0</v>
      </c>
      <c r="R10" s="42">
        <f>BTU!C11</f>
        <v>0</v>
      </c>
      <c r="S10" s="42">
        <f>BTU!F11</f>
        <v>0</v>
      </c>
      <c r="T10" s="42">
        <f>BTU!I11</f>
        <v>0</v>
      </c>
      <c r="U10" s="42">
        <f>BTU!O11</f>
        <v>0</v>
      </c>
      <c r="V10" s="42">
        <f>BTU!L11</f>
        <v>0</v>
      </c>
      <c r="W10" s="42">
        <f>BTU!R11</f>
        <v>0</v>
      </c>
      <c r="X10" s="39">
        <f>ELECT.!B11</f>
        <v>0</v>
      </c>
      <c r="Y10" s="39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9">
        <f t="shared" si="1"/>
        <v>-25.569199999999999</v>
      </c>
      <c r="AE10" s="39">
        <f t="shared" si="2"/>
        <v>-168.4308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0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0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0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0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0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0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0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0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0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0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0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216207</v>
      </c>
      <c r="O5" s="16">
        <f t="shared" si="5"/>
        <v>83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f t="shared" ref="B5:B33" si="9">B5</f>
        <v>46288</v>
      </c>
      <c r="C6" s="16">
        <f t="shared" si="0"/>
        <v>0</v>
      </c>
      <c r="D6" s="36">
        <f t="shared" ref="D5:D33" si="10">D5</f>
        <v>40090</v>
      </c>
      <c r="E6" s="16">
        <f t="shared" si="1"/>
        <v>0</v>
      </c>
      <c r="F6" s="36">
        <f t="shared" ref="F5:F33" si="11">F5</f>
        <v>21066</v>
      </c>
      <c r="G6" s="16">
        <f t="shared" si="2"/>
        <v>0</v>
      </c>
      <c r="H6" s="36">
        <f t="shared" ref="H5:H33" si="12">H5</f>
        <v>252400</v>
      </c>
      <c r="I6" s="16">
        <f t="shared" si="3"/>
        <v>0</v>
      </c>
      <c r="J6" s="36">
        <v>303517</v>
      </c>
      <c r="K6" s="16">
        <v>0</v>
      </c>
      <c r="L6" s="36">
        <f t="shared" ref="L5:L33" si="13">L5</f>
        <v>25646</v>
      </c>
      <c r="M6" s="16">
        <f t="shared" si="4"/>
        <v>0</v>
      </c>
      <c r="N6" s="36">
        <f t="shared" ref="N5:N33" si="14">N5</f>
        <v>216207</v>
      </c>
      <c r="O6" s="16">
        <f t="shared" si="5"/>
        <v>0</v>
      </c>
      <c r="P6" s="36">
        <f t="shared" ref="P5:P33" si="15">P5</f>
        <v>133202</v>
      </c>
      <c r="Q6" s="16">
        <f t="shared" si="6"/>
        <v>0</v>
      </c>
      <c r="R6" s="1">
        <v>55047</v>
      </c>
      <c r="S6" s="16">
        <v>0</v>
      </c>
      <c r="T6" s="36">
        <f t="shared" ref="T5:T33" si="16">T5</f>
        <v>3859</v>
      </c>
      <c r="U6" s="16">
        <f t="shared" si="8"/>
        <v>0</v>
      </c>
    </row>
    <row r="7" spans="1:24" ht="13.5" thickBot="1" x14ac:dyDescent="0.25">
      <c r="A7" s="10">
        <v>44535</v>
      </c>
      <c r="B7" s="36">
        <f t="shared" si="9"/>
        <v>46288</v>
      </c>
      <c r="C7" s="16">
        <f t="shared" si="0"/>
        <v>0</v>
      </c>
      <c r="D7" s="36">
        <f t="shared" si="10"/>
        <v>40090</v>
      </c>
      <c r="E7" s="16">
        <f t="shared" si="1"/>
        <v>0</v>
      </c>
      <c r="F7" s="36">
        <f t="shared" si="11"/>
        <v>21066</v>
      </c>
      <c r="G7" s="16">
        <f t="shared" si="2"/>
        <v>0</v>
      </c>
      <c r="H7" s="36">
        <f t="shared" si="12"/>
        <v>252400</v>
      </c>
      <c r="I7" s="16">
        <f t="shared" si="3"/>
        <v>0</v>
      </c>
      <c r="J7" s="36">
        <v>303517</v>
      </c>
      <c r="K7" s="16">
        <v>0</v>
      </c>
      <c r="L7" s="36">
        <f t="shared" si="13"/>
        <v>25646</v>
      </c>
      <c r="M7" s="16">
        <f t="shared" si="4"/>
        <v>0</v>
      </c>
      <c r="N7" s="36">
        <f t="shared" si="14"/>
        <v>216207</v>
      </c>
      <c r="O7" s="16">
        <f t="shared" si="5"/>
        <v>0</v>
      </c>
      <c r="P7" s="36">
        <f t="shared" si="15"/>
        <v>133202</v>
      </c>
      <c r="Q7" s="16">
        <v>0</v>
      </c>
      <c r="R7" s="1">
        <v>55047</v>
      </c>
      <c r="S7" s="16">
        <v>0</v>
      </c>
      <c r="T7" s="36">
        <f t="shared" si="16"/>
        <v>3859</v>
      </c>
      <c r="U7" s="16">
        <f t="shared" si="8"/>
        <v>0</v>
      </c>
    </row>
    <row r="8" spans="1:24" ht="13.5" thickBot="1" x14ac:dyDescent="0.25">
      <c r="A8" s="10">
        <v>44536</v>
      </c>
      <c r="B8" s="36">
        <f t="shared" si="9"/>
        <v>46288</v>
      </c>
      <c r="C8" s="16">
        <f t="shared" si="0"/>
        <v>0</v>
      </c>
      <c r="D8" s="36">
        <f t="shared" si="10"/>
        <v>40090</v>
      </c>
      <c r="E8" s="16">
        <f t="shared" si="1"/>
        <v>0</v>
      </c>
      <c r="F8" s="36">
        <f t="shared" si="11"/>
        <v>21066</v>
      </c>
      <c r="G8" s="16">
        <f t="shared" si="2"/>
        <v>0</v>
      </c>
      <c r="H8" s="36">
        <f t="shared" si="12"/>
        <v>252400</v>
      </c>
      <c r="I8" s="16">
        <f t="shared" si="3"/>
        <v>0</v>
      </c>
      <c r="J8" s="36">
        <v>303517</v>
      </c>
      <c r="K8" s="16">
        <v>0</v>
      </c>
      <c r="L8" s="36">
        <f t="shared" si="13"/>
        <v>25646</v>
      </c>
      <c r="M8" s="16">
        <f t="shared" si="4"/>
        <v>0</v>
      </c>
      <c r="N8" s="36">
        <f t="shared" si="14"/>
        <v>216207</v>
      </c>
      <c r="O8" s="16">
        <f t="shared" si="5"/>
        <v>0</v>
      </c>
      <c r="P8" s="36">
        <f t="shared" si="15"/>
        <v>133202</v>
      </c>
      <c r="Q8" s="16">
        <f t="shared" si="6"/>
        <v>0</v>
      </c>
      <c r="R8" s="1">
        <v>55047</v>
      </c>
      <c r="S8" s="16">
        <f>R8-R7</f>
        <v>0</v>
      </c>
      <c r="T8" s="36">
        <f t="shared" si="16"/>
        <v>3859</v>
      </c>
      <c r="U8" s="16">
        <f t="shared" si="8"/>
        <v>0</v>
      </c>
    </row>
    <row r="9" spans="1:24" ht="13.5" thickBot="1" x14ac:dyDescent="0.25">
      <c r="A9" s="10">
        <v>44537</v>
      </c>
      <c r="B9" s="36">
        <f t="shared" si="9"/>
        <v>46288</v>
      </c>
      <c r="C9" s="16">
        <f t="shared" si="0"/>
        <v>0</v>
      </c>
      <c r="D9" s="36">
        <f t="shared" si="10"/>
        <v>40090</v>
      </c>
      <c r="E9" s="16">
        <f t="shared" si="1"/>
        <v>0</v>
      </c>
      <c r="F9" s="36">
        <f t="shared" si="11"/>
        <v>21066</v>
      </c>
      <c r="G9" s="16">
        <f t="shared" si="2"/>
        <v>0</v>
      </c>
      <c r="H9" s="36">
        <f t="shared" si="12"/>
        <v>252400</v>
      </c>
      <c r="I9" s="16">
        <f t="shared" si="3"/>
        <v>0</v>
      </c>
      <c r="J9" s="36">
        <v>303517</v>
      </c>
      <c r="K9" s="16">
        <v>0</v>
      </c>
      <c r="L9" s="36">
        <f t="shared" si="13"/>
        <v>25646</v>
      </c>
      <c r="M9" s="16">
        <f t="shared" si="4"/>
        <v>0</v>
      </c>
      <c r="N9" s="36">
        <f t="shared" si="14"/>
        <v>216207</v>
      </c>
      <c r="O9" s="16">
        <f t="shared" si="5"/>
        <v>0</v>
      </c>
      <c r="P9" s="36">
        <f t="shared" si="15"/>
        <v>133202</v>
      </c>
      <c r="Q9" s="16">
        <f>P9-P8</f>
        <v>0</v>
      </c>
      <c r="R9" s="1">
        <v>55047</v>
      </c>
      <c r="S9" s="16">
        <f>R9-R8</f>
        <v>0</v>
      </c>
      <c r="T9" s="36">
        <f t="shared" si="16"/>
        <v>3859</v>
      </c>
      <c r="U9" s="16">
        <f t="shared" si="8"/>
        <v>0</v>
      </c>
    </row>
    <row r="10" spans="1:24" ht="13.5" thickBot="1" x14ac:dyDescent="0.25">
      <c r="A10" s="10">
        <v>44538</v>
      </c>
      <c r="B10" s="36">
        <f t="shared" si="9"/>
        <v>46288</v>
      </c>
      <c r="C10" s="16">
        <f t="shared" si="0"/>
        <v>0</v>
      </c>
      <c r="D10" s="36">
        <f t="shared" si="10"/>
        <v>40090</v>
      </c>
      <c r="E10" s="16">
        <f t="shared" si="1"/>
        <v>0</v>
      </c>
      <c r="F10" s="36">
        <f t="shared" si="11"/>
        <v>21066</v>
      </c>
      <c r="G10" s="16">
        <f t="shared" si="2"/>
        <v>0</v>
      </c>
      <c r="H10" s="36">
        <f t="shared" si="12"/>
        <v>252400</v>
      </c>
      <c r="I10" s="16">
        <f t="shared" si="3"/>
        <v>0</v>
      </c>
      <c r="J10" s="36">
        <v>303517</v>
      </c>
      <c r="K10" s="16">
        <v>0</v>
      </c>
      <c r="L10" s="36">
        <f t="shared" si="13"/>
        <v>25646</v>
      </c>
      <c r="M10" s="16">
        <f t="shared" si="4"/>
        <v>0</v>
      </c>
      <c r="N10" s="36">
        <f t="shared" si="14"/>
        <v>216207</v>
      </c>
      <c r="O10" s="16">
        <f t="shared" si="5"/>
        <v>0</v>
      </c>
      <c r="P10" s="36">
        <f t="shared" si="15"/>
        <v>133202</v>
      </c>
      <c r="Q10" s="16">
        <f>P10-P9</f>
        <v>0</v>
      </c>
      <c r="R10" s="1">
        <v>55047</v>
      </c>
      <c r="S10" s="16">
        <f>R10-R9</f>
        <v>0</v>
      </c>
      <c r="T10" s="36">
        <f t="shared" si="16"/>
        <v>3859</v>
      </c>
      <c r="U10" s="16">
        <f t="shared" si="8"/>
        <v>0</v>
      </c>
    </row>
    <row r="11" spans="1:24" ht="13.5" thickBot="1" x14ac:dyDescent="0.25">
      <c r="A11" s="10">
        <v>44539</v>
      </c>
      <c r="B11" s="36">
        <f t="shared" si="9"/>
        <v>46288</v>
      </c>
      <c r="C11" s="16">
        <f t="shared" si="0"/>
        <v>0</v>
      </c>
      <c r="D11" s="36">
        <f t="shared" si="10"/>
        <v>40090</v>
      </c>
      <c r="E11" s="16">
        <f t="shared" si="1"/>
        <v>0</v>
      </c>
      <c r="F11" s="36">
        <f t="shared" si="11"/>
        <v>21066</v>
      </c>
      <c r="G11" s="16">
        <f t="shared" si="2"/>
        <v>0</v>
      </c>
      <c r="H11" s="36">
        <f t="shared" si="12"/>
        <v>252400</v>
      </c>
      <c r="I11" s="16">
        <f t="shared" si="3"/>
        <v>0</v>
      </c>
      <c r="J11" s="36">
        <v>303517</v>
      </c>
      <c r="K11" s="16">
        <v>0</v>
      </c>
      <c r="L11" s="36">
        <f t="shared" si="13"/>
        <v>25646</v>
      </c>
      <c r="M11" s="16">
        <f t="shared" si="4"/>
        <v>0</v>
      </c>
      <c r="N11" s="36">
        <f t="shared" si="14"/>
        <v>216207</v>
      </c>
      <c r="O11" s="16">
        <f t="shared" si="5"/>
        <v>0</v>
      </c>
      <c r="P11" s="36">
        <f t="shared" si="15"/>
        <v>133202</v>
      </c>
      <c r="Q11" s="16">
        <f t="shared" si="6"/>
        <v>0</v>
      </c>
      <c r="R11" s="1">
        <v>55047</v>
      </c>
      <c r="S11" s="16">
        <f t="shared" si="7"/>
        <v>0</v>
      </c>
      <c r="T11" s="36">
        <f t="shared" si="16"/>
        <v>3859</v>
      </c>
      <c r="U11" s="16">
        <f t="shared" si="8"/>
        <v>0</v>
      </c>
    </row>
    <row r="12" spans="1:24" ht="13.5" thickBot="1" x14ac:dyDescent="0.25">
      <c r="A12" s="10">
        <v>44540</v>
      </c>
      <c r="B12" s="36">
        <f t="shared" si="9"/>
        <v>46288</v>
      </c>
      <c r="C12" s="16">
        <f t="shared" si="0"/>
        <v>0</v>
      </c>
      <c r="D12" s="36">
        <f t="shared" si="10"/>
        <v>40090</v>
      </c>
      <c r="E12" s="16">
        <f t="shared" si="1"/>
        <v>0</v>
      </c>
      <c r="F12" s="36">
        <f t="shared" si="11"/>
        <v>21066</v>
      </c>
      <c r="G12" s="16">
        <f t="shared" si="2"/>
        <v>0</v>
      </c>
      <c r="H12" s="36">
        <f t="shared" si="12"/>
        <v>252400</v>
      </c>
      <c r="I12" s="16">
        <f t="shared" si="3"/>
        <v>0</v>
      </c>
      <c r="J12" s="36">
        <v>303517</v>
      </c>
      <c r="K12" s="16">
        <v>0</v>
      </c>
      <c r="L12" s="36">
        <f t="shared" si="13"/>
        <v>25646</v>
      </c>
      <c r="M12" s="16">
        <f t="shared" si="4"/>
        <v>0</v>
      </c>
      <c r="N12" s="36">
        <f t="shared" si="14"/>
        <v>216207</v>
      </c>
      <c r="O12" s="16">
        <f t="shared" si="5"/>
        <v>0</v>
      </c>
      <c r="P12" s="36">
        <f t="shared" si="15"/>
        <v>133202</v>
      </c>
      <c r="Q12" s="16">
        <f t="shared" si="6"/>
        <v>0</v>
      </c>
      <c r="R12" s="1">
        <v>55047</v>
      </c>
      <c r="S12" s="16">
        <f t="shared" si="7"/>
        <v>0</v>
      </c>
      <c r="T12" s="36">
        <f t="shared" si="16"/>
        <v>3859</v>
      </c>
      <c r="U12" s="16">
        <f t="shared" si="8"/>
        <v>0</v>
      </c>
    </row>
    <row r="13" spans="1:24" ht="13.5" thickBot="1" x14ac:dyDescent="0.25">
      <c r="A13" s="10">
        <v>44541</v>
      </c>
      <c r="B13" s="36">
        <f t="shared" si="9"/>
        <v>46288</v>
      </c>
      <c r="C13" s="16">
        <f t="shared" si="0"/>
        <v>0</v>
      </c>
      <c r="D13" s="36">
        <f t="shared" si="10"/>
        <v>40090</v>
      </c>
      <c r="E13" s="16">
        <f t="shared" si="1"/>
        <v>0</v>
      </c>
      <c r="F13" s="36">
        <f t="shared" si="11"/>
        <v>21066</v>
      </c>
      <c r="G13" s="16">
        <f t="shared" si="2"/>
        <v>0</v>
      </c>
      <c r="H13" s="36">
        <f t="shared" si="12"/>
        <v>252400</v>
      </c>
      <c r="I13" s="16">
        <f t="shared" si="3"/>
        <v>0</v>
      </c>
      <c r="J13" s="36">
        <v>303517</v>
      </c>
      <c r="K13" s="16">
        <v>0</v>
      </c>
      <c r="L13" s="36">
        <f t="shared" si="13"/>
        <v>25646</v>
      </c>
      <c r="M13" s="16">
        <f t="shared" si="4"/>
        <v>0</v>
      </c>
      <c r="N13" s="36">
        <f t="shared" si="14"/>
        <v>216207</v>
      </c>
      <c r="O13" s="16">
        <f t="shared" si="5"/>
        <v>0</v>
      </c>
      <c r="P13" s="36">
        <f t="shared" si="15"/>
        <v>133202</v>
      </c>
      <c r="Q13" s="16">
        <f t="shared" si="6"/>
        <v>0</v>
      </c>
      <c r="R13" s="1">
        <v>55047</v>
      </c>
      <c r="S13" s="16">
        <f t="shared" si="7"/>
        <v>0</v>
      </c>
      <c r="T13" s="36">
        <f t="shared" si="16"/>
        <v>3859</v>
      </c>
      <c r="U13" s="16">
        <f t="shared" si="8"/>
        <v>0</v>
      </c>
    </row>
    <row r="14" spans="1:24" ht="13.5" thickBot="1" x14ac:dyDescent="0.25">
      <c r="A14" s="10">
        <v>44542</v>
      </c>
      <c r="B14" s="36">
        <f t="shared" si="9"/>
        <v>46288</v>
      </c>
      <c r="C14" s="16">
        <f t="shared" si="0"/>
        <v>0</v>
      </c>
      <c r="D14" s="36">
        <f t="shared" si="10"/>
        <v>40090</v>
      </c>
      <c r="E14" s="16">
        <f t="shared" si="1"/>
        <v>0</v>
      </c>
      <c r="F14" s="36">
        <f t="shared" si="11"/>
        <v>21066</v>
      </c>
      <c r="G14" s="16">
        <f t="shared" si="2"/>
        <v>0</v>
      </c>
      <c r="H14" s="36">
        <f t="shared" si="12"/>
        <v>252400</v>
      </c>
      <c r="I14" s="16">
        <f t="shared" si="3"/>
        <v>0</v>
      </c>
      <c r="J14" s="36">
        <v>303517</v>
      </c>
      <c r="K14" s="16">
        <v>0</v>
      </c>
      <c r="L14" s="36">
        <f t="shared" si="13"/>
        <v>25646</v>
      </c>
      <c r="M14" s="16">
        <f t="shared" si="4"/>
        <v>0</v>
      </c>
      <c r="N14" s="36">
        <f t="shared" si="14"/>
        <v>216207</v>
      </c>
      <c r="O14" s="16">
        <f t="shared" si="5"/>
        <v>0</v>
      </c>
      <c r="P14" s="36">
        <f t="shared" si="15"/>
        <v>133202</v>
      </c>
      <c r="Q14" s="16">
        <f t="shared" si="6"/>
        <v>0</v>
      </c>
      <c r="R14" s="1">
        <f t="shared" ref="R14:R27" si="17">R13</f>
        <v>55047</v>
      </c>
      <c r="S14" s="16">
        <v>0</v>
      </c>
      <c r="T14" s="36">
        <f t="shared" si="16"/>
        <v>3859</v>
      </c>
      <c r="U14" s="16">
        <f t="shared" si="8"/>
        <v>0</v>
      </c>
    </row>
    <row r="15" spans="1:24" ht="13.5" thickBot="1" x14ac:dyDescent="0.25">
      <c r="A15" s="10">
        <v>44543</v>
      </c>
      <c r="B15" s="36">
        <f t="shared" si="9"/>
        <v>46288</v>
      </c>
      <c r="C15" s="16">
        <f t="shared" si="0"/>
        <v>0</v>
      </c>
      <c r="D15" s="36">
        <f t="shared" si="10"/>
        <v>40090</v>
      </c>
      <c r="E15" s="16">
        <f t="shared" si="1"/>
        <v>0</v>
      </c>
      <c r="F15" s="36">
        <f t="shared" si="11"/>
        <v>21066</v>
      </c>
      <c r="G15" s="16">
        <f t="shared" ref="G15" si="18">(F15-F14)*100/5</f>
        <v>0</v>
      </c>
      <c r="H15" s="36">
        <f t="shared" si="12"/>
        <v>252400</v>
      </c>
      <c r="I15" s="16">
        <f t="shared" ref="I15" si="19">(H15-H14)</f>
        <v>0</v>
      </c>
      <c r="J15" s="36">
        <v>303517</v>
      </c>
      <c r="K15" s="16">
        <v>0</v>
      </c>
      <c r="L15" s="36">
        <f t="shared" si="13"/>
        <v>25646</v>
      </c>
      <c r="M15" s="16">
        <f t="shared" ref="M15" si="20">(L15-L14)*800/5</f>
        <v>0</v>
      </c>
      <c r="N15" s="36">
        <f t="shared" si="14"/>
        <v>216207</v>
      </c>
      <c r="O15" s="16">
        <f t="shared" ref="O15" si="21">N15-N14</f>
        <v>0</v>
      </c>
      <c r="P15" s="36">
        <f t="shared" si="15"/>
        <v>133202</v>
      </c>
      <c r="Q15" s="16">
        <f t="shared" ref="Q15" si="22">P15-P14</f>
        <v>0</v>
      </c>
      <c r="R15" s="1">
        <f t="shared" si="17"/>
        <v>55047</v>
      </c>
      <c r="S15" s="16">
        <v>0</v>
      </c>
      <c r="T15" s="36">
        <f t="shared" si="16"/>
        <v>3859</v>
      </c>
      <c r="U15" s="16">
        <f t="shared" ref="U15" si="23">(T15-T14)*800/5</f>
        <v>0</v>
      </c>
      <c r="X15" t="s">
        <v>12</v>
      </c>
    </row>
    <row r="16" spans="1:24" ht="13.5" thickBot="1" x14ac:dyDescent="0.25">
      <c r="A16" s="10">
        <v>44544</v>
      </c>
      <c r="B16" s="36">
        <f t="shared" si="9"/>
        <v>46288</v>
      </c>
      <c r="C16" s="16">
        <f t="shared" si="0"/>
        <v>0</v>
      </c>
      <c r="D16" s="36">
        <f t="shared" si="10"/>
        <v>40090</v>
      </c>
      <c r="E16" s="16">
        <f t="shared" si="1"/>
        <v>0</v>
      </c>
      <c r="F16" s="36">
        <f t="shared" si="11"/>
        <v>21066</v>
      </c>
      <c r="G16" s="16">
        <f t="shared" si="2"/>
        <v>0</v>
      </c>
      <c r="H16" s="36">
        <f t="shared" si="12"/>
        <v>252400</v>
      </c>
      <c r="I16" s="16">
        <f t="shared" si="3"/>
        <v>0</v>
      </c>
      <c r="J16" s="36">
        <v>303517</v>
      </c>
      <c r="K16" s="16">
        <v>0</v>
      </c>
      <c r="L16" s="36">
        <f t="shared" si="13"/>
        <v>25646</v>
      </c>
      <c r="M16" s="16">
        <f t="shared" si="4"/>
        <v>0</v>
      </c>
      <c r="N16" s="36">
        <f t="shared" si="14"/>
        <v>216207</v>
      </c>
      <c r="O16" s="16">
        <f t="shared" si="5"/>
        <v>0</v>
      </c>
      <c r="P16" s="36">
        <f t="shared" si="15"/>
        <v>133202</v>
      </c>
      <c r="Q16" s="16">
        <f t="shared" si="6"/>
        <v>0</v>
      </c>
      <c r="R16" s="1">
        <v>55047</v>
      </c>
      <c r="S16" s="16">
        <f t="shared" si="7"/>
        <v>0</v>
      </c>
      <c r="T16" s="36">
        <f t="shared" si="16"/>
        <v>3859</v>
      </c>
      <c r="U16" s="16">
        <f t="shared" si="8"/>
        <v>0</v>
      </c>
      <c r="W16" t="s">
        <v>12</v>
      </c>
    </row>
    <row r="17" spans="1:23" ht="13.5" thickBot="1" x14ac:dyDescent="0.25">
      <c r="A17" s="10">
        <v>44545</v>
      </c>
      <c r="B17" s="36">
        <f t="shared" si="9"/>
        <v>46288</v>
      </c>
      <c r="C17" s="16">
        <f t="shared" si="0"/>
        <v>0</v>
      </c>
      <c r="D17" s="36">
        <f t="shared" si="10"/>
        <v>40090</v>
      </c>
      <c r="E17" s="16">
        <f t="shared" si="1"/>
        <v>0</v>
      </c>
      <c r="F17" s="36">
        <f t="shared" si="11"/>
        <v>21066</v>
      </c>
      <c r="G17" s="16">
        <f t="shared" si="2"/>
        <v>0</v>
      </c>
      <c r="H17" s="36">
        <f t="shared" si="12"/>
        <v>252400</v>
      </c>
      <c r="I17" s="16">
        <f t="shared" si="3"/>
        <v>0</v>
      </c>
      <c r="J17" s="36">
        <v>303517</v>
      </c>
      <c r="K17" s="16">
        <v>0</v>
      </c>
      <c r="L17" s="36">
        <f t="shared" si="13"/>
        <v>25646</v>
      </c>
      <c r="M17" s="16">
        <f t="shared" si="4"/>
        <v>0</v>
      </c>
      <c r="N17" s="36">
        <f t="shared" si="14"/>
        <v>216207</v>
      </c>
      <c r="O17" s="16">
        <f t="shared" si="5"/>
        <v>0</v>
      </c>
      <c r="P17" s="36">
        <f t="shared" si="15"/>
        <v>133202</v>
      </c>
      <c r="Q17" s="16">
        <f t="shared" si="6"/>
        <v>0</v>
      </c>
      <c r="R17" s="1">
        <f t="shared" si="17"/>
        <v>55047</v>
      </c>
      <c r="S17" s="16">
        <f>S16</f>
        <v>0</v>
      </c>
      <c r="T17" s="36">
        <f t="shared" si="16"/>
        <v>3859</v>
      </c>
      <c r="U17" s="16">
        <f t="shared" si="8"/>
        <v>0</v>
      </c>
    </row>
    <row r="18" spans="1:23" ht="13.5" thickBot="1" x14ac:dyDescent="0.25">
      <c r="A18" s="10">
        <v>44546</v>
      </c>
      <c r="B18" s="36">
        <f t="shared" si="9"/>
        <v>46288</v>
      </c>
      <c r="C18" s="16">
        <f t="shared" si="0"/>
        <v>0</v>
      </c>
      <c r="D18" s="36">
        <f t="shared" si="10"/>
        <v>40090</v>
      </c>
      <c r="E18" s="16">
        <f t="shared" si="1"/>
        <v>0</v>
      </c>
      <c r="F18" s="36">
        <f t="shared" si="11"/>
        <v>21066</v>
      </c>
      <c r="G18" s="16">
        <f t="shared" si="2"/>
        <v>0</v>
      </c>
      <c r="H18" s="36">
        <f t="shared" si="12"/>
        <v>252400</v>
      </c>
      <c r="I18" s="16">
        <f t="shared" si="3"/>
        <v>0</v>
      </c>
      <c r="J18" s="36">
        <v>303517</v>
      </c>
      <c r="K18" s="16">
        <v>0</v>
      </c>
      <c r="L18" s="36">
        <f t="shared" si="13"/>
        <v>25646</v>
      </c>
      <c r="M18" s="16">
        <f t="shared" si="4"/>
        <v>0</v>
      </c>
      <c r="N18" s="36">
        <f t="shared" si="14"/>
        <v>216207</v>
      </c>
      <c r="O18" s="16">
        <f t="shared" si="5"/>
        <v>0</v>
      </c>
      <c r="P18" s="36">
        <f t="shared" si="15"/>
        <v>133202</v>
      </c>
      <c r="Q18" s="16">
        <f t="shared" si="6"/>
        <v>0</v>
      </c>
      <c r="R18" s="1">
        <f t="shared" si="17"/>
        <v>55047</v>
      </c>
      <c r="S18" s="16">
        <f t="shared" si="7"/>
        <v>0</v>
      </c>
      <c r="T18" s="36">
        <f t="shared" si="16"/>
        <v>3859</v>
      </c>
      <c r="U18" s="16">
        <f t="shared" si="8"/>
        <v>0</v>
      </c>
    </row>
    <row r="19" spans="1:23" ht="13.5" thickBot="1" x14ac:dyDescent="0.25">
      <c r="A19" s="10">
        <v>44547</v>
      </c>
      <c r="B19" s="36">
        <f t="shared" si="9"/>
        <v>46288</v>
      </c>
      <c r="C19" s="16">
        <f t="shared" si="0"/>
        <v>0</v>
      </c>
      <c r="D19" s="36">
        <f t="shared" si="10"/>
        <v>40090</v>
      </c>
      <c r="E19" s="16">
        <f t="shared" si="1"/>
        <v>0</v>
      </c>
      <c r="F19" s="36">
        <f t="shared" si="11"/>
        <v>21066</v>
      </c>
      <c r="G19" s="16">
        <f t="shared" si="2"/>
        <v>0</v>
      </c>
      <c r="H19" s="36">
        <f t="shared" si="12"/>
        <v>252400</v>
      </c>
      <c r="I19" s="16">
        <f t="shared" si="3"/>
        <v>0</v>
      </c>
      <c r="J19" s="36">
        <v>303517</v>
      </c>
      <c r="K19" s="16">
        <v>0</v>
      </c>
      <c r="L19" s="36">
        <f t="shared" si="13"/>
        <v>25646</v>
      </c>
      <c r="M19" s="16">
        <f t="shared" si="4"/>
        <v>0</v>
      </c>
      <c r="N19" s="36">
        <f t="shared" si="14"/>
        <v>216207</v>
      </c>
      <c r="O19" s="16">
        <f t="shared" si="5"/>
        <v>0</v>
      </c>
      <c r="P19" s="36">
        <f t="shared" si="15"/>
        <v>133202</v>
      </c>
      <c r="Q19" s="16">
        <f t="shared" si="6"/>
        <v>0</v>
      </c>
      <c r="R19" s="1">
        <v>55047</v>
      </c>
      <c r="S19" s="16">
        <f t="shared" si="7"/>
        <v>0</v>
      </c>
      <c r="T19" s="36">
        <f t="shared" si="16"/>
        <v>3859</v>
      </c>
      <c r="U19" s="16">
        <f t="shared" si="8"/>
        <v>0</v>
      </c>
      <c r="W19" t="s">
        <v>12</v>
      </c>
    </row>
    <row r="20" spans="1:23" ht="13.5" thickBot="1" x14ac:dyDescent="0.25">
      <c r="A20" s="10">
        <v>44548</v>
      </c>
      <c r="B20" s="36">
        <f t="shared" si="9"/>
        <v>46288</v>
      </c>
      <c r="C20" s="16">
        <f t="shared" si="0"/>
        <v>0</v>
      </c>
      <c r="D20" s="36">
        <f t="shared" si="10"/>
        <v>40090</v>
      </c>
      <c r="E20" s="16">
        <f t="shared" si="1"/>
        <v>0</v>
      </c>
      <c r="F20" s="36">
        <f t="shared" si="11"/>
        <v>21066</v>
      </c>
      <c r="G20" s="16">
        <f t="shared" si="2"/>
        <v>0</v>
      </c>
      <c r="H20" s="36">
        <f t="shared" si="12"/>
        <v>252400</v>
      </c>
      <c r="I20" s="16">
        <f t="shared" si="3"/>
        <v>0</v>
      </c>
      <c r="J20" s="36">
        <v>303517</v>
      </c>
      <c r="K20" s="16">
        <v>0</v>
      </c>
      <c r="L20" s="36">
        <f t="shared" si="13"/>
        <v>25646</v>
      </c>
      <c r="M20" s="16">
        <f t="shared" si="4"/>
        <v>0</v>
      </c>
      <c r="N20" s="36">
        <f t="shared" si="14"/>
        <v>216207</v>
      </c>
      <c r="O20" s="16">
        <f t="shared" si="5"/>
        <v>0</v>
      </c>
      <c r="P20" s="36">
        <f t="shared" si="15"/>
        <v>133202</v>
      </c>
      <c r="Q20" s="16">
        <f>P20-P19</f>
        <v>0</v>
      </c>
      <c r="R20" s="1">
        <v>55047</v>
      </c>
      <c r="S20" s="16">
        <f t="shared" si="7"/>
        <v>0</v>
      </c>
      <c r="T20" s="36">
        <f t="shared" si="16"/>
        <v>3859</v>
      </c>
      <c r="U20" s="16">
        <f t="shared" si="8"/>
        <v>0</v>
      </c>
    </row>
    <row r="21" spans="1:23" ht="13.5" thickBot="1" x14ac:dyDescent="0.25">
      <c r="A21" s="10">
        <v>44549</v>
      </c>
      <c r="B21" s="36">
        <f t="shared" si="9"/>
        <v>46288</v>
      </c>
      <c r="C21" s="16">
        <f t="shared" si="0"/>
        <v>0</v>
      </c>
      <c r="D21" s="36">
        <f t="shared" si="10"/>
        <v>40090</v>
      </c>
      <c r="E21" s="16">
        <f t="shared" si="1"/>
        <v>0</v>
      </c>
      <c r="F21" s="36">
        <f t="shared" si="11"/>
        <v>21066</v>
      </c>
      <c r="G21" s="16">
        <f t="shared" si="2"/>
        <v>0</v>
      </c>
      <c r="H21" s="36">
        <f t="shared" si="12"/>
        <v>252400</v>
      </c>
      <c r="I21" s="16">
        <f t="shared" si="3"/>
        <v>0</v>
      </c>
      <c r="J21" s="36">
        <v>303517</v>
      </c>
      <c r="K21" s="16">
        <v>0</v>
      </c>
      <c r="L21" s="36">
        <f t="shared" si="13"/>
        <v>25646</v>
      </c>
      <c r="M21" s="16">
        <f t="shared" si="4"/>
        <v>0</v>
      </c>
      <c r="N21" s="36">
        <f t="shared" si="14"/>
        <v>216207</v>
      </c>
      <c r="O21" s="16">
        <f t="shared" si="5"/>
        <v>0</v>
      </c>
      <c r="P21" s="36">
        <f t="shared" si="15"/>
        <v>133202</v>
      </c>
      <c r="Q21" s="16">
        <f t="shared" si="6"/>
        <v>0</v>
      </c>
      <c r="R21" s="1">
        <v>55047</v>
      </c>
      <c r="S21" s="16">
        <f t="shared" si="7"/>
        <v>0</v>
      </c>
      <c r="T21" s="36">
        <f t="shared" si="16"/>
        <v>3859</v>
      </c>
      <c r="U21" s="16">
        <f t="shared" si="8"/>
        <v>0</v>
      </c>
    </row>
    <row r="22" spans="1:23" ht="13.5" thickBot="1" x14ac:dyDescent="0.25">
      <c r="A22" s="10">
        <v>44550</v>
      </c>
      <c r="B22" s="36">
        <f t="shared" si="9"/>
        <v>46288</v>
      </c>
      <c r="C22" s="16">
        <f t="shared" si="0"/>
        <v>0</v>
      </c>
      <c r="D22" s="36">
        <f t="shared" si="10"/>
        <v>40090</v>
      </c>
      <c r="E22" s="16">
        <f t="shared" si="1"/>
        <v>0</v>
      </c>
      <c r="F22" s="36">
        <f t="shared" si="11"/>
        <v>21066</v>
      </c>
      <c r="G22" s="16">
        <f t="shared" si="2"/>
        <v>0</v>
      </c>
      <c r="H22" s="36">
        <f t="shared" si="12"/>
        <v>252400</v>
      </c>
      <c r="I22" s="16">
        <f t="shared" si="3"/>
        <v>0</v>
      </c>
      <c r="J22" s="36">
        <v>303517</v>
      </c>
      <c r="K22" s="16">
        <v>0</v>
      </c>
      <c r="L22" s="36">
        <f t="shared" si="13"/>
        <v>25646</v>
      </c>
      <c r="M22" s="16">
        <f t="shared" si="4"/>
        <v>0</v>
      </c>
      <c r="N22" s="36">
        <f t="shared" si="14"/>
        <v>216207</v>
      </c>
      <c r="O22" s="16">
        <f t="shared" si="5"/>
        <v>0</v>
      </c>
      <c r="P22" s="36">
        <f t="shared" si="15"/>
        <v>133202</v>
      </c>
      <c r="Q22" s="16">
        <f>P22-P21</f>
        <v>0</v>
      </c>
      <c r="R22" s="1">
        <v>55047</v>
      </c>
      <c r="S22" s="16">
        <f t="shared" si="7"/>
        <v>0</v>
      </c>
      <c r="T22" s="36">
        <f t="shared" si="16"/>
        <v>3859</v>
      </c>
      <c r="U22" s="16">
        <f t="shared" si="8"/>
        <v>0</v>
      </c>
    </row>
    <row r="23" spans="1:23" ht="13.5" thickBot="1" x14ac:dyDescent="0.25">
      <c r="A23" s="10">
        <v>44551</v>
      </c>
      <c r="B23" s="36">
        <f t="shared" si="9"/>
        <v>46288</v>
      </c>
      <c r="C23" s="16">
        <f t="shared" si="0"/>
        <v>0</v>
      </c>
      <c r="D23" s="36">
        <f t="shared" si="10"/>
        <v>40090</v>
      </c>
      <c r="E23" s="16">
        <f t="shared" si="1"/>
        <v>0</v>
      </c>
      <c r="F23" s="36">
        <f t="shared" si="11"/>
        <v>21066</v>
      </c>
      <c r="G23" s="16">
        <f t="shared" si="2"/>
        <v>0</v>
      </c>
      <c r="H23" s="36">
        <f t="shared" si="12"/>
        <v>252400</v>
      </c>
      <c r="I23" s="16">
        <f t="shared" si="3"/>
        <v>0</v>
      </c>
      <c r="J23" s="36">
        <v>303517</v>
      </c>
      <c r="K23" s="16">
        <v>0</v>
      </c>
      <c r="L23" s="36">
        <f t="shared" si="13"/>
        <v>25646</v>
      </c>
      <c r="M23" s="16">
        <f t="shared" si="4"/>
        <v>0</v>
      </c>
      <c r="N23" s="36">
        <f t="shared" si="14"/>
        <v>216207</v>
      </c>
      <c r="O23" s="16">
        <f t="shared" si="5"/>
        <v>0</v>
      </c>
      <c r="P23" s="36">
        <f t="shared" si="15"/>
        <v>133202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si="16"/>
        <v>3859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9"/>
        <v>46288</v>
      </c>
      <c r="C24" s="16">
        <f t="shared" si="0"/>
        <v>0</v>
      </c>
      <c r="D24" s="36">
        <f t="shared" si="10"/>
        <v>40090</v>
      </c>
      <c r="E24" s="16">
        <f t="shared" si="1"/>
        <v>0</v>
      </c>
      <c r="F24" s="36">
        <f t="shared" si="11"/>
        <v>21066</v>
      </c>
      <c r="G24" s="16">
        <f t="shared" si="2"/>
        <v>0</v>
      </c>
      <c r="H24" s="36">
        <f t="shared" si="12"/>
        <v>252400</v>
      </c>
      <c r="I24" s="16">
        <f t="shared" si="3"/>
        <v>0</v>
      </c>
      <c r="J24" s="36">
        <v>303517</v>
      </c>
      <c r="K24" s="16">
        <v>0</v>
      </c>
      <c r="L24" s="36">
        <f t="shared" si="13"/>
        <v>25646</v>
      </c>
      <c r="M24" s="16">
        <f t="shared" si="4"/>
        <v>0</v>
      </c>
      <c r="N24" s="36">
        <f t="shared" si="14"/>
        <v>216207</v>
      </c>
      <c r="O24" s="16">
        <f t="shared" si="5"/>
        <v>0</v>
      </c>
      <c r="P24" s="36">
        <f t="shared" si="15"/>
        <v>133202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16"/>
        <v>3859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9"/>
        <v>46288</v>
      </c>
      <c r="C25" s="16">
        <f t="shared" si="0"/>
        <v>0</v>
      </c>
      <c r="D25" s="36">
        <f t="shared" si="10"/>
        <v>40090</v>
      </c>
      <c r="E25" s="16">
        <f t="shared" si="1"/>
        <v>0</v>
      </c>
      <c r="F25" s="36">
        <f t="shared" si="11"/>
        <v>21066</v>
      </c>
      <c r="G25" s="16">
        <f t="shared" si="2"/>
        <v>0</v>
      </c>
      <c r="H25" s="36">
        <f t="shared" si="12"/>
        <v>252400</v>
      </c>
      <c r="I25" s="16">
        <f t="shared" si="3"/>
        <v>0</v>
      </c>
      <c r="J25" s="36">
        <v>303517</v>
      </c>
      <c r="K25" s="16">
        <v>0</v>
      </c>
      <c r="L25" s="36">
        <f t="shared" si="13"/>
        <v>25646</v>
      </c>
      <c r="M25" s="16">
        <f t="shared" si="4"/>
        <v>0</v>
      </c>
      <c r="N25" s="36">
        <f t="shared" si="14"/>
        <v>216207</v>
      </c>
      <c r="O25" s="16">
        <f t="shared" si="5"/>
        <v>0</v>
      </c>
      <c r="P25" s="36">
        <f t="shared" si="15"/>
        <v>133202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16"/>
        <v>3859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9"/>
        <v>46288</v>
      </c>
      <c r="C26" s="16">
        <f t="shared" si="0"/>
        <v>0</v>
      </c>
      <c r="D26" s="36">
        <f t="shared" si="10"/>
        <v>40090</v>
      </c>
      <c r="E26" s="16">
        <f t="shared" si="1"/>
        <v>0</v>
      </c>
      <c r="F26" s="36">
        <f t="shared" si="11"/>
        <v>21066</v>
      </c>
      <c r="G26" s="16">
        <f t="shared" si="2"/>
        <v>0</v>
      </c>
      <c r="H26" s="36">
        <f t="shared" si="12"/>
        <v>252400</v>
      </c>
      <c r="I26" s="16">
        <f t="shared" si="3"/>
        <v>0</v>
      </c>
      <c r="J26" s="36">
        <v>303517</v>
      </c>
      <c r="K26" s="16">
        <v>0</v>
      </c>
      <c r="L26" s="36">
        <f t="shared" si="13"/>
        <v>25646</v>
      </c>
      <c r="M26" s="16">
        <f t="shared" si="4"/>
        <v>0</v>
      </c>
      <c r="N26" s="36">
        <f t="shared" si="14"/>
        <v>216207</v>
      </c>
      <c r="O26" s="16">
        <f t="shared" si="5"/>
        <v>0</v>
      </c>
      <c r="P26" s="36">
        <f t="shared" si="15"/>
        <v>133202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16"/>
        <v>3859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9"/>
        <v>46288</v>
      </c>
      <c r="C27" s="16">
        <f t="shared" si="0"/>
        <v>0</v>
      </c>
      <c r="D27" s="36">
        <f t="shared" si="10"/>
        <v>40090</v>
      </c>
      <c r="E27" s="16">
        <f t="shared" si="1"/>
        <v>0</v>
      </c>
      <c r="F27" s="36">
        <f t="shared" si="11"/>
        <v>21066</v>
      </c>
      <c r="G27" s="16">
        <f t="shared" si="2"/>
        <v>0</v>
      </c>
      <c r="H27" s="36">
        <f t="shared" si="12"/>
        <v>252400</v>
      </c>
      <c r="I27" s="16">
        <f t="shared" si="3"/>
        <v>0</v>
      </c>
      <c r="J27" s="36">
        <v>303517</v>
      </c>
      <c r="K27" s="16">
        <v>0</v>
      </c>
      <c r="L27" s="36">
        <f t="shared" si="13"/>
        <v>25646</v>
      </c>
      <c r="M27" s="16">
        <f t="shared" si="4"/>
        <v>0</v>
      </c>
      <c r="N27" s="36">
        <f t="shared" si="14"/>
        <v>216207</v>
      </c>
      <c r="O27" s="16">
        <f t="shared" si="5"/>
        <v>0</v>
      </c>
      <c r="P27" s="36">
        <f t="shared" si="15"/>
        <v>133202</v>
      </c>
      <c r="Q27" s="16">
        <f t="shared" si="6"/>
        <v>0</v>
      </c>
      <c r="R27" s="1">
        <f t="shared" si="17"/>
        <v>55047</v>
      </c>
      <c r="S27" s="16">
        <f t="shared" si="7"/>
        <v>0</v>
      </c>
      <c r="T27" s="36">
        <f t="shared" si="16"/>
        <v>3859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9"/>
        <v>46288</v>
      </c>
      <c r="C28" s="16">
        <f t="shared" si="0"/>
        <v>0</v>
      </c>
      <c r="D28" s="36">
        <f t="shared" si="10"/>
        <v>40090</v>
      </c>
      <c r="E28" s="16">
        <f t="shared" si="1"/>
        <v>0</v>
      </c>
      <c r="F28" s="36">
        <f t="shared" si="11"/>
        <v>21066</v>
      </c>
      <c r="G28" s="16">
        <f t="shared" si="2"/>
        <v>0</v>
      </c>
      <c r="H28" s="36">
        <f t="shared" si="12"/>
        <v>252400</v>
      </c>
      <c r="I28" s="16">
        <f t="shared" si="3"/>
        <v>0</v>
      </c>
      <c r="J28" s="36">
        <v>303517</v>
      </c>
      <c r="K28" s="16">
        <v>0</v>
      </c>
      <c r="L28" s="36">
        <f t="shared" si="13"/>
        <v>25646</v>
      </c>
      <c r="M28" s="16">
        <f t="shared" si="4"/>
        <v>0</v>
      </c>
      <c r="N28" s="36">
        <f t="shared" si="14"/>
        <v>216207</v>
      </c>
      <c r="O28" s="16">
        <f t="shared" si="5"/>
        <v>0</v>
      </c>
      <c r="P28" s="36">
        <f t="shared" si="15"/>
        <v>133202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16"/>
        <v>3859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9"/>
        <v>46288</v>
      </c>
      <c r="C29" s="16">
        <f t="shared" si="0"/>
        <v>0</v>
      </c>
      <c r="D29" s="36">
        <f t="shared" si="10"/>
        <v>40090</v>
      </c>
      <c r="E29" s="16">
        <f t="shared" si="1"/>
        <v>0</v>
      </c>
      <c r="F29" s="36">
        <f t="shared" si="11"/>
        <v>21066</v>
      </c>
      <c r="G29" s="16">
        <f t="shared" si="2"/>
        <v>0</v>
      </c>
      <c r="H29" s="36">
        <f t="shared" si="12"/>
        <v>252400</v>
      </c>
      <c r="I29" s="16">
        <f t="shared" si="3"/>
        <v>0</v>
      </c>
      <c r="J29" s="36">
        <v>303517</v>
      </c>
      <c r="K29" s="16">
        <v>0</v>
      </c>
      <c r="L29" s="36">
        <f t="shared" si="13"/>
        <v>25646</v>
      </c>
      <c r="M29" s="16">
        <f t="shared" si="4"/>
        <v>0</v>
      </c>
      <c r="N29" s="36">
        <f t="shared" si="14"/>
        <v>216207</v>
      </c>
      <c r="O29" s="16">
        <f t="shared" si="5"/>
        <v>0</v>
      </c>
      <c r="P29" s="36">
        <f t="shared" si="15"/>
        <v>133202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16"/>
        <v>3859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9"/>
        <v>46288</v>
      </c>
      <c r="C30" s="16">
        <f t="shared" si="0"/>
        <v>0</v>
      </c>
      <c r="D30" s="36">
        <f t="shared" si="10"/>
        <v>40090</v>
      </c>
      <c r="E30" s="16">
        <f t="shared" si="1"/>
        <v>0</v>
      </c>
      <c r="F30" s="36">
        <f t="shared" si="11"/>
        <v>21066</v>
      </c>
      <c r="G30" s="16">
        <f t="shared" si="2"/>
        <v>0</v>
      </c>
      <c r="H30" s="36">
        <f t="shared" si="12"/>
        <v>252400</v>
      </c>
      <c r="I30" s="16">
        <f t="shared" si="3"/>
        <v>0</v>
      </c>
      <c r="J30" s="36">
        <v>303517</v>
      </c>
      <c r="K30" s="16">
        <v>0</v>
      </c>
      <c r="L30" s="36">
        <f t="shared" si="13"/>
        <v>25646</v>
      </c>
      <c r="M30" s="16">
        <f t="shared" si="4"/>
        <v>0</v>
      </c>
      <c r="N30" s="36">
        <f t="shared" si="14"/>
        <v>216207</v>
      </c>
      <c r="O30" s="16">
        <f t="shared" si="5"/>
        <v>0</v>
      </c>
      <c r="P30" s="36">
        <f t="shared" si="15"/>
        <v>133202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16"/>
        <v>3859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9"/>
        <v>46288</v>
      </c>
      <c r="C31" s="16">
        <f t="shared" si="0"/>
        <v>0</v>
      </c>
      <c r="D31" s="36">
        <f t="shared" si="10"/>
        <v>40090</v>
      </c>
      <c r="E31" s="16">
        <f t="shared" si="1"/>
        <v>0</v>
      </c>
      <c r="F31" s="36">
        <f t="shared" si="11"/>
        <v>21066</v>
      </c>
      <c r="G31" s="16">
        <f t="shared" si="2"/>
        <v>0</v>
      </c>
      <c r="H31" s="36">
        <f t="shared" si="12"/>
        <v>252400</v>
      </c>
      <c r="I31" s="16">
        <f t="shared" si="3"/>
        <v>0</v>
      </c>
      <c r="J31" s="36">
        <v>303517</v>
      </c>
      <c r="K31" s="16">
        <v>0</v>
      </c>
      <c r="L31" s="36">
        <f t="shared" si="13"/>
        <v>25646</v>
      </c>
      <c r="M31" s="16">
        <f t="shared" si="4"/>
        <v>0</v>
      </c>
      <c r="N31" s="36">
        <f t="shared" si="14"/>
        <v>216207</v>
      </c>
      <c r="O31" s="16">
        <f t="shared" si="5"/>
        <v>0</v>
      </c>
      <c r="P31" s="36">
        <f t="shared" si="15"/>
        <v>133202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16"/>
        <v>3859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9"/>
        <v>46288</v>
      </c>
      <c r="C32" s="16">
        <f t="shared" si="0"/>
        <v>0</v>
      </c>
      <c r="D32" s="36">
        <f t="shared" si="10"/>
        <v>40090</v>
      </c>
      <c r="E32" s="16">
        <f t="shared" si="1"/>
        <v>0</v>
      </c>
      <c r="F32" s="36">
        <f t="shared" si="11"/>
        <v>21066</v>
      </c>
      <c r="G32" s="16">
        <f t="shared" si="2"/>
        <v>0</v>
      </c>
      <c r="H32" s="36">
        <f t="shared" si="12"/>
        <v>252400</v>
      </c>
      <c r="I32" s="16">
        <f t="shared" si="3"/>
        <v>0</v>
      </c>
      <c r="J32" s="36">
        <v>303517</v>
      </c>
      <c r="K32" s="16">
        <v>0</v>
      </c>
      <c r="L32" s="36">
        <f t="shared" si="13"/>
        <v>25646</v>
      </c>
      <c r="M32" s="16">
        <f t="shared" si="4"/>
        <v>0</v>
      </c>
      <c r="N32" s="36">
        <f t="shared" si="14"/>
        <v>216207</v>
      </c>
      <c r="O32" s="16">
        <f t="shared" si="5"/>
        <v>0</v>
      </c>
      <c r="P32" s="36">
        <f t="shared" si="15"/>
        <v>133202</v>
      </c>
      <c r="Q32" s="16">
        <f t="shared" si="6"/>
        <v>0</v>
      </c>
      <c r="R32" s="1">
        <v>55047</v>
      </c>
      <c r="S32" s="16">
        <v>0</v>
      </c>
      <c r="T32" s="36">
        <f t="shared" si="16"/>
        <v>3859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9"/>
        <v>46288</v>
      </c>
      <c r="C33" s="16">
        <f t="shared" si="0"/>
        <v>0</v>
      </c>
      <c r="D33" s="36">
        <f t="shared" si="10"/>
        <v>40090</v>
      </c>
      <c r="E33" s="16">
        <f t="shared" si="1"/>
        <v>0</v>
      </c>
      <c r="F33" s="36">
        <f t="shared" si="11"/>
        <v>21066</v>
      </c>
      <c r="G33" s="16">
        <f t="shared" si="2"/>
        <v>0</v>
      </c>
      <c r="H33" s="36">
        <f t="shared" si="12"/>
        <v>252400</v>
      </c>
      <c r="I33" s="16">
        <f t="shared" si="3"/>
        <v>0</v>
      </c>
      <c r="J33" s="36">
        <v>303517</v>
      </c>
      <c r="K33" s="16">
        <v>0</v>
      </c>
      <c r="L33" s="36">
        <f t="shared" si="13"/>
        <v>25646</v>
      </c>
      <c r="M33" s="16">
        <f t="shared" si="4"/>
        <v>0</v>
      </c>
      <c r="N33" s="36">
        <f t="shared" si="14"/>
        <v>216207</v>
      </c>
      <c r="O33" s="16">
        <f t="shared" si="5"/>
        <v>0</v>
      </c>
      <c r="P33" s="36">
        <f t="shared" si="15"/>
        <v>133202</v>
      </c>
      <c r="Q33" s="16">
        <f t="shared" si="6"/>
        <v>0</v>
      </c>
      <c r="R33" s="1">
        <v>55047</v>
      </c>
      <c r="S33" s="16">
        <v>0</v>
      </c>
      <c r="T33" s="36">
        <f t="shared" si="16"/>
        <v>3859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1440</v>
      </c>
      <c r="D34" s="13"/>
      <c r="E34" s="11">
        <f>SUM(E4:E33)</f>
        <v>480</v>
      </c>
      <c r="F34" s="13"/>
      <c r="G34" s="11">
        <f>SUM(G4:G33)</f>
        <v>140</v>
      </c>
      <c r="H34" s="13"/>
      <c r="I34" s="11">
        <f>SUM(I4:I33)</f>
        <v>79</v>
      </c>
      <c r="J34" s="13"/>
      <c r="K34" s="11">
        <f>SUM(K4:K33)</f>
        <v>0</v>
      </c>
      <c r="L34" s="13"/>
      <c r="M34" s="11">
        <f>SUM(M4:M33)</f>
        <v>640</v>
      </c>
      <c r="N34" s="37"/>
      <c r="O34" s="11">
        <f>SUM(O4:O33)</f>
        <v>84</v>
      </c>
      <c r="P34" s="13"/>
      <c r="Q34" s="11">
        <f>SUM(Q4:Q33)</f>
        <v>281</v>
      </c>
      <c r="R34" s="1"/>
      <c r="S34" s="11">
        <f>SUM(S4:S33)</f>
        <v>0</v>
      </c>
      <c r="T34" s="1"/>
      <c r="U34" s="11">
        <f>SUM(U4:U33)</f>
        <v>320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5" sqref="A5:XFD5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2.8554687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0</v>
      </c>
      <c r="C6" s="150">
        <f t="shared" ref="C5:C33" si="16">C5</f>
        <v>19184</v>
      </c>
      <c r="D6" s="43">
        <f t="shared" si="3"/>
        <v>0</v>
      </c>
      <c r="E6" s="151">
        <f t="shared" ref="E5:E33" si="17">E5</f>
        <v>29051907</v>
      </c>
      <c r="F6" s="43">
        <f t="shared" si="4"/>
        <v>0</v>
      </c>
      <c r="G6" s="152">
        <f t="shared" ref="G5:G33" si="18">G5</f>
        <v>92273424</v>
      </c>
      <c r="H6" s="43">
        <f t="shared" si="5"/>
        <v>0</v>
      </c>
      <c r="I6" s="153">
        <f t="shared" si="6"/>
        <v>0</v>
      </c>
      <c r="J6" s="151">
        <f t="shared" ref="J6:J33" si="19">J5</f>
        <v>9116086</v>
      </c>
      <c r="K6" s="43">
        <f t="shared" si="14"/>
        <v>0</v>
      </c>
      <c r="L6" s="154">
        <f t="shared" ref="L5:L33" si="20">L5</f>
        <v>9072657</v>
      </c>
      <c r="M6" s="43">
        <f t="shared" si="7"/>
        <v>0</v>
      </c>
      <c r="N6" s="151">
        <f t="shared" ref="N5:N33" si="21">N5</f>
        <v>6147612</v>
      </c>
      <c r="O6" s="43">
        <f t="shared" si="15"/>
        <v>0</v>
      </c>
      <c r="P6" s="154">
        <f t="shared" ref="P5:P33" si="22">P5</f>
        <v>5632696</v>
      </c>
      <c r="Q6" s="43">
        <f t="shared" si="8"/>
        <v>0</v>
      </c>
      <c r="R6" s="151">
        <f t="shared" ref="R5:R33" si="23">R5</f>
        <v>19478167</v>
      </c>
      <c r="S6" s="43">
        <f t="shared" si="9"/>
        <v>0</v>
      </c>
      <c r="T6" s="151">
        <v>0</v>
      </c>
      <c r="U6" s="155"/>
      <c r="V6" s="151">
        <f t="shared" ref="V5:V33" si="24">V5</f>
        <v>7343500</v>
      </c>
      <c r="W6" s="43">
        <f t="shared" si="10"/>
        <v>0</v>
      </c>
      <c r="X6" s="21">
        <f t="shared" si="11"/>
        <v>0</v>
      </c>
      <c r="Y6" s="156">
        <f t="shared" si="12"/>
        <v>0</v>
      </c>
      <c r="Z6" s="3">
        <f t="shared" si="13"/>
        <v>0</v>
      </c>
      <c r="AA6" s="3">
        <f>SUM(Z4:Z6)</f>
        <v>13742.855838399999</v>
      </c>
    </row>
    <row r="7" spans="1:27" ht="16.5" thickBot="1" x14ac:dyDescent="0.3">
      <c r="A7" s="10">
        <v>44535</v>
      </c>
      <c r="B7" s="43">
        <v>0</v>
      </c>
      <c r="C7" s="150">
        <f t="shared" si="16"/>
        <v>19184</v>
      </c>
      <c r="D7" s="43">
        <f t="shared" si="3"/>
        <v>0</v>
      </c>
      <c r="E7" s="151">
        <f t="shared" si="17"/>
        <v>29051907</v>
      </c>
      <c r="F7" s="43">
        <f t="shared" si="4"/>
        <v>0</v>
      </c>
      <c r="G7" s="152">
        <f t="shared" si="18"/>
        <v>92273424</v>
      </c>
      <c r="H7" s="43">
        <f t="shared" si="5"/>
        <v>0</v>
      </c>
      <c r="I7" s="153">
        <f t="shared" si="6"/>
        <v>0</v>
      </c>
      <c r="J7" s="151">
        <f t="shared" si="19"/>
        <v>9116086</v>
      </c>
      <c r="K7" s="43">
        <f t="shared" si="14"/>
        <v>0</v>
      </c>
      <c r="L7" s="154">
        <f t="shared" si="20"/>
        <v>9072657</v>
      </c>
      <c r="M7" s="43">
        <f t="shared" si="7"/>
        <v>0</v>
      </c>
      <c r="N7" s="151">
        <f t="shared" si="21"/>
        <v>6147612</v>
      </c>
      <c r="O7" s="43">
        <f t="shared" si="15"/>
        <v>0</v>
      </c>
      <c r="P7" s="154">
        <f t="shared" si="22"/>
        <v>5632696</v>
      </c>
      <c r="Q7" s="43">
        <f t="shared" si="8"/>
        <v>0</v>
      </c>
      <c r="R7" s="151">
        <f t="shared" si="23"/>
        <v>19478167</v>
      </c>
      <c r="S7" s="43">
        <f t="shared" si="9"/>
        <v>0</v>
      </c>
      <c r="T7" s="151">
        <v>0</v>
      </c>
      <c r="U7" s="155"/>
      <c r="V7" s="151">
        <f t="shared" si="24"/>
        <v>7343500</v>
      </c>
      <c r="W7" s="43">
        <f t="shared" si="10"/>
        <v>0</v>
      </c>
      <c r="X7" s="21">
        <f t="shared" si="11"/>
        <v>0</v>
      </c>
      <c r="Y7" s="156">
        <f t="shared" si="12"/>
        <v>0</v>
      </c>
      <c r="Z7" s="3">
        <f t="shared" si="13"/>
        <v>0</v>
      </c>
      <c r="AA7" s="3">
        <f t="shared" ref="AA7:AA33" si="25">SUM(Z4:Z7)</f>
        <v>13742.855838399999</v>
      </c>
    </row>
    <row r="8" spans="1:27" ht="16.5" thickBot="1" x14ac:dyDescent="0.3">
      <c r="A8" s="10">
        <v>44536</v>
      </c>
      <c r="B8" s="43">
        <v>0</v>
      </c>
      <c r="C8" s="150">
        <f t="shared" si="16"/>
        <v>19184</v>
      </c>
      <c r="D8" s="43">
        <f t="shared" si="3"/>
        <v>0</v>
      </c>
      <c r="E8" s="151">
        <f t="shared" si="17"/>
        <v>29051907</v>
      </c>
      <c r="F8" s="43">
        <f t="shared" si="4"/>
        <v>0</v>
      </c>
      <c r="G8" s="152">
        <f t="shared" si="18"/>
        <v>92273424</v>
      </c>
      <c r="H8" s="43">
        <f t="shared" si="5"/>
        <v>0</v>
      </c>
      <c r="I8" s="153">
        <f t="shared" si="6"/>
        <v>0</v>
      </c>
      <c r="J8" s="151">
        <f t="shared" si="19"/>
        <v>9116086</v>
      </c>
      <c r="K8" s="43">
        <f t="shared" si="14"/>
        <v>0</v>
      </c>
      <c r="L8" s="154">
        <f t="shared" si="20"/>
        <v>9072657</v>
      </c>
      <c r="M8" s="43">
        <f t="shared" si="7"/>
        <v>0</v>
      </c>
      <c r="N8" s="151">
        <f t="shared" si="21"/>
        <v>6147612</v>
      </c>
      <c r="O8" s="43">
        <f t="shared" si="15"/>
        <v>0</v>
      </c>
      <c r="P8" s="154">
        <f t="shared" si="22"/>
        <v>5632696</v>
      </c>
      <c r="Q8" s="43">
        <f t="shared" si="8"/>
        <v>0</v>
      </c>
      <c r="R8" s="151">
        <f t="shared" si="23"/>
        <v>19478167</v>
      </c>
      <c r="S8" s="43">
        <f t="shared" si="9"/>
        <v>0</v>
      </c>
      <c r="T8" s="151">
        <v>0</v>
      </c>
      <c r="U8" s="155"/>
      <c r="V8" s="151">
        <f t="shared" si="24"/>
        <v>7343500</v>
      </c>
      <c r="W8" s="43">
        <f t="shared" si="10"/>
        <v>0</v>
      </c>
      <c r="X8" s="21">
        <f t="shared" si="11"/>
        <v>0</v>
      </c>
      <c r="Y8" s="156">
        <f t="shared" si="12"/>
        <v>0</v>
      </c>
      <c r="Z8" s="3">
        <f t="shared" si="13"/>
        <v>0</v>
      </c>
      <c r="AA8" s="3">
        <f t="shared" si="25"/>
        <v>6006.4284176000001</v>
      </c>
    </row>
    <row r="9" spans="1:27" ht="16.5" thickBot="1" x14ac:dyDescent="0.3">
      <c r="A9" s="10">
        <v>44537</v>
      </c>
      <c r="B9" s="43">
        <v>0</v>
      </c>
      <c r="C9" s="150">
        <f t="shared" si="16"/>
        <v>19184</v>
      </c>
      <c r="D9" s="43">
        <f t="shared" si="3"/>
        <v>0</v>
      </c>
      <c r="E9" s="151">
        <f t="shared" si="17"/>
        <v>29051907</v>
      </c>
      <c r="F9" s="43">
        <f t="shared" si="4"/>
        <v>0</v>
      </c>
      <c r="G9" s="152">
        <f t="shared" si="18"/>
        <v>92273424</v>
      </c>
      <c r="H9" s="43">
        <f t="shared" si="5"/>
        <v>0</v>
      </c>
      <c r="I9" s="153">
        <f t="shared" si="6"/>
        <v>0</v>
      </c>
      <c r="J9" s="151">
        <f t="shared" si="19"/>
        <v>9116086</v>
      </c>
      <c r="K9" s="43">
        <f t="shared" si="14"/>
        <v>0</v>
      </c>
      <c r="L9" s="154">
        <f t="shared" si="20"/>
        <v>9072657</v>
      </c>
      <c r="M9" s="43">
        <f t="shared" si="7"/>
        <v>0</v>
      </c>
      <c r="N9" s="151">
        <f t="shared" si="21"/>
        <v>6147612</v>
      </c>
      <c r="O9" s="43">
        <f t="shared" si="15"/>
        <v>0</v>
      </c>
      <c r="P9" s="154">
        <f t="shared" si="22"/>
        <v>5632696</v>
      </c>
      <c r="Q9" s="43">
        <f t="shared" si="8"/>
        <v>0</v>
      </c>
      <c r="R9" s="151">
        <f t="shared" si="23"/>
        <v>19478167</v>
      </c>
      <c r="S9" s="43">
        <f t="shared" si="9"/>
        <v>0</v>
      </c>
      <c r="T9" s="151">
        <v>0</v>
      </c>
      <c r="U9" s="155"/>
      <c r="V9" s="151">
        <f t="shared" si="24"/>
        <v>7343500</v>
      </c>
      <c r="W9" s="43">
        <f t="shared" si="10"/>
        <v>0</v>
      </c>
      <c r="X9" s="21">
        <f t="shared" si="11"/>
        <v>0</v>
      </c>
      <c r="Y9" s="156">
        <f t="shared" si="12"/>
        <v>0</v>
      </c>
      <c r="Z9" s="3">
        <f t="shared" si="13"/>
        <v>0</v>
      </c>
      <c r="AA9" s="3">
        <f t="shared" si="25"/>
        <v>0</v>
      </c>
    </row>
    <row r="10" spans="1:27" ht="16.5" thickBot="1" x14ac:dyDescent="0.3">
      <c r="A10" s="10">
        <v>44538</v>
      </c>
      <c r="B10" s="43">
        <v>0</v>
      </c>
      <c r="C10" s="150">
        <f t="shared" si="16"/>
        <v>19184</v>
      </c>
      <c r="D10" s="43">
        <f t="shared" si="3"/>
        <v>0</v>
      </c>
      <c r="E10" s="151">
        <f t="shared" si="17"/>
        <v>29051907</v>
      </c>
      <c r="F10" s="43">
        <f t="shared" si="4"/>
        <v>0</v>
      </c>
      <c r="G10" s="152">
        <f t="shared" si="18"/>
        <v>92273424</v>
      </c>
      <c r="H10" s="43">
        <f t="shared" si="5"/>
        <v>0</v>
      </c>
      <c r="I10" s="153">
        <f t="shared" si="6"/>
        <v>0</v>
      </c>
      <c r="J10" s="151">
        <f t="shared" si="19"/>
        <v>9116086</v>
      </c>
      <c r="K10" s="43">
        <f t="shared" si="14"/>
        <v>0</v>
      </c>
      <c r="L10" s="154">
        <f t="shared" si="20"/>
        <v>9072657</v>
      </c>
      <c r="M10" s="43">
        <f t="shared" si="7"/>
        <v>0</v>
      </c>
      <c r="N10" s="151">
        <f t="shared" si="21"/>
        <v>6147612</v>
      </c>
      <c r="O10" s="43">
        <f t="shared" si="15"/>
        <v>0</v>
      </c>
      <c r="P10" s="154">
        <f t="shared" si="22"/>
        <v>5632696</v>
      </c>
      <c r="Q10" s="43">
        <f t="shared" si="8"/>
        <v>0</v>
      </c>
      <c r="R10" s="151">
        <f t="shared" si="23"/>
        <v>19478167</v>
      </c>
      <c r="S10" s="43">
        <f t="shared" si="9"/>
        <v>0</v>
      </c>
      <c r="T10" s="151">
        <v>0</v>
      </c>
      <c r="U10" s="155"/>
      <c r="V10" s="151">
        <f t="shared" si="24"/>
        <v>7343500</v>
      </c>
      <c r="W10" s="43">
        <f t="shared" si="10"/>
        <v>0</v>
      </c>
      <c r="X10" s="21">
        <f t="shared" si="11"/>
        <v>0</v>
      </c>
      <c r="Y10" s="156">
        <f t="shared" si="12"/>
        <v>0</v>
      </c>
      <c r="Z10" s="3">
        <f t="shared" si="13"/>
        <v>0</v>
      </c>
      <c r="AA10" s="3">
        <f t="shared" si="25"/>
        <v>0</v>
      </c>
    </row>
    <row r="11" spans="1:27" ht="15.75" customHeight="1" thickBot="1" x14ac:dyDescent="0.3">
      <c r="A11" s="10">
        <v>44539</v>
      </c>
      <c r="B11" s="43">
        <v>0</v>
      </c>
      <c r="C11" s="150">
        <f t="shared" si="16"/>
        <v>19184</v>
      </c>
      <c r="D11" s="43">
        <f t="shared" si="3"/>
        <v>0</v>
      </c>
      <c r="E11" s="151">
        <f t="shared" si="17"/>
        <v>29051907</v>
      </c>
      <c r="F11" s="43">
        <f t="shared" si="4"/>
        <v>0</v>
      </c>
      <c r="G11" s="152">
        <f t="shared" si="18"/>
        <v>92273424</v>
      </c>
      <c r="H11" s="43">
        <f t="shared" si="5"/>
        <v>0</v>
      </c>
      <c r="I11" s="153">
        <f t="shared" si="6"/>
        <v>0</v>
      </c>
      <c r="J11" s="151">
        <f t="shared" si="19"/>
        <v>9116086</v>
      </c>
      <c r="K11" s="43">
        <f t="shared" si="14"/>
        <v>0</v>
      </c>
      <c r="L11" s="154">
        <f t="shared" si="20"/>
        <v>9072657</v>
      </c>
      <c r="M11" s="43">
        <f t="shared" si="7"/>
        <v>0</v>
      </c>
      <c r="N11" s="151">
        <f t="shared" si="21"/>
        <v>6147612</v>
      </c>
      <c r="O11" s="43">
        <f t="shared" si="15"/>
        <v>0</v>
      </c>
      <c r="P11" s="154">
        <f t="shared" si="22"/>
        <v>5632696</v>
      </c>
      <c r="Q11" s="43">
        <f t="shared" si="8"/>
        <v>0</v>
      </c>
      <c r="R11" s="151">
        <f t="shared" si="23"/>
        <v>19478167</v>
      </c>
      <c r="S11" s="43">
        <f t="shared" si="9"/>
        <v>0</v>
      </c>
      <c r="T11" s="151">
        <v>0</v>
      </c>
      <c r="U11" s="155"/>
      <c r="V11" s="151">
        <f t="shared" si="24"/>
        <v>7343500</v>
      </c>
      <c r="W11" s="43">
        <f t="shared" si="10"/>
        <v>0</v>
      </c>
      <c r="X11" s="21">
        <f t="shared" si="11"/>
        <v>0</v>
      </c>
      <c r="Y11" s="156">
        <f t="shared" si="12"/>
        <v>0</v>
      </c>
      <c r="Z11" s="3">
        <f t="shared" si="13"/>
        <v>0</v>
      </c>
      <c r="AA11" s="3">
        <f t="shared" si="25"/>
        <v>0</v>
      </c>
    </row>
    <row r="12" spans="1:27" ht="16.5" thickBot="1" x14ac:dyDescent="0.3">
      <c r="A12" s="10">
        <v>44540</v>
      </c>
      <c r="B12" s="43">
        <v>0</v>
      </c>
      <c r="C12" s="150">
        <f t="shared" si="16"/>
        <v>19184</v>
      </c>
      <c r="D12" s="43">
        <f t="shared" si="3"/>
        <v>0</v>
      </c>
      <c r="E12" s="151">
        <f t="shared" si="17"/>
        <v>29051907</v>
      </c>
      <c r="F12" s="43">
        <f t="shared" si="4"/>
        <v>0</v>
      </c>
      <c r="G12" s="152">
        <f t="shared" si="18"/>
        <v>92273424</v>
      </c>
      <c r="H12" s="43">
        <f t="shared" si="5"/>
        <v>0</v>
      </c>
      <c r="I12" s="153">
        <f t="shared" si="6"/>
        <v>0</v>
      </c>
      <c r="J12" s="151">
        <f t="shared" si="19"/>
        <v>9116086</v>
      </c>
      <c r="K12" s="43">
        <f t="shared" si="14"/>
        <v>0</v>
      </c>
      <c r="L12" s="154">
        <f t="shared" si="20"/>
        <v>9072657</v>
      </c>
      <c r="M12" s="43">
        <f t="shared" si="7"/>
        <v>0</v>
      </c>
      <c r="N12" s="151">
        <f t="shared" si="21"/>
        <v>6147612</v>
      </c>
      <c r="O12" s="43">
        <f t="shared" si="15"/>
        <v>0</v>
      </c>
      <c r="P12" s="154">
        <f t="shared" si="22"/>
        <v>5632696</v>
      </c>
      <c r="Q12" s="43">
        <f t="shared" si="8"/>
        <v>0</v>
      </c>
      <c r="R12" s="151">
        <f t="shared" si="23"/>
        <v>19478167</v>
      </c>
      <c r="S12" s="43">
        <f t="shared" si="9"/>
        <v>0</v>
      </c>
      <c r="T12" s="151">
        <v>0</v>
      </c>
      <c r="U12" s="155"/>
      <c r="V12" s="151">
        <f t="shared" si="24"/>
        <v>7343500</v>
      </c>
      <c r="W12" s="43">
        <f t="shared" si="10"/>
        <v>0</v>
      </c>
      <c r="X12" s="21">
        <f t="shared" si="11"/>
        <v>0</v>
      </c>
      <c r="Y12" s="156">
        <f t="shared" si="12"/>
        <v>0</v>
      </c>
      <c r="Z12" s="3">
        <f t="shared" si="13"/>
        <v>0</v>
      </c>
      <c r="AA12" s="3">
        <f t="shared" si="25"/>
        <v>0</v>
      </c>
    </row>
    <row r="13" spans="1:27" ht="16.5" thickBot="1" x14ac:dyDescent="0.3">
      <c r="A13" s="10">
        <v>44541</v>
      </c>
      <c r="B13" s="43">
        <v>0</v>
      </c>
      <c r="C13" s="150">
        <f t="shared" si="16"/>
        <v>19184</v>
      </c>
      <c r="D13" s="43">
        <f t="shared" si="3"/>
        <v>0</v>
      </c>
      <c r="E13" s="151">
        <f t="shared" si="17"/>
        <v>29051907</v>
      </c>
      <c r="F13" s="43">
        <f t="shared" ref="F13" si="26">IF((E13-E12)&lt;0,"0",(E13-E12))</f>
        <v>0</v>
      </c>
      <c r="G13" s="152">
        <f t="shared" si="18"/>
        <v>92273424</v>
      </c>
      <c r="H13" s="43">
        <f t="shared" ref="H13" si="27">IF((G13-G12)&lt;0,"0",(G13-G12))</f>
        <v>0</v>
      </c>
      <c r="I13" s="153">
        <f t="shared" ref="I13" si="28">F13+H13</f>
        <v>0</v>
      </c>
      <c r="J13" s="151">
        <f t="shared" si="19"/>
        <v>9116086</v>
      </c>
      <c r="K13" s="43">
        <f t="shared" si="14"/>
        <v>0</v>
      </c>
      <c r="L13" s="154">
        <f t="shared" si="20"/>
        <v>9072657</v>
      </c>
      <c r="M13" s="43">
        <f t="shared" ref="M13" si="29">IF((L13-L12)&lt;0,"0",(L13-L12))</f>
        <v>0</v>
      </c>
      <c r="N13" s="151">
        <f t="shared" si="21"/>
        <v>6147612</v>
      </c>
      <c r="O13" s="43">
        <f t="shared" ref="O13" si="30">(IF((N13-N12)&lt;0,"0",(N13-N12)))*2</f>
        <v>0</v>
      </c>
      <c r="P13" s="154">
        <f t="shared" si="22"/>
        <v>5632696</v>
      </c>
      <c r="Q13" s="43">
        <f t="shared" ref="Q13" si="31">IF((P13-P12)&lt;0,"0",(P13-P12))</f>
        <v>0</v>
      </c>
      <c r="R13" s="151">
        <f t="shared" si="23"/>
        <v>19478167</v>
      </c>
      <c r="S13" s="43">
        <f t="shared" ref="S13" si="32">IF((R13-R12)&lt;0,"0",(R13-R12))</f>
        <v>0</v>
      </c>
      <c r="T13" s="151">
        <v>0</v>
      </c>
      <c r="U13" s="155"/>
      <c r="V13" s="151">
        <f t="shared" si="24"/>
        <v>7343500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0</v>
      </c>
    </row>
    <row r="14" spans="1:27" ht="16.5" thickBot="1" x14ac:dyDescent="0.3">
      <c r="A14" s="10">
        <v>44542</v>
      </c>
      <c r="B14" s="43">
        <v>0</v>
      </c>
      <c r="C14" s="150">
        <f t="shared" si="16"/>
        <v>19184</v>
      </c>
      <c r="D14" s="43">
        <f t="shared" si="3"/>
        <v>0</v>
      </c>
      <c r="E14" s="151">
        <f t="shared" si="17"/>
        <v>29051907</v>
      </c>
      <c r="F14" s="43">
        <f t="shared" si="4"/>
        <v>0</v>
      </c>
      <c r="G14" s="152">
        <f t="shared" si="18"/>
        <v>92273424</v>
      </c>
      <c r="H14" s="43">
        <f t="shared" si="5"/>
        <v>0</v>
      </c>
      <c r="I14" s="153">
        <f t="shared" si="6"/>
        <v>0</v>
      </c>
      <c r="J14" s="151">
        <f t="shared" si="19"/>
        <v>9116086</v>
      </c>
      <c r="K14" s="43">
        <f t="shared" si="14"/>
        <v>0</v>
      </c>
      <c r="L14" s="154">
        <f t="shared" si="20"/>
        <v>9072657</v>
      </c>
      <c r="M14" s="43">
        <f t="shared" si="7"/>
        <v>0</v>
      </c>
      <c r="N14" s="151">
        <f t="shared" si="21"/>
        <v>6147612</v>
      </c>
      <c r="O14" s="43">
        <f t="shared" si="15"/>
        <v>0</v>
      </c>
      <c r="P14" s="154">
        <f t="shared" si="22"/>
        <v>5632696</v>
      </c>
      <c r="Q14" s="43">
        <f t="shared" si="8"/>
        <v>0</v>
      </c>
      <c r="R14" s="151">
        <f t="shared" si="23"/>
        <v>19478167</v>
      </c>
      <c r="S14" s="43">
        <f>IF((R14-R13)&lt;0,"0",(R14-R13))</f>
        <v>0</v>
      </c>
      <c r="T14" s="151">
        <v>0</v>
      </c>
      <c r="U14" s="155"/>
      <c r="V14" s="151">
        <f t="shared" si="24"/>
        <v>7343500</v>
      </c>
      <c r="W14" s="43">
        <f t="shared" si="10"/>
        <v>0</v>
      </c>
      <c r="X14" s="21">
        <f t="shared" si="11"/>
        <v>0</v>
      </c>
      <c r="Y14" s="156">
        <f t="shared" si="12"/>
        <v>0</v>
      </c>
      <c r="Z14" s="3">
        <f t="shared" si="13"/>
        <v>0</v>
      </c>
      <c r="AA14" s="3">
        <f t="shared" si="25"/>
        <v>0</v>
      </c>
    </row>
    <row r="15" spans="1:27" ht="16.5" thickBot="1" x14ac:dyDescent="0.3">
      <c r="A15" s="10">
        <v>44543</v>
      </c>
      <c r="B15" s="43">
        <v>0</v>
      </c>
      <c r="C15" s="150">
        <f t="shared" si="16"/>
        <v>19184</v>
      </c>
      <c r="D15" s="43">
        <f t="shared" si="3"/>
        <v>0</v>
      </c>
      <c r="E15" s="151">
        <f t="shared" si="17"/>
        <v>29051907</v>
      </c>
      <c r="F15" s="43">
        <f t="shared" si="4"/>
        <v>0</v>
      </c>
      <c r="G15" s="152">
        <f t="shared" si="18"/>
        <v>92273424</v>
      </c>
      <c r="H15" s="43">
        <f t="shared" si="5"/>
        <v>0</v>
      </c>
      <c r="I15" s="153">
        <f t="shared" si="6"/>
        <v>0</v>
      </c>
      <c r="J15" s="151">
        <f t="shared" si="19"/>
        <v>9116086</v>
      </c>
      <c r="K15" s="43">
        <f t="shared" si="14"/>
        <v>0</v>
      </c>
      <c r="L15" s="154">
        <f t="shared" si="20"/>
        <v>9072657</v>
      </c>
      <c r="M15" s="43">
        <f t="shared" si="7"/>
        <v>0</v>
      </c>
      <c r="N15" s="151">
        <f t="shared" si="21"/>
        <v>6147612</v>
      </c>
      <c r="O15" s="43">
        <f t="shared" si="15"/>
        <v>0</v>
      </c>
      <c r="P15" s="154">
        <f t="shared" si="22"/>
        <v>5632696</v>
      </c>
      <c r="Q15" s="43">
        <f t="shared" si="8"/>
        <v>0</v>
      </c>
      <c r="R15" s="151">
        <f t="shared" si="23"/>
        <v>19478167</v>
      </c>
      <c r="S15" s="43">
        <f>IF((R15-R14)&lt;0,"0",(R15-R14))</f>
        <v>0</v>
      </c>
      <c r="T15" s="151">
        <v>0</v>
      </c>
      <c r="U15" s="155"/>
      <c r="V15" s="151">
        <f t="shared" si="24"/>
        <v>7343500</v>
      </c>
      <c r="W15" s="43">
        <f t="shared" si="10"/>
        <v>0</v>
      </c>
      <c r="X15" s="21">
        <f t="shared" si="11"/>
        <v>0</v>
      </c>
      <c r="Y15" s="156">
        <f t="shared" si="12"/>
        <v>0</v>
      </c>
      <c r="Z15" s="3">
        <f t="shared" si="13"/>
        <v>0</v>
      </c>
      <c r="AA15" s="3">
        <f t="shared" si="25"/>
        <v>0</v>
      </c>
    </row>
    <row r="16" spans="1:27" ht="16.5" thickBot="1" x14ac:dyDescent="0.3">
      <c r="A16" s="10">
        <v>44544</v>
      </c>
      <c r="B16" s="43">
        <v>0</v>
      </c>
      <c r="C16" s="150">
        <f t="shared" si="16"/>
        <v>19184</v>
      </c>
      <c r="D16" s="43">
        <f t="shared" si="3"/>
        <v>0</v>
      </c>
      <c r="E16" s="151">
        <f t="shared" si="17"/>
        <v>29051907</v>
      </c>
      <c r="F16" s="43">
        <f t="shared" si="4"/>
        <v>0</v>
      </c>
      <c r="G16" s="152">
        <f t="shared" si="18"/>
        <v>92273424</v>
      </c>
      <c r="H16" s="43">
        <f t="shared" si="5"/>
        <v>0</v>
      </c>
      <c r="I16" s="153">
        <f t="shared" si="6"/>
        <v>0</v>
      </c>
      <c r="J16" s="151">
        <f t="shared" si="19"/>
        <v>9116086</v>
      </c>
      <c r="K16" s="43">
        <f t="shared" si="14"/>
        <v>0</v>
      </c>
      <c r="L16" s="154">
        <f t="shared" si="20"/>
        <v>9072657</v>
      </c>
      <c r="M16" s="43">
        <f t="shared" si="7"/>
        <v>0</v>
      </c>
      <c r="N16" s="151">
        <f t="shared" si="21"/>
        <v>6147612</v>
      </c>
      <c r="O16" s="43">
        <f t="shared" si="15"/>
        <v>0</v>
      </c>
      <c r="P16" s="154">
        <f t="shared" si="22"/>
        <v>5632696</v>
      </c>
      <c r="Q16" s="43">
        <f t="shared" si="8"/>
        <v>0</v>
      </c>
      <c r="R16" s="151">
        <f t="shared" si="23"/>
        <v>19478167</v>
      </c>
      <c r="S16" s="43">
        <f t="shared" si="9"/>
        <v>0</v>
      </c>
      <c r="T16" s="151">
        <v>0</v>
      </c>
      <c r="U16" s="155"/>
      <c r="V16" s="151">
        <f t="shared" si="24"/>
        <v>7343500</v>
      </c>
      <c r="W16" s="43">
        <f t="shared" si="10"/>
        <v>0</v>
      </c>
      <c r="X16" s="21">
        <f t="shared" si="11"/>
        <v>0</v>
      </c>
      <c r="Y16" s="156">
        <f t="shared" si="12"/>
        <v>0</v>
      </c>
      <c r="Z16" s="3">
        <f t="shared" si="13"/>
        <v>0</v>
      </c>
      <c r="AA16" s="3">
        <f t="shared" si="25"/>
        <v>0</v>
      </c>
    </row>
    <row r="17" spans="1:27" s="135" customFormat="1" ht="16.5" thickBot="1" x14ac:dyDescent="0.3">
      <c r="A17" s="10">
        <v>44545</v>
      </c>
      <c r="B17" s="43">
        <v>0</v>
      </c>
      <c r="C17" s="150">
        <f t="shared" si="16"/>
        <v>19184</v>
      </c>
      <c r="D17" s="43">
        <f t="shared" si="3"/>
        <v>0</v>
      </c>
      <c r="E17" s="151">
        <f t="shared" si="17"/>
        <v>29051907</v>
      </c>
      <c r="F17" s="43">
        <f t="shared" si="4"/>
        <v>0</v>
      </c>
      <c r="G17" s="152">
        <f t="shared" si="18"/>
        <v>92273424</v>
      </c>
      <c r="H17" s="43">
        <f t="shared" si="5"/>
        <v>0</v>
      </c>
      <c r="I17" s="157">
        <f t="shared" si="6"/>
        <v>0</v>
      </c>
      <c r="J17" s="151">
        <f t="shared" si="19"/>
        <v>9116086</v>
      </c>
      <c r="K17" s="134">
        <f t="shared" si="14"/>
        <v>0</v>
      </c>
      <c r="L17" s="154">
        <f t="shared" si="20"/>
        <v>9072657</v>
      </c>
      <c r="M17" s="134">
        <f t="shared" si="7"/>
        <v>0</v>
      </c>
      <c r="N17" s="151">
        <f t="shared" si="21"/>
        <v>6147612</v>
      </c>
      <c r="O17" s="134">
        <f t="shared" si="15"/>
        <v>0</v>
      </c>
      <c r="P17" s="154">
        <f t="shared" si="22"/>
        <v>5632696</v>
      </c>
      <c r="Q17" s="134">
        <f t="shared" si="8"/>
        <v>0</v>
      </c>
      <c r="R17" s="151">
        <f t="shared" si="23"/>
        <v>19478167</v>
      </c>
      <c r="S17" s="134">
        <f t="shared" si="9"/>
        <v>0</v>
      </c>
      <c r="T17" s="158">
        <v>0</v>
      </c>
      <c r="U17" s="155"/>
      <c r="V17" s="151">
        <f t="shared" si="24"/>
        <v>7343500</v>
      </c>
      <c r="W17" s="134">
        <f t="shared" si="10"/>
        <v>0</v>
      </c>
      <c r="X17" s="21">
        <f t="shared" si="11"/>
        <v>0</v>
      </c>
      <c r="Y17" s="159">
        <f t="shared" si="12"/>
        <v>0</v>
      </c>
      <c r="Z17" s="160">
        <f t="shared" si="13"/>
        <v>0</v>
      </c>
      <c r="AA17" s="160">
        <f t="shared" si="25"/>
        <v>0</v>
      </c>
    </row>
    <row r="18" spans="1:27" s="135" customFormat="1" ht="16.5" thickBot="1" x14ac:dyDescent="0.3">
      <c r="A18" s="10">
        <v>44546</v>
      </c>
      <c r="B18" s="43">
        <v>0</v>
      </c>
      <c r="C18" s="150">
        <f t="shared" si="16"/>
        <v>19184</v>
      </c>
      <c r="D18" s="43">
        <f t="shared" si="3"/>
        <v>0</v>
      </c>
      <c r="E18" s="151">
        <f t="shared" si="17"/>
        <v>29051907</v>
      </c>
      <c r="F18" s="43">
        <f t="shared" si="4"/>
        <v>0</v>
      </c>
      <c r="G18" s="152">
        <f t="shared" si="18"/>
        <v>92273424</v>
      </c>
      <c r="H18" s="43">
        <f t="shared" si="5"/>
        <v>0</v>
      </c>
      <c r="I18" s="157">
        <f t="shared" si="6"/>
        <v>0</v>
      </c>
      <c r="J18" s="151">
        <f t="shared" si="19"/>
        <v>9116086</v>
      </c>
      <c r="K18" s="134">
        <f t="shared" si="14"/>
        <v>0</v>
      </c>
      <c r="L18" s="154">
        <f t="shared" si="20"/>
        <v>9072657</v>
      </c>
      <c r="M18" s="134">
        <f t="shared" si="7"/>
        <v>0</v>
      </c>
      <c r="N18" s="151">
        <f t="shared" si="21"/>
        <v>6147612</v>
      </c>
      <c r="O18" s="134">
        <f t="shared" si="15"/>
        <v>0</v>
      </c>
      <c r="P18" s="154">
        <f t="shared" si="22"/>
        <v>5632696</v>
      </c>
      <c r="Q18" s="134">
        <f t="shared" si="8"/>
        <v>0</v>
      </c>
      <c r="R18" s="151">
        <f t="shared" si="23"/>
        <v>19478167</v>
      </c>
      <c r="S18" s="134">
        <f t="shared" si="9"/>
        <v>0</v>
      </c>
      <c r="T18" s="158">
        <v>0</v>
      </c>
      <c r="U18" s="155"/>
      <c r="V18" s="151">
        <f t="shared" si="24"/>
        <v>7343500</v>
      </c>
      <c r="W18" s="134">
        <f t="shared" si="10"/>
        <v>0</v>
      </c>
      <c r="X18" s="21">
        <f t="shared" si="11"/>
        <v>0</v>
      </c>
      <c r="Y18" s="159">
        <f t="shared" si="12"/>
        <v>0</v>
      </c>
      <c r="Z18" s="160">
        <f t="shared" si="13"/>
        <v>0</v>
      </c>
      <c r="AA18" s="160">
        <f t="shared" si="25"/>
        <v>0</v>
      </c>
    </row>
    <row r="19" spans="1:27" s="135" customFormat="1" ht="16.5" thickBot="1" x14ac:dyDescent="0.3">
      <c r="A19" s="10">
        <v>44547</v>
      </c>
      <c r="B19" s="43">
        <v>0</v>
      </c>
      <c r="C19" s="150">
        <f t="shared" si="16"/>
        <v>19184</v>
      </c>
      <c r="D19" s="43">
        <f t="shared" si="3"/>
        <v>0</v>
      </c>
      <c r="E19" s="151">
        <f t="shared" si="17"/>
        <v>29051907</v>
      </c>
      <c r="F19" s="43">
        <f t="shared" si="4"/>
        <v>0</v>
      </c>
      <c r="G19" s="152">
        <f t="shared" si="18"/>
        <v>92273424</v>
      </c>
      <c r="H19" s="43">
        <f t="shared" si="5"/>
        <v>0</v>
      </c>
      <c r="I19" s="157">
        <f t="shared" si="6"/>
        <v>0</v>
      </c>
      <c r="J19" s="151">
        <f t="shared" si="19"/>
        <v>9116086</v>
      </c>
      <c r="K19" s="134">
        <f t="shared" si="14"/>
        <v>0</v>
      </c>
      <c r="L19" s="154">
        <f t="shared" si="20"/>
        <v>9072657</v>
      </c>
      <c r="M19" s="134">
        <f t="shared" si="7"/>
        <v>0</v>
      </c>
      <c r="N19" s="151">
        <f t="shared" si="21"/>
        <v>6147612</v>
      </c>
      <c r="O19" s="134">
        <f t="shared" si="15"/>
        <v>0</v>
      </c>
      <c r="P19" s="154">
        <f t="shared" si="22"/>
        <v>5632696</v>
      </c>
      <c r="Q19" s="134">
        <f t="shared" si="8"/>
        <v>0</v>
      </c>
      <c r="R19" s="151">
        <f t="shared" si="23"/>
        <v>19478167</v>
      </c>
      <c r="S19" s="134">
        <f t="shared" si="9"/>
        <v>0</v>
      </c>
      <c r="T19" s="158">
        <v>0</v>
      </c>
      <c r="U19" s="155"/>
      <c r="V19" s="151">
        <f t="shared" si="24"/>
        <v>7343500</v>
      </c>
      <c r="W19" s="134">
        <f t="shared" si="10"/>
        <v>0</v>
      </c>
      <c r="X19" s="21">
        <f t="shared" si="11"/>
        <v>0</v>
      </c>
      <c r="Y19" s="159">
        <f t="shared" si="12"/>
        <v>0</v>
      </c>
      <c r="Z19" s="160">
        <f t="shared" si="13"/>
        <v>0</v>
      </c>
      <c r="AA19" s="160">
        <f t="shared" si="25"/>
        <v>0</v>
      </c>
    </row>
    <row r="20" spans="1:27" s="135" customFormat="1" ht="16.5" thickBot="1" x14ac:dyDescent="0.3">
      <c r="A20" s="10">
        <v>44548</v>
      </c>
      <c r="B20" s="43">
        <v>0</v>
      </c>
      <c r="C20" s="150">
        <f t="shared" si="16"/>
        <v>19184</v>
      </c>
      <c r="D20" s="43">
        <f t="shared" si="3"/>
        <v>0</v>
      </c>
      <c r="E20" s="151">
        <f t="shared" si="17"/>
        <v>29051907</v>
      </c>
      <c r="F20" s="43">
        <f t="shared" si="4"/>
        <v>0</v>
      </c>
      <c r="G20" s="152">
        <f t="shared" si="18"/>
        <v>92273424</v>
      </c>
      <c r="H20" s="43">
        <f t="shared" si="5"/>
        <v>0</v>
      </c>
      <c r="I20" s="157">
        <f t="shared" si="6"/>
        <v>0</v>
      </c>
      <c r="J20" s="151">
        <f t="shared" si="19"/>
        <v>9116086</v>
      </c>
      <c r="K20" s="134">
        <f t="shared" si="14"/>
        <v>0</v>
      </c>
      <c r="L20" s="154">
        <f t="shared" si="20"/>
        <v>9072657</v>
      </c>
      <c r="M20" s="134">
        <f t="shared" si="7"/>
        <v>0</v>
      </c>
      <c r="N20" s="151">
        <f t="shared" si="21"/>
        <v>6147612</v>
      </c>
      <c r="O20" s="134">
        <f t="shared" si="15"/>
        <v>0</v>
      </c>
      <c r="P20" s="154">
        <f t="shared" si="22"/>
        <v>5632696</v>
      </c>
      <c r="Q20" s="134">
        <f t="shared" si="8"/>
        <v>0</v>
      </c>
      <c r="R20" s="151">
        <f t="shared" si="23"/>
        <v>19478167</v>
      </c>
      <c r="S20" s="134">
        <f t="shared" si="9"/>
        <v>0</v>
      </c>
      <c r="T20" s="158">
        <v>0</v>
      </c>
      <c r="U20" s="155"/>
      <c r="V20" s="151">
        <f t="shared" si="24"/>
        <v>7343500</v>
      </c>
      <c r="W20" s="134">
        <f t="shared" si="10"/>
        <v>0</v>
      </c>
      <c r="X20" s="21">
        <f t="shared" si="11"/>
        <v>0</v>
      </c>
      <c r="Y20" s="159">
        <f t="shared" si="12"/>
        <v>0</v>
      </c>
      <c r="Z20" s="160">
        <f t="shared" si="13"/>
        <v>0</v>
      </c>
      <c r="AA20" s="160">
        <f t="shared" si="25"/>
        <v>0</v>
      </c>
    </row>
    <row r="21" spans="1:27" s="135" customFormat="1" ht="16.5" thickBot="1" x14ac:dyDescent="0.3">
      <c r="A21" s="10">
        <v>44549</v>
      </c>
      <c r="B21" s="43">
        <v>0</v>
      </c>
      <c r="C21" s="150">
        <f t="shared" si="16"/>
        <v>19184</v>
      </c>
      <c r="D21" s="43">
        <f t="shared" si="3"/>
        <v>0</v>
      </c>
      <c r="E21" s="151">
        <f t="shared" si="17"/>
        <v>29051907</v>
      </c>
      <c r="F21" s="43">
        <f t="shared" si="4"/>
        <v>0</v>
      </c>
      <c r="G21" s="152">
        <f t="shared" si="18"/>
        <v>92273424</v>
      </c>
      <c r="H21" s="43">
        <f t="shared" si="5"/>
        <v>0</v>
      </c>
      <c r="I21" s="157">
        <f t="shared" si="6"/>
        <v>0</v>
      </c>
      <c r="J21" s="151">
        <f t="shared" si="19"/>
        <v>9116086</v>
      </c>
      <c r="K21" s="134">
        <f t="shared" si="14"/>
        <v>0</v>
      </c>
      <c r="L21" s="154">
        <f t="shared" si="20"/>
        <v>9072657</v>
      </c>
      <c r="M21" s="134">
        <f t="shared" si="7"/>
        <v>0</v>
      </c>
      <c r="N21" s="151">
        <f t="shared" si="21"/>
        <v>6147612</v>
      </c>
      <c r="O21" s="134">
        <f t="shared" si="15"/>
        <v>0</v>
      </c>
      <c r="P21" s="154">
        <f t="shared" si="22"/>
        <v>5632696</v>
      </c>
      <c r="Q21" s="134">
        <f t="shared" si="8"/>
        <v>0</v>
      </c>
      <c r="R21" s="151">
        <f t="shared" si="23"/>
        <v>19478167</v>
      </c>
      <c r="S21" s="134">
        <f t="shared" si="9"/>
        <v>0</v>
      </c>
      <c r="T21" s="158">
        <v>0</v>
      </c>
      <c r="U21" s="155"/>
      <c r="V21" s="151">
        <f t="shared" si="24"/>
        <v>7343500</v>
      </c>
      <c r="W21" s="134">
        <f t="shared" si="10"/>
        <v>0</v>
      </c>
      <c r="X21" s="21">
        <f t="shared" si="11"/>
        <v>0</v>
      </c>
      <c r="Y21" s="159">
        <f t="shared" si="12"/>
        <v>0</v>
      </c>
      <c r="Z21" s="160">
        <f t="shared" si="13"/>
        <v>0</v>
      </c>
      <c r="AA21" s="160">
        <f t="shared" si="25"/>
        <v>0</v>
      </c>
    </row>
    <row r="22" spans="1:27" ht="16.5" thickBot="1" x14ac:dyDescent="0.3">
      <c r="A22" s="10">
        <v>44550</v>
      </c>
      <c r="B22" s="43">
        <v>0</v>
      </c>
      <c r="C22" s="150">
        <f t="shared" si="16"/>
        <v>19184</v>
      </c>
      <c r="D22" s="43">
        <f t="shared" si="3"/>
        <v>0</v>
      </c>
      <c r="E22" s="151">
        <f t="shared" si="17"/>
        <v>29051907</v>
      </c>
      <c r="F22" s="43">
        <f t="shared" si="4"/>
        <v>0</v>
      </c>
      <c r="G22" s="152">
        <f t="shared" si="18"/>
        <v>92273424</v>
      </c>
      <c r="H22" s="43">
        <f t="shared" si="5"/>
        <v>0</v>
      </c>
      <c r="I22" s="153">
        <f t="shared" si="6"/>
        <v>0</v>
      </c>
      <c r="J22" s="151">
        <f t="shared" si="19"/>
        <v>9116086</v>
      </c>
      <c r="K22" s="43">
        <f t="shared" si="14"/>
        <v>0</v>
      </c>
      <c r="L22" s="154">
        <f t="shared" si="20"/>
        <v>9072657</v>
      </c>
      <c r="M22" s="43">
        <f t="shared" si="7"/>
        <v>0</v>
      </c>
      <c r="N22" s="151">
        <f t="shared" si="21"/>
        <v>6147612</v>
      </c>
      <c r="O22" s="43">
        <f t="shared" si="15"/>
        <v>0</v>
      </c>
      <c r="P22" s="154">
        <f t="shared" si="22"/>
        <v>5632696</v>
      </c>
      <c r="Q22" s="43">
        <f t="shared" si="8"/>
        <v>0</v>
      </c>
      <c r="R22" s="151">
        <f t="shared" si="23"/>
        <v>19478167</v>
      </c>
      <c r="S22" s="43">
        <f t="shared" si="9"/>
        <v>0</v>
      </c>
      <c r="T22" s="151">
        <v>0</v>
      </c>
      <c r="U22" s="155"/>
      <c r="V22" s="151">
        <f t="shared" si="24"/>
        <v>7343500</v>
      </c>
      <c r="W22" s="43">
        <f t="shared" si="10"/>
        <v>0</v>
      </c>
      <c r="X22" s="21">
        <f t="shared" si="11"/>
        <v>0</v>
      </c>
      <c r="Y22" s="156">
        <f t="shared" si="12"/>
        <v>0</v>
      </c>
      <c r="Z22" s="3">
        <f t="shared" si="13"/>
        <v>0</v>
      </c>
      <c r="AA22" s="3">
        <f t="shared" si="25"/>
        <v>0</v>
      </c>
    </row>
    <row r="23" spans="1:27" ht="16.5" thickBot="1" x14ac:dyDescent="0.3">
      <c r="A23" s="10">
        <v>44551</v>
      </c>
      <c r="B23" s="43">
        <v>0</v>
      </c>
      <c r="C23" s="150">
        <f t="shared" si="16"/>
        <v>19184</v>
      </c>
      <c r="D23" s="43">
        <f t="shared" si="3"/>
        <v>0</v>
      </c>
      <c r="E23" s="151">
        <f t="shared" si="17"/>
        <v>29051907</v>
      </c>
      <c r="F23" s="43">
        <f t="shared" si="4"/>
        <v>0</v>
      </c>
      <c r="G23" s="152">
        <f t="shared" si="18"/>
        <v>92273424</v>
      </c>
      <c r="H23" s="43">
        <f t="shared" si="5"/>
        <v>0</v>
      </c>
      <c r="I23" s="153">
        <f t="shared" si="6"/>
        <v>0</v>
      </c>
      <c r="J23" s="151">
        <f t="shared" si="19"/>
        <v>9116086</v>
      </c>
      <c r="K23" s="43">
        <f t="shared" si="14"/>
        <v>0</v>
      </c>
      <c r="L23" s="154">
        <f t="shared" si="20"/>
        <v>9072657</v>
      </c>
      <c r="M23" s="43">
        <f t="shared" si="7"/>
        <v>0</v>
      </c>
      <c r="N23" s="151">
        <f t="shared" si="21"/>
        <v>6147612</v>
      </c>
      <c r="O23" s="43">
        <f t="shared" si="15"/>
        <v>0</v>
      </c>
      <c r="P23" s="154">
        <f t="shared" si="22"/>
        <v>5632696</v>
      </c>
      <c r="Q23" s="43">
        <f t="shared" si="8"/>
        <v>0</v>
      </c>
      <c r="R23" s="151">
        <f t="shared" si="23"/>
        <v>19478167</v>
      </c>
      <c r="S23" s="43">
        <f t="shared" si="9"/>
        <v>0</v>
      </c>
      <c r="T23" s="151">
        <v>0</v>
      </c>
      <c r="U23" s="155"/>
      <c r="V23" s="151">
        <f t="shared" si="24"/>
        <v>7343500</v>
      </c>
      <c r="W23" s="43">
        <f t="shared" si="10"/>
        <v>0</v>
      </c>
      <c r="X23" s="21">
        <f t="shared" si="11"/>
        <v>0</v>
      </c>
      <c r="Y23" s="156">
        <f t="shared" si="12"/>
        <v>0</v>
      </c>
      <c r="Z23" s="3">
        <f t="shared" si="13"/>
        <v>0</v>
      </c>
      <c r="AA23" s="3">
        <f t="shared" si="25"/>
        <v>0</v>
      </c>
    </row>
    <row r="24" spans="1:27" ht="16.5" thickBot="1" x14ac:dyDescent="0.3">
      <c r="A24" s="10">
        <v>44552</v>
      </c>
      <c r="B24" s="43">
        <v>0</v>
      </c>
      <c r="C24" s="150">
        <f t="shared" si="16"/>
        <v>19184</v>
      </c>
      <c r="D24" s="43">
        <f t="shared" si="3"/>
        <v>0</v>
      </c>
      <c r="E24" s="151">
        <f t="shared" si="17"/>
        <v>29051907</v>
      </c>
      <c r="F24" s="43">
        <f t="shared" si="4"/>
        <v>0</v>
      </c>
      <c r="G24" s="152">
        <f t="shared" si="18"/>
        <v>92273424</v>
      </c>
      <c r="H24" s="43">
        <f t="shared" si="5"/>
        <v>0</v>
      </c>
      <c r="I24" s="153">
        <f t="shared" si="6"/>
        <v>0</v>
      </c>
      <c r="J24" s="151">
        <f t="shared" si="19"/>
        <v>9116086</v>
      </c>
      <c r="K24" s="43">
        <f t="shared" si="14"/>
        <v>0</v>
      </c>
      <c r="L24" s="154">
        <f t="shared" si="20"/>
        <v>9072657</v>
      </c>
      <c r="M24" s="43">
        <f t="shared" si="7"/>
        <v>0</v>
      </c>
      <c r="N24" s="151">
        <f t="shared" si="21"/>
        <v>6147612</v>
      </c>
      <c r="O24" s="43">
        <f t="shared" si="15"/>
        <v>0</v>
      </c>
      <c r="P24" s="154">
        <f t="shared" si="22"/>
        <v>5632696</v>
      </c>
      <c r="Q24" s="43">
        <f t="shared" si="8"/>
        <v>0</v>
      </c>
      <c r="R24" s="151">
        <f t="shared" si="23"/>
        <v>19478167</v>
      </c>
      <c r="S24" s="43">
        <f t="shared" si="9"/>
        <v>0</v>
      </c>
      <c r="T24" s="151">
        <v>0</v>
      </c>
      <c r="U24" s="155"/>
      <c r="V24" s="151">
        <f t="shared" si="24"/>
        <v>7343500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25"/>
        <v>0</v>
      </c>
    </row>
    <row r="25" spans="1:27" ht="16.5" thickBot="1" x14ac:dyDescent="0.3">
      <c r="A25" s="10">
        <v>44553</v>
      </c>
      <c r="B25" s="43">
        <v>0</v>
      </c>
      <c r="C25" s="150">
        <f t="shared" si="16"/>
        <v>19184</v>
      </c>
      <c r="D25" s="43">
        <f t="shared" si="3"/>
        <v>0</v>
      </c>
      <c r="E25" s="151">
        <f t="shared" si="17"/>
        <v>29051907</v>
      </c>
      <c r="F25" s="43">
        <f t="shared" si="4"/>
        <v>0</v>
      </c>
      <c r="G25" s="152">
        <f t="shared" si="18"/>
        <v>92273424</v>
      </c>
      <c r="H25" s="43">
        <f t="shared" si="5"/>
        <v>0</v>
      </c>
      <c r="I25" s="153">
        <f t="shared" si="6"/>
        <v>0</v>
      </c>
      <c r="J25" s="151">
        <f t="shared" si="19"/>
        <v>9116086</v>
      </c>
      <c r="K25" s="43">
        <f t="shared" si="14"/>
        <v>0</v>
      </c>
      <c r="L25" s="154">
        <f t="shared" si="20"/>
        <v>9072657</v>
      </c>
      <c r="M25" s="43">
        <f t="shared" si="7"/>
        <v>0</v>
      </c>
      <c r="N25" s="151">
        <f t="shared" si="21"/>
        <v>6147612</v>
      </c>
      <c r="O25" s="43">
        <f t="shared" si="15"/>
        <v>0</v>
      </c>
      <c r="P25" s="154">
        <f t="shared" si="22"/>
        <v>5632696</v>
      </c>
      <c r="Q25" s="43">
        <f t="shared" si="8"/>
        <v>0</v>
      </c>
      <c r="R25" s="151">
        <f t="shared" si="23"/>
        <v>19478167</v>
      </c>
      <c r="S25" s="43">
        <f t="shared" si="9"/>
        <v>0</v>
      </c>
      <c r="T25" s="151">
        <v>0</v>
      </c>
      <c r="U25" s="155"/>
      <c r="V25" s="151">
        <f t="shared" si="24"/>
        <v>7343500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25"/>
        <v>0</v>
      </c>
    </row>
    <row r="26" spans="1:27" ht="16.5" thickBot="1" x14ac:dyDescent="0.3">
      <c r="A26" s="10">
        <v>44554</v>
      </c>
      <c r="B26" s="43">
        <v>0</v>
      </c>
      <c r="C26" s="150">
        <f t="shared" si="16"/>
        <v>19184</v>
      </c>
      <c r="D26" s="43">
        <f t="shared" si="3"/>
        <v>0</v>
      </c>
      <c r="E26" s="151">
        <f t="shared" si="17"/>
        <v>29051907</v>
      </c>
      <c r="F26" s="43">
        <f t="shared" si="4"/>
        <v>0</v>
      </c>
      <c r="G26" s="152">
        <f t="shared" si="18"/>
        <v>92273424</v>
      </c>
      <c r="H26" s="43">
        <f t="shared" si="5"/>
        <v>0</v>
      </c>
      <c r="I26" s="153">
        <f t="shared" si="6"/>
        <v>0</v>
      </c>
      <c r="J26" s="151">
        <f t="shared" si="19"/>
        <v>9116086</v>
      </c>
      <c r="K26" s="43">
        <f t="shared" si="14"/>
        <v>0</v>
      </c>
      <c r="L26" s="154">
        <f t="shared" si="20"/>
        <v>9072657</v>
      </c>
      <c r="M26" s="43">
        <f t="shared" si="7"/>
        <v>0</v>
      </c>
      <c r="N26" s="151">
        <f t="shared" si="21"/>
        <v>6147612</v>
      </c>
      <c r="O26" s="43">
        <f t="shared" si="15"/>
        <v>0</v>
      </c>
      <c r="P26" s="154">
        <f t="shared" si="22"/>
        <v>5632696</v>
      </c>
      <c r="Q26" s="43">
        <f t="shared" si="8"/>
        <v>0</v>
      </c>
      <c r="R26" s="151">
        <f t="shared" si="23"/>
        <v>19478167</v>
      </c>
      <c r="S26" s="43">
        <f t="shared" si="9"/>
        <v>0</v>
      </c>
      <c r="T26" s="151">
        <v>0</v>
      </c>
      <c r="U26" s="155"/>
      <c r="V26" s="151">
        <f t="shared" si="24"/>
        <v>7343500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25"/>
        <v>0</v>
      </c>
    </row>
    <row r="27" spans="1:27" ht="16.5" thickBot="1" x14ac:dyDescent="0.3">
      <c r="A27" s="10">
        <v>44555</v>
      </c>
      <c r="B27" s="43">
        <v>0</v>
      </c>
      <c r="C27" s="150">
        <f t="shared" si="16"/>
        <v>19184</v>
      </c>
      <c r="D27" s="43">
        <f t="shared" si="3"/>
        <v>0</v>
      </c>
      <c r="E27" s="151">
        <f t="shared" si="17"/>
        <v>29051907</v>
      </c>
      <c r="F27" s="43">
        <f t="shared" si="4"/>
        <v>0</v>
      </c>
      <c r="G27" s="152">
        <f t="shared" si="18"/>
        <v>92273424</v>
      </c>
      <c r="H27" s="43">
        <f t="shared" si="5"/>
        <v>0</v>
      </c>
      <c r="I27" s="153">
        <f t="shared" si="6"/>
        <v>0</v>
      </c>
      <c r="J27" s="151">
        <f t="shared" si="19"/>
        <v>9116086</v>
      </c>
      <c r="K27" s="43">
        <f t="shared" si="14"/>
        <v>0</v>
      </c>
      <c r="L27" s="154">
        <f t="shared" si="20"/>
        <v>9072657</v>
      </c>
      <c r="M27" s="43">
        <f t="shared" si="7"/>
        <v>0</v>
      </c>
      <c r="N27" s="151">
        <f t="shared" si="21"/>
        <v>6147612</v>
      </c>
      <c r="O27" s="43">
        <f t="shared" si="15"/>
        <v>0</v>
      </c>
      <c r="P27" s="154">
        <f t="shared" si="22"/>
        <v>5632696</v>
      </c>
      <c r="Q27" s="43">
        <f t="shared" si="8"/>
        <v>0</v>
      </c>
      <c r="R27" s="151">
        <f t="shared" si="23"/>
        <v>19478167</v>
      </c>
      <c r="S27" s="43">
        <f t="shared" si="9"/>
        <v>0</v>
      </c>
      <c r="T27" s="151">
        <v>0</v>
      </c>
      <c r="U27" s="155"/>
      <c r="V27" s="151">
        <f t="shared" si="24"/>
        <v>7343500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25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16"/>
        <v>19184</v>
      </c>
      <c r="D28" s="43">
        <f t="shared" si="3"/>
        <v>0</v>
      </c>
      <c r="E28" s="151">
        <f t="shared" si="17"/>
        <v>29051907</v>
      </c>
      <c r="F28" s="43">
        <f t="shared" si="4"/>
        <v>0</v>
      </c>
      <c r="G28" s="152">
        <f t="shared" si="18"/>
        <v>92273424</v>
      </c>
      <c r="H28" s="43">
        <f t="shared" si="5"/>
        <v>0</v>
      </c>
      <c r="I28" s="153">
        <f t="shared" si="6"/>
        <v>0</v>
      </c>
      <c r="J28" s="151">
        <f t="shared" si="19"/>
        <v>9116086</v>
      </c>
      <c r="K28" s="43">
        <f t="shared" si="14"/>
        <v>0</v>
      </c>
      <c r="L28" s="154">
        <f t="shared" si="20"/>
        <v>9072657</v>
      </c>
      <c r="M28" s="43">
        <f t="shared" si="7"/>
        <v>0</v>
      </c>
      <c r="N28" s="151">
        <f t="shared" si="21"/>
        <v>6147612</v>
      </c>
      <c r="O28" s="43">
        <f t="shared" si="15"/>
        <v>0</v>
      </c>
      <c r="P28" s="154">
        <f t="shared" si="22"/>
        <v>5632696</v>
      </c>
      <c r="Q28" s="43">
        <f t="shared" si="8"/>
        <v>0</v>
      </c>
      <c r="R28" s="151">
        <f t="shared" si="23"/>
        <v>19478167</v>
      </c>
      <c r="S28" s="43">
        <f t="shared" si="9"/>
        <v>0</v>
      </c>
      <c r="T28" s="151">
        <v>0</v>
      </c>
      <c r="U28" s="155"/>
      <c r="V28" s="151">
        <f t="shared" si="24"/>
        <v>7343500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25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16"/>
        <v>19184</v>
      </c>
      <c r="D29" s="43">
        <f t="shared" si="3"/>
        <v>0</v>
      </c>
      <c r="E29" s="151">
        <f t="shared" si="17"/>
        <v>29051907</v>
      </c>
      <c r="F29" s="43">
        <f t="shared" si="4"/>
        <v>0</v>
      </c>
      <c r="G29" s="152">
        <f t="shared" si="18"/>
        <v>92273424</v>
      </c>
      <c r="H29" s="43">
        <f t="shared" si="5"/>
        <v>0</v>
      </c>
      <c r="I29" s="153">
        <f t="shared" si="6"/>
        <v>0</v>
      </c>
      <c r="J29" s="151">
        <f t="shared" si="19"/>
        <v>9116086</v>
      </c>
      <c r="K29" s="43">
        <f t="shared" si="14"/>
        <v>0</v>
      </c>
      <c r="L29" s="154">
        <f t="shared" si="20"/>
        <v>9072657</v>
      </c>
      <c r="M29" s="43">
        <f t="shared" si="7"/>
        <v>0</v>
      </c>
      <c r="N29" s="151">
        <f t="shared" si="21"/>
        <v>6147612</v>
      </c>
      <c r="O29" s="43">
        <f t="shared" si="15"/>
        <v>0</v>
      </c>
      <c r="P29" s="154">
        <f t="shared" si="22"/>
        <v>5632696</v>
      </c>
      <c r="Q29" s="43">
        <f t="shared" si="8"/>
        <v>0</v>
      </c>
      <c r="R29" s="151">
        <f t="shared" si="23"/>
        <v>19478167</v>
      </c>
      <c r="S29" s="43">
        <f t="shared" si="9"/>
        <v>0</v>
      </c>
      <c r="T29" s="151">
        <v>0</v>
      </c>
      <c r="U29" s="155"/>
      <c r="V29" s="151">
        <f t="shared" si="24"/>
        <v>7343500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25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16"/>
        <v>19184</v>
      </c>
      <c r="D30" s="43">
        <f t="shared" si="3"/>
        <v>0</v>
      </c>
      <c r="E30" s="151">
        <f t="shared" si="17"/>
        <v>29051907</v>
      </c>
      <c r="F30" s="43">
        <f t="shared" si="4"/>
        <v>0</v>
      </c>
      <c r="G30" s="152">
        <f t="shared" si="18"/>
        <v>92273424</v>
      </c>
      <c r="H30" s="43">
        <f t="shared" si="5"/>
        <v>0</v>
      </c>
      <c r="I30" s="153">
        <f t="shared" si="6"/>
        <v>0</v>
      </c>
      <c r="J30" s="151">
        <f t="shared" si="19"/>
        <v>9116086</v>
      </c>
      <c r="K30" s="43">
        <f t="shared" si="14"/>
        <v>0</v>
      </c>
      <c r="L30" s="154">
        <f t="shared" si="20"/>
        <v>9072657</v>
      </c>
      <c r="M30" s="43">
        <f t="shared" si="7"/>
        <v>0</v>
      </c>
      <c r="N30" s="151">
        <f t="shared" si="21"/>
        <v>6147612</v>
      </c>
      <c r="O30" s="43">
        <f t="shared" si="15"/>
        <v>0</v>
      </c>
      <c r="P30" s="154">
        <f t="shared" si="22"/>
        <v>5632696</v>
      </c>
      <c r="Q30" s="43">
        <f t="shared" si="8"/>
        <v>0</v>
      </c>
      <c r="R30" s="151">
        <f t="shared" si="23"/>
        <v>19478167</v>
      </c>
      <c r="S30" s="43">
        <f t="shared" si="9"/>
        <v>0</v>
      </c>
      <c r="T30" s="151">
        <v>0</v>
      </c>
      <c r="U30" s="155"/>
      <c r="V30" s="151">
        <f t="shared" si="24"/>
        <v>7343500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25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16"/>
        <v>19184</v>
      </c>
      <c r="D31" s="43">
        <f t="shared" si="3"/>
        <v>0</v>
      </c>
      <c r="E31" s="151">
        <f t="shared" si="17"/>
        <v>29051907</v>
      </c>
      <c r="F31" s="43">
        <f t="shared" si="4"/>
        <v>0</v>
      </c>
      <c r="G31" s="152">
        <f t="shared" si="18"/>
        <v>92273424</v>
      </c>
      <c r="H31" s="43">
        <f t="shared" si="5"/>
        <v>0</v>
      </c>
      <c r="I31" s="153">
        <f t="shared" si="6"/>
        <v>0</v>
      </c>
      <c r="J31" s="151">
        <f t="shared" si="19"/>
        <v>9116086</v>
      </c>
      <c r="K31" s="43">
        <f t="shared" si="14"/>
        <v>0</v>
      </c>
      <c r="L31" s="154">
        <f t="shared" si="20"/>
        <v>9072657</v>
      </c>
      <c r="M31" s="43">
        <f t="shared" si="7"/>
        <v>0</v>
      </c>
      <c r="N31" s="151">
        <f t="shared" si="21"/>
        <v>6147612</v>
      </c>
      <c r="O31" s="43">
        <f t="shared" si="15"/>
        <v>0</v>
      </c>
      <c r="P31" s="154">
        <f t="shared" si="22"/>
        <v>5632696</v>
      </c>
      <c r="Q31" s="43">
        <f t="shared" si="8"/>
        <v>0</v>
      </c>
      <c r="R31" s="151">
        <f t="shared" si="23"/>
        <v>19478167</v>
      </c>
      <c r="S31" s="43">
        <f t="shared" si="9"/>
        <v>0</v>
      </c>
      <c r="T31" s="151">
        <v>0</v>
      </c>
      <c r="U31" s="11"/>
      <c r="V31" s="151">
        <f t="shared" si="24"/>
        <v>7343500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25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16"/>
        <v>19184</v>
      </c>
      <c r="D32" s="43">
        <f t="shared" si="3"/>
        <v>0</v>
      </c>
      <c r="E32" s="151">
        <f t="shared" si="17"/>
        <v>29051907</v>
      </c>
      <c r="F32" s="43">
        <f t="shared" si="4"/>
        <v>0</v>
      </c>
      <c r="G32" s="152">
        <f t="shared" si="18"/>
        <v>92273424</v>
      </c>
      <c r="H32" s="43">
        <f t="shared" si="5"/>
        <v>0</v>
      </c>
      <c r="I32" s="21">
        <f>F32+H32</f>
        <v>0</v>
      </c>
      <c r="J32" s="151">
        <f t="shared" si="19"/>
        <v>9116086</v>
      </c>
      <c r="K32" s="43">
        <f t="shared" si="14"/>
        <v>0</v>
      </c>
      <c r="L32" s="154">
        <f t="shared" si="20"/>
        <v>9072657</v>
      </c>
      <c r="M32" s="43">
        <f t="shared" si="7"/>
        <v>0</v>
      </c>
      <c r="N32" s="151">
        <f t="shared" si="21"/>
        <v>6147612</v>
      </c>
      <c r="O32" s="43">
        <f t="shared" si="15"/>
        <v>0</v>
      </c>
      <c r="P32" s="154">
        <f t="shared" si="22"/>
        <v>5632696</v>
      </c>
      <c r="Q32" s="43">
        <f t="shared" si="8"/>
        <v>0</v>
      </c>
      <c r="R32" s="151">
        <f t="shared" si="23"/>
        <v>19478167</v>
      </c>
      <c r="S32" s="43">
        <f t="shared" si="9"/>
        <v>0</v>
      </c>
      <c r="T32" s="151">
        <v>0</v>
      </c>
      <c r="U32" s="11"/>
      <c r="V32" s="151">
        <f t="shared" si="24"/>
        <v>7343500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25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16"/>
        <v>19184</v>
      </c>
      <c r="D33" s="43">
        <f t="shared" si="3"/>
        <v>0</v>
      </c>
      <c r="E33" s="151">
        <f t="shared" si="17"/>
        <v>29051907</v>
      </c>
      <c r="F33" s="43">
        <f t="shared" si="4"/>
        <v>0</v>
      </c>
      <c r="G33" s="152">
        <f t="shared" si="18"/>
        <v>92273424</v>
      </c>
      <c r="H33" s="43">
        <f t="shared" si="5"/>
        <v>0</v>
      </c>
      <c r="I33" s="21">
        <f>F33+H33</f>
        <v>0</v>
      </c>
      <c r="J33" s="151">
        <f t="shared" si="19"/>
        <v>9116086</v>
      </c>
      <c r="K33" s="43">
        <f t="shared" si="14"/>
        <v>0</v>
      </c>
      <c r="L33" s="154">
        <f t="shared" si="20"/>
        <v>9072657</v>
      </c>
      <c r="M33" s="43">
        <f t="shared" si="7"/>
        <v>0</v>
      </c>
      <c r="N33" s="151">
        <f t="shared" si="21"/>
        <v>6147612</v>
      </c>
      <c r="O33" s="43">
        <f t="shared" si="15"/>
        <v>0</v>
      </c>
      <c r="P33" s="154">
        <f t="shared" si="22"/>
        <v>5632696</v>
      </c>
      <c r="Q33" s="43">
        <f t="shared" si="8"/>
        <v>0</v>
      </c>
      <c r="R33" s="151">
        <f t="shared" si="23"/>
        <v>19478167</v>
      </c>
      <c r="S33" s="43">
        <f t="shared" si="9"/>
        <v>0</v>
      </c>
      <c r="T33" s="151">
        <v>0</v>
      </c>
      <c r="U33" s="11"/>
      <c r="V33" s="151">
        <f t="shared" si="24"/>
        <v>7343500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25"/>
        <v>0</v>
      </c>
    </row>
    <row r="34" spans="1:27" ht="16.5" thickBot="1" x14ac:dyDescent="0.3">
      <c r="A34" s="6" t="s">
        <v>23</v>
      </c>
      <c r="B34" s="142">
        <f>SUM(B3:B33)</f>
        <v>899</v>
      </c>
      <c r="C34" s="142"/>
      <c r="D34" s="142">
        <f>SUM(D3:D33)</f>
        <v>1600</v>
      </c>
      <c r="E34" s="60">
        <v>0</v>
      </c>
      <c r="F34" s="60">
        <f>SUM(F3:F33)</f>
        <v>48309</v>
      </c>
      <c r="G34" s="60">
        <v>0</v>
      </c>
      <c r="H34" s="60">
        <f>SUM(H3:H33)</f>
        <v>133514</v>
      </c>
      <c r="I34" s="60">
        <f>SUM(I6:I33)</f>
        <v>0</v>
      </c>
      <c r="J34" s="60">
        <v>0</v>
      </c>
      <c r="K34" s="60">
        <f>SUM(K3:K33)</f>
        <v>31826</v>
      </c>
      <c r="L34" s="60">
        <v>0</v>
      </c>
      <c r="M34" s="60">
        <f>SUM(M3:M33)</f>
        <v>20430</v>
      </c>
      <c r="N34" s="60">
        <v>0</v>
      </c>
      <c r="O34" s="60">
        <f>SUM(O3:O33)</f>
        <v>27332</v>
      </c>
      <c r="P34" s="60">
        <v>0</v>
      </c>
      <c r="Q34" s="60">
        <f>SUM(Q3:Q33)</f>
        <v>14140</v>
      </c>
      <c r="R34" s="60">
        <v>0</v>
      </c>
      <c r="S34" s="60">
        <f>SUM(S3:S33)</f>
        <v>31741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34272</v>
      </c>
      <c r="X34" s="60">
        <f>SUM(X6:X33)</f>
        <v>0</v>
      </c>
      <c r="Y34" s="60">
        <f>SUM(Y3:Y33)</f>
        <v>22082</v>
      </c>
      <c r="Z34" s="60">
        <f>SUM(Z3:Z33)</f>
        <v>22026.176993600002</v>
      </c>
      <c r="AA34" s="60">
        <f>SUM(AA3:AA33)</f>
        <v>79821.386819200008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D3-D2</f>
        <v>49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2063.0970000000002</v>
      </c>
      <c r="K3" s="22">
        <f>J3*5.86</f>
        <v>12089.748420000002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D4-D3</f>
        <v>51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2007.0700000000002</v>
      </c>
      <c r="K4" s="22">
        <f t="shared" ref="K4:K33" si="5">J4*5.86</f>
        <v>11761.430200000001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240</v>
      </c>
      <c r="E5" s="43">
        <f t="shared" si="3"/>
        <v>81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1976.3310000000001</v>
      </c>
      <c r="K5" s="22">
        <f t="shared" si="5"/>
        <v>11581.299660000001</v>
      </c>
    </row>
    <row r="6" spans="1:14" ht="16.5" thickBot="1" x14ac:dyDescent="0.3">
      <c r="A6" s="10">
        <v>44534</v>
      </c>
      <c r="B6" s="3">
        <f t="shared" ref="B5:B33" si="8">B5</f>
        <v>433488</v>
      </c>
      <c r="C6" s="43">
        <f t="shared" si="2"/>
        <v>0</v>
      </c>
      <c r="D6" s="3">
        <f t="shared" ref="D5:D33" si="9">D5</f>
        <v>240</v>
      </c>
      <c r="E6" s="43">
        <f t="shared" si="3"/>
        <v>0</v>
      </c>
      <c r="F6" s="3">
        <f t="shared" ref="F5:F33" si="10">F5</f>
        <v>7008000</v>
      </c>
      <c r="G6" s="43">
        <f t="shared" si="6"/>
        <v>0</v>
      </c>
      <c r="H6" s="3">
        <f t="shared" ref="H5:H33" si="11">H5</f>
        <v>761090</v>
      </c>
      <c r="I6" s="48">
        <f t="shared" si="7"/>
        <v>0</v>
      </c>
      <c r="J6" s="21">
        <f t="shared" si="4"/>
        <v>0</v>
      </c>
      <c r="K6" s="22">
        <f t="shared" si="5"/>
        <v>0</v>
      </c>
    </row>
    <row r="7" spans="1:14" ht="16.5" thickBot="1" x14ac:dyDescent="0.3">
      <c r="A7" s="10">
        <v>44535</v>
      </c>
      <c r="B7" s="3">
        <f t="shared" si="8"/>
        <v>433488</v>
      </c>
      <c r="C7" s="43">
        <f t="shared" si="2"/>
        <v>0</v>
      </c>
      <c r="D7" s="3">
        <f t="shared" si="9"/>
        <v>240</v>
      </c>
      <c r="E7" s="43">
        <f t="shared" si="3"/>
        <v>0</v>
      </c>
      <c r="F7" s="3">
        <f t="shared" si="10"/>
        <v>7008000</v>
      </c>
      <c r="G7" s="43">
        <f t="shared" si="6"/>
        <v>0</v>
      </c>
      <c r="H7" s="3">
        <f t="shared" si="11"/>
        <v>761090</v>
      </c>
      <c r="I7" s="48">
        <f t="shared" si="7"/>
        <v>0</v>
      </c>
      <c r="J7" s="21">
        <f t="shared" si="4"/>
        <v>0</v>
      </c>
      <c r="K7" s="22">
        <f t="shared" si="5"/>
        <v>0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f t="shared" si="8"/>
        <v>433488</v>
      </c>
      <c r="C8" s="43">
        <f t="shared" si="2"/>
        <v>0</v>
      </c>
      <c r="D8" s="3">
        <f t="shared" si="9"/>
        <v>240</v>
      </c>
      <c r="E8" s="43">
        <f t="shared" si="3"/>
        <v>0</v>
      </c>
      <c r="F8" s="3">
        <f t="shared" si="10"/>
        <v>7008000</v>
      </c>
      <c r="G8" s="43">
        <f t="shared" si="6"/>
        <v>0</v>
      </c>
      <c r="H8" s="3">
        <f t="shared" si="11"/>
        <v>761090</v>
      </c>
      <c r="I8" s="48">
        <f t="shared" si="7"/>
        <v>0</v>
      </c>
      <c r="J8" s="21">
        <f t="shared" si="4"/>
        <v>0</v>
      </c>
      <c r="K8" s="22">
        <f t="shared" si="5"/>
        <v>0</v>
      </c>
    </row>
    <row r="9" spans="1:14" ht="16.5" thickBot="1" x14ac:dyDescent="0.3">
      <c r="A9" s="10">
        <v>44537</v>
      </c>
      <c r="B9" s="3">
        <f t="shared" si="8"/>
        <v>433488</v>
      </c>
      <c r="C9" s="43">
        <f t="shared" ref="C9:C33" si="12">(IF((B9-B8)&lt;0,"0",(B9-B8)))*10</f>
        <v>0</v>
      </c>
      <c r="D9" s="3">
        <f t="shared" si="9"/>
        <v>240</v>
      </c>
      <c r="E9" s="43">
        <f t="shared" si="3"/>
        <v>0</v>
      </c>
      <c r="F9" s="3">
        <f t="shared" si="10"/>
        <v>7008000</v>
      </c>
      <c r="G9" s="43">
        <f t="shared" si="6"/>
        <v>0</v>
      </c>
      <c r="H9" s="3">
        <f t="shared" si="11"/>
        <v>761090</v>
      </c>
      <c r="I9" s="48">
        <f t="shared" si="7"/>
        <v>0</v>
      </c>
      <c r="J9" s="21">
        <f t="shared" si="4"/>
        <v>0</v>
      </c>
      <c r="K9" s="22">
        <f t="shared" si="5"/>
        <v>0</v>
      </c>
    </row>
    <row r="10" spans="1:14" ht="16.5" thickBot="1" x14ac:dyDescent="0.3">
      <c r="A10" s="10">
        <v>44538</v>
      </c>
      <c r="B10" s="3">
        <f t="shared" si="8"/>
        <v>433488</v>
      </c>
      <c r="C10" s="43">
        <f>(IF((B10-B9)&lt;0,"0",(B10-B9)))*10</f>
        <v>0</v>
      </c>
      <c r="D10" s="3">
        <f t="shared" si="9"/>
        <v>240</v>
      </c>
      <c r="E10" s="43">
        <f t="shared" si="3"/>
        <v>0</v>
      </c>
      <c r="F10" s="3">
        <f t="shared" si="10"/>
        <v>7008000</v>
      </c>
      <c r="G10" s="43">
        <f t="shared" si="6"/>
        <v>0</v>
      </c>
      <c r="H10" s="3">
        <f t="shared" si="11"/>
        <v>761090</v>
      </c>
      <c r="I10" s="48">
        <f t="shared" si="7"/>
        <v>0</v>
      </c>
      <c r="J10" s="21">
        <f t="shared" si="4"/>
        <v>0</v>
      </c>
      <c r="K10" s="22">
        <f t="shared" si="5"/>
        <v>0</v>
      </c>
    </row>
    <row r="11" spans="1:14" ht="16.5" thickBot="1" x14ac:dyDescent="0.3">
      <c r="A11" s="10">
        <v>44539</v>
      </c>
      <c r="B11" s="3">
        <f t="shared" si="8"/>
        <v>433488</v>
      </c>
      <c r="C11" s="43">
        <f t="shared" si="12"/>
        <v>0</v>
      </c>
      <c r="D11" s="3">
        <f t="shared" si="9"/>
        <v>240</v>
      </c>
      <c r="E11" s="43">
        <f t="shared" si="3"/>
        <v>0</v>
      </c>
      <c r="F11" s="3">
        <f t="shared" si="10"/>
        <v>7008000</v>
      </c>
      <c r="G11" s="43">
        <f t="shared" si="6"/>
        <v>0</v>
      </c>
      <c r="H11" s="3">
        <f t="shared" si="11"/>
        <v>761090</v>
      </c>
      <c r="I11" s="48">
        <f t="shared" si="7"/>
        <v>0</v>
      </c>
      <c r="J11" s="21">
        <f t="shared" si="4"/>
        <v>0</v>
      </c>
      <c r="K11" s="22">
        <f t="shared" si="5"/>
        <v>0</v>
      </c>
      <c r="N11" t="s">
        <v>12</v>
      </c>
    </row>
    <row r="12" spans="1:14" ht="16.5" thickBot="1" x14ac:dyDescent="0.3">
      <c r="A12" s="10">
        <v>44540</v>
      </c>
      <c r="B12" s="3">
        <f t="shared" si="8"/>
        <v>433488</v>
      </c>
      <c r="C12" s="43">
        <f t="shared" si="12"/>
        <v>0</v>
      </c>
      <c r="D12" s="3">
        <f t="shared" si="9"/>
        <v>240</v>
      </c>
      <c r="E12" s="43">
        <f t="shared" si="3"/>
        <v>0</v>
      </c>
      <c r="F12" s="3">
        <f t="shared" si="10"/>
        <v>7008000</v>
      </c>
      <c r="G12" s="43">
        <f t="shared" si="6"/>
        <v>0</v>
      </c>
      <c r="H12" s="3">
        <f t="shared" si="11"/>
        <v>761090</v>
      </c>
      <c r="I12" s="48">
        <f t="shared" si="7"/>
        <v>0</v>
      </c>
      <c r="J12" s="21">
        <f t="shared" si="4"/>
        <v>0</v>
      </c>
      <c r="K12" s="22">
        <f t="shared" si="5"/>
        <v>0</v>
      </c>
    </row>
    <row r="13" spans="1:14" ht="16.5" thickBot="1" x14ac:dyDescent="0.3">
      <c r="A13" s="10">
        <v>44541</v>
      </c>
      <c r="B13" s="3">
        <f t="shared" si="8"/>
        <v>433488</v>
      </c>
      <c r="C13" s="43">
        <f t="shared" si="12"/>
        <v>0</v>
      </c>
      <c r="D13" s="3">
        <f t="shared" si="9"/>
        <v>240</v>
      </c>
      <c r="E13" s="43">
        <f t="shared" si="3"/>
        <v>0</v>
      </c>
      <c r="F13" s="3">
        <f t="shared" si="10"/>
        <v>7008000</v>
      </c>
      <c r="G13" s="43">
        <f t="shared" si="6"/>
        <v>0</v>
      </c>
      <c r="H13" s="3">
        <f t="shared" si="11"/>
        <v>761090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44542</v>
      </c>
      <c r="B14" s="3">
        <f t="shared" si="8"/>
        <v>433488</v>
      </c>
      <c r="C14" s="43">
        <f t="shared" si="12"/>
        <v>0</v>
      </c>
      <c r="D14" s="3">
        <f t="shared" si="9"/>
        <v>240</v>
      </c>
      <c r="E14" s="43">
        <f t="shared" si="3"/>
        <v>0</v>
      </c>
      <c r="F14" s="3">
        <f t="shared" si="10"/>
        <v>7008000</v>
      </c>
      <c r="G14" s="43">
        <f t="shared" si="6"/>
        <v>0</v>
      </c>
      <c r="H14" s="3">
        <f t="shared" si="11"/>
        <v>761090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44543</v>
      </c>
      <c r="B15" s="3">
        <f t="shared" si="8"/>
        <v>433488</v>
      </c>
      <c r="C15" s="43">
        <f t="shared" si="12"/>
        <v>0</v>
      </c>
      <c r="D15" s="3">
        <f t="shared" si="9"/>
        <v>240</v>
      </c>
      <c r="E15" s="43">
        <f t="shared" si="3"/>
        <v>0</v>
      </c>
      <c r="F15" s="3">
        <f t="shared" si="10"/>
        <v>7008000</v>
      </c>
      <c r="G15" s="43">
        <f t="shared" si="6"/>
        <v>0</v>
      </c>
      <c r="H15" s="3">
        <f t="shared" si="11"/>
        <v>761090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44544</v>
      </c>
      <c r="B16" s="3">
        <f t="shared" si="8"/>
        <v>433488</v>
      </c>
      <c r="C16" s="43">
        <f t="shared" si="12"/>
        <v>0</v>
      </c>
      <c r="D16" s="3">
        <f t="shared" si="9"/>
        <v>240</v>
      </c>
      <c r="E16" s="43">
        <f t="shared" si="3"/>
        <v>0</v>
      </c>
      <c r="F16" s="3">
        <f t="shared" si="10"/>
        <v>7008000</v>
      </c>
      <c r="G16" s="43">
        <f t="shared" si="6"/>
        <v>0</v>
      </c>
      <c r="H16" s="3">
        <f t="shared" si="11"/>
        <v>761090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44545</v>
      </c>
      <c r="B17" s="3">
        <f t="shared" si="8"/>
        <v>433488</v>
      </c>
      <c r="C17" s="43">
        <f t="shared" si="12"/>
        <v>0</v>
      </c>
      <c r="D17" s="3">
        <f t="shared" si="9"/>
        <v>240</v>
      </c>
      <c r="E17" s="43">
        <f t="shared" si="3"/>
        <v>0</v>
      </c>
      <c r="F17" s="3">
        <f t="shared" si="10"/>
        <v>7008000</v>
      </c>
      <c r="G17" s="43">
        <f t="shared" si="6"/>
        <v>0</v>
      </c>
      <c r="H17" s="3">
        <f t="shared" si="11"/>
        <v>761090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f t="shared" si="8"/>
        <v>433488</v>
      </c>
      <c r="C18" s="43">
        <f t="shared" si="12"/>
        <v>0</v>
      </c>
      <c r="D18" s="3">
        <f t="shared" si="9"/>
        <v>240</v>
      </c>
      <c r="E18" s="43">
        <f t="shared" si="3"/>
        <v>0</v>
      </c>
      <c r="F18" s="3">
        <f t="shared" si="10"/>
        <v>7008000</v>
      </c>
      <c r="G18" s="43">
        <f t="shared" si="6"/>
        <v>0</v>
      </c>
      <c r="H18" s="3">
        <f t="shared" si="11"/>
        <v>761090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44547</v>
      </c>
      <c r="B19" s="3">
        <f t="shared" si="8"/>
        <v>433488</v>
      </c>
      <c r="C19" s="43">
        <f t="shared" si="12"/>
        <v>0</v>
      </c>
      <c r="D19" s="3">
        <f t="shared" si="9"/>
        <v>240</v>
      </c>
      <c r="E19" s="43">
        <f t="shared" si="3"/>
        <v>0</v>
      </c>
      <c r="F19" s="3">
        <f t="shared" si="10"/>
        <v>7008000</v>
      </c>
      <c r="G19" s="43">
        <f t="shared" si="6"/>
        <v>0</v>
      </c>
      <c r="H19" s="3">
        <f t="shared" si="11"/>
        <v>761090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44548</v>
      </c>
      <c r="B20" s="3">
        <f t="shared" si="8"/>
        <v>433488</v>
      </c>
      <c r="C20" s="43">
        <f t="shared" si="12"/>
        <v>0</v>
      </c>
      <c r="D20" s="3">
        <f t="shared" si="9"/>
        <v>240</v>
      </c>
      <c r="E20" s="43">
        <f t="shared" si="3"/>
        <v>0</v>
      </c>
      <c r="F20" s="3">
        <f t="shared" si="10"/>
        <v>7008000</v>
      </c>
      <c r="G20" s="43">
        <f t="shared" si="6"/>
        <v>0</v>
      </c>
      <c r="H20" s="3">
        <f t="shared" si="11"/>
        <v>761090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44549</v>
      </c>
      <c r="B21" s="3">
        <f t="shared" si="8"/>
        <v>433488</v>
      </c>
      <c r="C21" s="43">
        <f t="shared" si="12"/>
        <v>0</v>
      </c>
      <c r="D21" s="3">
        <f t="shared" si="9"/>
        <v>240</v>
      </c>
      <c r="E21" s="43">
        <f t="shared" si="3"/>
        <v>0</v>
      </c>
      <c r="F21" s="3">
        <f t="shared" si="10"/>
        <v>7008000</v>
      </c>
      <c r="G21" s="43">
        <f t="shared" si="6"/>
        <v>0</v>
      </c>
      <c r="H21" s="3">
        <f t="shared" si="11"/>
        <v>761090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44550</v>
      </c>
      <c r="B22" s="3">
        <f t="shared" si="8"/>
        <v>433488</v>
      </c>
      <c r="C22" s="43">
        <f t="shared" si="12"/>
        <v>0</v>
      </c>
      <c r="D22" s="3">
        <f t="shared" si="9"/>
        <v>240</v>
      </c>
      <c r="E22" s="43">
        <f t="shared" si="3"/>
        <v>0</v>
      </c>
      <c r="F22" s="3">
        <f t="shared" si="10"/>
        <v>7008000</v>
      </c>
      <c r="G22" s="43">
        <f t="shared" si="6"/>
        <v>0</v>
      </c>
      <c r="H22" s="3">
        <f t="shared" si="11"/>
        <v>761090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si="8"/>
        <v>433488</v>
      </c>
      <c r="C23" s="43">
        <f t="shared" si="12"/>
        <v>0</v>
      </c>
      <c r="D23" s="3">
        <f t="shared" si="9"/>
        <v>240</v>
      </c>
      <c r="E23" s="43">
        <f t="shared" si="3"/>
        <v>0</v>
      </c>
      <c r="F23" s="3">
        <f t="shared" si="10"/>
        <v>7008000</v>
      </c>
      <c r="G23" s="43">
        <f t="shared" si="6"/>
        <v>0</v>
      </c>
      <c r="H23" s="3">
        <f t="shared" si="11"/>
        <v>761090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8"/>
        <v>433488</v>
      </c>
      <c r="C24" s="43">
        <f t="shared" si="12"/>
        <v>0</v>
      </c>
      <c r="D24" s="3">
        <f t="shared" si="9"/>
        <v>240</v>
      </c>
      <c r="E24" s="43">
        <f t="shared" si="3"/>
        <v>0</v>
      </c>
      <c r="F24" s="3">
        <f t="shared" si="10"/>
        <v>7008000</v>
      </c>
      <c r="G24" s="43">
        <f t="shared" si="6"/>
        <v>0</v>
      </c>
      <c r="H24" s="3">
        <f t="shared" si="11"/>
        <v>761090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8"/>
        <v>433488</v>
      </c>
      <c r="C25" s="43">
        <f t="shared" si="12"/>
        <v>0</v>
      </c>
      <c r="D25" s="3">
        <f t="shared" si="9"/>
        <v>240</v>
      </c>
      <c r="E25" s="43">
        <f t="shared" si="3"/>
        <v>0</v>
      </c>
      <c r="F25" s="3">
        <f t="shared" si="10"/>
        <v>7008000</v>
      </c>
      <c r="G25" s="43">
        <f t="shared" si="6"/>
        <v>0</v>
      </c>
      <c r="H25" s="3">
        <f t="shared" si="11"/>
        <v>761090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8"/>
        <v>433488</v>
      </c>
      <c r="C26" s="43">
        <f t="shared" si="12"/>
        <v>0</v>
      </c>
      <c r="D26" s="3">
        <f t="shared" si="9"/>
        <v>240</v>
      </c>
      <c r="E26" s="43">
        <f t="shared" si="3"/>
        <v>0</v>
      </c>
      <c r="F26" s="3">
        <f t="shared" si="10"/>
        <v>7008000</v>
      </c>
      <c r="G26" s="43">
        <f t="shared" si="6"/>
        <v>0</v>
      </c>
      <c r="H26" s="3">
        <f t="shared" si="11"/>
        <v>761090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8"/>
        <v>433488</v>
      </c>
      <c r="C27" s="43">
        <f t="shared" si="12"/>
        <v>0</v>
      </c>
      <c r="D27" s="3">
        <f t="shared" si="9"/>
        <v>240</v>
      </c>
      <c r="E27" s="43">
        <f t="shared" si="3"/>
        <v>0</v>
      </c>
      <c r="F27" s="3">
        <f t="shared" si="10"/>
        <v>7008000</v>
      </c>
      <c r="G27" s="43">
        <f t="shared" si="6"/>
        <v>0</v>
      </c>
      <c r="H27" s="3">
        <f t="shared" si="11"/>
        <v>761090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8"/>
        <v>433488</v>
      </c>
      <c r="C28" s="43">
        <f t="shared" si="12"/>
        <v>0</v>
      </c>
      <c r="D28" s="3">
        <f t="shared" si="9"/>
        <v>240</v>
      </c>
      <c r="E28" s="43">
        <f t="shared" si="3"/>
        <v>0</v>
      </c>
      <c r="F28" s="3">
        <f t="shared" si="10"/>
        <v>7008000</v>
      </c>
      <c r="G28" s="43">
        <f t="shared" si="6"/>
        <v>0</v>
      </c>
      <c r="H28" s="3">
        <f t="shared" si="11"/>
        <v>761090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8"/>
        <v>433488</v>
      </c>
      <c r="C29" s="43">
        <f t="shared" si="12"/>
        <v>0</v>
      </c>
      <c r="D29" s="3">
        <f t="shared" si="9"/>
        <v>240</v>
      </c>
      <c r="E29" s="43">
        <f t="shared" si="3"/>
        <v>0</v>
      </c>
      <c r="F29" s="3">
        <f t="shared" si="10"/>
        <v>7008000</v>
      </c>
      <c r="G29" s="43">
        <f t="shared" si="6"/>
        <v>0</v>
      </c>
      <c r="H29" s="3">
        <f t="shared" si="11"/>
        <v>761090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8"/>
        <v>433488</v>
      </c>
      <c r="C30" s="43">
        <f t="shared" si="12"/>
        <v>0</v>
      </c>
      <c r="D30" s="3">
        <f t="shared" si="9"/>
        <v>240</v>
      </c>
      <c r="E30" s="43">
        <f t="shared" si="3"/>
        <v>0</v>
      </c>
      <c r="F30" s="3">
        <f t="shared" si="10"/>
        <v>7008000</v>
      </c>
      <c r="G30" s="43">
        <f t="shared" si="6"/>
        <v>0</v>
      </c>
      <c r="H30" s="3">
        <f t="shared" si="11"/>
        <v>761090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8"/>
        <v>433488</v>
      </c>
      <c r="C31" s="43">
        <f t="shared" si="12"/>
        <v>0</v>
      </c>
      <c r="D31" s="3">
        <f t="shared" si="9"/>
        <v>240</v>
      </c>
      <c r="E31" s="43">
        <f t="shared" si="3"/>
        <v>0</v>
      </c>
      <c r="F31" s="3">
        <f t="shared" si="10"/>
        <v>7008000</v>
      </c>
      <c r="G31" s="43">
        <f t="shared" si="6"/>
        <v>0</v>
      </c>
      <c r="H31" s="3">
        <f t="shared" si="11"/>
        <v>761090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8"/>
        <v>433488</v>
      </c>
      <c r="C32" s="43">
        <f t="shared" si="12"/>
        <v>0</v>
      </c>
      <c r="D32" s="3">
        <f t="shared" si="9"/>
        <v>240</v>
      </c>
      <c r="E32" s="43">
        <f t="shared" si="3"/>
        <v>0</v>
      </c>
      <c r="F32" s="3">
        <f t="shared" si="10"/>
        <v>7008000</v>
      </c>
      <c r="G32" s="43">
        <f t="shared" si="6"/>
        <v>0</v>
      </c>
      <c r="H32" s="3">
        <f t="shared" si="11"/>
        <v>761090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8"/>
        <v>433488</v>
      </c>
      <c r="C33" s="43">
        <f t="shared" si="12"/>
        <v>0</v>
      </c>
      <c r="D33" s="3">
        <f t="shared" si="9"/>
        <v>240</v>
      </c>
      <c r="E33" s="43">
        <f t="shared" si="3"/>
        <v>0</v>
      </c>
      <c r="F33" s="3">
        <f t="shared" si="10"/>
        <v>7008000</v>
      </c>
      <c r="G33" s="43">
        <f t="shared" si="6"/>
        <v>0</v>
      </c>
      <c r="H33" s="3">
        <f t="shared" si="11"/>
        <v>761090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2470</v>
      </c>
      <c r="D34" s="3"/>
      <c r="E34" s="60">
        <f>SUM(E4:E33)</f>
        <v>132</v>
      </c>
      <c r="F34" s="3"/>
      <c r="G34" s="60">
        <f>SUM(G4:G33)</f>
        <v>1371.6</v>
      </c>
      <c r="H34" s="3"/>
      <c r="I34" s="60">
        <f>SUM(I4:I33)</f>
        <v>9.8010000000000002</v>
      </c>
      <c r="J34" s="60">
        <f>SUM(J4:J33)</f>
        <v>3983.4010000000003</v>
      </c>
      <c r="K34" s="60">
        <f>SUM(K4:K33)</f>
        <v>23342.729859999999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5" sqref="A5:XFD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f t="shared" ref="B5:B33" si="1">B5</f>
        <v>17791316</v>
      </c>
      <c r="C6" s="49">
        <f>IF((B6-B5)&lt;0,"0",(B6-B5))</f>
        <v>0</v>
      </c>
    </row>
    <row r="7" spans="1:9" ht="24" thickBot="1" x14ac:dyDescent="0.4">
      <c r="A7" s="10">
        <v>44535</v>
      </c>
      <c r="B7" s="137">
        <f t="shared" si="1"/>
        <v>17791316</v>
      </c>
      <c r="C7" s="49">
        <f>IF((B7-B6)&lt;0,"0",(B7-B6))</f>
        <v>0</v>
      </c>
    </row>
    <row r="8" spans="1:9" ht="24" thickBot="1" x14ac:dyDescent="0.4">
      <c r="A8" s="10">
        <v>44536</v>
      </c>
      <c r="B8" s="137">
        <f t="shared" si="1"/>
        <v>17791316</v>
      </c>
      <c r="C8" s="49">
        <f>IF((B8-B7)&lt;0,"0",(B8-B7))</f>
        <v>0</v>
      </c>
    </row>
    <row r="9" spans="1:9" ht="24" thickBot="1" x14ac:dyDescent="0.4">
      <c r="A9" s="10">
        <v>44537</v>
      </c>
      <c r="B9" s="137">
        <f t="shared" si="1"/>
        <v>17791316</v>
      </c>
      <c r="C9" s="49">
        <f>IF((B9-B8)&lt;0,"0",(B9-B8))</f>
        <v>0</v>
      </c>
    </row>
    <row r="10" spans="1:9" ht="24" thickBot="1" x14ac:dyDescent="0.4">
      <c r="A10" s="10">
        <v>44538</v>
      </c>
      <c r="B10" s="137">
        <f t="shared" si="1"/>
        <v>17791316</v>
      </c>
      <c r="C10" s="49">
        <f t="shared" si="0"/>
        <v>0</v>
      </c>
    </row>
    <row r="11" spans="1:9" ht="24" thickBot="1" x14ac:dyDescent="0.4">
      <c r="A11" s="10">
        <v>44539</v>
      </c>
      <c r="B11" s="137">
        <f t="shared" si="1"/>
        <v>17791316</v>
      </c>
      <c r="C11" s="49">
        <f>IF((B11-B10)&lt;0,"0",(B11-B10))</f>
        <v>0</v>
      </c>
    </row>
    <row r="12" spans="1:9" ht="24" thickBot="1" x14ac:dyDescent="0.4">
      <c r="A12" s="10">
        <v>44540</v>
      </c>
      <c r="B12" s="137">
        <f t="shared" si="1"/>
        <v>17791316</v>
      </c>
      <c r="C12" s="49">
        <f t="shared" si="0"/>
        <v>0</v>
      </c>
    </row>
    <row r="13" spans="1:9" ht="24" thickBot="1" x14ac:dyDescent="0.4">
      <c r="A13" s="10">
        <v>44541</v>
      </c>
      <c r="B13" s="137">
        <f t="shared" si="1"/>
        <v>17791316</v>
      </c>
      <c r="C13" s="49">
        <f t="shared" si="0"/>
        <v>0</v>
      </c>
    </row>
    <row r="14" spans="1:9" ht="24" thickBot="1" x14ac:dyDescent="0.4">
      <c r="A14" s="10">
        <v>44542</v>
      </c>
      <c r="B14" s="137">
        <f t="shared" si="1"/>
        <v>17791316</v>
      </c>
      <c r="C14" s="49">
        <f t="shared" si="0"/>
        <v>0</v>
      </c>
    </row>
    <row r="15" spans="1:9" ht="24" thickBot="1" x14ac:dyDescent="0.4">
      <c r="A15" s="10">
        <v>44543</v>
      </c>
      <c r="B15" s="137">
        <f t="shared" si="1"/>
        <v>17791316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44544</v>
      </c>
      <c r="B16" s="137">
        <f t="shared" si="1"/>
        <v>17791316</v>
      </c>
      <c r="C16" s="49">
        <f t="shared" si="0"/>
        <v>0</v>
      </c>
    </row>
    <row r="17" spans="1:9" ht="25.5" customHeight="1" thickBot="1" x14ac:dyDescent="0.4">
      <c r="A17" s="10">
        <v>44545</v>
      </c>
      <c r="B17" s="137">
        <f t="shared" si="1"/>
        <v>17791316</v>
      </c>
      <c r="C17" s="49">
        <f t="shared" si="0"/>
        <v>0</v>
      </c>
    </row>
    <row r="18" spans="1:9" ht="24" thickBot="1" x14ac:dyDescent="0.4">
      <c r="A18" s="10">
        <v>44546</v>
      </c>
      <c r="B18" s="137">
        <f t="shared" si="1"/>
        <v>17791316</v>
      </c>
      <c r="C18" s="49">
        <f t="shared" si="0"/>
        <v>0</v>
      </c>
    </row>
    <row r="19" spans="1:9" ht="24" thickBot="1" x14ac:dyDescent="0.4">
      <c r="A19" s="10">
        <v>44547</v>
      </c>
      <c r="B19" s="137">
        <f t="shared" si="1"/>
        <v>17791316</v>
      </c>
      <c r="C19" s="49">
        <f t="shared" si="0"/>
        <v>0</v>
      </c>
    </row>
    <row r="20" spans="1:9" ht="24" thickBot="1" x14ac:dyDescent="0.4">
      <c r="A20" s="10">
        <v>44548</v>
      </c>
      <c r="B20" s="137">
        <f t="shared" si="1"/>
        <v>17791316</v>
      </c>
      <c r="C20" s="49">
        <f t="shared" si="0"/>
        <v>0</v>
      </c>
    </row>
    <row r="21" spans="1:9" ht="24" thickBot="1" x14ac:dyDescent="0.4">
      <c r="A21" s="10">
        <v>44549</v>
      </c>
      <c r="B21" s="137">
        <f t="shared" si="1"/>
        <v>17791316</v>
      </c>
      <c r="C21" s="49">
        <f t="shared" si="0"/>
        <v>0</v>
      </c>
    </row>
    <row r="22" spans="1:9" ht="24" thickBot="1" x14ac:dyDescent="0.4">
      <c r="A22" s="10">
        <v>44550</v>
      </c>
      <c r="B22" s="137">
        <f t="shared" si="1"/>
        <v>17791316</v>
      </c>
      <c r="C22" s="49">
        <f t="shared" si="0"/>
        <v>0</v>
      </c>
    </row>
    <row r="23" spans="1:9" ht="24" thickBot="1" x14ac:dyDescent="0.4">
      <c r="A23" s="10">
        <v>44551</v>
      </c>
      <c r="B23" s="137">
        <f t="shared" si="1"/>
        <v>17791316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17791316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17791316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17791316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17791316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17791316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17791316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17791316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17791316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17791316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17791316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5495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1" customWidth="1"/>
    <col min="5" max="5" width="11.28515625" customWidth="1"/>
    <col min="6" max="6" width="14.5703125" style="40" customWidth="1"/>
    <col min="7" max="7" width="11.85546875" customWidth="1"/>
    <col min="8" max="8" width="13.5703125" customWidth="1"/>
    <col min="9" max="9" width="12.85546875" style="40" bestFit="1" customWidth="1"/>
    <col min="10" max="10" width="11.42578125" bestFit="1" customWidth="1"/>
    <col min="11" max="11" width="13.42578125" customWidth="1"/>
    <col min="12" max="12" width="12.42578125" style="40" customWidth="1"/>
    <col min="13" max="13" width="12.7109375" bestFit="1" customWidth="1"/>
    <col min="14" max="14" width="11.28515625" bestFit="1" customWidth="1"/>
    <col min="15" max="15" width="12.42578125" style="40" customWidth="1"/>
    <col min="16" max="16" width="15.140625" bestFit="1" customWidth="1"/>
    <col min="17" max="17" width="11.7109375" customWidth="1"/>
    <col min="18" max="18" width="13.7109375" style="40" customWidth="1"/>
    <col min="19" max="19" width="12.140625" customWidth="1"/>
    <col min="20" max="20" width="18" bestFit="1" customWidth="1"/>
    <col min="21" max="21" width="22.7109375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44502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44503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f t="shared" ref="AD5:AD33" si="34">AD4</f>
        <v>11</v>
      </c>
      <c r="AE5" s="169">
        <f t="shared" si="29"/>
        <v>0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f t="shared" ref="B5:B33" si="35">B5</f>
        <v>22719.205000000002</v>
      </c>
      <c r="C6" s="48">
        <f t="shared" si="15"/>
        <v>0</v>
      </c>
      <c r="D6" s="32">
        <f t="shared" si="16"/>
        <v>0</v>
      </c>
      <c r="E6" s="1">
        <f t="shared" ref="E5:E33" si="36">E5</f>
        <v>4064.4540000000002</v>
      </c>
      <c r="F6" s="48">
        <f t="shared" si="17"/>
        <v>0</v>
      </c>
      <c r="G6" s="32">
        <f t="shared" si="18"/>
        <v>0</v>
      </c>
      <c r="H6" s="1">
        <f t="shared" ref="H5:H33" si="37">H5</f>
        <v>4430</v>
      </c>
      <c r="I6" s="48">
        <f t="shared" si="19"/>
        <v>0</v>
      </c>
      <c r="J6" s="32">
        <f t="shared" si="20"/>
        <v>0</v>
      </c>
      <c r="K6" s="7">
        <f t="shared" ref="K5:K33" si="38">K5</f>
        <v>13852.37</v>
      </c>
      <c r="L6" s="48">
        <f t="shared" si="21"/>
        <v>0</v>
      </c>
      <c r="M6" s="32">
        <f t="shared" si="22"/>
        <v>0</v>
      </c>
      <c r="N6" s="7">
        <f t="shared" ref="N5:N33" si="39">N5</f>
        <v>3337.9259999999999</v>
      </c>
      <c r="O6" s="48">
        <f t="shared" si="23"/>
        <v>0</v>
      </c>
      <c r="P6" s="32">
        <f t="shared" si="24"/>
        <v>0</v>
      </c>
      <c r="Q6" s="7">
        <f t="shared" ref="Q5:Q33" si="40">Q5</f>
        <v>5281.97</v>
      </c>
      <c r="R6" s="48">
        <f t="shared" si="25"/>
        <v>0</v>
      </c>
      <c r="S6" s="32">
        <f t="shared" si="26"/>
        <v>0</v>
      </c>
      <c r="T6" s="8">
        <f t="shared" ref="T6:T33" si="41">C6+F6+I6+L6+O6+R6</f>
        <v>0</v>
      </c>
      <c r="U6" s="34">
        <f t="shared" si="27"/>
        <v>0</v>
      </c>
      <c r="W6" s="162">
        <v>44504</v>
      </c>
      <c r="X6" s="163">
        <f t="shared" ref="X5:X33" si="42">X5</f>
        <v>160600</v>
      </c>
      <c r="Y6" s="169">
        <f t="shared" si="31"/>
        <v>0</v>
      </c>
      <c r="Z6" s="163">
        <f t="shared" ref="Z5:Z33" si="43">Z5</f>
        <v>8041</v>
      </c>
      <c r="AA6" s="169">
        <f t="shared" si="32"/>
        <v>0</v>
      </c>
      <c r="AB6" s="163">
        <f t="shared" si="33"/>
        <v>13.66</v>
      </c>
      <c r="AC6" s="169">
        <f t="shared" si="28"/>
        <v>0</v>
      </c>
      <c r="AD6" s="163">
        <f t="shared" si="34"/>
        <v>11</v>
      </c>
      <c r="AE6" s="169">
        <f t="shared" si="29"/>
        <v>0</v>
      </c>
      <c r="AF6" s="163">
        <f t="shared" ref="AF5:AF33" si="44">AF5</f>
        <v>4730</v>
      </c>
      <c r="AG6" s="169">
        <f t="shared" si="30"/>
        <v>0</v>
      </c>
    </row>
    <row r="7" spans="1:33" ht="16.5" thickBot="1" x14ac:dyDescent="0.25">
      <c r="A7" s="10">
        <v>44535</v>
      </c>
      <c r="B7" s="165">
        <f t="shared" si="35"/>
        <v>22719.205000000002</v>
      </c>
      <c r="C7" s="48">
        <f t="shared" si="15"/>
        <v>0</v>
      </c>
      <c r="D7" s="32">
        <f t="shared" si="16"/>
        <v>0</v>
      </c>
      <c r="E7" s="1">
        <f t="shared" si="36"/>
        <v>4064.4540000000002</v>
      </c>
      <c r="F7" s="48">
        <f t="shared" si="17"/>
        <v>0</v>
      </c>
      <c r="G7" s="32">
        <f t="shared" si="18"/>
        <v>0</v>
      </c>
      <c r="H7" s="1">
        <f t="shared" si="37"/>
        <v>4430</v>
      </c>
      <c r="I7" s="48">
        <f t="shared" si="19"/>
        <v>0</v>
      </c>
      <c r="J7" s="32">
        <f t="shared" si="20"/>
        <v>0</v>
      </c>
      <c r="K7" s="7">
        <f t="shared" si="38"/>
        <v>13852.37</v>
      </c>
      <c r="L7" s="48">
        <f t="shared" si="21"/>
        <v>0</v>
      </c>
      <c r="M7" s="32">
        <f t="shared" si="22"/>
        <v>0</v>
      </c>
      <c r="N7" s="7">
        <f t="shared" si="39"/>
        <v>3337.9259999999999</v>
      </c>
      <c r="O7" s="48">
        <f t="shared" si="23"/>
        <v>0</v>
      </c>
      <c r="P7" s="32">
        <f t="shared" si="24"/>
        <v>0</v>
      </c>
      <c r="Q7" s="7">
        <f t="shared" si="40"/>
        <v>5281.97</v>
      </c>
      <c r="R7" s="48">
        <f t="shared" si="25"/>
        <v>0</v>
      </c>
      <c r="S7" s="32">
        <f t="shared" si="26"/>
        <v>0</v>
      </c>
      <c r="T7" s="8">
        <f t="shared" si="41"/>
        <v>0</v>
      </c>
      <c r="U7" s="34">
        <f t="shared" si="27"/>
        <v>0</v>
      </c>
      <c r="W7" s="162">
        <v>44505</v>
      </c>
      <c r="X7" s="163">
        <f t="shared" si="42"/>
        <v>160600</v>
      </c>
      <c r="Y7" s="169">
        <f t="shared" si="31"/>
        <v>0</v>
      </c>
      <c r="Z7" s="163">
        <f t="shared" si="43"/>
        <v>8041</v>
      </c>
      <c r="AA7" s="169">
        <f t="shared" si="32"/>
        <v>0</v>
      </c>
      <c r="AB7" s="163">
        <f t="shared" si="33"/>
        <v>13.66</v>
      </c>
      <c r="AC7" s="169">
        <f t="shared" si="28"/>
        <v>0</v>
      </c>
      <c r="AD7" s="163">
        <f t="shared" si="34"/>
        <v>11</v>
      </c>
      <c r="AE7" s="169">
        <f t="shared" si="29"/>
        <v>0</v>
      </c>
      <c r="AF7" s="163">
        <f t="shared" si="44"/>
        <v>4730</v>
      </c>
      <c r="AG7" s="169">
        <f t="shared" si="30"/>
        <v>0</v>
      </c>
    </row>
    <row r="8" spans="1:33" ht="16.5" thickBot="1" x14ac:dyDescent="0.25">
      <c r="A8" s="10">
        <v>44536</v>
      </c>
      <c r="B8" s="165">
        <f t="shared" si="35"/>
        <v>22719.205000000002</v>
      </c>
      <c r="C8" s="48">
        <f t="shared" si="15"/>
        <v>0</v>
      </c>
      <c r="D8" s="32">
        <f t="shared" si="16"/>
        <v>0</v>
      </c>
      <c r="E8" s="1">
        <f t="shared" si="36"/>
        <v>4064.4540000000002</v>
      </c>
      <c r="F8" s="48">
        <f t="shared" si="17"/>
        <v>0</v>
      </c>
      <c r="G8" s="32">
        <f t="shared" si="18"/>
        <v>0</v>
      </c>
      <c r="H8" s="1">
        <f t="shared" si="37"/>
        <v>4430</v>
      </c>
      <c r="I8" s="48">
        <f t="shared" si="19"/>
        <v>0</v>
      </c>
      <c r="J8" s="32">
        <f t="shared" si="20"/>
        <v>0</v>
      </c>
      <c r="K8" s="7">
        <f t="shared" si="38"/>
        <v>13852.37</v>
      </c>
      <c r="L8" s="48">
        <f t="shared" si="21"/>
        <v>0</v>
      </c>
      <c r="M8" s="32">
        <f t="shared" si="22"/>
        <v>0</v>
      </c>
      <c r="N8" s="7">
        <f t="shared" si="39"/>
        <v>3337.9259999999999</v>
      </c>
      <c r="O8" s="48">
        <f t="shared" si="23"/>
        <v>0</v>
      </c>
      <c r="P8" s="32">
        <f t="shared" si="24"/>
        <v>0</v>
      </c>
      <c r="Q8" s="7">
        <f t="shared" si="40"/>
        <v>5281.97</v>
      </c>
      <c r="R8" s="48">
        <f t="shared" si="25"/>
        <v>0</v>
      </c>
      <c r="S8" s="32">
        <f t="shared" si="26"/>
        <v>0</v>
      </c>
      <c r="T8" s="8">
        <f t="shared" si="41"/>
        <v>0</v>
      </c>
      <c r="U8" s="34">
        <f t="shared" si="27"/>
        <v>0</v>
      </c>
      <c r="W8" s="162">
        <v>44506</v>
      </c>
      <c r="X8" s="163">
        <f t="shared" si="42"/>
        <v>160600</v>
      </c>
      <c r="Y8" s="169">
        <f t="shared" si="31"/>
        <v>0</v>
      </c>
      <c r="Z8" s="163">
        <f t="shared" si="43"/>
        <v>8041</v>
      </c>
      <c r="AA8" s="169">
        <f t="shared" si="32"/>
        <v>0</v>
      </c>
      <c r="AB8" s="163">
        <f t="shared" si="33"/>
        <v>13.66</v>
      </c>
      <c r="AC8" s="169">
        <f t="shared" si="28"/>
        <v>0</v>
      </c>
      <c r="AD8" s="163">
        <f t="shared" si="34"/>
        <v>11</v>
      </c>
      <c r="AE8" s="169">
        <f t="shared" si="29"/>
        <v>0</v>
      </c>
      <c r="AF8" s="163">
        <f t="shared" si="44"/>
        <v>4730</v>
      </c>
      <c r="AG8" s="169">
        <f t="shared" si="30"/>
        <v>0</v>
      </c>
    </row>
    <row r="9" spans="1:33" ht="16.5" thickBot="1" x14ac:dyDescent="0.25">
      <c r="A9" s="10">
        <v>44537</v>
      </c>
      <c r="B9" s="165">
        <f t="shared" si="35"/>
        <v>22719.205000000002</v>
      </c>
      <c r="C9" s="48">
        <f t="shared" si="15"/>
        <v>0</v>
      </c>
      <c r="D9" s="32">
        <f t="shared" si="16"/>
        <v>0</v>
      </c>
      <c r="E9" s="1">
        <f t="shared" si="36"/>
        <v>4064.4540000000002</v>
      </c>
      <c r="F9" s="48">
        <f t="shared" si="17"/>
        <v>0</v>
      </c>
      <c r="G9" s="32">
        <f t="shared" si="18"/>
        <v>0</v>
      </c>
      <c r="H9" s="1">
        <f t="shared" si="37"/>
        <v>4430</v>
      </c>
      <c r="I9" s="48">
        <f t="shared" si="19"/>
        <v>0</v>
      </c>
      <c r="J9" s="32">
        <f t="shared" si="20"/>
        <v>0</v>
      </c>
      <c r="K9" s="7">
        <f t="shared" si="38"/>
        <v>13852.37</v>
      </c>
      <c r="L9" s="48">
        <f t="shared" si="21"/>
        <v>0</v>
      </c>
      <c r="M9" s="32">
        <f t="shared" si="22"/>
        <v>0</v>
      </c>
      <c r="N9" s="7">
        <f t="shared" si="39"/>
        <v>3337.9259999999999</v>
      </c>
      <c r="O9" s="48">
        <f t="shared" si="23"/>
        <v>0</v>
      </c>
      <c r="P9" s="32">
        <f t="shared" si="24"/>
        <v>0</v>
      </c>
      <c r="Q9" s="7">
        <f t="shared" si="40"/>
        <v>5281.97</v>
      </c>
      <c r="R9" s="48">
        <f t="shared" si="25"/>
        <v>0</v>
      </c>
      <c r="S9" s="32">
        <f t="shared" si="26"/>
        <v>0</v>
      </c>
      <c r="T9" s="8">
        <f t="shared" si="41"/>
        <v>0</v>
      </c>
      <c r="U9" s="34">
        <f t="shared" si="27"/>
        <v>0</v>
      </c>
      <c r="W9" s="162">
        <v>44507</v>
      </c>
      <c r="X9" s="163">
        <f t="shared" si="42"/>
        <v>160600</v>
      </c>
      <c r="Y9" s="169">
        <f t="shared" si="31"/>
        <v>0</v>
      </c>
      <c r="Z9" s="163">
        <f t="shared" si="43"/>
        <v>8041</v>
      </c>
      <c r="AA9" s="169">
        <f t="shared" si="32"/>
        <v>0</v>
      </c>
      <c r="AB9" s="163">
        <f t="shared" si="33"/>
        <v>13.66</v>
      </c>
      <c r="AC9" s="169">
        <f>AB9-AB8</f>
        <v>0</v>
      </c>
      <c r="AD9" s="163">
        <f t="shared" si="34"/>
        <v>11</v>
      </c>
      <c r="AE9" s="169">
        <f t="shared" si="29"/>
        <v>0</v>
      </c>
      <c r="AF9" s="163">
        <f t="shared" si="44"/>
        <v>4730</v>
      </c>
      <c r="AG9" s="169">
        <f t="shared" si="30"/>
        <v>0</v>
      </c>
    </row>
    <row r="10" spans="1:33" ht="16.5" thickBot="1" x14ac:dyDescent="0.25">
      <c r="A10" s="10">
        <v>44538</v>
      </c>
      <c r="B10" s="165">
        <f t="shared" si="35"/>
        <v>22719.205000000002</v>
      </c>
      <c r="C10" s="48">
        <f t="shared" si="15"/>
        <v>0</v>
      </c>
      <c r="D10" s="32">
        <f t="shared" si="16"/>
        <v>0</v>
      </c>
      <c r="E10" s="1">
        <f t="shared" si="36"/>
        <v>4064.4540000000002</v>
      </c>
      <c r="F10" s="48">
        <f t="shared" si="17"/>
        <v>0</v>
      </c>
      <c r="G10" s="32">
        <f t="shared" si="18"/>
        <v>0</v>
      </c>
      <c r="H10" s="1">
        <f t="shared" si="37"/>
        <v>4430</v>
      </c>
      <c r="I10" s="48">
        <f t="shared" si="19"/>
        <v>0</v>
      </c>
      <c r="J10" s="32">
        <f t="shared" si="20"/>
        <v>0</v>
      </c>
      <c r="K10" s="7">
        <f t="shared" si="38"/>
        <v>13852.37</v>
      </c>
      <c r="L10" s="48">
        <f t="shared" si="21"/>
        <v>0</v>
      </c>
      <c r="M10" s="32">
        <f t="shared" si="22"/>
        <v>0</v>
      </c>
      <c r="N10" s="7">
        <f t="shared" si="39"/>
        <v>3337.9259999999999</v>
      </c>
      <c r="O10" s="48">
        <f>IF((N10-N9)&lt;0,"0",(N10-N9))</f>
        <v>0</v>
      </c>
      <c r="P10" s="32">
        <f t="shared" si="24"/>
        <v>0</v>
      </c>
      <c r="Q10" s="7">
        <f t="shared" si="40"/>
        <v>5281.97</v>
      </c>
      <c r="R10" s="48">
        <f t="shared" si="25"/>
        <v>0</v>
      </c>
      <c r="S10" s="32">
        <f t="shared" si="26"/>
        <v>0</v>
      </c>
      <c r="T10" s="8">
        <f t="shared" si="41"/>
        <v>0</v>
      </c>
      <c r="U10" s="34">
        <f t="shared" si="27"/>
        <v>0</v>
      </c>
      <c r="W10" s="162">
        <v>44508</v>
      </c>
      <c r="X10" s="163">
        <f t="shared" si="42"/>
        <v>160600</v>
      </c>
      <c r="Y10" s="169">
        <f t="shared" si="31"/>
        <v>0</v>
      </c>
      <c r="Z10" s="163">
        <f t="shared" si="43"/>
        <v>8041</v>
      </c>
      <c r="AA10" s="169">
        <f t="shared" si="32"/>
        <v>0</v>
      </c>
      <c r="AB10" s="163">
        <f t="shared" si="33"/>
        <v>13.66</v>
      </c>
      <c r="AC10" s="169">
        <f t="shared" ref="AC10:AC31" si="45">AB10-AB9</f>
        <v>0</v>
      </c>
      <c r="AD10" s="163">
        <f t="shared" si="34"/>
        <v>11</v>
      </c>
      <c r="AE10" s="169">
        <f t="shared" si="29"/>
        <v>0</v>
      </c>
      <c r="AF10" s="163">
        <f t="shared" si="44"/>
        <v>4730</v>
      </c>
      <c r="AG10" s="169">
        <f t="shared" si="30"/>
        <v>0</v>
      </c>
    </row>
    <row r="11" spans="1:33" ht="16.5" thickBot="1" x14ac:dyDescent="0.25">
      <c r="A11" s="10">
        <v>44539</v>
      </c>
      <c r="B11" s="165">
        <f t="shared" si="35"/>
        <v>22719.205000000002</v>
      </c>
      <c r="C11" s="48">
        <f t="shared" si="15"/>
        <v>0</v>
      </c>
      <c r="D11" s="32">
        <f t="shared" si="16"/>
        <v>0</v>
      </c>
      <c r="E11" s="1">
        <f t="shared" si="36"/>
        <v>4064.4540000000002</v>
      </c>
      <c r="F11" s="48">
        <f t="shared" si="17"/>
        <v>0</v>
      </c>
      <c r="G11" s="32">
        <f t="shared" si="18"/>
        <v>0</v>
      </c>
      <c r="H11" s="1">
        <f t="shared" si="37"/>
        <v>4430</v>
      </c>
      <c r="I11" s="48">
        <f t="shared" si="19"/>
        <v>0</v>
      </c>
      <c r="J11" s="32">
        <f t="shared" si="20"/>
        <v>0</v>
      </c>
      <c r="K11" s="7">
        <f t="shared" si="38"/>
        <v>13852.37</v>
      </c>
      <c r="L11" s="48">
        <f t="shared" si="21"/>
        <v>0</v>
      </c>
      <c r="M11" s="32">
        <f t="shared" si="22"/>
        <v>0</v>
      </c>
      <c r="N11" s="7">
        <f t="shared" si="39"/>
        <v>3337.9259999999999</v>
      </c>
      <c r="O11" s="48">
        <f t="shared" si="23"/>
        <v>0</v>
      </c>
      <c r="P11" s="32">
        <f t="shared" si="24"/>
        <v>0</v>
      </c>
      <c r="Q11" s="7">
        <f t="shared" si="40"/>
        <v>5281.97</v>
      </c>
      <c r="R11" s="48">
        <f t="shared" si="25"/>
        <v>0</v>
      </c>
      <c r="S11" s="32">
        <f t="shared" si="26"/>
        <v>0</v>
      </c>
      <c r="T11" s="8">
        <f t="shared" si="41"/>
        <v>0</v>
      </c>
      <c r="U11" s="34">
        <f t="shared" si="27"/>
        <v>0</v>
      </c>
      <c r="W11" s="162">
        <v>44509</v>
      </c>
      <c r="X11" s="163">
        <f t="shared" si="42"/>
        <v>160600</v>
      </c>
      <c r="Y11" s="169">
        <f t="shared" si="31"/>
        <v>0</v>
      </c>
      <c r="Z11" s="163">
        <f t="shared" si="43"/>
        <v>8041</v>
      </c>
      <c r="AA11" s="169">
        <f t="shared" si="32"/>
        <v>0</v>
      </c>
      <c r="AB11" s="163">
        <f t="shared" si="33"/>
        <v>13.66</v>
      </c>
      <c r="AC11" s="169">
        <f t="shared" si="45"/>
        <v>0</v>
      </c>
      <c r="AD11" s="163">
        <f t="shared" si="34"/>
        <v>11</v>
      </c>
      <c r="AE11" s="169">
        <v>1</v>
      </c>
      <c r="AF11" s="163">
        <f t="shared" si="44"/>
        <v>4730</v>
      </c>
      <c r="AG11" s="169">
        <f t="shared" si="30"/>
        <v>0</v>
      </c>
    </row>
    <row r="12" spans="1:33" ht="16.5" thickBot="1" x14ac:dyDescent="0.25">
      <c r="A12" s="10">
        <v>44540</v>
      </c>
      <c r="B12" s="165">
        <f t="shared" si="35"/>
        <v>22719.205000000002</v>
      </c>
      <c r="C12" s="48">
        <f t="shared" si="15"/>
        <v>0</v>
      </c>
      <c r="D12" s="32">
        <f t="shared" si="16"/>
        <v>0</v>
      </c>
      <c r="E12" s="1">
        <f t="shared" si="36"/>
        <v>4064.4540000000002</v>
      </c>
      <c r="F12" s="48">
        <f t="shared" si="17"/>
        <v>0</v>
      </c>
      <c r="G12" s="32">
        <f t="shared" si="18"/>
        <v>0</v>
      </c>
      <c r="H12" s="1">
        <f t="shared" si="37"/>
        <v>4430</v>
      </c>
      <c r="I12" s="48">
        <f t="shared" si="19"/>
        <v>0</v>
      </c>
      <c r="J12" s="32">
        <f t="shared" si="20"/>
        <v>0</v>
      </c>
      <c r="K12" s="7">
        <f t="shared" si="38"/>
        <v>13852.37</v>
      </c>
      <c r="L12" s="48">
        <f t="shared" si="21"/>
        <v>0</v>
      </c>
      <c r="M12" s="32">
        <f t="shared" si="22"/>
        <v>0</v>
      </c>
      <c r="N12" s="7">
        <f t="shared" si="39"/>
        <v>3337.9259999999999</v>
      </c>
      <c r="O12" s="48">
        <f t="shared" si="23"/>
        <v>0</v>
      </c>
      <c r="P12" s="32">
        <f t="shared" si="24"/>
        <v>0</v>
      </c>
      <c r="Q12" s="7">
        <f t="shared" si="40"/>
        <v>5281.97</v>
      </c>
      <c r="R12" s="48">
        <f t="shared" si="25"/>
        <v>0</v>
      </c>
      <c r="S12" s="32">
        <f t="shared" si="26"/>
        <v>0</v>
      </c>
      <c r="T12" s="8">
        <f t="shared" si="41"/>
        <v>0</v>
      </c>
      <c r="U12" s="34">
        <f t="shared" si="27"/>
        <v>0</v>
      </c>
      <c r="W12" s="162">
        <v>44510</v>
      </c>
      <c r="X12" s="163">
        <f t="shared" si="42"/>
        <v>160600</v>
      </c>
      <c r="Y12" s="169">
        <f t="shared" si="31"/>
        <v>0</v>
      </c>
      <c r="Z12" s="163">
        <f t="shared" si="43"/>
        <v>8041</v>
      </c>
      <c r="AA12" s="169">
        <f t="shared" si="32"/>
        <v>0</v>
      </c>
      <c r="AB12" s="163">
        <f t="shared" si="33"/>
        <v>13.66</v>
      </c>
      <c r="AC12" s="169">
        <f t="shared" si="45"/>
        <v>0</v>
      </c>
      <c r="AD12" s="163">
        <f t="shared" si="34"/>
        <v>11</v>
      </c>
      <c r="AE12" s="169">
        <f t="shared" si="29"/>
        <v>0</v>
      </c>
      <c r="AF12" s="163">
        <f t="shared" si="44"/>
        <v>4730</v>
      </c>
      <c r="AG12" s="169">
        <f t="shared" si="30"/>
        <v>0</v>
      </c>
    </row>
    <row r="13" spans="1:33" ht="16.5" thickBot="1" x14ac:dyDescent="0.25">
      <c r="A13" s="10">
        <v>44541</v>
      </c>
      <c r="B13" s="165">
        <f t="shared" si="35"/>
        <v>22719.205000000002</v>
      </c>
      <c r="C13" s="48">
        <f t="shared" si="15"/>
        <v>0</v>
      </c>
      <c r="D13" s="32">
        <f t="shared" si="16"/>
        <v>0</v>
      </c>
      <c r="E13" s="1">
        <f t="shared" si="36"/>
        <v>4064.4540000000002</v>
      </c>
      <c r="F13" s="48">
        <f t="shared" si="17"/>
        <v>0</v>
      </c>
      <c r="G13" s="32">
        <f t="shared" si="18"/>
        <v>0</v>
      </c>
      <c r="H13" s="1">
        <f t="shared" si="37"/>
        <v>4430</v>
      </c>
      <c r="I13" s="48">
        <f t="shared" si="19"/>
        <v>0</v>
      </c>
      <c r="J13" s="32">
        <f t="shared" si="20"/>
        <v>0</v>
      </c>
      <c r="K13" s="7">
        <f t="shared" si="38"/>
        <v>13852.37</v>
      </c>
      <c r="L13" s="48">
        <f t="shared" si="21"/>
        <v>0</v>
      </c>
      <c r="M13" s="32">
        <f t="shared" si="22"/>
        <v>0</v>
      </c>
      <c r="N13" s="7">
        <f t="shared" si="39"/>
        <v>3337.9259999999999</v>
      </c>
      <c r="O13" s="48">
        <f t="shared" si="23"/>
        <v>0</v>
      </c>
      <c r="P13" s="32">
        <f t="shared" si="24"/>
        <v>0</v>
      </c>
      <c r="Q13" s="7">
        <f t="shared" si="40"/>
        <v>5281.97</v>
      </c>
      <c r="R13" s="48">
        <f t="shared" si="25"/>
        <v>0</v>
      </c>
      <c r="S13" s="32">
        <f t="shared" si="26"/>
        <v>0</v>
      </c>
      <c r="T13" s="8">
        <f t="shared" si="41"/>
        <v>0</v>
      </c>
      <c r="U13" s="34">
        <f t="shared" si="27"/>
        <v>0</v>
      </c>
      <c r="W13" s="162">
        <v>44511</v>
      </c>
      <c r="X13" s="163">
        <f t="shared" si="42"/>
        <v>160600</v>
      </c>
      <c r="Y13" s="169">
        <f t="shared" si="31"/>
        <v>0</v>
      </c>
      <c r="Z13" s="163">
        <f t="shared" si="43"/>
        <v>8041</v>
      </c>
      <c r="AA13" s="169">
        <f t="shared" si="32"/>
        <v>0</v>
      </c>
      <c r="AB13" s="163">
        <f t="shared" si="33"/>
        <v>13.66</v>
      </c>
      <c r="AC13" s="169">
        <f t="shared" si="45"/>
        <v>0</v>
      </c>
      <c r="AD13" s="163">
        <f t="shared" si="34"/>
        <v>11</v>
      </c>
      <c r="AE13" s="169">
        <v>0</v>
      </c>
      <c r="AF13" s="163">
        <f t="shared" si="44"/>
        <v>4730</v>
      </c>
      <c r="AG13" s="169">
        <f t="shared" si="30"/>
        <v>0</v>
      </c>
    </row>
    <row r="14" spans="1:33" ht="16.5" thickBot="1" x14ac:dyDescent="0.25">
      <c r="A14" s="10">
        <v>44542</v>
      </c>
      <c r="B14" s="165">
        <f t="shared" si="35"/>
        <v>22719.205000000002</v>
      </c>
      <c r="C14" s="48">
        <f t="shared" si="15"/>
        <v>0</v>
      </c>
      <c r="D14" s="32">
        <f t="shared" si="16"/>
        <v>0</v>
      </c>
      <c r="E14" s="1">
        <f t="shared" si="36"/>
        <v>4064.4540000000002</v>
      </c>
      <c r="F14" s="48">
        <f t="shared" si="17"/>
        <v>0</v>
      </c>
      <c r="G14" s="32">
        <f t="shared" si="18"/>
        <v>0</v>
      </c>
      <c r="H14" s="1">
        <f t="shared" si="37"/>
        <v>4430</v>
      </c>
      <c r="I14" s="48">
        <f t="shared" si="19"/>
        <v>0</v>
      </c>
      <c r="J14" s="32">
        <f t="shared" si="20"/>
        <v>0</v>
      </c>
      <c r="K14" s="7">
        <f t="shared" si="38"/>
        <v>13852.37</v>
      </c>
      <c r="L14" s="48">
        <f t="shared" si="21"/>
        <v>0</v>
      </c>
      <c r="M14" s="32">
        <f t="shared" si="22"/>
        <v>0</v>
      </c>
      <c r="N14" s="7">
        <f t="shared" si="39"/>
        <v>3337.9259999999999</v>
      </c>
      <c r="O14" s="48">
        <f>IF((N14-N13)&lt;0,"0",(N14-N13))</f>
        <v>0</v>
      </c>
      <c r="P14" s="32">
        <f t="shared" si="24"/>
        <v>0</v>
      </c>
      <c r="Q14" s="7">
        <f t="shared" si="40"/>
        <v>5281.97</v>
      </c>
      <c r="R14" s="48">
        <f t="shared" si="25"/>
        <v>0</v>
      </c>
      <c r="S14" s="32">
        <f t="shared" si="26"/>
        <v>0</v>
      </c>
      <c r="T14" s="8">
        <f t="shared" si="41"/>
        <v>0</v>
      </c>
      <c r="U14" s="34">
        <f t="shared" si="27"/>
        <v>0</v>
      </c>
      <c r="W14" s="162">
        <v>44512</v>
      </c>
      <c r="X14" s="163">
        <f t="shared" si="42"/>
        <v>160600</v>
      </c>
      <c r="Y14" s="169">
        <f t="shared" si="31"/>
        <v>0</v>
      </c>
      <c r="Z14" s="163">
        <f t="shared" si="43"/>
        <v>8041</v>
      </c>
      <c r="AA14" s="169">
        <f t="shared" si="32"/>
        <v>0</v>
      </c>
      <c r="AB14" s="163">
        <f t="shared" si="33"/>
        <v>13.66</v>
      </c>
      <c r="AC14" s="169">
        <f t="shared" si="45"/>
        <v>0</v>
      </c>
      <c r="AD14" s="163">
        <f t="shared" si="34"/>
        <v>11</v>
      </c>
      <c r="AE14" s="169">
        <f t="shared" si="29"/>
        <v>0</v>
      </c>
      <c r="AF14" s="163">
        <f t="shared" si="44"/>
        <v>4730</v>
      </c>
      <c r="AG14" s="169">
        <f t="shared" si="30"/>
        <v>0</v>
      </c>
    </row>
    <row r="15" spans="1:33" ht="16.5" thickBot="1" x14ac:dyDescent="0.25">
      <c r="A15" s="10">
        <v>44543</v>
      </c>
      <c r="B15" s="165">
        <f t="shared" si="35"/>
        <v>22719.205000000002</v>
      </c>
      <c r="C15" s="48">
        <f t="shared" ref="C15" si="46">IF((B15-B14)&lt;0,"0",(B15-B14))</f>
        <v>0</v>
      </c>
      <c r="D15" s="32">
        <f t="shared" ref="D15" si="47">C15*1.9*1000</f>
        <v>0</v>
      </c>
      <c r="E15" s="1">
        <f t="shared" si="36"/>
        <v>4064.4540000000002</v>
      </c>
      <c r="F15" s="48">
        <f t="shared" ref="F15" si="48">IF((E15-E14)&lt;0,"0",(E15-E14))</f>
        <v>0</v>
      </c>
      <c r="G15" s="32">
        <f t="shared" ref="G15" si="49">F15*1.9*1000</f>
        <v>0</v>
      </c>
      <c r="H15" s="1">
        <f t="shared" si="37"/>
        <v>4430</v>
      </c>
      <c r="I15" s="48">
        <f t="shared" ref="I15" si="50">IF((H15-H14)&lt;0,"0",(H15-H14))</f>
        <v>0</v>
      </c>
      <c r="J15" s="32">
        <f t="shared" ref="J15" si="51">I15*1.9*1000</f>
        <v>0</v>
      </c>
      <c r="K15" s="7">
        <f t="shared" si="38"/>
        <v>13852.37</v>
      </c>
      <c r="L15" s="48">
        <f t="shared" ref="L15" si="52">IF((K15-K14)&lt;0,"0",(K15-K14))</f>
        <v>0</v>
      </c>
      <c r="M15" s="32">
        <f t="shared" ref="M15" si="53">L15*1.9*1000</f>
        <v>0</v>
      </c>
      <c r="N15" s="7">
        <f t="shared" si="39"/>
        <v>3337.9259999999999</v>
      </c>
      <c r="O15" s="48">
        <f>IF((N15-N14)&lt;0,"0",(N15-N14))</f>
        <v>0</v>
      </c>
      <c r="P15" s="32">
        <f t="shared" ref="P15" si="54">O15*1.9*1000</f>
        <v>0</v>
      </c>
      <c r="Q15" s="7">
        <f t="shared" si="40"/>
        <v>5281.97</v>
      </c>
      <c r="R15" s="48">
        <f t="shared" ref="R15" si="55">IF((Q15-Q14)&lt;0,"0",(Q15-Q14))</f>
        <v>0</v>
      </c>
      <c r="S15" s="32">
        <f t="shared" ref="S15" si="56">R15*1.9*1000</f>
        <v>0</v>
      </c>
      <c r="T15" s="8">
        <f t="shared" ref="T15" si="57">C15+F15+I15+L15+O15+R15</f>
        <v>0</v>
      </c>
      <c r="U15" s="34">
        <f t="shared" ref="U15" si="58">T15*1.9*1000</f>
        <v>0</v>
      </c>
      <c r="W15" s="162">
        <v>44512</v>
      </c>
      <c r="X15" s="163">
        <f t="shared" si="42"/>
        <v>160600</v>
      </c>
      <c r="Y15" s="169">
        <f t="shared" ref="Y15" si="59">X15-X14</f>
        <v>0</v>
      </c>
      <c r="Z15" s="163">
        <f t="shared" si="43"/>
        <v>8041</v>
      </c>
      <c r="AA15" s="169">
        <f t="shared" ref="AA15" si="60">Z15-Z14</f>
        <v>0</v>
      </c>
      <c r="AB15" s="163">
        <f t="shared" si="33"/>
        <v>13.66</v>
      </c>
      <c r="AC15" s="169">
        <f t="shared" ref="AC15" si="61">AB15-AB14</f>
        <v>0</v>
      </c>
      <c r="AD15" s="163">
        <f t="shared" si="34"/>
        <v>11</v>
      </c>
      <c r="AE15" s="169">
        <f t="shared" si="29"/>
        <v>0</v>
      </c>
      <c r="AF15" s="163">
        <f t="shared" si="44"/>
        <v>4730</v>
      </c>
      <c r="AG15" s="169">
        <f t="shared" si="30"/>
        <v>0</v>
      </c>
    </row>
    <row r="16" spans="1:33" ht="16.5" thickBot="1" x14ac:dyDescent="0.25">
      <c r="A16" s="10">
        <v>44544</v>
      </c>
      <c r="B16" s="165">
        <f t="shared" si="35"/>
        <v>22719.205000000002</v>
      </c>
      <c r="C16" s="48">
        <f t="shared" si="15"/>
        <v>0</v>
      </c>
      <c r="D16" s="32">
        <f t="shared" si="16"/>
        <v>0</v>
      </c>
      <c r="E16" s="1">
        <f t="shared" si="36"/>
        <v>4064.4540000000002</v>
      </c>
      <c r="F16" s="48">
        <f t="shared" si="17"/>
        <v>0</v>
      </c>
      <c r="G16" s="32">
        <f t="shared" si="18"/>
        <v>0</v>
      </c>
      <c r="H16" s="1">
        <f t="shared" si="37"/>
        <v>4430</v>
      </c>
      <c r="I16" s="48">
        <f t="shared" si="19"/>
        <v>0</v>
      </c>
      <c r="J16" s="32">
        <f t="shared" si="20"/>
        <v>0</v>
      </c>
      <c r="K16" s="7">
        <f t="shared" si="38"/>
        <v>13852.37</v>
      </c>
      <c r="L16" s="48">
        <f t="shared" si="21"/>
        <v>0</v>
      </c>
      <c r="M16" s="32">
        <f t="shared" si="22"/>
        <v>0</v>
      </c>
      <c r="N16" s="7">
        <f t="shared" si="39"/>
        <v>3337.9259999999999</v>
      </c>
      <c r="O16" s="48">
        <f t="shared" si="23"/>
        <v>0</v>
      </c>
      <c r="P16" s="32">
        <f t="shared" si="24"/>
        <v>0</v>
      </c>
      <c r="Q16" s="7">
        <f t="shared" si="40"/>
        <v>5281.97</v>
      </c>
      <c r="R16" s="48">
        <f t="shared" si="25"/>
        <v>0</v>
      </c>
      <c r="S16" s="32">
        <f t="shared" si="26"/>
        <v>0</v>
      </c>
      <c r="T16" s="8">
        <f t="shared" si="41"/>
        <v>0</v>
      </c>
      <c r="U16" s="34">
        <f t="shared" si="27"/>
        <v>0</v>
      </c>
      <c r="W16" s="162">
        <v>44514</v>
      </c>
      <c r="X16" s="163">
        <f t="shared" si="42"/>
        <v>160600</v>
      </c>
      <c r="Y16" s="169">
        <f t="shared" si="31"/>
        <v>0</v>
      </c>
      <c r="Z16" s="163">
        <f t="shared" si="43"/>
        <v>8041</v>
      </c>
      <c r="AA16" s="169">
        <f t="shared" si="32"/>
        <v>0</v>
      </c>
      <c r="AB16" s="163">
        <f t="shared" si="33"/>
        <v>13.66</v>
      </c>
      <c r="AC16" s="169">
        <f t="shared" si="45"/>
        <v>0</v>
      </c>
      <c r="AD16" s="163">
        <f t="shared" si="34"/>
        <v>11</v>
      </c>
      <c r="AE16" s="169">
        <f t="shared" si="29"/>
        <v>0</v>
      </c>
      <c r="AF16" s="163">
        <f t="shared" si="44"/>
        <v>4730</v>
      </c>
      <c r="AG16" s="169">
        <f t="shared" si="30"/>
        <v>0</v>
      </c>
    </row>
    <row r="17" spans="1:33" ht="16.5" thickBot="1" x14ac:dyDescent="0.25">
      <c r="A17" s="10">
        <v>44545</v>
      </c>
      <c r="B17" s="165">
        <f t="shared" si="35"/>
        <v>22719.205000000002</v>
      </c>
      <c r="C17" s="48">
        <f t="shared" si="15"/>
        <v>0</v>
      </c>
      <c r="D17" s="32">
        <f t="shared" si="16"/>
        <v>0</v>
      </c>
      <c r="E17" s="1">
        <f t="shared" si="36"/>
        <v>4064.4540000000002</v>
      </c>
      <c r="F17" s="48">
        <f t="shared" si="17"/>
        <v>0</v>
      </c>
      <c r="G17" s="32">
        <f t="shared" si="18"/>
        <v>0</v>
      </c>
      <c r="H17" s="1">
        <f t="shared" si="37"/>
        <v>4430</v>
      </c>
      <c r="I17" s="48">
        <f t="shared" si="19"/>
        <v>0</v>
      </c>
      <c r="J17" s="32">
        <f t="shared" si="20"/>
        <v>0</v>
      </c>
      <c r="K17" s="7">
        <f t="shared" si="38"/>
        <v>13852.37</v>
      </c>
      <c r="L17" s="48">
        <f t="shared" si="21"/>
        <v>0</v>
      </c>
      <c r="M17" s="32">
        <f t="shared" si="22"/>
        <v>0</v>
      </c>
      <c r="N17" s="7">
        <f t="shared" si="39"/>
        <v>3337.9259999999999</v>
      </c>
      <c r="O17" s="48">
        <f t="shared" si="23"/>
        <v>0</v>
      </c>
      <c r="P17" s="32">
        <f t="shared" si="24"/>
        <v>0</v>
      </c>
      <c r="Q17" s="7">
        <f t="shared" si="40"/>
        <v>5281.97</v>
      </c>
      <c r="R17" s="48">
        <f t="shared" si="25"/>
        <v>0</v>
      </c>
      <c r="S17" s="32">
        <f t="shared" si="26"/>
        <v>0</v>
      </c>
      <c r="T17" s="8">
        <f t="shared" si="41"/>
        <v>0</v>
      </c>
      <c r="U17" s="34">
        <f t="shared" si="27"/>
        <v>0</v>
      </c>
      <c r="W17" s="162">
        <v>44515</v>
      </c>
      <c r="X17" s="163">
        <f t="shared" si="42"/>
        <v>160600</v>
      </c>
      <c r="Y17" s="169">
        <f t="shared" si="31"/>
        <v>0</v>
      </c>
      <c r="Z17" s="163">
        <f t="shared" si="43"/>
        <v>8041</v>
      </c>
      <c r="AA17" s="169">
        <f t="shared" si="32"/>
        <v>0</v>
      </c>
      <c r="AB17" s="163">
        <f t="shared" si="33"/>
        <v>13.66</v>
      </c>
      <c r="AC17" s="169">
        <f t="shared" si="45"/>
        <v>0</v>
      </c>
      <c r="AD17" s="163">
        <f t="shared" si="34"/>
        <v>11</v>
      </c>
      <c r="AE17" s="169">
        <f t="shared" si="29"/>
        <v>0</v>
      </c>
      <c r="AF17" s="163">
        <f t="shared" si="44"/>
        <v>4730</v>
      </c>
      <c r="AG17" s="169">
        <f t="shared" si="30"/>
        <v>0</v>
      </c>
    </row>
    <row r="18" spans="1:33" ht="16.5" thickBot="1" x14ac:dyDescent="0.25">
      <c r="A18" s="10">
        <v>44546</v>
      </c>
      <c r="B18" s="165">
        <f t="shared" si="35"/>
        <v>22719.205000000002</v>
      </c>
      <c r="C18" s="48">
        <f t="shared" si="15"/>
        <v>0</v>
      </c>
      <c r="D18" s="32">
        <f t="shared" si="16"/>
        <v>0</v>
      </c>
      <c r="E18" s="1">
        <f t="shared" si="36"/>
        <v>4064.4540000000002</v>
      </c>
      <c r="F18" s="48">
        <f t="shared" si="17"/>
        <v>0</v>
      </c>
      <c r="G18" s="32">
        <f t="shared" si="18"/>
        <v>0</v>
      </c>
      <c r="H18" s="1">
        <f t="shared" si="37"/>
        <v>4430</v>
      </c>
      <c r="I18" s="48">
        <f t="shared" si="19"/>
        <v>0</v>
      </c>
      <c r="J18" s="32">
        <f t="shared" si="20"/>
        <v>0</v>
      </c>
      <c r="K18" s="7">
        <f t="shared" si="38"/>
        <v>13852.37</v>
      </c>
      <c r="L18" s="48">
        <f t="shared" si="21"/>
        <v>0</v>
      </c>
      <c r="M18" s="32">
        <f t="shared" si="22"/>
        <v>0</v>
      </c>
      <c r="N18" s="7">
        <f t="shared" si="39"/>
        <v>3337.9259999999999</v>
      </c>
      <c r="O18" s="48">
        <f t="shared" si="23"/>
        <v>0</v>
      </c>
      <c r="P18" s="32">
        <f t="shared" si="24"/>
        <v>0</v>
      </c>
      <c r="Q18" s="7">
        <f t="shared" si="40"/>
        <v>5281.97</v>
      </c>
      <c r="R18" s="48">
        <f t="shared" si="25"/>
        <v>0</v>
      </c>
      <c r="S18" s="32">
        <f t="shared" si="26"/>
        <v>0</v>
      </c>
      <c r="T18" s="8">
        <f t="shared" si="41"/>
        <v>0</v>
      </c>
      <c r="U18" s="34">
        <f t="shared" si="27"/>
        <v>0</v>
      </c>
      <c r="W18" s="162">
        <v>44516</v>
      </c>
      <c r="X18" s="163">
        <f t="shared" si="42"/>
        <v>160600</v>
      </c>
      <c r="Y18" s="169">
        <f t="shared" si="31"/>
        <v>0</v>
      </c>
      <c r="Z18" s="163">
        <f t="shared" si="43"/>
        <v>8041</v>
      </c>
      <c r="AA18" s="169">
        <f t="shared" si="32"/>
        <v>0</v>
      </c>
      <c r="AB18" s="163">
        <f t="shared" si="33"/>
        <v>13.66</v>
      </c>
      <c r="AC18" s="169">
        <f t="shared" si="45"/>
        <v>0</v>
      </c>
      <c r="AD18" s="163">
        <f t="shared" si="34"/>
        <v>11</v>
      </c>
      <c r="AE18" s="169">
        <f t="shared" si="29"/>
        <v>0</v>
      </c>
      <c r="AF18" s="163">
        <f t="shared" si="44"/>
        <v>4730</v>
      </c>
      <c r="AG18" s="169">
        <v>0</v>
      </c>
    </row>
    <row r="19" spans="1:33" ht="16.5" thickBot="1" x14ac:dyDescent="0.25">
      <c r="A19" s="10">
        <v>44547</v>
      </c>
      <c r="B19" s="165">
        <f t="shared" si="35"/>
        <v>22719.205000000002</v>
      </c>
      <c r="C19" s="48">
        <f t="shared" si="15"/>
        <v>0</v>
      </c>
      <c r="D19" s="32">
        <f t="shared" si="16"/>
        <v>0</v>
      </c>
      <c r="E19" s="1">
        <f t="shared" si="36"/>
        <v>4064.4540000000002</v>
      </c>
      <c r="F19" s="48">
        <f t="shared" si="17"/>
        <v>0</v>
      </c>
      <c r="G19" s="32">
        <f t="shared" si="18"/>
        <v>0</v>
      </c>
      <c r="H19" s="1">
        <f t="shared" si="37"/>
        <v>4430</v>
      </c>
      <c r="I19" s="48">
        <f t="shared" si="19"/>
        <v>0</v>
      </c>
      <c r="J19" s="32">
        <f t="shared" si="20"/>
        <v>0</v>
      </c>
      <c r="K19" s="7">
        <f t="shared" si="38"/>
        <v>13852.37</v>
      </c>
      <c r="L19" s="48">
        <f t="shared" si="21"/>
        <v>0</v>
      </c>
      <c r="M19" s="32">
        <f t="shared" si="22"/>
        <v>0</v>
      </c>
      <c r="N19" s="7">
        <f t="shared" si="39"/>
        <v>3337.9259999999999</v>
      </c>
      <c r="O19" s="48">
        <f t="shared" si="23"/>
        <v>0</v>
      </c>
      <c r="P19" s="32">
        <f t="shared" si="24"/>
        <v>0</v>
      </c>
      <c r="Q19" s="7">
        <f t="shared" si="40"/>
        <v>5281.97</v>
      </c>
      <c r="R19" s="48">
        <f t="shared" si="25"/>
        <v>0</v>
      </c>
      <c r="S19" s="32">
        <f t="shared" si="26"/>
        <v>0</v>
      </c>
      <c r="T19" s="8">
        <f t="shared" si="41"/>
        <v>0</v>
      </c>
      <c r="U19" s="34">
        <f t="shared" si="27"/>
        <v>0</v>
      </c>
      <c r="W19" s="162">
        <v>44517</v>
      </c>
      <c r="X19" s="163">
        <f t="shared" si="42"/>
        <v>160600</v>
      </c>
      <c r="Y19" s="169">
        <f t="shared" si="31"/>
        <v>0</v>
      </c>
      <c r="Z19" s="163">
        <f t="shared" si="43"/>
        <v>8041</v>
      </c>
      <c r="AA19" s="169">
        <f t="shared" si="32"/>
        <v>0</v>
      </c>
      <c r="AB19" s="163">
        <f t="shared" si="33"/>
        <v>13.66</v>
      </c>
      <c r="AC19" s="169">
        <f t="shared" si="45"/>
        <v>0</v>
      </c>
      <c r="AD19" s="163">
        <f t="shared" si="34"/>
        <v>11</v>
      </c>
      <c r="AE19" s="169">
        <f t="shared" si="29"/>
        <v>0</v>
      </c>
      <c r="AF19" s="163">
        <f t="shared" si="44"/>
        <v>4730</v>
      </c>
      <c r="AG19" s="169">
        <v>0</v>
      </c>
    </row>
    <row r="20" spans="1:33" ht="16.5" thickBot="1" x14ac:dyDescent="0.25">
      <c r="A20" s="10">
        <v>44548</v>
      </c>
      <c r="B20" s="165">
        <f t="shared" si="35"/>
        <v>22719.205000000002</v>
      </c>
      <c r="C20" s="48">
        <f t="shared" si="15"/>
        <v>0</v>
      </c>
      <c r="D20" s="32">
        <f t="shared" si="16"/>
        <v>0</v>
      </c>
      <c r="E20" s="1">
        <f t="shared" si="36"/>
        <v>4064.4540000000002</v>
      </c>
      <c r="F20" s="48">
        <f t="shared" si="17"/>
        <v>0</v>
      </c>
      <c r="G20" s="32">
        <f t="shared" si="18"/>
        <v>0</v>
      </c>
      <c r="H20" s="1">
        <f t="shared" si="37"/>
        <v>4430</v>
      </c>
      <c r="I20" s="48">
        <f t="shared" si="19"/>
        <v>0</v>
      </c>
      <c r="J20" s="32">
        <f t="shared" si="20"/>
        <v>0</v>
      </c>
      <c r="K20" s="7">
        <f t="shared" si="38"/>
        <v>13852.37</v>
      </c>
      <c r="L20" s="48">
        <f t="shared" si="21"/>
        <v>0</v>
      </c>
      <c r="M20" s="32">
        <f t="shared" si="22"/>
        <v>0</v>
      </c>
      <c r="N20" s="7">
        <f t="shared" si="39"/>
        <v>3337.9259999999999</v>
      </c>
      <c r="O20" s="48">
        <f t="shared" si="23"/>
        <v>0</v>
      </c>
      <c r="P20" s="32">
        <f t="shared" si="24"/>
        <v>0</v>
      </c>
      <c r="Q20" s="7">
        <f t="shared" si="40"/>
        <v>5281.97</v>
      </c>
      <c r="R20" s="48">
        <f t="shared" si="25"/>
        <v>0</v>
      </c>
      <c r="S20" s="32">
        <f t="shared" si="26"/>
        <v>0</v>
      </c>
      <c r="T20" s="8">
        <f t="shared" si="41"/>
        <v>0</v>
      </c>
      <c r="U20" s="34">
        <f t="shared" si="27"/>
        <v>0</v>
      </c>
      <c r="W20" s="162">
        <v>44518</v>
      </c>
      <c r="X20" s="163">
        <f t="shared" si="42"/>
        <v>160600</v>
      </c>
      <c r="Y20" s="169">
        <f t="shared" si="31"/>
        <v>0</v>
      </c>
      <c r="Z20" s="163">
        <f t="shared" si="43"/>
        <v>8041</v>
      </c>
      <c r="AA20" s="169">
        <f t="shared" si="32"/>
        <v>0</v>
      </c>
      <c r="AB20" s="163">
        <f t="shared" si="33"/>
        <v>13.66</v>
      </c>
      <c r="AC20" s="169">
        <f t="shared" si="45"/>
        <v>0</v>
      </c>
      <c r="AD20" s="163">
        <f t="shared" si="34"/>
        <v>11</v>
      </c>
      <c r="AE20" s="169">
        <v>0</v>
      </c>
      <c r="AF20" s="163">
        <f t="shared" si="44"/>
        <v>4730</v>
      </c>
      <c r="AG20" s="169">
        <f t="shared" si="30"/>
        <v>0</v>
      </c>
    </row>
    <row r="21" spans="1:33" ht="16.5" thickBot="1" x14ac:dyDescent="0.25">
      <c r="A21" s="10">
        <v>44549</v>
      </c>
      <c r="B21" s="165">
        <f t="shared" si="35"/>
        <v>22719.205000000002</v>
      </c>
      <c r="C21" s="48">
        <f t="shared" si="15"/>
        <v>0</v>
      </c>
      <c r="D21" s="32">
        <f t="shared" si="16"/>
        <v>0</v>
      </c>
      <c r="E21" s="1">
        <f t="shared" si="36"/>
        <v>4064.4540000000002</v>
      </c>
      <c r="F21" s="48">
        <f t="shared" si="17"/>
        <v>0</v>
      </c>
      <c r="G21" s="32">
        <f t="shared" si="18"/>
        <v>0</v>
      </c>
      <c r="H21" s="1">
        <f t="shared" si="37"/>
        <v>4430</v>
      </c>
      <c r="I21" s="48">
        <f t="shared" si="19"/>
        <v>0</v>
      </c>
      <c r="J21" s="32">
        <f t="shared" si="20"/>
        <v>0</v>
      </c>
      <c r="K21" s="7">
        <f t="shared" si="38"/>
        <v>13852.37</v>
      </c>
      <c r="L21" s="48">
        <f t="shared" si="21"/>
        <v>0</v>
      </c>
      <c r="M21" s="32">
        <f t="shared" si="22"/>
        <v>0</v>
      </c>
      <c r="N21" s="7">
        <f t="shared" si="39"/>
        <v>3337.9259999999999</v>
      </c>
      <c r="O21" s="48">
        <f t="shared" si="23"/>
        <v>0</v>
      </c>
      <c r="P21" s="32">
        <f t="shared" si="24"/>
        <v>0</v>
      </c>
      <c r="Q21" s="7">
        <f t="shared" si="40"/>
        <v>5281.97</v>
      </c>
      <c r="R21" s="48">
        <f t="shared" si="25"/>
        <v>0</v>
      </c>
      <c r="S21" s="32">
        <f t="shared" si="26"/>
        <v>0</v>
      </c>
      <c r="T21" s="8">
        <f t="shared" si="41"/>
        <v>0</v>
      </c>
      <c r="U21" s="34">
        <f t="shared" si="27"/>
        <v>0</v>
      </c>
      <c r="W21" s="162">
        <v>44519</v>
      </c>
      <c r="X21" s="163">
        <f t="shared" si="42"/>
        <v>160600</v>
      </c>
      <c r="Y21" s="169">
        <f t="shared" si="31"/>
        <v>0</v>
      </c>
      <c r="Z21" s="163">
        <f t="shared" si="43"/>
        <v>8041</v>
      </c>
      <c r="AA21" s="169">
        <f t="shared" si="32"/>
        <v>0</v>
      </c>
      <c r="AB21" s="163">
        <f t="shared" si="33"/>
        <v>13.66</v>
      </c>
      <c r="AC21" s="169">
        <f t="shared" si="45"/>
        <v>0</v>
      </c>
      <c r="AD21" s="163">
        <f t="shared" si="34"/>
        <v>11</v>
      </c>
      <c r="AE21" s="169">
        <f t="shared" si="29"/>
        <v>0</v>
      </c>
      <c r="AF21" s="163">
        <f t="shared" si="44"/>
        <v>4730</v>
      </c>
      <c r="AG21" s="169">
        <f t="shared" si="30"/>
        <v>0</v>
      </c>
    </row>
    <row r="22" spans="1:33" ht="16.5" thickBot="1" x14ac:dyDescent="0.25">
      <c r="A22" s="10">
        <v>44550</v>
      </c>
      <c r="B22" s="165">
        <f t="shared" si="35"/>
        <v>22719.205000000002</v>
      </c>
      <c r="C22" s="48">
        <f t="shared" si="15"/>
        <v>0</v>
      </c>
      <c r="D22" s="32">
        <f t="shared" si="16"/>
        <v>0</v>
      </c>
      <c r="E22" s="1">
        <f t="shared" si="36"/>
        <v>4064.4540000000002</v>
      </c>
      <c r="F22" s="48">
        <f t="shared" si="17"/>
        <v>0</v>
      </c>
      <c r="G22" s="32">
        <f t="shared" si="18"/>
        <v>0</v>
      </c>
      <c r="H22" s="1">
        <f t="shared" si="37"/>
        <v>4430</v>
      </c>
      <c r="I22" s="48">
        <f t="shared" si="19"/>
        <v>0</v>
      </c>
      <c r="J22" s="32">
        <f t="shared" si="20"/>
        <v>0</v>
      </c>
      <c r="K22" s="7">
        <f t="shared" si="38"/>
        <v>13852.37</v>
      </c>
      <c r="L22" s="48">
        <f t="shared" si="21"/>
        <v>0</v>
      </c>
      <c r="M22" s="32">
        <f t="shared" si="22"/>
        <v>0</v>
      </c>
      <c r="N22" s="7">
        <f t="shared" si="39"/>
        <v>3337.9259999999999</v>
      </c>
      <c r="O22" s="48">
        <f t="shared" si="23"/>
        <v>0</v>
      </c>
      <c r="P22" s="32">
        <f t="shared" si="24"/>
        <v>0</v>
      </c>
      <c r="Q22" s="7">
        <f t="shared" si="40"/>
        <v>5281.97</v>
      </c>
      <c r="R22" s="48">
        <f t="shared" si="25"/>
        <v>0</v>
      </c>
      <c r="S22" s="32">
        <f t="shared" si="26"/>
        <v>0</v>
      </c>
      <c r="T22" s="8">
        <f t="shared" si="41"/>
        <v>0</v>
      </c>
      <c r="U22" s="34">
        <f t="shared" si="27"/>
        <v>0</v>
      </c>
      <c r="W22" s="162">
        <v>44520</v>
      </c>
      <c r="X22" s="163">
        <f t="shared" si="42"/>
        <v>160600</v>
      </c>
      <c r="Y22" s="169">
        <f t="shared" si="31"/>
        <v>0</v>
      </c>
      <c r="Z22" s="163">
        <f t="shared" si="43"/>
        <v>8041</v>
      </c>
      <c r="AA22" s="169">
        <f t="shared" si="32"/>
        <v>0</v>
      </c>
      <c r="AB22" s="163">
        <f t="shared" si="33"/>
        <v>13.66</v>
      </c>
      <c r="AC22" s="169">
        <f t="shared" si="45"/>
        <v>0</v>
      </c>
      <c r="AD22" s="163">
        <f t="shared" si="34"/>
        <v>11</v>
      </c>
      <c r="AE22" s="169">
        <f t="shared" si="29"/>
        <v>0</v>
      </c>
      <c r="AF22" s="163">
        <f t="shared" si="44"/>
        <v>4730</v>
      </c>
      <c r="AG22" s="169">
        <f t="shared" si="30"/>
        <v>0</v>
      </c>
    </row>
    <row r="23" spans="1:33" ht="16.5" thickBot="1" x14ac:dyDescent="0.25">
      <c r="A23" s="10">
        <v>44551</v>
      </c>
      <c r="B23" s="165">
        <f t="shared" si="35"/>
        <v>22719.205000000002</v>
      </c>
      <c r="C23" s="48">
        <f t="shared" si="15"/>
        <v>0</v>
      </c>
      <c r="D23" s="32">
        <f t="shared" si="16"/>
        <v>0</v>
      </c>
      <c r="E23" s="1">
        <f t="shared" si="36"/>
        <v>4064.4540000000002</v>
      </c>
      <c r="F23" s="48">
        <f t="shared" si="17"/>
        <v>0</v>
      </c>
      <c r="G23" s="32">
        <f t="shared" si="18"/>
        <v>0</v>
      </c>
      <c r="H23" s="1">
        <f t="shared" si="37"/>
        <v>4430</v>
      </c>
      <c r="I23" s="48">
        <f t="shared" si="19"/>
        <v>0</v>
      </c>
      <c r="J23" s="32">
        <f t="shared" si="20"/>
        <v>0</v>
      </c>
      <c r="K23" s="7">
        <f t="shared" si="38"/>
        <v>13852.37</v>
      </c>
      <c r="L23" s="48">
        <f t="shared" si="21"/>
        <v>0</v>
      </c>
      <c r="M23" s="32">
        <f t="shared" si="22"/>
        <v>0</v>
      </c>
      <c r="N23" s="7">
        <f t="shared" si="39"/>
        <v>3337.9259999999999</v>
      </c>
      <c r="O23" s="48">
        <f t="shared" si="23"/>
        <v>0</v>
      </c>
      <c r="P23" s="32">
        <f t="shared" si="24"/>
        <v>0</v>
      </c>
      <c r="Q23" s="7">
        <f t="shared" si="40"/>
        <v>5281.97</v>
      </c>
      <c r="R23" s="48">
        <f t="shared" si="25"/>
        <v>0</v>
      </c>
      <c r="S23" s="32">
        <f t="shared" si="26"/>
        <v>0</v>
      </c>
      <c r="T23" s="8">
        <f t="shared" si="41"/>
        <v>0</v>
      </c>
      <c r="U23" s="34">
        <f t="shared" si="27"/>
        <v>0</v>
      </c>
      <c r="W23" s="162">
        <v>44521</v>
      </c>
      <c r="X23" s="163">
        <f t="shared" si="42"/>
        <v>160600</v>
      </c>
      <c r="Y23" s="169">
        <f t="shared" si="31"/>
        <v>0</v>
      </c>
      <c r="Z23" s="163">
        <f t="shared" si="43"/>
        <v>8041</v>
      </c>
      <c r="AA23" s="169">
        <f t="shared" si="32"/>
        <v>0</v>
      </c>
      <c r="AB23" s="163">
        <f t="shared" si="33"/>
        <v>13.66</v>
      </c>
      <c r="AC23" s="169">
        <f t="shared" si="45"/>
        <v>0</v>
      </c>
      <c r="AD23" s="163">
        <f t="shared" si="34"/>
        <v>11</v>
      </c>
      <c r="AE23" s="169">
        <f t="shared" si="29"/>
        <v>0</v>
      </c>
      <c r="AF23" s="163">
        <f t="shared" si="44"/>
        <v>4730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35"/>
        <v>22719.205000000002</v>
      </c>
      <c r="C24" s="48">
        <f t="shared" si="15"/>
        <v>0</v>
      </c>
      <c r="D24" s="32">
        <f t="shared" si="16"/>
        <v>0</v>
      </c>
      <c r="E24" s="1">
        <f t="shared" si="36"/>
        <v>4064.4540000000002</v>
      </c>
      <c r="F24" s="48">
        <f t="shared" si="17"/>
        <v>0</v>
      </c>
      <c r="G24" s="32">
        <f t="shared" si="18"/>
        <v>0</v>
      </c>
      <c r="H24" s="1">
        <f t="shared" si="37"/>
        <v>4430</v>
      </c>
      <c r="I24" s="48">
        <f t="shared" si="19"/>
        <v>0</v>
      </c>
      <c r="J24" s="32">
        <f t="shared" si="20"/>
        <v>0</v>
      </c>
      <c r="K24" s="7">
        <f t="shared" si="38"/>
        <v>13852.37</v>
      </c>
      <c r="L24" s="48">
        <f t="shared" si="21"/>
        <v>0</v>
      </c>
      <c r="M24" s="32">
        <f t="shared" si="22"/>
        <v>0</v>
      </c>
      <c r="N24" s="7">
        <f t="shared" si="39"/>
        <v>3337.9259999999999</v>
      </c>
      <c r="O24" s="48">
        <f t="shared" si="23"/>
        <v>0</v>
      </c>
      <c r="P24" s="32">
        <f t="shared" si="24"/>
        <v>0</v>
      </c>
      <c r="Q24" s="7">
        <f t="shared" si="40"/>
        <v>5281.97</v>
      </c>
      <c r="R24" s="48">
        <f t="shared" si="25"/>
        <v>0</v>
      </c>
      <c r="S24" s="32">
        <f t="shared" si="26"/>
        <v>0</v>
      </c>
      <c r="T24" s="8">
        <f t="shared" si="41"/>
        <v>0</v>
      </c>
      <c r="U24" s="34">
        <f t="shared" si="27"/>
        <v>0</v>
      </c>
      <c r="W24" s="162">
        <v>44522</v>
      </c>
      <c r="X24" s="163">
        <f t="shared" si="42"/>
        <v>160600</v>
      </c>
      <c r="Y24" s="169">
        <f t="shared" si="31"/>
        <v>0</v>
      </c>
      <c r="Z24" s="163">
        <f t="shared" si="43"/>
        <v>8041</v>
      </c>
      <c r="AA24" s="169">
        <f t="shared" si="32"/>
        <v>0</v>
      </c>
      <c r="AB24" s="163">
        <f t="shared" si="33"/>
        <v>13.66</v>
      </c>
      <c r="AC24" s="169">
        <f t="shared" si="45"/>
        <v>0</v>
      </c>
      <c r="AD24" s="163">
        <f t="shared" si="34"/>
        <v>11</v>
      </c>
      <c r="AE24" s="169">
        <f t="shared" si="29"/>
        <v>0</v>
      </c>
      <c r="AF24" s="163">
        <f t="shared" si="44"/>
        <v>4730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35"/>
        <v>22719.205000000002</v>
      </c>
      <c r="C25" s="48">
        <f t="shared" si="15"/>
        <v>0</v>
      </c>
      <c r="D25" s="32">
        <f t="shared" si="16"/>
        <v>0</v>
      </c>
      <c r="E25" s="1">
        <f t="shared" si="36"/>
        <v>4064.4540000000002</v>
      </c>
      <c r="F25" s="48">
        <f t="shared" si="17"/>
        <v>0</v>
      </c>
      <c r="G25" s="32">
        <f t="shared" si="18"/>
        <v>0</v>
      </c>
      <c r="H25" s="1">
        <f t="shared" si="37"/>
        <v>4430</v>
      </c>
      <c r="I25" s="48">
        <f t="shared" si="19"/>
        <v>0</v>
      </c>
      <c r="J25" s="32">
        <f t="shared" si="20"/>
        <v>0</v>
      </c>
      <c r="K25" s="7">
        <f t="shared" si="38"/>
        <v>13852.37</v>
      </c>
      <c r="L25" s="48">
        <f t="shared" si="21"/>
        <v>0</v>
      </c>
      <c r="M25" s="32">
        <f t="shared" si="22"/>
        <v>0</v>
      </c>
      <c r="N25" s="7">
        <f t="shared" si="39"/>
        <v>3337.9259999999999</v>
      </c>
      <c r="O25" s="48">
        <f t="shared" si="23"/>
        <v>0</v>
      </c>
      <c r="P25" s="32">
        <f t="shared" si="24"/>
        <v>0</v>
      </c>
      <c r="Q25" s="7">
        <f t="shared" si="40"/>
        <v>5281.97</v>
      </c>
      <c r="R25" s="48">
        <f t="shared" si="25"/>
        <v>0</v>
      </c>
      <c r="S25" s="32">
        <f t="shared" si="26"/>
        <v>0</v>
      </c>
      <c r="T25" s="8">
        <f t="shared" si="41"/>
        <v>0</v>
      </c>
      <c r="U25" s="34">
        <f t="shared" si="27"/>
        <v>0</v>
      </c>
      <c r="W25" s="162">
        <v>44523</v>
      </c>
      <c r="X25" s="163">
        <f t="shared" si="42"/>
        <v>160600</v>
      </c>
      <c r="Y25" s="169">
        <f t="shared" si="31"/>
        <v>0</v>
      </c>
      <c r="Z25" s="163">
        <f t="shared" si="43"/>
        <v>8041</v>
      </c>
      <c r="AA25" s="169">
        <f t="shared" si="32"/>
        <v>0</v>
      </c>
      <c r="AB25" s="163">
        <f t="shared" si="33"/>
        <v>13.66</v>
      </c>
      <c r="AC25" s="169">
        <f t="shared" si="45"/>
        <v>0</v>
      </c>
      <c r="AD25" s="163">
        <f t="shared" si="34"/>
        <v>11</v>
      </c>
      <c r="AE25" s="169">
        <f t="shared" si="29"/>
        <v>0</v>
      </c>
      <c r="AF25" s="163">
        <f t="shared" si="44"/>
        <v>4730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35"/>
        <v>22719.205000000002</v>
      </c>
      <c r="C26" s="48">
        <f t="shared" si="15"/>
        <v>0</v>
      </c>
      <c r="D26" s="32">
        <f t="shared" si="16"/>
        <v>0</v>
      </c>
      <c r="E26" s="1">
        <f t="shared" si="36"/>
        <v>4064.4540000000002</v>
      </c>
      <c r="F26" s="48">
        <f t="shared" si="17"/>
        <v>0</v>
      </c>
      <c r="G26" s="32">
        <f t="shared" si="18"/>
        <v>0</v>
      </c>
      <c r="H26" s="1">
        <f t="shared" si="37"/>
        <v>4430</v>
      </c>
      <c r="I26" s="48">
        <f t="shared" si="19"/>
        <v>0</v>
      </c>
      <c r="J26" s="32">
        <f t="shared" si="20"/>
        <v>0</v>
      </c>
      <c r="K26" s="7">
        <f t="shared" si="38"/>
        <v>13852.37</v>
      </c>
      <c r="L26" s="48">
        <f>IF((K26-K25)&lt;0,"0",(K26-K25))</f>
        <v>0</v>
      </c>
      <c r="M26" s="32">
        <f t="shared" si="22"/>
        <v>0</v>
      </c>
      <c r="N26" s="7">
        <f t="shared" si="39"/>
        <v>3337.9259999999999</v>
      </c>
      <c r="O26" s="48">
        <f t="shared" si="23"/>
        <v>0</v>
      </c>
      <c r="P26" s="32">
        <f t="shared" si="24"/>
        <v>0</v>
      </c>
      <c r="Q26" s="7">
        <f t="shared" si="40"/>
        <v>5281.97</v>
      </c>
      <c r="R26" s="48">
        <f t="shared" si="25"/>
        <v>0</v>
      </c>
      <c r="S26" s="32">
        <f t="shared" si="26"/>
        <v>0</v>
      </c>
      <c r="T26" s="8">
        <f t="shared" si="41"/>
        <v>0</v>
      </c>
      <c r="U26" s="34">
        <f t="shared" si="27"/>
        <v>0</v>
      </c>
      <c r="V26" t="s">
        <v>12</v>
      </c>
      <c r="W26" s="162">
        <v>44524</v>
      </c>
      <c r="X26" s="163">
        <f t="shared" si="42"/>
        <v>160600</v>
      </c>
      <c r="Y26" s="169">
        <f t="shared" si="31"/>
        <v>0</v>
      </c>
      <c r="Z26" s="163">
        <f t="shared" si="43"/>
        <v>8041</v>
      </c>
      <c r="AA26" s="169">
        <f t="shared" si="32"/>
        <v>0</v>
      </c>
      <c r="AB26" s="163">
        <f t="shared" si="33"/>
        <v>13.66</v>
      </c>
      <c r="AC26" s="169">
        <f t="shared" si="45"/>
        <v>0</v>
      </c>
      <c r="AD26" s="163">
        <f t="shared" si="34"/>
        <v>11</v>
      </c>
      <c r="AE26" s="169">
        <f t="shared" si="29"/>
        <v>0</v>
      </c>
      <c r="AF26" s="163">
        <f t="shared" si="44"/>
        <v>4730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35"/>
        <v>22719.205000000002</v>
      </c>
      <c r="C27" s="48">
        <f t="shared" si="15"/>
        <v>0</v>
      </c>
      <c r="D27" s="32">
        <f t="shared" si="16"/>
        <v>0</v>
      </c>
      <c r="E27" s="1">
        <f t="shared" si="36"/>
        <v>4064.4540000000002</v>
      </c>
      <c r="F27" s="48">
        <f t="shared" si="17"/>
        <v>0</v>
      </c>
      <c r="G27" s="32">
        <f t="shared" si="18"/>
        <v>0</v>
      </c>
      <c r="H27" s="1">
        <f t="shared" si="37"/>
        <v>4430</v>
      </c>
      <c r="I27" s="48">
        <f t="shared" si="19"/>
        <v>0</v>
      </c>
      <c r="J27" s="32">
        <f t="shared" si="20"/>
        <v>0</v>
      </c>
      <c r="K27" s="7">
        <f t="shared" si="38"/>
        <v>13852.37</v>
      </c>
      <c r="L27" s="48">
        <f t="shared" si="21"/>
        <v>0</v>
      </c>
      <c r="M27" s="32">
        <f t="shared" si="22"/>
        <v>0</v>
      </c>
      <c r="N27" s="7">
        <f t="shared" si="39"/>
        <v>3337.9259999999999</v>
      </c>
      <c r="O27" s="48">
        <f t="shared" si="23"/>
        <v>0</v>
      </c>
      <c r="P27" s="32">
        <f t="shared" si="24"/>
        <v>0</v>
      </c>
      <c r="Q27" s="7">
        <f t="shared" si="40"/>
        <v>5281.97</v>
      </c>
      <c r="R27" s="48">
        <f t="shared" si="25"/>
        <v>0</v>
      </c>
      <c r="S27" s="32">
        <f t="shared" si="26"/>
        <v>0</v>
      </c>
      <c r="T27" s="8">
        <f t="shared" si="41"/>
        <v>0</v>
      </c>
      <c r="U27" s="34">
        <f t="shared" si="27"/>
        <v>0</v>
      </c>
      <c r="V27" t="s">
        <v>12</v>
      </c>
      <c r="W27" s="162">
        <v>44525</v>
      </c>
      <c r="X27" s="163">
        <f t="shared" si="42"/>
        <v>160600</v>
      </c>
      <c r="Y27" s="169">
        <f t="shared" si="31"/>
        <v>0</v>
      </c>
      <c r="Z27" s="163">
        <f t="shared" si="43"/>
        <v>8041</v>
      </c>
      <c r="AA27" s="169">
        <f t="shared" si="32"/>
        <v>0</v>
      </c>
      <c r="AB27" s="163">
        <f t="shared" si="33"/>
        <v>13.66</v>
      </c>
      <c r="AC27" s="169">
        <f t="shared" si="45"/>
        <v>0</v>
      </c>
      <c r="AD27" s="163">
        <f t="shared" si="34"/>
        <v>11</v>
      </c>
      <c r="AE27" s="169">
        <f t="shared" si="29"/>
        <v>0</v>
      </c>
      <c r="AF27" s="163">
        <f t="shared" si="44"/>
        <v>4730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35"/>
        <v>22719.205000000002</v>
      </c>
      <c r="C28" s="48">
        <f t="shared" si="15"/>
        <v>0</v>
      </c>
      <c r="D28" s="32">
        <f t="shared" si="16"/>
        <v>0</v>
      </c>
      <c r="E28" s="1">
        <f t="shared" si="36"/>
        <v>4064.4540000000002</v>
      </c>
      <c r="F28" s="48">
        <f t="shared" si="17"/>
        <v>0</v>
      </c>
      <c r="G28" s="32">
        <f t="shared" si="18"/>
        <v>0</v>
      </c>
      <c r="H28" s="1">
        <f t="shared" si="37"/>
        <v>4430</v>
      </c>
      <c r="I28" s="48">
        <f t="shared" si="19"/>
        <v>0</v>
      </c>
      <c r="J28" s="32">
        <f t="shared" si="20"/>
        <v>0</v>
      </c>
      <c r="K28" s="7">
        <f t="shared" si="38"/>
        <v>13852.37</v>
      </c>
      <c r="L28" s="48">
        <f t="shared" si="21"/>
        <v>0</v>
      </c>
      <c r="M28" s="32">
        <f t="shared" si="22"/>
        <v>0</v>
      </c>
      <c r="N28" s="7">
        <f t="shared" si="39"/>
        <v>3337.9259999999999</v>
      </c>
      <c r="O28" s="48">
        <f t="shared" si="23"/>
        <v>0</v>
      </c>
      <c r="P28" s="32">
        <f t="shared" si="24"/>
        <v>0</v>
      </c>
      <c r="Q28" s="7">
        <f t="shared" si="40"/>
        <v>5281.97</v>
      </c>
      <c r="R28" s="48">
        <f t="shared" si="25"/>
        <v>0</v>
      </c>
      <c r="S28" s="32">
        <f t="shared" si="26"/>
        <v>0</v>
      </c>
      <c r="T28" s="8">
        <f t="shared" si="41"/>
        <v>0</v>
      </c>
      <c r="U28" s="34">
        <f t="shared" si="27"/>
        <v>0</v>
      </c>
      <c r="W28" s="162">
        <v>44526</v>
      </c>
      <c r="X28" s="163">
        <f t="shared" si="42"/>
        <v>160600</v>
      </c>
      <c r="Y28" s="169">
        <f t="shared" si="31"/>
        <v>0</v>
      </c>
      <c r="Z28" s="163">
        <f t="shared" si="43"/>
        <v>8041</v>
      </c>
      <c r="AA28" s="169">
        <f t="shared" si="32"/>
        <v>0</v>
      </c>
      <c r="AB28" s="163">
        <f t="shared" si="33"/>
        <v>13.66</v>
      </c>
      <c r="AC28" s="169">
        <f t="shared" si="45"/>
        <v>0</v>
      </c>
      <c r="AD28" s="163">
        <f t="shared" si="34"/>
        <v>11</v>
      </c>
      <c r="AE28" s="169">
        <f t="shared" si="29"/>
        <v>0</v>
      </c>
      <c r="AF28" s="163">
        <f t="shared" si="44"/>
        <v>4730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35"/>
        <v>22719.205000000002</v>
      </c>
      <c r="C29" s="48">
        <f t="shared" si="15"/>
        <v>0</v>
      </c>
      <c r="D29" s="32">
        <f t="shared" si="16"/>
        <v>0</v>
      </c>
      <c r="E29" s="1">
        <f t="shared" si="36"/>
        <v>4064.4540000000002</v>
      </c>
      <c r="F29" s="48">
        <f t="shared" si="17"/>
        <v>0</v>
      </c>
      <c r="G29" s="32">
        <f t="shared" si="18"/>
        <v>0</v>
      </c>
      <c r="H29" s="1">
        <f t="shared" si="37"/>
        <v>4430</v>
      </c>
      <c r="I29" s="48">
        <f t="shared" si="19"/>
        <v>0</v>
      </c>
      <c r="J29" s="32">
        <f t="shared" si="20"/>
        <v>0</v>
      </c>
      <c r="K29" s="7">
        <f t="shared" si="38"/>
        <v>13852.37</v>
      </c>
      <c r="L29" s="48">
        <f t="shared" si="21"/>
        <v>0</v>
      </c>
      <c r="M29" s="32">
        <f t="shared" si="22"/>
        <v>0</v>
      </c>
      <c r="N29" s="7">
        <f t="shared" si="39"/>
        <v>3337.9259999999999</v>
      </c>
      <c r="O29" s="48">
        <f t="shared" si="23"/>
        <v>0</v>
      </c>
      <c r="P29" s="32">
        <f t="shared" si="24"/>
        <v>0</v>
      </c>
      <c r="Q29" s="7">
        <f t="shared" si="40"/>
        <v>5281.97</v>
      </c>
      <c r="R29" s="48">
        <f t="shared" si="25"/>
        <v>0</v>
      </c>
      <c r="S29" s="32">
        <f t="shared" si="26"/>
        <v>0</v>
      </c>
      <c r="T29" s="8">
        <f t="shared" si="41"/>
        <v>0</v>
      </c>
      <c r="U29" s="34">
        <f t="shared" si="27"/>
        <v>0</v>
      </c>
      <c r="W29" s="162">
        <v>44527</v>
      </c>
      <c r="X29" s="163">
        <f t="shared" si="42"/>
        <v>160600</v>
      </c>
      <c r="Y29" s="169">
        <f t="shared" si="31"/>
        <v>0</v>
      </c>
      <c r="Z29" s="163">
        <f t="shared" si="43"/>
        <v>8041</v>
      </c>
      <c r="AA29" s="169">
        <f t="shared" si="32"/>
        <v>0</v>
      </c>
      <c r="AB29" s="163">
        <f t="shared" si="33"/>
        <v>13.66</v>
      </c>
      <c r="AC29" s="169">
        <f t="shared" si="45"/>
        <v>0</v>
      </c>
      <c r="AD29" s="163">
        <f t="shared" si="34"/>
        <v>11</v>
      </c>
      <c r="AE29" s="169">
        <f t="shared" si="29"/>
        <v>0</v>
      </c>
      <c r="AF29" s="163">
        <f t="shared" si="44"/>
        <v>4730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35"/>
        <v>22719.205000000002</v>
      </c>
      <c r="C30" s="48">
        <f t="shared" si="15"/>
        <v>0</v>
      </c>
      <c r="D30" s="32">
        <f t="shared" si="16"/>
        <v>0</v>
      </c>
      <c r="E30" s="1">
        <f t="shared" si="36"/>
        <v>4064.4540000000002</v>
      </c>
      <c r="F30" s="48">
        <f t="shared" si="17"/>
        <v>0</v>
      </c>
      <c r="G30" s="32">
        <f t="shared" si="18"/>
        <v>0</v>
      </c>
      <c r="H30" s="1">
        <f t="shared" si="37"/>
        <v>4430</v>
      </c>
      <c r="I30" s="48">
        <f t="shared" si="19"/>
        <v>0</v>
      </c>
      <c r="J30" s="32">
        <f t="shared" si="20"/>
        <v>0</v>
      </c>
      <c r="K30" s="7">
        <f t="shared" si="38"/>
        <v>13852.37</v>
      </c>
      <c r="L30" s="48">
        <f t="shared" si="21"/>
        <v>0</v>
      </c>
      <c r="M30" s="32">
        <f t="shared" si="22"/>
        <v>0</v>
      </c>
      <c r="N30" s="7">
        <f t="shared" si="39"/>
        <v>3337.9259999999999</v>
      </c>
      <c r="O30" s="48">
        <f t="shared" si="23"/>
        <v>0</v>
      </c>
      <c r="P30" s="32">
        <f t="shared" si="24"/>
        <v>0</v>
      </c>
      <c r="Q30" s="7">
        <f t="shared" si="40"/>
        <v>5281.97</v>
      </c>
      <c r="R30" s="48">
        <f t="shared" si="25"/>
        <v>0</v>
      </c>
      <c r="S30" s="32">
        <f t="shared" si="26"/>
        <v>0</v>
      </c>
      <c r="T30" s="8">
        <f t="shared" si="41"/>
        <v>0</v>
      </c>
      <c r="U30" s="34">
        <f t="shared" si="27"/>
        <v>0</v>
      </c>
      <c r="W30" s="162">
        <v>44528</v>
      </c>
      <c r="X30" s="163">
        <f t="shared" si="42"/>
        <v>160600</v>
      </c>
      <c r="Y30" s="169">
        <f t="shared" si="31"/>
        <v>0</v>
      </c>
      <c r="Z30" s="163">
        <f t="shared" si="43"/>
        <v>8041</v>
      </c>
      <c r="AA30" s="169">
        <f>Z30-Z29</f>
        <v>0</v>
      </c>
      <c r="AB30" s="163">
        <f t="shared" si="33"/>
        <v>13.66</v>
      </c>
      <c r="AC30" s="169">
        <f t="shared" si="45"/>
        <v>0</v>
      </c>
      <c r="AD30" s="163">
        <f t="shared" si="34"/>
        <v>11</v>
      </c>
      <c r="AE30" s="169">
        <f t="shared" si="29"/>
        <v>0</v>
      </c>
      <c r="AF30" s="163">
        <f t="shared" si="44"/>
        <v>4730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35"/>
        <v>22719.205000000002</v>
      </c>
      <c r="C31" s="48">
        <f t="shared" si="15"/>
        <v>0</v>
      </c>
      <c r="D31" s="32">
        <f t="shared" si="16"/>
        <v>0</v>
      </c>
      <c r="E31" s="1">
        <f t="shared" si="36"/>
        <v>4064.4540000000002</v>
      </c>
      <c r="F31" s="48">
        <f t="shared" si="17"/>
        <v>0</v>
      </c>
      <c r="G31" s="32">
        <f t="shared" si="18"/>
        <v>0</v>
      </c>
      <c r="H31" s="1">
        <f t="shared" si="37"/>
        <v>4430</v>
      </c>
      <c r="I31" s="48">
        <f t="shared" si="19"/>
        <v>0</v>
      </c>
      <c r="J31" s="32">
        <f t="shared" si="20"/>
        <v>0</v>
      </c>
      <c r="K31" s="7">
        <f t="shared" si="38"/>
        <v>13852.37</v>
      </c>
      <c r="L31" s="48">
        <f t="shared" si="21"/>
        <v>0</v>
      </c>
      <c r="M31" s="32">
        <f t="shared" si="22"/>
        <v>0</v>
      </c>
      <c r="N31" s="7">
        <f t="shared" si="39"/>
        <v>3337.9259999999999</v>
      </c>
      <c r="O31" s="48">
        <f t="shared" si="23"/>
        <v>0</v>
      </c>
      <c r="P31" s="32">
        <f t="shared" si="24"/>
        <v>0</v>
      </c>
      <c r="Q31" s="7">
        <f t="shared" si="40"/>
        <v>5281.97</v>
      </c>
      <c r="R31" s="48">
        <f t="shared" si="25"/>
        <v>0</v>
      </c>
      <c r="S31" s="32">
        <f t="shared" si="26"/>
        <v>0</v>
      </c>
      <c r="T31" s="8">
        <f t="shared" si="41"/>
        <v>0</v>
      </c>
      <c r="U31" s="34">
        <f t="shared" si="27"/>
        <v>0</v>
      </c>
      <c r="W31" s="162">
        <v>44529</v>
      </c>
      <c r="X31" s="163">
        <f t="shared" si="42"/>
        <v>160600</v>
      </c>
      <c r="Y31" s="169">
        <f t="shared" si="31"/>
        <v>0</v>
      </c>
      <c r="Z31" s="163">
        <f t="shared" si="43"/>
        <v>8041</v>
      </c>
      <c r="AA31" s="169">
        <f t="shared" si="32"/>
        <v>0</v>
      </c>
      <c r="AB31" s="163">
        <f t="shared" si="33"/>
        <v>13.66</v>
      </c>
      <c r="AC31" s="169">
        <f t="shared" si="45"/>
        <v>0</v>
      </c>
      <c r="AD31" s="163">
        <f t="shared" si="34"/>
        <v>11</v>
      </c>
      <c r="AE31" s="169" t="s">
        <v>12</v>
      </c>
      <c r="AF31" s="163">
        <f t="shared" si="44"/>
        <v>4730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35"/>
        <v>22719.205000000002</v>
      </c>
      <c r="C32" s="48">
        <f t="shared" si="15"/>
        <v>0</v>
      </c>
      <c r="D32" s="32">
        <f t="shared" si="16"/>
        <v>0</v>
      </c>
      <c r="E32" s="1">
        <f t="shared" si="36"/>
        <v>4064.4540000000002</v>
      </c>
      <c r="F32" s="48">
        <f t="shared" si="17"/>
        <v>0</v>
      </c>
      <c r="G32" s="32">
        <f t="shared" si="18"/>
        <v>0</v>
      </c>
      <c r="H32" s="1">
        <f t="shared" si="37"/>
        <v>4430</v>
      </c>
      <c r="I32" s="48">
        <f t="shared" si="19"/>
        <v>0</v>
      </c>
      <c r="J32" s="32">
        <f t="shared" si="20"/>
        <v>0</v>
      </c>
      <c r="K32" s="7">
        <f t="shared" si="38"/>
        <v>13852.37</v>
      </c>
      <c r="L32" s="48">
        <f t="shared" si="21"/>
        <v>0</v>
      </c>
      <c r="M32" s="32">
        <f t="shared" si="22"/>
        <v>0</v>
      </c>
      <c r="N32" s="7">
        <f t="shared" si="39"/>
        <v>3337.9259999999999</v>
      </c>
      <c r="O32" s="48">
        <f t="shared" si="23"/>
        <v>0</v>
      </c>
      <c r="P32" s="32">
        <f t="shared" si="24"/>
        <v>0</v>
      </c>
      <c r="Q32" s="7">
        <f t="shared" si="40"/>
        <v>5281.97</v>
      </c>
      <c r="R32" s="48">
        <f t="shared" si="25"/>
        <v>0</v>
      </c>
      <c r="S32" s="32">
        <f t="shared" si="26"/>
        <v>0</v>
      </c>
      <c r="T32" s="8">
        <f t="shared" si="41"/>
        <v>0</v>
      </c>
      <c r="U32" s="34">
        <f t="shared" si="27"/>
        <v>0</v>
      </c>
      <c r="W32" s="162">
        <v>44530</v>
      </c>
      <c r="X32" s="163">
        <f t="shared" si="42"/>
        <v>160600</v>
      </c>
      <c r="Y32" s="169">
        <f t="shared" si="31"/>
        <v>0</v>
      </c>
      <c r="Z32" s="163">
        <f t="shared" si="43"/>
        <v>8041</v>
      </c>
      <c r="AA32" s="169">
        <f t="shared" si="32"/>
        <v>0</v>
      </c>
      <c r="AB32" s="163">
        <f t="shared" si="33"/>
        <v>13.66</v>
      </c>
      <c r="AC32" s="169">
        <v>0</v>
      </c>
      <c r="AD32" s="163">
        <f t="shared" si="34"/>
        <v>11</v>
      </c>
      <c r="AE32" s="169">
        <f t="shared" si="29"/>
        <v>0</v>
      </c>
      <c r="AF32" s="163">
        <f t="shared" si="44"/>
        <v>4730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35"/>
        <v>22719.205000000002</v>
      </c>
      <c r="C33" s="48">
        <f t="shared" si="15"/>
        <v>0</v>
      </c>
      <c r="D33" s="32">
        <f t="shared" si="16"/>
        <v>0</v>
      </c>
      <c r="E33" s="1">
        <f t="shared" si="36"/>
        <v>4064.4540000000002</v>
      </c>
      <c r="F33" s="48">
        <f t="shared" si="17"/>
        <v>0</v>
      </c>
      <c r="G33" s="32">
        <f t="shared" si="18"/>
        <v>0</v>
      </c>
      <c r="H33" s="1">
        <f t="shared" si="37"/>
        <v>4430</v>
      </c>
      <c r="I33" s="48">
        <f t="shared" si="19"/>
        <v>0</v>
      </c>
      <c r="J33" s="32">
        <f t="shared" si="20"/>
        <v>0</v>
      </c>
      <c r="K33" s="7">
        <f t="shared" si="38"/>
        <v>13852.37</v>
      </c>
      <c r="L33" s="48">
        <f t="shared" si="21"/>
        <v>0</v>
      </c>
      <c r="M33" s="32">
        <f t="shared" si="22"/>
        <v>0</v>
      </c>
      <c r="N33" s="7">
        <f t="shared" si="39"/>
        <v>3337.9259999999999</v>
      </c>
      <c r="O33" s="48">
        <f t="shared" si="23"/>
        <v>0</v>
      </c>
      <c r="P33" s="32">
        <f t="shared" si="24"/>
        <v>0</v>
      </c>
      <c r="Q33" s="7">
        <f t="shared" si="40"/>
        <v>5281.97</v>
      </c>
      <c r="R33" s="48">
        <f t="shared" si="25"/>
        <v>0</v>
      </c>
      <c r="S33" s="32">
        <f t="shared" si="26"/>
        <v>0</v>
      </c>
      <c r="T33" s="8">
        <f t="shared" si="41"/>
        <v>0</v>
      </c>
      <c r="U33" s="34">
        <f t="shared" si="27"/>
        <v>0</v>
      </c>
      <c r="V33"/>
      <c r="W33" s="162">
        <v>44531</v>
      </c>
      <c r="X33" s="163">
        <f t="shared" si="42"/>
        <v>160600</v>
      </c>
      <c r="Y33" s="169">
        <f t="shared" si="31"/>
        <v>0</v>
      </c>
      <c r="Z33" s="163">
        <f t="shared" si="43"/>
        <v>8041</v>
      </c>
      <c r="AA33" s="169">
        <f t="shared" si="32"/>
        <v>0</v>
      </c>
      <c r="AB33" s="163">
        <f t="shared" si="33"/>
        <v>13.66</v>
      </c>
      <c r="AC33" s="169">
        <v>0</v>
      </c>
      <c r="AD33" s="163">
        <f t="shared" si="34"/>
        <v>11</v>
      </c>
      <c r="AE33" s="169">
        <f t="shared" si="29"/>
        <v>0</v>
      </c>
      <c r="AF33" s="163">
        <f t="shared" si="44"/>
        <v>4730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7.0360000000000582</v>
      </c>
      <c r="D34" s="142">
        <f>SUM(D3:D33)</f>
        <v>18566.800000001604</v>
      </c>
      <c r="E34" s="142">
        <v>0</v>
      </c>
      <c r="F34" s="142">
        <f>SUM(F3:F33)</f>
        <v>2.9510000000000218</v>
      </c>
      <c r="G34" s="142">
        <f>SUM(G3:G33)</f>
        <v>5606.9000000000415</v>
      </c>
      <c r="H34" s="142"/>
      <c r="I34" s="142">
        <f>SUM(I3:I33)</f>
        <v>11</v>
      </c>
      <c r="J34" s="142">
        <f>SUM(J3:J33)</f>
        <v>20900</v>
      </c>
      <c r="K34" s="142"/>
      <c r="L34" s="142">
        <f>SUM(L3:L33)</f>
        <v>5.8100000000013097</v>
      </c>
      <c r="M34" s="142">
        <f>SUM(M3:M33)</f>
        <v>11039.000000002488</v>
      </c>
      <c r="N34" s="142"/>
      <c r="O34" s="48" t="str">
        <f t="shared" si="23"/>
        <v>0</v>
      </c>
      <c r="P34" s="142">
        <f>SUM(P3:P33)</f>
        <v>7229.499999999689</v>
      </c>
      <c r="Q34" s="142"/>
      <c r="R34" s="142">
        <f>SUM(R3:R33)</f>
        <v>1.0600000000004002</v>
      </c>
      <c r="S34" s="142">
        <f>SUM(S3:S33)</f>
        <v>2014.0000000007603</v>
      </c>
      <c r="T34" s="142">
        <f>SUM(T3:T33)</f>
        <v>34.398000000002412</v>
      </c>
      <c r="U34" s="142">
        <f>SUM(U3:U33)</f>
        <v>65356.200000004581</v>
      </c>
      <c r="V34"/>
      <c r="W34" s="142" t="s">
        <v>143</v>
      </c>
      <c r="X34" s="142"/>
      <c r="Y34" s="142">
        <f>SUM(Y5:Y33)</f>
        <v>365</v>
      </c>
      <c r="Z34" s="142"/>
      <c r="AA34" s="142">
        <f>SUM(AA5:AA33)</f>
        <v>22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7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7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8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8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7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7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8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8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7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7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8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8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7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7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8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8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7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7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8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8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7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7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8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8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7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7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8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8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7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7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8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8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7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7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8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8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7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7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8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8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7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7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8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8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7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7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8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8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7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7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8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8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7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7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8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8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7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7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7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7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7">
        <v>23</v>
      </c>
      <c r="D49" s="65" t="s">
        <v>83</v>
      </c>
      <c r="E49" s="80"/>
      <c r="F49" s="80"/>
      <c r="G49" s="67">
        <f t="shared" si="2"/>
        <v>0</v>
      </c>
      <c r="H49" s="68"/>
      <c r="J49" s="187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2"/>
      <c r="D50" s="65" t="s">
        <v>82</v>
      </c>
      <c r="E50" s="80"/>
      <c r="F50" s="80"/>
      <c r="G50" s="67">
        <f t="shared" si="2"/>
        <v>0</v>
      </c>
      <c r="H50" s="68"/>
      <c r="J50" s="19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7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7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8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8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7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7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8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8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7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7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8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8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7">
        <v>28</v>
      </c>
      <c r="D62" s="182" t="s">
        <v>86</v>
      </c>
      <c r="E62" s="66"/>
      <c r="F62" s="66"/>
      <c r="G62" s="67"/>
      <c r="H62" s="184" t="s">
        <v>87</v>
      </c>
      <c r="I62" s="71"/>
      <c r="J62" s="187">
        <v>28</v>
      </c>
      <c r="K62" s="182" t="s">
        <v>86</v>
      </c>
      <c r="L62" s="66"/>
      <c r="M62" s="66"/>
      <c r="N62" s="67"/>
      <c r="O62" s="184" t="s">
        <v>87</v>
      </c>
    </row>
    <row r="63" spans="1:15" ht="15" x14ac:dyDescent="0.2">
      <c r="A63" s="71"/>
      <c r="B63" s="61"/>
      <c r="C63" s="188"/>
      <c r="D63" s="183"/>
      <c r="E63" s="66"/>
      <c r="F63" s="66"/>
      <c r="G63" s="67"/>
      <c r="H63" s="185"/>
      <c r="I63" s="71"/>
      <c r="J63" s="188"/>
      <c r="K63" s="183"/>
      <c r="L63" s="66"/>
      <c r="M63" s="66"/>
      <c r="N63" s="67"/>
      <c r="O63" s="185"/>
    </row>
    <row r="64" spans="1:15" x14ac:dyDescent="0.2">
      <c r="A64" s="71"/>
      <c r="B64" s="61"/>
      <c r="C64" s="186" t="s">
        <v>88</v>
      </c>
      <c r="D64" s="186"/>
      <c r="E64" s="186"/>
      <c r="F64" s="186"/>
      <c r="G64" s="85">
        <f>SUM(G2:G63)</f>
        <v>28925</v>
      </c>
      <c r="H64" s="86"/>
      <c r="I64" s="71"/>
      <c r="J64" s="186" t="s">
        <v>88</v>
      </c>
      <c r="K64" s="186"/>
      <c r="L64" s="186"/>
      <c r="M64" s="186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89">
        <v>44409</v>
      </c>
      <c r="C69" s="190"/>
      <c r="D69" s="190"/>
      <c r="E69" s="191"/>
      <c r="F69" s="89"/>
      <c r="G69" s="189">
        <v>44470</v>
      </c>
      <c r="H69" s="190"/>
      <c r="I69" s="190"/>
      <c r="J69" s="191"/>
      <c r="K69" s="89"/>
      <c r="L69" s="179" t="s">
        <v>25</v>
      </c>
      <c r="M69" s="180"/>
      <c r="N69" s="180"/>
      <c r="O69" s="181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2021-12-04T02:18:15Z</dcterms:modified>
</cp:coreProperties>
</file>