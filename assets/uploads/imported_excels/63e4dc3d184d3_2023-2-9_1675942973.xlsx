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52066B98-201F-46AB-8BB7-749FC7F4FD15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Work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AB49" i="1" l="1"/>
  <c r="AB48" i="1"/>
  <c r="AB47" i="1"/>
  <c r="AB46" i="1"/>
  <c r="AB45" i="1"/>
  <c r="AB44" i="1"/>
  <c r="AB43" i="1"/>
  <c r="AB42" i="1"/>
  <c r="AB41" i="1"/>
  <c r="AB40" i="1"/>
  <c r="AB39" i="1"/>
  <c r="AB38" i="1"/>
  <c r="U35" i="1"/>
  <c r="R23" i="1"/>
  <c r="P23" i="1"/>
  <c r="N23" i="1"/>
  <c r="I7" i="1"/>
  <c r="V6" i="1"/>
  <c r="V5" i="1"/>
  <c r="V4" i="1"/>
  <c r="V3" i="1"/>
  <c r="V2" i="1"/>
  <c r="N14" i="1"/>
  <c r="V14" i="1"/>
  <c r="N21" i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<sst xmlns="http://schemas.openxmlformats.org/spreadsheetml/2006/main" count="105" uniqueCount="45">
  <si>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</si>
  <si>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</si>
  <si>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</si>
  <si>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</si>
  <si>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</si>
  <si>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</si>
  <si>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</si>
  <si>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</si>
  <si>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$/Kg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</si>
  <si>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</si>
  <si>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</si>
  <si>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</si>
  <si>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</si>
  <si>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</si>
  <si>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</si>
  <si>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</si>
  <si>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</si>
  <si>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</si>
  <si>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</si>
  <si>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</si>
  <si>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</si>
  <si>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</si>
  <si>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</si>
  <si>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</si>
  <si>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</si>
  <si>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</si>
  <si>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</si>
  <si>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</si>
  <si>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</si>
  <si>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</si>
  <si>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</si>
  <si>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</si>
  <si>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</si>
  <si>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</si>
  <si>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</si>
  <si>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</si>
  <si>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</si>
  <si>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</si>
  <si>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</si>
  <si>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</si>
  <si>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LPG Kitchen (Kg)</t>
  </si>
  <si>
    <t>Budgeted Room Nights</t>
  </si>
  <si>
    <t>LPG Total Budgeted kg</t>
  </si>
  <si>
    <t>Cooling District Energy Total Budgeted-KWH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</si>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</sst>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0" formatCode="0.0000"/>
    <numFmt numFmtId="171" formatCode="0.00000000"/>
    <numFmt numFmtId="172" formatCode="0.000000000"/>
    <numFmt numFmtId="173" formatCode="0.000000000;[Red]0.000000000"/>
    <numFmt numFmtId="174" formatCode="0.00000000;[Red]0.00000000"/>
    <numFmt numFmtId="175" formatCode="0.00000000000"/>
  </numFmts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  <xf numFmtId="2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right"/>
    </xf>
    <xf numFmtId="166" fontId="0" fillId="0" borderId="0" xfId="0" applyNumberFormat="1" applyFill="1" applyAlignment="1">
      <alignment horizontal="right"/>
    </xf>
    <xf numFmtId="171" fontId="0" fillId="0" borderId="0" xfId="0" applyNumberFormat="1" applyFill="1" applyAlignment="1">
      <alignment horizontal="right"/>
    </xf>
    <xf numFmtId="1" fontId="0" fillId="0" borderId="0" xfId="0" applyNumberFormat="1" applyFill="1" applyBorder="1" applyAlignment="1" applyProtection="1">
      <alignment horizontal="center"/>
    </xf>
    <xf numFmtId="1" fontId="0" fillId="0" borderId="0" xfId="3" applyNumberFormat="1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ill="1" applyProtection="1"/>
    <xf numFmtId="171" fontId="0" fillId="0" borderId="0" xfId="0" applyNumberFormat="1" applyFill="1"/>
    <xf numFmtId="0" fontId="0" fillId="0" borderId="0" xfId="0" applyNumberFormat="1" applyFill="1" applyAlignment="1" applyProtection="1">
      <alignment horizontal="right"/>
    </xf>
    <xf numFmtId="0" fontId="0" fillId="0" borderId="0" xfId="0" applyFill="1" applyBorder="1" applyAlignment="1" applyProtection="1">
      <alignment horizontal="right"/>
    </xf>
    <xf numFmtId="1" fontId="0" fillId="0" borderId="0" xfId="0" applyNumberFormat="1" applyFill="1" applyBorder="1" applyAlignment="1" applyProtection="1">
      <alignment horizontal="right"/>
    </xf>
    <xf numFmtId="172" fontId="0" fillId="0" borderId="0" xfId="0" applyNumberFormat="1" applyFill="1" applyAlignment="1">
      <alignment horizontal="right"/>
    </xf>
    <xf numFmtId="173" fontId="0" fillId="0" borderId="0" xfId="0" applyNumberFormat="1" applyFill="1"/>
    <xf numFmtId="174" fontId="0" fillId="0" borderId="0" xfId="0" applyNumberFormat="1" applyFill="1"/>
    <xf numFmtId="0" fontId="0" fillId="0" borderId="0" xfId="0" applyFill="1" applyBorder="1" applyAlignment="1" applyProtection="1"/>
    <xf numFmtId="0" fontId="0" fillId="0" borderId="0" xfId="0" applyFill="1" applyBorder="1" applyProtection="1"/>
    <xf numFmtId="0" fontId="3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>
      <alignment horizontal="right"/>
    </xf>
    <xf numFmtId="171" fontId="0" fillId="0" borderId="0" xfId="0" applyNumberFormat="1" applyFill="1" applyBorder="1" applyAlignment="1" applyProtection="1">
      <alignment horizontal="center"/>
    </xf>
    <xf numFmtId="175" fontId="0" fillId="0" borderId="0" xfId="0" applyNumberFormat="1" applyFill="1" applyBorder="1" applyAlignment="1" applyProtection="1">
      <alignment horizontal="right"/>
    </xf>
    <xf numFmtId="1" fontId="0" fillId="0" borderId="0" xfId="0" applyNumberFormat="1" applyFill="1" applyBorder="1" applyAlignment="1" applyProtection="1"/>
    <xf numFmtId="1" fontId="0" fillId="0" borderId="0" xfId="3" applyNumberFormat="1" applyFont="1" applyBorder="1" applyAlignment="1"/>
    <xf numFmtId="1" fontId="0" fillId="0" borderId="0" xfId="3" applyNumberFormat="1" applyFont="1" applyBorder="1"/>
    <xf numFmtId="0" fontId="0" fillId="0" borderId="0" xfId="0" applyBorder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"/>
  <sheetViews>
    <sheetView tabSelected="1" showRuler="0" zoomScaleNormal="100" workbookViewId="0">
      <pane ySplit="1" topLeftCell="A38" activePane="bottomLeft" state="frozen"/>
      <selection pane="bottomLeft" activeCell="E53" sqref="E53"/>
    </sheetView>
  </sheetViews>
  <sheetFormatPr defaultRowHeight="15" x14ac:dyDescent="0.25"/>
  <cols>
    <col min="1" max="1" width="15" customWidth="1"/>
    <col min="2" max="6" width="15" style="13" customWidth="1"/>
    <col min="7" max="8" width="15" style="43" customWidth="1"/>
    <col min="9" max="27" width="15" style="13" customWidth="1"/>
    <col min="28" max="28" width="11.28515625" customWidth="1"/>
  </cols>
  <sheetData>
    <row r="1" spans="1:28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6" t="s">
        <v>6</v>
      </c>
      <c r="H1" s="66" t="s">
        <v>7</v>
      </c>
      <c r="I1" s="1" t="s">
        <v>40</v>
      </c>
      <c r="J1" s="1" t="s">
        <v>8</v>
      </c>
      <c r="K1" s="2" t="s">
        <v>42</v>
      </c>
      <c r="L1" s="2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2" t="s">
        <v>16</v>
      </c>
      <c r="T1" s="2" t="s">
        <v>17</v>
      </c>
      <c r="U1" s="1" t="s">
        <v>18</v>
      </c>
      <c r="V1" s="1" t="s">
        <v>19</v>
      </c>
      <c r="W1" s="1" t="s">
        <v>20</v>
      </c>
      <c r="X1" s="15" t="s">
        <v>43</v>
      </c>
      <c r="Y1" s="2" t="s">
        <v>21</v>
      </c>
      <c r="Z1" s="1" t="s">
        <v>22</v>
      </c>
      <c r="AA1" s="1" t="s">
        <v>23</v>
      </c>
      <c r="AB1" s="2" t="s">
        <v>41</v>
      </c>
    </row>
    <row r="2" spans="1:28" s="1" customFormat="1" ht="17.25" customHeight="1" x14ac:dyDescent="0.25">
      <c r="A2" s="42" t="s">
        <v>24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43">
        <v>1246560</v>
      </c>
      <c r="H2" s="6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8" s="1" customFormat="1" ht="17.25" customHeight="1" x14ac:dyDescent="0.25">
      <c r="A3" t="s">
        <v>24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43">
        <v>1111320</v>
      </c>
      <c r="H3" s="6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8" s="1" customFormat="1" ht="15" customHeight="1" x14ac:dyDescent="0.25">
      <c r="A4" t="s">
        <v>24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43">
        <v>1184640</v>
      </c>
      <c r="H4" s="6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8" s="1" customFormat="1" ht="17.25" customHeight="1" x14ac:dyDescent="0.25">
      <c r="A5" t="s">
        <v>24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43">
        <v>1334400</v>
      </c>
      <c r="H5" s="6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8" s="1" customFormat="1" ht="17.25" customHeight="1" x14ac:dyDescent="0.25">
      <c r="A6" t="s">
        <v>24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43">
        <v>1339200</v>
      </c>
      <c r="H6" s="6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8" s="1" customFormat="1" ht="15.75" customHeight="1" x14ac:dyDescent="0.25">
      <c r="A7" t="s">
        <v>24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43">
        <v>1205760</v>
      </c>
      <c r="H7" s="6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8" s="1" customFormat="1" ht="16.5" customHeight="1" x14ac:dyDescent="0.25">
      <c r="A8" t="s">
        <v>24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43">
        <v>1286016</v>
      </c>
      <c r="H8" s="6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8" s="1" customFormat="1" ht="17.25" customHeight="1" x14ac:dyDescent="0.25">
      <c r="A9" t="s">
        <v>24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43">
        <v>1346880</v>
      </c>
      <c r="H9" s="6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8" s="1" customFormat="1" ht="17.25" customHeight="1" x14ac:dyDescent="0.25">
      <c r="A10" t="s">
        <v>24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64">
        <v>1268160</v>
      </c>
      <c r="H10" s="6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8" s="1" customFormat="1" ht="16.5" customHeight="1" x14ac:dyDescent="0.25">
      <c r="A11" t="s">
        <v>24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43">
        <v>1291200</v>
      </c>
      <c r="H11" s="6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8" s="1" customFormat="1" ht="18" customHeight="1" x14ac:dyDescent="0.25">
      <c r="A12" t="s">
        <v>24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43">
        <v>1296960</v>
      </c>
      <c r="H12" s="6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8" s="1" customFormat="1" ht="15.75" customHeight="1" x14ac:dyDescent="0.25">
      <c r="A13" t="s">
        <v>24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43">
        <v>1236000</v>
      </c>
      <c r="H13" s="6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8" x14ac:dyDescent="0.25">
      <c r="A14" t="s">
        <v>24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43">
        <v>1276500</v>
      </c>
      <c r="H14" s="6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8" x14ac:dyDescent="0.25">
      <c r="A15" t="s">
        <v>24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43">
        <v>1163875</v>
      </c>
      <c r="H15" s="6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8" x14ac:dyDescent="0.25">
      <c r="A16" t="s">
        <v>24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43">
        <v>1245300</v>
      </c>
      <c r="H16" s="6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24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43">
        <v>1309800</v>
      </c>
      <c r="H17" s="6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24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43">
        <v>1324275</v>
      </c>
      <c r="H18" s="6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24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43">
        <v>1445325</v>
      </c>
      <c r="H19" s="6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24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43">
        <v>1505625</v>
      </c>
      <c r="H20" s="6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24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43">
        <v>1398375</v>
      </c>
      <c r="H21" s="6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24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64">
        <v>1453797.75</v>
      </c>
      <c r="H22" s="6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24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43">
        <v>1314720</v>
      </c>
      <c r="H23" s="6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57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24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43">
        <v>1318536</v>
      </c>
      <c r="H24" s="6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24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43">
        <v>1260900</v>
      </c>
      <c r="H25" s="64">
        <v>38915.631374999997</v>
      </c>
      <c r="I25" s="4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24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G26" s="43">
        <v>1033318</v>
      </c>
      <c r="H26" s="43">
        <v>31414</v>
      </c>
      <c r="I26" s="43">
        <v>59400</v>
      </c>
      <c r="J26" s="13">
        <v>0.11245792</v>
      </c>
      <c r="K26" s="13">
        <v>27656</v>
      </c>
      <c r="L26" s="13">
        <v>6342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S26" s="13">
        <v>20078</v>
      </c>
      <c r="T26" s="13">
        <v>11499.17</v>
      </c>
      <c r="U26" s="57">
        <v>647600</v>
      </c>
      <c r="V26" s="54">
        <v>1.4461642E-2</v>
      </c>
      <c r="W26" s="57">
        <v>22886.6</v>
      </c>
      <c r="X26" s="13">
        <v>1290388</v>
      </c>
      <c r="Y26" s="57">
        <v>36880.53</v>
      </c>
      <c r="Z26" s="39">
        <v>1082</v>
      </c>
      <c r="AA26" s="13">
        <v>2.65</v>
      </c>
    </row>
    <row r="27" spans="1:27" x14ac:dyDescent="0.25">
      <c r="A27" t="s">
        <v>24</v>
      </c>
      <c r="B27" s="13">
        <v>2</v>
      </c>
      <c r="C27" s="13">
        <v>2021</v>
      </c>
      <c r="D27" s="39">
        <v>678798</v>
      </c>
      <c r="E27" s="55">
        <v>2.8922900000000001E-2</v>
      </c>
      <c r="F27" s="13">
        <v>1500</v>
      </c>
      <c r="G27" s="43">
        <v>964086</v>
      </c>
      <c r="H27" s="43">
        <v>29410</v>
      </c>
      <c r="I27" s="43">
        <v>32670</v>
      </c>
      <c r="J27" s="13">
        <v>0.11245792</v>
      </c>
      <c r="K27" s="13">
        <v>26621</v>
      </c>
      <c r="L27" s="13">
        <v>6105</v>
      </c>
      <c r="M27" s="39">
        <v>6917</v>
      </c>
      <c r="N27" s="39">
        <v>0.81943999999999995</v>
      </c>
      <c r="O27" s="13">
        <v>1275</v>
      </c>
      <c r="P27" s="13">
        <v>0.70428259999999998</v>
      </c>
      <c r="Q27" s="39">
        <v>4192</v>
      </c>
      <c r="R27" s="13">
        <v>0.29095409999999999</v>
      </c>
      <c r="S27" s="13">
        <v>18739</v>
      </c>
      <c r="T27" s="13">
        <v>11078.39</v>
      </c>
      <c r="U27" s="39">
        <v>573200</v>
      </c>
      <c r="V27" s="39">
        <v>1.3964000000000001E-2</v>
      </c>
      <c r="W27" s="57">
        <v>22886.6</v>
      </c>
      <c r="X27" s="13">
        <v>1177701</v>
      </c>
      <c r="Y27" s="57">
        <v>34686</v>
      </c>
      <c r="Z27" s="57">
        <v>1041</v>
      </c>
      <c r="AA27" s="13">
        <v>2.65</v>
      </c>
    </row>
    <row r="28" spans="1:27" x14ac:dyDescent="0.25">
      <c r="A28" t="s">
        <v>24</v>
      </c>
      <c r="B28" s="13">
        <v>3</v>
      </c>
      <c r="C28" s="13">
        <v>2021</v>
      </c>
      <c r="D28" s="39">
        <v>700000</v>
      </c>
      <c r="E28" s="55">
        <v>2.8923600000000001E-2</v>
      </c>
      <c r="F28" s="13">
        <v>1500</v>
      </c>
      <c r="G28" s="64">
        <v>1005597.82</v>
      </c>
      <c r="H28" s="65">
        <v>30612.056889</v>
      </c>
      <c r="I28" s="43">
        <v>41580</v>
      </c>
      <c r="J28" s="13">
        <v>0.11245792</v>
      </c>
      <c r="K28" s="13">
        <v>25210</v>
      </c>
      <c r="L28" s="13">
        <v>5781</v>
      </c>
      <c r="M28" s="39">
        <v>10635</v>
      </c>
      <c r="N28" s="54">
        <v>0.79508000000000001</v>
      </c>
      <c r="O28" s="13">
        <v>2934</v>
      </c>
      <c r="P28" s="13">
        <v>0.64114550000000003</v>
      </c>
      <c r="Q28" s="39">
        <v>5177</v>
      </c>
      <c r="R28" s="13">
        <v>0.21736</v>
      </c>
      <c r="S28" s="13">
        <v>20549</v>
      </c>
      <c r="T28" s="13">
        <v>12484.32</v>
      </c>
      <c r="U28" s="39">
        <v>906200</v>
      </c>
      <c r="V28" s="39">
        <v>1.5198E-2</v>
      </c>
      <c r="W28" s="57">
        <v>22886.6</v>
      </c>
      <c r="X28" s="13">
        <v>1287195</v>
      </c>
      <c r="Y28" s="39">
        <v>38119</v>
      </c>
      <c r="Z28" s="39">
        <v>3258</v>
      </c>
      <c r="AA28" s="13">
        <v>2.65</v>
      </c>
    </row>
    <row r="29" spans="1:27" x14ac:dyDescent="0.25">
      <c r="A29" t="s">
        <v>24</v>
      </c>
      <c r="B29" s="13">
        <v>4</v>
      </c>
      <c r="C29" s="13">
        <v>2021</v>
      </c>
      <c r="D29" s="39">
        <v>871434</v>
      </c>
      <c r="E29" s="55">
        <v>2.8923600000000001E-2</v>
      </c>
      <c r="F29" s="13">
        <v>1500</v>
      </c>
      <c r="G29" s="43">
        <v>1510455</v>
      </c>
      <c r="H29" s="43">
        <v>33394</v>
      </c>
      <c r="I29" s="43">
        <v>38610</v>
      </c>
      <c r="J29" s="13">
        <v>0.11245792</v>
      </c>
      <c r="K29" s="13">
        <v>26145</v>
      </c>
      <c r="L29" s="13">
        <v>5996</v>
      </c>
      <c r="M29" s="39">
        <v>9508</v>
      </c>
      <c r="N29" s="39">
        <v>0.80095300000000003</v>
      </c>
      <c r="O29" s="13">
        <v>3921</v>
      </c>
      <c r="P29" s="13">
        <v>0.62146999999999997</v>
      </c>
      <c r="Q29" s="39">
        <v>5020</v>
      </c>
      <c r="R29" s="13">
        <v>0.27392</v>
      </c>
      <c r="S29" s="13">
        <v>24739</v>
      </c>
      <c r="T29" s="13">
        <v>14381.53</v>
      </c>
      <c r="U29" s="39">
        <v>1243000</v>
      </c>
      <c r="V29" s="39">
        <v>1.5656E-2</v>
      </c>
      <c r="W29" s="57">
        <v>22886.6</v>
      </c>
      <c r="X29" s="13">
        <v>1510455</v>
      </c>
      <c r="Y29" s="39">
        <v>44539</v>
      </c>
      <c r="Z29" s="39">
        <v>2640</v>
      </c>
      <c r="AA29" s="13">
        <v>2.65</v>
      </c>
    </row>
    <row r="30" spans="1:27" x14ac:dyDescent="0.25">
      <c r="A30" t="s">
        <v>24</v>
      </c>
      <c r="B30" s="13">
        <v>5</v>
      </c>
      <c r="C30" s="13">
        <v>2021</v>
      </c>
      <c r="D30" s="39">
        <v>963856</v>
      </c>
      <c r="E30" s="55">
        <v>2.9000000000000001E-2</v>
      </c>
      <c r="F30" s="13">
        <v>1500</v>
      </c>
      <c r="G30" s="43">
        <v>1659519</v>
      </c>
      <c r="H30" s="64">
        <v>33743.876892450004</v>
      </c>
      <c r="I30" s="13">
        <v>41580</v>
      </c>
      <c r="J30" s="13">
        <v>0.11245792</v>
      </c>
      <c r="K30" s="13">
        <v>14940</v>
      </c>
      <c r="L30" s="13">
        <v>4008</v>
      </c>
      <c r="M30" s="39">
        <v>9225</v>
      </c>
      <c r="N30" s="54">
        <v>0.80214525739999998</v>
      </c>
      <c r="O30" s="13">
        <v>6489</v>
      </c>
      <c r="P30" s="13">
        <v>0.59833000000000003</v>
      </c>
      <c r="Q30" s="39">
        <v>5701</v>
      </c>
      <c r="R30" s="13">
        <v>0.26369999999999999</v>
      </c>
      <c r="S30" s="13">
        <v>22718</v>
      </c>
      <c r="T30" s="13">
        <v>13401.47</v>
      </c>
      <c r="U30" s="39">
        <v>1928600</v>
      </c>
      <c r="V30" s="39">
        <v>1.5434E-2</v>
      </c>
      <c r="W30" s="39">
        <v>22887</v>
      </c>
      <c r="X30" s="13">
        <v>1659519</v>
      </c>
      <c r="Y30" s="57">
        <v>51458.34</v>
      </c>
      <c r="Z30" s="39">
        <v>2613</v>
      </c>
      <c r="AA30" s="13">
        <v>2.65</v>
      </c>
    </row>
    <row r="31" spans="1:27" x14ac:dyDescent="0.25">
      <c r="A31" t="s">
        <v>24</v>
      </c>
      <c r="B31" s="13">
        <v>6</v>
      </c>
      <c r="C31" s="13">
        <v>2021</v>
      </c>
      <c r="D31" s="39">
        <v>638000</v>
      </c>
      <c r="E31" s="39">
        <v>2.8902600000000001E-2</v>
      </c>
      <c r="F31" s="13">
        <v>1500</v>
      </c>
      <c r="G31" s="43">
        <v>2020549</v>
      </c>
      <c r="H31" s="64">
        <v>36709.769999999997</v>
      </c>
      <c r="I31" s="13">
        <v>23760</v>
      </c>
      <c r="J31" s="13">
        <v>0.11245792</v>
      </c>
      <c r="K31" s="13">
        <v>17430</v>
      </c>
      <c r="L31" s="13">
        <v>3997</v>
      </c>
      <c r="M31" s="39">
        <v>3055</v>
      </c>
      <c r="N31" s="39">
        <v>0.90764648000000003</v>
      </c>
      <c r="O31" s="13">
        <v>8844</v>
      </c>
      <c r="P31" s="13">
        <v>0.58892480000000003</v>
      </c>
      <c r="Q31" s="39">
        <v>2388</v>
      </c>
      <c r="R31" s="13">
        <v>0.36873</v>
      </c>
      <c r="S31" s="13">
        <v>30377</v>
      </c>
      <c r="T31" s="13">
        <v>16981.71</v>
      </c>
      <c r="U31" s="39">
        <v>1609200</v>
      </c>
      <c r="V31" s="39">
        <v>1.5602039999999999E-2</v>
      </c>
      <c r="W31" s="57">
        <v>22886.6</v>
      </c>
      <c r="X31" s="13">
        <v>2020549</v>
      </c>
      <c r="Y31" s="57">
        <v>64516.67</v>
      </c>
      <c r="Z31" s="39">
        <v>812</v>
      </c>
      <c r="AA31" s="13">
        <v>2.65</v>
      </c>
    </row>
    <row r="32" spans="1:27" x14ac:dyDescent="0.25">
      <c r="A32" t="s">
        <v>24</v>
      </c>
      <c r="B32" s="13">
        <v>7</v>
      </c>
      <c r="C32" s="13">
        <v>2021</v>
      </c>
      <c r="D32" s="39">
        <v>1059000</v>
      </c>
      <c r="E32" s="39">
        <v>2.8938999999999999E-2</v>
      </c>
      <c r="F32" s="13">
        <v>1500</v>
      </c>
      <c r="G32" s="64">
        <v>1176389.287</v>
      </c>
      <c r="H32" s="64">
        <v>38179</v>
      </c>
      <c r="I32" s="13">
        <v>47520</v>
      </c>
      <c r="J32" s="13">
        <v>0.11245792</v>
      </c>
      <c r="K32" s="13">
        <v>17430</v>
      </c>
      <c r="L32" s="13">
        <v>3997</v>
      </c>
      <c r="M32" s="39">
        <v>11764</v>
      </c>
      <c r="N32" s="39">
        <v>0.79089849999999995</v>
      </c>
      <c r="O32" s="13">
        <v>6676</v>
      </c>
      <c r="P32" s="13">
        <v>0.59733999999999998</v>
      </c>
      <c r="Q32" s="39">
        <v>7327</v>
      </c>
      <c r="R32" s="13">
        <v>0.24690300000000001</v>
      </c>
      <c r="S32" s="14">
        <v>29718</v>
      </c>
      <c r="T32" s="13">
        <v>16775.72</v>
      </c>
      <c r="U32" s="58">
        <v>3132900</v>
      </c>
      <c r="V32" s="39">
        <v>1.5630479999999999E-2</v>
      </c>
      <c r="W32" s="39">
        <v>22886</v>
      </c>
      <c r="X32" s="13">
        <v>2157301</v>
      </c>
      <c r="Y32" s="39">
        <v>68858</v>
      </c>
      <c r="Z32" s="39">
        <v>4191</v>
      </c>
      <c r="AA32" s="13">
        <v>2.65</v>
      </c>
    </row>
    <row r="33" spans="1:28" x14ac:dyDescent="0.25">
      <c r="A33" t="s">
        <v>24</v>
      </c>
      <c r="B33" s="13">
        <v>8</v>
      </c>
      <c r="C33" s="13">
        <v>2021</v>
      </c>
      <c r="D33" s="39">
        <v>1209000</v>
      </c>
      <c r="E33" s="39">
        <v>2.894685E-2</v>
      </c>
      <c r="F33" s="13">
        <v>1500</v>
      </c>
      <c r="G33" s="43">
        <v>1201398</v>
      </c>
      <c r="H33" s="64">
        <v>35556</v>
      </c>
      <c r="I33" s="13">
        <v>44550</v>
      </c>
      <c r="J33" s="13">
        <v>0.11245792</v>
      </c>
      <c r="K33" s="13">
        <v>17430</v>
      </c>
      <c r="L33" s="13">
        <v>3997</v>
      </c>
      <c r="M33" s="60">
        <v>15468</v>
      </c>
      <c r="N33" s="60">
        <v>0.78109904299999999</v>
      </c>
      <c r="O33" s="59">
        <v>6317</v>
      </c>
      <c r="P33" s="59">
        <v>0.59928999999999999</v>
      </c>
      <c r="Q33" s="60">
        <v>10689</v>
      </c>
      <c r="R33" s="59">
        <v>0.386436</v>
      </c>
      <c r="S33" s="59">
        <v>28756</v>
      </c>
      <c r="T33" s="13">
        <v>15913.45</v>
      </c>
      <c r="U33" s="39">
        <v>3301200</v>
      </c>
      <c r="V33" s="39">
        <v>1.6230430000000001E-2</v>
      </c>
      <c r="W33" s="39">
        <v>22886</v>
      </c>
      <c r="X33" s="13">
        <v>2056692</v>
      </c>
      <c r="Y33" s="57">
        <v>68353.64</v>
      </c>
      <c r="Z33" s="39">
        <v>5785</v>
      </c>
      <c r="AA33" s="13">
        <v>2.65</v>
      </c>
    </row>
    <row r="34" spans="1:28" x14ac:dyDescent="0.25">
      <c r="A34" t="s">
        <v>24</v>
      </c>
      <c r="B34" s="13">
        <v>9</v>
      </c>
      <c r="C34" s="13">
        <v>2021</v>
      </c>
      <c r="D34" s="39">
        <v>1266773</v>
      </c>
      <c r="E34" s="61">
        <v>2.9000002E-2</v>
      </c>
      <c r="F34" s="13">
        <v>1500</v>
      </c>
      <c r="G34" s="43">
        <v>1075058</v>
      </c>
      <c r="H34" s="43">
        <v>36280</v>
      </c>
      <c r="I34" s="13">
        <v>50490</v>
      </c>
      <c r="J34" s="13">
        <v>0.11245792</v>
      </c>
      <c r="K34" s="13">
        <v>22410</v>
      </c>
      <c r="L34" s="13">
        <v>5139</v>
      </c>
      <c r="M34" s="60">
        <v>13320</v>
      </c>
      <c r="N34" s="60">
        <v>0.78611379999999997</v>
      </c>
      <c r="O34" s="59">
        <v>5892</v>
      </c>
      <c r="P34" s="59">
        <v>0.60191360000000005</v>
      </c>
      <c r="Q34" s="60">
        <v>9600</v>
      </c>
      <c r="R34" s="59">
        <v>0.23295660000000001</v>
      </c>
      <c r="S34" s="59">
        <v>27036</v>
      </c>
      <c r="T34" s="13">
        <v>15048.6</v>
      </c>
      <c r="U34" s="39">
        <v>3046800</v>
      </c>
      <c r="V34" s="39">
        <v>1.45641E-2</v>
      </c>
      <c r="W34" s="39">
        <v>22886</v>
      </c>
      <c r="X34" s="43">
        <v>2112288</v>
      </c>
      <c r="Y34" s="70">
        <v>69898</v>
      </c>
      <c r="Z34" s="70">
        <v>5241</v>
      </c>
      <c r="AA34" s="13">
        <v>2.65</v>
      </c>
    </row>
    <row r="35" spans="1:28" x14ac:dyDescent="0.25">
      <c r="A35" t="s">
        <v>24</v>
      </c>
      <c r="B35" s="13">
        <v>10</v>
      </c>
      <c r="C35" s="13">
        <v>2021</v>
      </c>
      <c r="D35" s="39">
        <v>1230000</v>
      </c>
      <c r="E35" s="39">
        <v>3.3873599999999997E-2</v>
      </c>
      <c r="F35" s="13">
        <v>1500</v>
      </c>
      <c r="G35" s="43">
        <v>1075058</v>
      </c>
      <c r="H35" s="43">
        <v>32622</v>
      </c>
      <c r="I35" s="13">
        <v>50490</v>
      </c>
      <c r="J35" s="13">
        <v>0.11245792</v>
      </c>
      <c r="K35" s="13">
        <v>18675</v>
      </c>
      <c r="L35" s="13">
        <v>4283</v>
      </c>
      <c r="M35" s="39">
        <v>13733</v>
      </c>
      <c r="N35" s="39">
        <v>0.78502802999999999</v>
      </c>
      <c r="O35" s="13">
        <v>4537</v>
      </c>
      <c r="P35" s="13">
        <v>0.61353500000000005</v>
      </c>
      <c r="Q35" s="39">
        <v>9458</v>
      </c>
      <c r="R35" s="13">
        <v>0.2336318</v>
      </c>
      <c r="S35" s="13">
        <v>30213</v>
      </c>
      <c r="T35" s="13">
        <v>16566.95</v>
      </c>
      <c r="U35" s="39">
        <f>2664.5*1000</f>
        <v>2664500</v>
      </c>
      <c r="V35" s="39">
        <v>1.5661738000000001E-2</v>
      </c>
      <c r="W35" s="39">
        <v>22886</v>
      </c>
      <c r="X35" s="43">
        <v>1926072</v>
      </c>
      <c r="Y35" s="71">
        <v>66874.54500141149</v>
      </c>
      <c r="Z35" s="70">
        <v>4753</v>
      </c>
      <c r="AA35" s="13">
        <v>2.65</v>
      </c>
    </row>
    <row r="36" spans="1:28" x14ac:dyDescent="0.25">
      <c r="A36" s="76" t="s">
        <v>24</v>
      </c>
      <c r="B36" s="43">
        <v>11</v>
      </c>
      <c r="C36" s="43">
        <v>2021</v>
      </c>
      <c r="D36" s="70">
        <v>1144000</v>
      </c>
      <c r="E36" s="70">
        <v>2.8947569999999999E-2</v>
      </c>
      <c r="F36" s="43">
        <v>1500</v>
      </c>
      <c r="G36" s="64">
        <v>1184097.4280000001</v>
      </c>
      <c r="H36" s="64">
        <v>35779.620540600001</v>
      </c>
      <c r="I36" s="43">
        <v>59400</v>
      </c>
      <c r="J36" s="43">
        <v>0.11245792</v>
      </c>
      <c r="K36" s="43">
        <v>21165</v>
      </c>
      <c r="L36" s="43">
        <v>4854</v>
      </c>
      <c r="M36" s="70">
        <v>14820</v>
      </c>
      <c r="N36" s="39">
        <v>0.78245799999999999</v>
      </c>
      <c r="O36" s="13">
        <v>2158</v>
      </c>
      <c r="P36" s="13">
        <v>0.66924600000000001</v>
      </c>
      <c r="Q36" s="39">
        <v>8456</v>
      </c>
      <c r="R36" s="13">
        <v>0.239038</v>
      </c>
      <c r="S36" s="13">
        <v>27954</v>
      </c>
      <c r="T36" s="13">
        <v>16245.48</v>
      </c>
      <c r="U36" s="39">
        <v>1878700</v>
      </c>
      <c r="V36" s="39">
        <v>1.5812455E-2</v>
      </c>
      <c r="W36" s="39">
        <v>22886</v>
      </c>
      <c r="X36" s="43">
        <v>1654033</v>
      </c>
      <c r="Y36" s="81">
        <v>47630.213551646782</v>
      </c>
      <c r="Z36" s="70">
        <v>5740</v>
      </c>
      <c r="AA36" s="13">
        <v>2.65</v>
      </c>
    </row>
    <row r="37" spans="1:28" x14ac:dyDescent="0.25">
      <c r="A37" s="76" t="s">
        <v>24</v>
      </c>
      <c r="B37" s="43">
        <v>12</v>
      </c>
      <c r="C37" s="43">
        <v>2021</v>
      </c>
      <c r="D37" s="70">
        <v>1120000</v>
      </c>
      <c r="E37" s="70">
        <v>2.8944535E-2</v>
      </c>
      <c r="F37" s="43">
        <v>1500</v>
      </c>
      <c r="G37" s="64">
        <v>1110482.807</v>
      </c>
      <c r="H37" s="64">
        <v>33648.477262650005</v>
      </c>
      <c r="I37" s="43">
        <v>71280</v>
      </c>
      <c r="J37" s="43">
        <v>0.11245792</v>
      </c>
      <c r="K37" s="43">
        <v>34860</v>
      </c>
      <c r="L37" s="43">
        <v>7995</v>
      </c>
      <c r="M37" s="70">
        <v>14807</v>
      </c>
      <c r="N37" s="39">
        <v>0.78248700000000004</v>
      </c>
      <c r="O37" s="13">
        <v>1436</v>
      </c>
      <c r="P37" s="13">
        <v>0.722665</v>
      </c>
      <c r="Q37" s="39">
        <v>8720</v>
      </c>
      <c r="R37" s="13">
        <v>0.23752000000000001</v>
      </c>
      <c r="S37" s="13">
        <v>27457</v>
      </c>
      <c r="T37" s="13">
        <v>15031.3</v>
      </c>
      <c r="U37" s="62">
        <v>1189000</v>
      </c>
      <c r="V37" s="63">
        <v>1.4834200000000001E-2</v>
      </c>
      <c r="W37" s="39">
        <v>22886</v>
      </c>
      <c r="X37" s="43">
        <v>1425969</v>
      </c>
      <c r="Y37" s="70">
        <v>39830</v>
      </c>
      <c r="Z37" s="70">
        <v>4593</v>
      </c>
      <c r="AA37" s="13">
        <v>2.65</v>
      </c>
    </row>
    <row r="38" spans="1:28" x14ac:dyDescent="0.25">
      <c r="A38" s="76" t="s">
        <v>24</v>
      </c>
      <c r="B38" s="43">
        <v>1</v>
      </c>
      <c r="C38" s="43">
        <v>2022</v>
      </c>
      <c r="D38" s="70">
        <v>1150000</v>
      </c>
      <c r="E38" s="70">
        <v>2.8942269999999999E-2</v>
      </c>
      <c r="F38" s="43">
        <v>1500</v>
      </c>
      <c r="G38" s="43">
        <v>1099478</v>
      </c>
      <c r="H38" s="64">
        <v>33329.888099999996</v>
      </c>
      <c r="I38" s="43">
        <v>74250</v>
      </c>
      <c r="J38" s="43">
        <v>0.11245792</v>
      </c>
      <c r="K38" s="64">
        <v>132118.03080000001</v>
      </c>
      <c r="L38" s="64">
        <v>8004.8689302400007</v>
      </c>
      <c r="M38" s="70">
        <v>12839</v>
      </c>
      <c r="N38" s="39">
        <v>0.72313380000000005</v>
      </c>
      <c r="O38" s="13">
        <v>773</v>
      </c>
      <c r="P38" s="13">
        <v>0.4361659</v>
      </c>
      <c r="Q38" s="39">
        <v>8044</v>
      </c>
      <c r="R38" s="13">
        <v>0.24165340599999999</v>
      </c>
      <c r="S38" s="13">
        <v>29073</v>
      </c>
      <c r="T38" s="13">
        <v>16070</v>
      </c>
      <c r="U38" s="62">
        <v>832200</v>
      </c>
      <c r="V38" s="68">
        <v>1.5138344099999999E-2</v>
      </c>
      <c r="W38" s="57">
        <v>22752.400000000001</v>
      </c>
      <c r="X38" s="64">
        <v>934634.9581486953</v>
      </c>
      <c r="Y38" s="71">
        <v>38232</v>
      </c>
      <c r="Z38" s="70">
        <v>3413</v>
      </c>
      <c r="AA38" s="13">
        <v>2.65</v>
      </c>
      <c r="AB38" s="67">
        <f>237*31*0.339</f>
        <v>2490.6330000000003</v>
      </c>
    </row>
    <row r="39" spans="1:28" x14ac:dyDescent="0.25">
      <c r="A39" s="76" t="s">
        <v>24</v>
      </c>
      <c r="B39" s="43">
        <v>2</v>
      </c>
      <c r="C39" s="43">
        <v>2022</v>
      </c>
      <c r="D39" s="70">
        <v>1005000</v>
      </c>
      <c r="E39" s="70">
        <v>2.8940319999999999E-2</v>
      </c>
      <c r="F39" s="43">
        <v>1500</v>
      </c>
      <c r="G39" s="43">
        <v>1001714</v>
      </c>
      <c r="H39" s="64">
        <v>30499.620299999999</v>
      </c>
      <c r="I39" s="43">
        <v>68310</v>
      </c>
      <c r="J39" s="43">
        <v>0.11245792</v>
      </c>
      <c r="K39" s="64">
        <v>110205.83517959999</v>
      </c>
      <c r="L39" s="64">
        <v>6677.1382663300001</v>
      </c>
      <c r="M39" s="78">
        <v>11977</v>
      </c>
      <c r="N39" s="39">
        <v>0.78978791999999998</v>
      </c>
      <c r="O39" s="13">
        <v>1328</v>
      </c>
      <c r="P39" s="13">
        <v>0.73226400000000003</v>
      </c>
      <c r="Q39" s="39">
        <v>7089</v>
      </c>
      <c r="R39" s="13">
        <v>0.24888136</v>
      </c>
      <c r="S39" s="13">
        <v>23431</v>
      </c>
      <c r="T39" s="13">
        <v>13553</v>
      </c>
      <c r="U39" s="24">
        <v>844200</v>
      </c>
      <c r="V39" s="68">
        <v>1.5849452699999999E-2</v>
      </c>
      <c r="W39" s="39">
        <v>22572</v>
      </c>
      <c r="X39" s="64">
        <v>747564.77104874456</v>
      </c>
      <c r="Y39" s="71">
        <v>35363</v>
      </c>
      <c r="Z39" s="70">
        <v>3987</v>
      </c>
      <c r="AA39" s="13">
        <v>2.65</v>
      </c>
      <c r="AB39" s="67">
        <f>237*29*0.322</f>
        <v>2213.1060000000002</v>
      </c>
    </row>
    <row r="40" spans="1:28" x14ac:dyDescent="0.25">
      <c r="A40" s="76" t="s">
        <v>24</v>
      </c>
      <c r="B40" s="43">
        <v>3</v>
      </c>
      <c r="C40" s="43">
        <v>2022</v>
      </c>
      <c r="D40" s="70">
        <v>1126000</v>
      </c>
      <c r="E40" s="70">
        <v>2.8942939000000001E-2</v>
      </c>
      <c r="F40" s="43">
        <v>1500</v>
      </c>
      <c r="G40" s="43">
        <v>1072278</v>
      </c>
      <c r="H40" s="64">
        <v>32542.448100000001</v>
      </c>
      <c r="I40" s="43">
        <v>65340</v>
      </c>
      <c r="J40" s="43">
        <v>0.11245792</v>
      </c>
      <c r="K40" s="64">
        <v>104806.70204400001</v>
      </c>
      <c r="L40" s="64">
        <v>6350.0162186999996</v>
      </c>
      <c r="M40" s="44">
        <v>16490</v>
      </c>
      <c r="N40" s="39">
        <v>0.77889878000000001</v>
      </c>
      <c r="O40" s="13">
        <v>1432</v>
      </c>
      <c r="P40" s="13">
        <v>0.71997129999999998</v>
      </c>
      <c r="Q40" s="57">
        <v>8892</v>
      </c>
      <c r="R40" s="13">
        <v>0.2365362</v>
      </c>
      <c r="S40" s="43">
        <v>24156</v>
      </c>
      <c r="T40" s="43">
        <v>14380</v>
      </c>
      <c r="U40" s="24">
        <v>1196600</v>
      </c>
      <c r="V40" s="68">
        <v>1.555664E-2</v>
      </c>
      <c r="W40" s="70">
        <v>22572</v>
      </c>
      <c r="X40" s="64">
        <v>985475.60315115727</v>
      </c>
      <c r="Y40" s="71">
        <v>39011</v>
      </c>
      <c r="Z40" s="70">
        <v>5988</v>
      </c>
      <c r="AA40" s="13">
        <v>2.65</v>
      </c>
      <c r="AB40" s="67">
        <f>237*31*0.446</f>
        <v>3276.7620000000002</v>
      </c>
    </row>
    <row r="41" spans="1:28" x14ac:dyDescent="0.25">
      <c r="A41" s="76" t="s">
        <v>24</v>
      </c>
      <c r="B41" s="43">
        <v>4</v>
      </c>
      <c r="C41" s="43">
        <v>2022</v>
      </c>
      <c r="D41" s="75">
        <v>1055000</v>
      </c>
      <c r="E41" s="75">
        <v>2.8941117999999998E-2</v>
      </c>
      <c r="F41" s="43">
        <v>1500</v>
      </c>
      <c r="G41" s="43">
        <v>1128940</v>
      </c>
      <c r="H41" s="64">
        <v>34182.812999999995</v>
      </c>
      <c r="I41" s="43">
        <v>47520</v>
      </c>
      <c r="J41" s="43">
        <v>0.11245792</v>
      </c>
      <c r="K41" s="64">
        <v>100042.761042</v>
      </c>
      <c r="L41" s="64">
        <v>6061.3791178499996</v>
      </c>
      <c r="M41" s="70">
        <v>10232</v>
      </c>
      <c r="N41" s="39">
        <v>0.79657359000000005</v>
      </c>
      <c r="O41" s="13">
        <v>6466</v>
      </c>
      <c r="P41" s="13">
        <v>0.59776384000000005</v>
      </c>
      <c r="Q41" s="39">
        <v>5917</v>
      </c>
      <c r="R41" s="13">
        <v>0.26093966000000002</v>
      </c>
      <c r="S41" s="43">
        <v>25498</v>
      </c>
      <c r="T41" s="43">
        <v>14783</v>
      </c>
      <c r="U41" s="24">
        <v>1433200</v>
      </c>
      <c r="V41" s="72">
        <v>1.5508052E-2</v>
      </c>
      <c r="W41" s="70">
        <v>22572</v>
      </c>
      <c r="X41" s="64">
        <v>1430425.8247168884</v>
      </c>
      <c r="Y41" s="71">
        <v>45835</v>
      </c>
      <c r="Z41" s="70">
        <v>1297</v>
      </c>
      <c r="AA41" s="13">
        <v>2.65</v>
      </c>
      <c r="AB41" s="67">
        <f>237*30*0.225</f>
        <v>1599.75</v>
      </c>
    </row>
    <row r="42" spans="1:28" x14ac:dyDescent="0.25">
      <c r="A42" s="76" t="s">
        <v>24</v>
      </c>
      <c r="B42" s="43">
        <v>5</v>
      </c>
      <c r="C42" s="43">
        <v>2022</v>
      </c>
      <c r="D42" s="75">
        <v>1282000</v>
      </c>
      <c r="E42" s="75">
        <v>2.8949882E-2</v>
      </c>
      <c r="F42" s="43">
        <v>1500</v>
      </c>
      <c r="G42" s="43">
        <v>1141128</v>
      </c>
      <c r="H42" s="64">
        <v>34535.655599999998</v>
      </c>
      <c r="I42" s="43">
        <v>62370</v>
      </c>
      <c r="J42" s="43">
        <v>0.11245792</v>
      </c>
      <c r="K42" s="64">
        <v>57167.292024000002</v>
      </c>
      <c r="L42" s="64">
        <v>3463.6452101999998</v>
      </c>
      <c r="M42" s="70">
        <v>15806</v>
      </c>
      <c r="N42" s="39">
        <v>0.78014937299999998</v>
      </c>
      <c r="O42" s="13">
        <v>5700</v>
      </c>
      <c r="P42" s="13">
        <v>0.60243561400000001</v>
      </c>
      <c r="Q42" s="39">
        <v>9512</v>
      </c>
      <c r="R42" s="13">
        <v>0.233372582</v>
      </c>
      <c r="S42" s="43">
        <v>23310</v>
      </c>
      <c r="T42" s="43">
        <v>13713</v>
      </c>
      <c r="U42" s="24">
        <v>2230200</v>
      </c>
      <c r="V42" s="73">
        <v>1.5445641600000001E-2</v>
      </c>
      <c r="W42" s="70">
        <v>22572</v>
      </c>
      <c r="X42" s="64">
        <v>1909871.1472181191</v>
      </c>
      <c r="Y42" s="71">
        <v>53187</v>
      </c>
      <c r="Z42" s="70">
        <v>4712</v>
      </c>
      <c r="AA42" s="13">
        <v>2.65</v>
      </c>
      <c r="AB42" s="67">
        <f>237*31*0.497</f>
        <v>3651.4589999999998</v>
      </c>
    </row>
    <row r="43" spans="1:28" x14ac:dyDescent="0.25">
      <c r="A43" s="76" t="s">
        <v>24</v>
      </c>
      <c r="B43" s="43">
        <v>6</v>
      </c>
      <c r="C43" s="43">
        <v>2022</v>
      </c>
      <c r="D43" s="70">
        <v>1240000</v>
      </c>
      <c r="E43" s="75">
        <v>2.8949902999999999E-2</v>
      </c>
      <c r="F43" s="43">
        <v>1500</v>
      </c>
      <c r="G43" s="43">
        <v>1247090</v>
      </c>
      <c r="H43" s="64">
        <v>37603.255499999999</v>
      </c>
      <c r="I43" s="43">
        <v>53460</v>
      </c>
      <c r="J43" s="43">
        <v>0.11245792</v>
      </c>
      <c r="K43" s="64">
        <v>66695.174027999994</v>
      </c>
      <c r="L43" s="64">
        <v>4040.9194118999999</v>
      </c>
      <c r="M43" s="70">
        <v>15393</v>
      </c>
      <c r="N43" s="39">
        <v>0.78095829272999995</v>
      </c>
      <c r="O43" s="13">
        <v>6241</v>
      </c>
      <c r="P43" s="13">
        <v>0.59901714399999995</v>
      </c>
      <c r="Q43" s="39">
        <v>9597</v>
      </c>
      <c r="R43" s="13">
        <v>0.23297071999999999</v>
      </c>
      <c r="S43" s="43">
        <v>31208</v>
      </c>
      <c r="T43" s="43">
        <v>17402</v>
      </c>
      <c r="U43" s="24">
        <v>2775800</v>
      </c>
      <c r="V43" s="26">
        <v>1.5749852290000001E-2</v>
      </c>
      <c r="W43" s="70">
        <v>22572</v>
      </c>
      <c r="X43" s="64">
        <v>2814803.9881831612</v>
      </c>
      <c r="Y43" s="71">
        <v>67065</v>
      </c>
      <c r="Z43" s="70">
        <v>4305</v>
      </c>
      <c r="AA43" s="13">
        <v>2.65</v>
      </c>
      <c r="AB43" s="67">
        <f>237*30*0.523</f>
        <v>3718.53</v>
      </c>
    </row>
    <row r="44" spans="1:28" x14ac:dyDescent="0.25">
      <c r="A44" s="76" t="s">
        <v>24</v>
      </c>
      <c r="B44" s="43">
        <v>7</v>
      </c>
      <c r="C44" s="43">
        <v>2022</v>
      </c>
      <c r="D44" s="70">
        <v>1199000</v>
      </c>
      <c r="E44" s="75">
        <v>2.89481901E-2</v>
      </c>
      <c r="F44" s="43">
        <v>1500</v>
      </c>
      <c r="G44" s="43">
        <v>1299228</v>
      </c>
      <c r="H44" s="64">
        <v>39112.650600000001</v>
      </c>
      <c r="I44" s="43">
        <v>47520</v>
      </c>
      <c r="J44" s="43">
        <v>0.11245792</v>
      </c>
      <c r="K44" s="64">
        <v>66695.174027999994</v>
      </c>
      <c r="L44" s="64">
        <v>4040.9194118999999</v>
      </c>
      <c r="M44" s="70">
        <v>17219</v>
      </c>
      <c r="N44" s="39">
        <v>0.77767529999999996</v>
      </c>
      <c r="O44" s="13">
        <v>6935</v>
      </c>
      <c r="P44" s="13">
        <v>0.59541279999999996</v>
      </c>
      <c r="Q44" s="39">
        <v>11831</v>
      </c>
      <c r="R44" s="13">
        <v>0.22447900000000001</v>
      </c>
      <c r="S44" s="43">
        <v>30525</v>
      </c>
      <c r="T44" s="43">
        <v>17189</v>
      </c>
      <c r="U44" s="24">
        <v>3415300</v>
      </c>
      <c r="V44" s="74">
        <v>1.589494E-2</v>
      </c>
      <c r="W44" s="71">
        <v>22572</v>
      </c>
      <c r="X44" s="64">
        <v>3115655.1698670611</v>
      </c>
      <c r="Y44" s="71">
        <v>71679</v>
      </c>
      <c r="Z44" s="70">
        <v>4816</v>
      </c>
      <c r="AA44" s="13">
        <v>2.65</v>
      </c>
      <c r="AB44" s="67">
        <f>237*31*0.492</f>
        <v>3614.7240000000002</v>
      </c>
    </row>
    <row r="45" spans="1:28" x14ac:dyDescent="0.25">
      <c r="A45" s="76" t="s">
        <v>24</v>
      </c>
      <c r="B45" s="43">
        <v>8</v>
      </c>
      <c r="C45" s="43">
        <v>2022</v>
      </c>
      <c r="D45" s="75">
        <v>1212000</v>
      </c>
      <c r="E45" s="75">
        <v>2.8945230999999998E-2</v>
      </c>
      <c r="F45" s="43">
        <v>1500</v>
      </c>
      <c r="G45" s="43">
        <v>1205728</v>
      </c>
      <c r="H45" s="64">
        <v>36405.825599999996</v>
      </c>
      <c r="I45" s="43">
        <v>53460</v>
      </c>
      <c r="J45" s="43">
        <v>0.11245792</v>
      </c>
      <c r="K45" s="64">
        <v>66695.174027999994</v>
      </c>
      <c r="L45" s="64">
        <v>4040.9194118999999</v>
      </c>
      <c r="M45" s="70">
        <v>15148</v>
      </c>
      <c r="N45" s="39">
        <v>0.78145900440000005</v>
      </c>
      <c r="O45" s="13">
        <v>5516</v>
      </c>
      <c r="P45" s="13">
        <v>0.60375108769999997</v>
      </c>
      <c r="Q45" s="39">
        <v>10016</v>
      </c>
      <c r="R45" s="13">
        <v>0.231089257188</v>
      </c>
      <c r="S45" s="43">
        <v>29530</v>
      </c>
      <c r="T45" s="43">
        <v>16296</v>
      </c>
      <c r="U45" s="24">
        <v>3360200</v>
      </c>
      <c r="V45" s="74">
        <v>1.563039402E-2</v>
      </c>
      <c r="W45" s="71">
        <v>22572</v>
      </c>
      <c r="X45" s="64">
        <v>3080703.594288528</v>
      </c>
      <c r="Y45" s="71">
        <v>71143</v>
      </c>
      <c r="Z45" s="70">
        <v>4329</v>
      </c>
      <c r="AA45" s="13">
        <v>2.65</v>
      </c>
      <c r="AB45" s="67">
        <f>237*31*0.532</f>
        <v>3908.6040000000003</v>
      </c>
    </row>
    <row r="46" spans="1:28" x14ac:dyDescent="0.25">
      <c r="A46" s="76" t="s">
        <v>24</v>
      </c>
      <c r="B46" s="43">
        <v>9</v>
      </c>
      <c r="C46" s="43">
        <v>2022</v>
      </c>
      <c r="D46" s="75">
        <v>1101000</v>
      </c>
      <c r="E46" s="75">
        <v>2.8945530000000001E-2</v>
      </c>
      <c r="F46" s="43">
        <v>1500</v>
      </c>
      <c r="G46" s="43">
        <v>1231790</v>
      </c>
      <c r="H46" s="64">
        <v>37160.320500000002</v>
      </c>
      <c r="I46" s="43">
        <v>44550</v>
      </c>
      <c r="J46" s="43">
        <v>0.11245792</v>
      </c>
      <c r="K46" s="64">
        <v>85750.938036000007</v>
      </c>
      <c r="L46" s="64">
        <v>5195.4678153000004</v>
      </c>
      <c r="M46" s="70">
        <v>15526</v>
      </c>
      <c r="N46" s="39">
        <v>0.78069045469999998</v>
      </c>
      <c r="O46" s="13">
        <v>5569</v>
      </c>
      <c r="P46" s="13">
        <v>0.60336326090000003</v>
      </c>
      <c r="Q46" s="39">
        <v>10060</v>
      </c>
      <c r="R46" s="13">
        <v>0.230900994</v>
      </c>
      <c r="S46" s="43">
        <v>27780</v>
      </c>
      <c r="T46" s="43">
        <v>15419</v>
      </c>
      <c r="U46" s="39">
        <v>2996600</v>
      </c>
      <c r="V46" s="39">
        <v>1.56504004E-2</v>
      </c>
      <c r="W46" s="71">
        <v>22572</v>
      </c>
      <c r="X46" s="64">
        <v>3187746.8980797636</v>
      </c>
      <c r="Y46" s="71">
        <v>72784</v>
      </c>
      <c r="Z46" s="70">
        <v>4538</v>
      </c>
      <c r="AA46" s="13">
        <v>2.65</v>
      </c>
      <c r="AB46" s="67">
        <f>237*30*0.4</f>
        <v>2844</v>
      </c>
    </row>
    <row r="47" spans="1:28" x14ac:dyDescent="0.25">
      <c r="A47" s="76" t="s">
        <v>24</v>
      </c>
      <c r="B47" s="43">
        <v>10</v>
      </c>
      <c r="C47" s="43">
        <v>2022</v>
      </c>
      <c r="D47" s="75">
        <v>1200000</v>
      </c>
      <c r="E47" s="75">
        <v>2.8944682999999999E-2</v>
      </c>
      <c r="F47" s="43">
        <v>1500</v>
      </c>
      <c r="G47" s="43">
        <v>1101178</v>
      </c>
      <c r="H47" s="64">
        <v>33379.1031</v>
      </c>
      <c r="I47" s="77">
        <v>53460</v>
      </c>
      <c r="J47" s="43">
        <v>0.11245792</v>
      </c>
      <c r="K47" s="64">
        <v>71459.115030000001</v>
      </c>
      <c r="L47" s="64">
        <v>4329.5565127500004</v>
      </c>
      <c r="M47" s="70">
        <v>14376</v>
      </c>
      <c r="N47" s="39">
        <v>0.78314837228709999</v>
      </c>
      <c r="O47" s="13">
        <v>2620</v>
      </c>
      <c r="P47" s="13">
        <v>0.64879503800000005</v>
      </c>
      <c r="Q47" s="39">
        <v>9471</v>
      </c>
      <c r="R47" s="13">
        <v>0.23358673799999999</v>
      </c>
      <c r="S47" s="43">
        <v>31101</v>
      </c>
      <c r="T47" s="43">
        <v>17010</v>
      </c>
      <c r="U47" s="69">
        <v>2591000</v>
      </c>
      <c r="V47" s="39">
        <v>1.5838020059999999E-2</v>
      </c>
      <c r="W47" s="71">
        <v>22572</v>
      </c>
      <c r="X47" s="64">
        <v>2978203.1511570658</v>
      </c>
      <c r="Y47" s="71">
        <v>69571</v>
      </c>
      <c r="Z47" s="70">
        <v>3736</v>
      </c>
      <c r="AA47" s="13">
        <v>2.65</v>
      </c>
      <c r="AB47" s="67">
        <f>237*31*0.457</f>
        <v>3357.5790000000002</v>
      </c>
    </row>
    <row r="48" spans="1:28" x14ac:dyDescent="0.25">
      <c r="A48" s="76" t="s">
        <v>24</v>
      </c>
      <c r="B48" s="43">
        <v>11</v>
      </c>
      <c r="C48" s="43">
        <v>2022</v>
      </c>
      <c r="D48" s="75">
        <v>1145000</v>
      </c>
      <c r="E48" s="75">
        <v>2.89457467E-2</v>
      </c>
      <c r="F48" s="43">
        <v>1500</v>
      </c>
      <c r="G48" s="43">
        <v>1213940</v>
      </c>
      <c r="H48" s="64">
        <v>36643.563000000002</v>
      </c>
      <c r="I48" s="43">
        <v>62370</v>
      </c>
      <c r="J48" s="43">
        <v>0.11245792</v>
      </c>
      <c r="K48" s="64">
        <v>80986.997034</v>
      </c>
      <c r="L48" s="64">
        <v>4906.8307144500004</v>
      </c>
      <c r="M48" s="70">
        <v>15697</v>
      </c>
      <c r="N48" s="70">
        <v>0.78035873089999996</v>
      </c>
      <c r="O48" s="43">
        <v>1809</v>
      </c>
      <c r="P48" s="13">
        <v>0.68725815367599996</v>
      </c>
      <c r="Q48" s="39">
        <v>9819</v>
      </c>
      <c r="R48" s="43">
        <v>0.23195437399999999</v>
      </c>
      <c r="S48" s="43">
        <v>28840</v>
      </c>
      <c r="T48" s="43">
        <v>16721</v>
      </c>
      <c r="U48" s="70">
        <v>1845100</v>
      </c>
      <c r="V48" s="70">
        <v>1.5821310498E-2</v>
      </c>
      <c r="W48" s="71">
        <v>22572</v>
      </c>
      <c r="X48" s="64">
        <v>1644584.3426883311</v>
      </c>
      <c r="Y48" s="71">
        <v>49119</v>
      </c>
      <c r="Z48" s="70">
        <v>5507</v>
      </c>
      <c r="AA48" s="13">
        <v>2.65</v>
      </c>
      <c r="AB48" s="67">
        <f>237*30*0.708</f>
        <v>5033.88</v>
      </c>
    </row>
    <row r="49" spans="1:33" x14ac:dyDescent="0.25">
      <c r="A49" s="76" t="s">
        <v>24</v>
      </c>
      <c r="B49" s="43">
        <v>12</v>
      </c>
      <c r="C49" s="43">
        <v>2022</v>
      </c>
      <c r="D49" s="75">
        <v>1123000</v>
      </c>
      <c r="E49" s="75">
        <v>2.8942787099999999E-2</v>
      </c>
      <c r="F49" s="43">
        <v>1500</v>
      </c>
      <c r="G49" s="43">
        <v>1137728</v>
      </c>
      <c r="H49" s="64">
        <v>34437.225599999998</v>
      </c>
      <c r="I49" s="43">
        <v>71280</v>
      </c>
      <c r="J49" s="43">
        <v>0.11245792</v>
      </c>
      <c r="K49" s="64">
        <v>133390.34805599999</v>
      </c>
      <c r="L49" s="64">
        <v>8081.8388237999998</v>
      </c>
      <c r="M49" s="75">
        <v>15061</v>
      </c>
      <c r="N49" s="70">
        <v>0.78164072699999998</v>
      </c>
      <c r="O49" s="43">
        <v>981</v>
      </c>
      <c r="P49" s="13">
        <v>0.79213659531000002</v>
      </c>
      <c r="Q49" s="39">
        <v>9318</v>
      </c>
      <c r="R49" s="43">
        <v>0.23431745008999999</v>
      </c>
      <c r="S49" s="43">
        <v>28357</v>
      </c>
      <c r="T49" s="43">
        <v>15482</v>
      </c>
      <c r="U49" s="70">
        <v>1254700</v>
      </c>
      <c r="V49" s="70">
        <v>1.5576477240000001E-2</v>
      </c>
      <c r="W49" s="71">
        <v>22572</v>
      </c>
      <c r="X49" s="64">
        <v>1104074.5937961596</v>
      </c>
      <c r="Y49" s="71">
        <v>40830</v>
      </c>
      <c r="Z49" s="70">
        <v>3461</v>
      </c>
      <c r="AA49" s="13">
        <v>2.65</v>
      </c>
      <c r="AB49" s="67">
        <f>237*31*0.581</f>
        <v>4268.607</v>
      </c>
    </row>
    <row r="50" spans="1:33" x14ac:dyDescent="0.25">
      <c r="A50" s="76" t="s">
        <v>24</v>
      </c>
      <c r="B50" s="43">
        <v>1</v>
      </c>
      <c r="C50" s="43">
        <v>2023</v>
      </c>
      <c r="D50" s="70">
        <v>959317</v>
      </c>
      <c r="E50" s="43">
        <v>2.9000000000000001E-2</v>
      </c>
      <c r="F50" s="43">
        <v>1500</v>
      </c>
      <c r="G50" s="43">
        <v>1238454</v>
      </c>
      <c r="H50" s="64">
        <v>34723.135800000004</v>
      </c>
      <c r="I50" s="43">
        <v>86130</v>
      </c>
      <c r="J50" s="43">
        <v>0.11245792</v>
      </c>
      <c r="K50" s="43">
        <v>146211.53000249999</v>
      </c>
      <c r="L50" s="64">
        <v>8600.6287499999999</v>
      </c>
      <c r="M50" s="70">
        <v>14111</v>
      </c>
      <c r="N50" s="70">
        <v>0.78504521199999999</v>
      </c>
      <c r="O50" s="43">
        <v>0</v>
      </c>
      <c r="P50" s="13">
        <v>0</v>
      </c>
      <c r="Q50" s="39">
        <v>8449</v>
      </c>
      <c r="R50" s="79">
        <v>0.240677</v>
      </c>
      <c r="S50" s="43">
        <v>22138.15</v>
      </c>
      <c r="T50" s="43">
        <v>13147</v>
      </c>
      <c r="U50" s="70">
        <v>801300</v>
      </c>
      <c r="V50" s="80">
        <v>1.5849344809999999E-2</v>
      </c>
      <c r="W50" s="71">
        <v>23575.200000000001</v>
      </c>
      <c r="X50" s="84">
        <v>852994</v>
      </c>
      <c r="Y50" s="71">
        <v>35150.473524119996</v>
      </c>
      <c r="Z50" s="70">
        <v>3534</v>
      </c>
      <c r="AA50" s="13">
        <v>2.65</v>
      </c>
    </row>
    <row r="51" spans="1:33" x14ac:dyDescent="0.25">
      <c r="A51" s="76" t="s">
        <v>24</v>
      </c>
      <c r="B51" s="43">
        <v>2</v>
      </c>
      <c r="C51" s="43">
        <v>2023</v>
      </c>
      <c r="D51" s="43"/>
      <c r="E51" s="43"/>
      <c r="F51" s="43">
        <v>1500</v>
      </c>
      <c r="G51" s="43">
        <v>1089829</v>
      </c>
      <c r="H51" s="64">
        <v>30577.495800000001</v>
      </c>
      <c r="I51" s="43"/>
      <c r="J51" s="43"/>
      <c r="K51" s="43">
        <v>134514.60760230001</v>
      </c>
      <c r="L51" s="64">
        <v>7912.57845</v>
      </c>
      <c r="M51" s="71"/>
      <c r="N51" s="43"/>
      <c r="O51" s="43"/>
      <c r="R51" s="43"/>
      <c r="S51" s="43">
        <v>21148.15</v>
      </c>
      <c r="T51" s="43">
        <v>12613</v>
      </c>
      <c r="U51" s="43"/>
      <c r="V51" s="43"/>
      <c r="W51" s="43"/>
      <c r="X51" s="43">
        <v>865307</v>
      </c>
      <c r="Y51" s="71">
        <v>35795.319758280501</v>
      </c>
      <c r="Z51" s="43"/>
      <c r="AA51" s="13">
        <v>2.65</v>
      </c>
    </row>
    <row r="52" spans="1:33" x14ac:dyDescent="0.25">
      <c r="A52" s="76" t="s">
        <v>24</v>
      </c>
      <c r="B52" s="43">
        <v>3</v>
      </c>
      <c r="C52" s="43">
        <v>2023</v>
      </c>
      <c r="D52" s="43"/>
      <c r="E52" s="43"/>
      <c r="F52" s="43">
        <v>1500</v>
      </c>
      <c r="G52" s="43">
        <v>1213854</v>
      </c>
      <c r="H52" s="64">
        <v>34418.562114</v>
      </c>
      <c r="I52" s="43"/>
      <c r="J52" s="43"/>
      <c r="K52" s="43">
        <v>128666.1464022</v>
      </c>
      <c r="L52" s="64">
        <v>7568.5533000000005</v>
      </c>
      <c r="M52" s="70"/>
      <c r="N52" s="43"/>
      <c r="O52" s="43"/>
      <c r="R52" s="43"/>
      <c r="S52" s="43">
        <v>27726.05</v>
      </c>
      <c r="T52" s="43">
        <v>16488</v>
      </c>
      <c r="U52" s="43"/>
      <c r="V52" s="43"/>
      <c r="W52" s="43"/>
      <c r="X52" s="43">
        <v>1226523</v>
      </c>
      <c r="Y52" s="71">
        <v>40910.386702500007</v>
      </c>
      <c r="Z52" s="43"/>
      <c r="AA52" s="13">
        <v>2.65</v>
      </c>
    </row>
    <row r="53" spans="1:33" x14ac:dyDescent="0.25">
      <c r="A53" t="s">
        <v>24</v>
      </c>
      <c r="B53" s="13">
        <v>4</v>
      </c>
      <c r="C53" s="43">
        <v>2023</v>
      </c>
      <c r="D53" s="43"/>
      <c r="E53" s="43"/>
      <c r="F53" s="43">
        <v>1500</v>
      </c>
      <c r="G53" s="43">
        <v>1141079</v>
      </c>
      <c r="H53" s="64">
        <v>34236.201193162502</v>
      </c>
      <c r="I53" s="43"/>
      <c r="J53" s="43"/>
      <c r="K53" s="43">
        <v>93575.379201599993</v>
      </c>
      <c r="L53" s="64">
        <v>5504.4023999999999</v>
      </c>
      <c r="M53" s="70"/>
      <c r="N53" s="43"/>
      <c r="O53" s="43"/>
      <c r="R53" s="43"/>
      <c r="S53" s="43">
        <v>23296.224999999999</v>
      </c>
      <c r="T53" s="43">
        <v>13938</v>
      </c>
      <c r="U53" s="43"/>
      <c r="V53" s="43"/>
      <c r="X53" s="13">
        <v>1469017</v>
      </c>
      <c r="Y53" s="57">
        <v>45773.649160360001</v>
      </c>
      <c r="AA53" s="13">
        <v>2.65</v>
      </c>
    </row>
    <row r="54" spans="1:33" x14ac:dyDescent="0.25">
      <c r="A54" t="s">
        <v>24</v>
      </c>
      <c r="B54" s="13">
        <v>5</v>
      </c>
      <c r="C54" s="43">
        <v>2023</v>
      </c>
      <c r="D54" s="43"/>
      <c r="E54" s="43"/>
      <c r="F54" s="43">
        <v>1500</v>
      </c>
      <c r="G54" s="43">
        <v>1373754</v>
      </c>
      <c r="H54" s="64">
        <v>40908.015296714999</v>
      </c>
      <c r="I54" s="43"/>
      <c r="J54" s="43"/>
      <c r="K54" s="43">
        <v>122817.68520209999</v>
      </c>
      <c r="L54" s="64">
        <v>7224.5281500000001</v>
      </c>
      <c r="M54" s="70"/>
      <c r="N54" s="43"/>
      <c r="O54" s="43"/>
      <c r="R54" s="43"/>
      <c r="S54" s="43">
        <v>31928.45</v>
      </c>
      <c r="T54" s="43">
        <v>18484</v>
      </c>
      <c r="U54" s="43"/>
      <c r="V54" s="43"/>
      <c r="X54" s="13">
        <v>2285954</v>
      </c>
      <c r="Y54" s="57">
        <v>58181.350379702002</v>
      </c>
      <c r="AA54" s="13">
        <v>2.65</v>
      </c>
    </row>
    <row r="55" spans="1:33" x14ac:dyDescent="0.25">
      <c r="A55" t="s">
        <v>24</v>
      </c>
      <c r="B55" s="13">
        <v>6</v>
      </c>
      <c r="C55" s="43">
        <v>2023</v>
      </c>
      <c r="D55" s="43"/>
      <c r="E55" s="43"/>
      <c r="F55" s="43">
        <v>1500</v>
      </c>
      <c r="G55" s="43">
        <v>1330704</v>
      </c>
      <c r="H55" s="64">
        <v>39673.582731300005</v>
      </c>
      <c r="I55" s="43"/>
      <c r="J55" s="43"/>
      <c r="K55" s="43">
        <v>105272.30160180001</v>
      </c>
      <c r="L55" s="64">
        <v>6192.4526999999998</v>
      </c>
      <c r="M55" s="70"/>
      <c r="N55" s="43"/>
      <c r="O55" s="43"/>
      <c r="R55" s="43"/>
      <c r="S55" s="43">
        <v>32133.25</v>
      </c>
      <c r="T55" s="43">
        <v>18488</v>
      </c>
      <c r="U55" s="43"/>
      <c r="V55" s="43"/>
      <c r="X55" s="13">
        <v>2845190</v>
      </c>
      <c r="Y55" s="57">
        <v>67594.780619344005</v>
      </c>
      <c r="AA55" s="13">
        <v>2.65</v>
      </c>
    </row>
    <row r="56" spans="1:33" x14ac:dyDescent="0.25">
      <c r="A56" t="s">
        <v>24</v>
      </c>
      <c r="B56" s="13">
        <v>7</v>
      </c>
      <c r="C56" s="43">
        <v>2023</v>
      </c>
      <c r="D56" s="43"/>
      <c r="E56" s="43"/>
      <c r="F56" s="43">
        <v>1500</v>
      </c>
      <c r="G56" s="43">
        <v>1288679</v>
      </c>
      <c r="H56" s="64">
        <v>38468.541417442502</v>
      </c>
      <c r="I56" s="43"/>
      <c r="J56" s="43"/>
      <c r="K56" s="43">
        <v>93575.379201599993</v>
      </c>
      <c r="L56" s="64">
        <v>5504.4023999999999</v>
      </c>
      <c r="M56" s="70"/>
      <c r="N56" s="43"/>
      <c r="O56" s="43"/>
      <c r="R56" s="43"/>
      <c r="S56" s="43">
        <v>36988.75</v>
      </c>
      <c r="T56" s="43">
        <v>20713</v>
      </c>
      <c r="U56" s="43"/>
      <c r="V56" s="43"/>
      <c r="X56" s="13">
        <v>3500692</v>
      </c>
      <c r="Y56" s="57">
        <v>78324.022723782007</v>
      </c>
      <c r="AA56" s="13">
        <v>2.65</v>
      </c>
    </row>
    <row r="57" spans="1:33" x14ac:dyDescent="0.25">
      <c r="A57" t="s">
        <v>24</v>
      </c>
      <c r="B57" s="13">
        <v>8</v>
      </c>
      <c r="C57" s="43">
        <v>2023</v>
      </c>
      <c r="D57" s="43"/>
      <c r="E57" s="43"/>
      <c r="F57" s="43">
        <v>1500</v>
      </c>
      <c r="G57" s="43">
        <v>1302004</v>
      </c>
      <c r="H57" s="64">
        <v>38850.627687690001</v>
      </c>
      <c r="I57" s="43"/>
      <c r="J57" s="43"/>
      <c r="K57" s="43">
        <v>105272.30160180001</v>
      </c>
      <c r="L57" s="64">
        <v>6192.4526999999998</v>
      </c>
      <c r="M57" s="70"/>
      <c r="N57" s="43"/>
      <c r="O57" s="43"/>
      <c r="R57" s="43"/>
      <c r="S57" s="43">
        <v>31586.6</v>
      </c>
      <c r="T57" s="43">
        <v>17972</v>
      </c>
      <c r="U57" s="43"/>
      <c r="V57" s="43"/>
      <c r="X57" s="13">
        <v>3444191</v>
      </c>
      <c r="Y57" s="82">
        <v>76532.274810397997</v>
      </c>
      <c r="AA57" s="13">
        <v>2.65</v>
      </c>
      <c r="AG57" t="s">
        <v>44</v>
      </c>
    </row>
    <row r="58" spans="1:33" x14ac:dyDescent="0.25">
      <c r="A58" t="s">
        <v>24</v>
      </c>
      <c r="B58" s="13">
        <v>9</v>
      </c>
      <c r="C58" s="43">
        <v>2023</v>
      </c>
      <c r="D58" s="43"/>
      <c r="E58" s="43"/>
      <c r="F58" s="43">
        <v>1500</v>
      </c>
      <c r="G58" s="43">
        <v>1188229</v>
      </c>
      <c r="H58" s="64">
        <v>37722.752046711663</v>
      </c>
      <c r="I58" s="43"/>
      <c r="J58" s="43"/>
      <c r="K58" s="43">
        <v>87726.918001500002</v>
      </c>
      <c r="L58" s="64">
        <v>5504.4023999999999</v>
      </c>
      <c r="M58" s="70"/>
      <c r="N58" s="43"/>
      <c r="O58" s="43"/>
      <c r="R58" s="43"/>
      <c r="S58" s="43">
        <v>32072.15</v>
      </c>
      <c r="T58" s="43">
        <v>15905</v>
      </c>
      <c r="U58" s="43"/>
      <c r="V58" s="43"/>
      <c r="X58" s="13">
        <v>3071520</v>
      </c>
      <c r="Y58" s="57">
        <v>74974.784322184132</v>
      </c>
      <c r="AA58" s="13">
        <v>2.65</v>
      </c>
    </row>
    <row r="59" spans="1:33" x14ac:dyDescent="0.25">
      <c r="A59" t="s">
        <v>24</v>
      </c>
      <c r="B59" s="13">
        <v>10</v>
      </c>
      <c r="C59" s="43">
        <v>2023</v>
      </c>
      <c r="D59" s="43"/>
      <c r="E59" s="43"/>
      <c r="F59" s="43">
        <v>1500</v>
      </c>
      <c r="G59" s="43">
        <v>1289704</v>
      </c>
      <c r="H59" s="64">
        <v>34530.135164351137</v>
      </c>
      <c r="I59" s="43"/>
      <c r="J59" s="43"/>
      <c r="K59" s="43">
        <v>111120.7628019</v>
      </c>
      <c r="L59" s="64">
        <v>4587.0020000000004</v>
      </c>
      <c r="M59" s="70"/>
      <c r="N59" s="43"/>
      <c r="O59" s="43"/>
      <c r="R59" s="43"/>
      <c r="S59" s="43">
        <v>27340.674999999999</v>
      </c>
      <c r="T59" s="43">
        <v>19264</v>
      </c>
      <c r="U59" s="43"/>
      <c r="V59" s="43"/>
      <c r="X59" s="13">
        <v>2655772</v>
      </c>
      <c r="Y59" s="57">
        <v>72330.095436591029</v>
      </c>
      <c r="AA59" s="13">
        <v>2.65</v>
      </c>
    </row>
    <row r="60" spans="1:33" x14ac:dyDescent="0.25">
      <c r="A60" t="s">
        <v>24</v>
      </c>
      <c r="B60" s="13">
        <v>11</v>
      </c>
      <c r="C60" s="43">
        <v>2023</v>
      </c>
      <c r="D60" s="43"/>
      <c r="E60" s="43"/>
      <c r="F60" s="43">
        <v>1500</v>
      </c>
      <c r="G60" s="43">
        <v>1233329</v>
      </c>
      <c r="H60" s="64">
        <v>29445.4526715051</v>
      </c>
      <c r="I60" s="43"/>
      <c r="J60" s="43"/>
      <c r="K60" s="43">
        <v>122817.68520209999</v>
      </c>
      <c r="L60" s="64">
        <v>5045.7021999999997</v>
      </c>
      <c r="M60" s="70"/>
      <c r="N60" s="43"/>
      <c r="O60" s="43"/>
      <c r="R60" s="43"/>
      <c r="S60" s="43">
        <v>28240.400000000001</v>
      </c>
      <c r="T60" s="43">
        <v>17953</v>
      </c>
      <c r="U60" s="43"/>
      <c r="V60" s="43"/>
      <c r="X60" s="13">
        <v>1891222</v>
      </c>
      <c r="Y60" s="83">
        <v>59693.683079782088</v>
      </c>
      <c r="AA60" s="13">
        <v>2.65</v>
      </c>
    </row>
    <row r="61" spans="1:33" x14ac:dyDescent="0.25">
      <c r="A61" t="s">
        <v>24</v>
      </c>
      <c r="B61" s="13">
        <v>12</v>
      </c>
      <c r="C61" s="43">
        <v>2023</v>
      </c>
      <c r="D61" s="43"/>
      <c r="E61" s="43"/>
      <c r="F61" s="43">
        <v>1500</v>
      </c>
      <c r="G61" s="43">
        <v>1210779</v>
      </c>
      <c r="H61" s="64">
        <v>25095.249443095559</v>
      </c>
      <c r="I61" s="43"/>
      <c r="J61" s="43"/>
      <c r="K61" s="43">
        <v>140363.0688024</v>
      </c>
      <c r="L61" s="64">
        <v>8485.9537</v>
      </c>
      <c r="M61" s="70"/>
      <c r="N61" s="43"/>
      <c r="O61" s="43"/>
      <c r="R61" s="43"/>
      <c r="S61" s="43">
        <v>26246.97</v>
      </c>
      <c r="T61" s="43">
        <v>16687</v>
      </c>
      <c r="U61" s="43"/>
      <c r="V61" s="43"/>
      <c r="X61" s="13">
        <v>1286070</v>
      </c>
      <c r="Y61" s="57">
        <v>53723.552154040677</v>
      </c>
      <c r="AA61" s="13">
        <v>2.65</v>
      </c>
    </row>
    <row r="62" spans="1:33" x14ac:dyDescent="0.25">
      <c r="C62" s="43"/>
      <c r="D62" s="43"/>
      <c r="E62" s="43"/>
      <c r="F62" s="43"/>
      <c r="I62" s="43"/>
      <c r="J62" s="43"/>
      <c r="K62" s="43"/>
      <c r="L62" s="43"/>
      <c r="M62" s="43"/>
      <c r="N62" s="43"/>
      <c r="O62" s="43"/>
      <c r="R62" s="43"/>
      <c r="S62" s="43"/>
      <c r="T62" s="43"/>
      <c r="U62" s="43"/>
      <c r="V62" s="43"/>
    </row>
    <row r="63" spans="1:33" x14ac:dyDescent="0.25">
      <c r="C63" s="43"/>
      <c r="D63" s="43"/>
      <c r="E63" s="43"/>
      <c r="F63" s="43"/>
      <c r="I63" s="43"/>
      <c r="J63" s="43"/>
      <c r="K63" s="43"/>
      <c r="L63" s="43"/>
      <c r="M63" s="43"/>
      <c r="N63" s="43"/>
      <c r="O63" s="43"/>
      <c r="R63" s="43"/>
      <c r="S63" s="43"/>
      <c r="T63" s="43"/>
      <c r="U63" s="43"/>
      <c r="V63" s="43"/>
    </row>
    <row r="64" spans="1:33" x14ac:dyDescent="0.25">
      <c r="R64" s="43"/>
      <c r="S64" s="43"/>
      <c r="T64" s="43"/>
      <c r="U64" s="43"/>
      <c r="V64" s="4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25</v>
      </c>
      <c r="J4" s="5" t="s">
        <v>26</v>
      </c>
      <c r="K4" s="6" t="s">
        <v>27</v>
      </c>
    </row>
    <row r="5" spans="8:11" x14ac:dyDescent="0.25">
      <c r="H5" s="7" t="s">
        <v>28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29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30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31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32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33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34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35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36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37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38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39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2023-02-09T11:40:12Z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